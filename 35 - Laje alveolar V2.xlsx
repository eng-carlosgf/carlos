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ownloads\"/>
    </mc:Choice>
  </mc:AlternateContent>
  <xr:revisionPtr revIDLastSave="0" documentId="13_ncr:1_{7C3D7DBA-411C-4262-B907-AAB7D12D44BE}" xr6:coauthVersionLast="47" xr6:coauthVersionMax="47" xr10:uidLastSave="{00000000-0000-0000-0000-000000000000}"/>
  <bookViews>
    <workbookView xWindow="-120" yWindow="-120" windowWidth="29040" windowHeight="15720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Resumo" sheetId="19" r:id="rId9"/>
    <sheet name="Fluência" sheetId="2" state="hidden" r:id="rId10"/>
    <sheet name="Seções Compostas" sheetId="12" state="hidden" r:id="rId11"/>
    <sheet name="Propriedades geométricas VI" sheetId="16" state="hidden" r:id="rId12"/>
    <sheet name="Propriedades geométricas LA " sheetId="14" state="hidden" r:id="rId13"/>
    <sheet name="Valores &quot;A&quot; e &quot;Y&quot; Alv. Preenc." sheetId="18" state="hidden" r:id="rId14"/>
    <sheet name="Valores &quot;A&quot; e &quot;Y&quot;" sheetId="17" state="hidden" r:id="rId15"/>
    <sheet name="Seções " sheetId="15" state="hidden" r:id="rId16"/>
    <sheet name="Propriedades geométricas chavet" sheetId="13" state="hidden" r:id="rId17"/>
    <sheet name="Perdas por Seção" sheetId="22" state="hidden" r:id="rId18"/>
    <sheet name="Isolamento de cabos" sheetId="23" state="hidden" r:id="rId19"/>
    <sheet name="Armadura Negativo LE" sheetId="25" state="hidden" r:id="rId20"/>
    <sheet name="Armadura Negativo LD" sheetId="26" state="hidden" r:id="rId21"/>
    <sheet name="Estádio - Flechas" sheetId="32" r:id="rId22"/>
  </sheets>
  <externalReferences>
    <externalReference r:id="rId23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8">Resumo!$H$1:$Q$210</definedName>
    <definedName name="FirstX" localSheetId="5">#REF!</definedName>
    <definedName name="FirstX" localSheetId="16">'Propriedades geométricas chavet'!$B$6</definedName>
    <definedName name="FirstX" localSheetId="12">'Propriedades geométricas LA '!$B$6</definedName>
    <definedName name="FirstX" localSheetId="11">'Propriedades geométricas VI'!$B$6</definedName>
    <definedName name="FirstX" localSheetId="15">#REF!</definedName>
    <definedName name="FirstX" localSheetId="10">#REF!</definedName>
    <definedName name="FirstX" localSheetId="14">'Valores "A" e "Y"'!$B$6</definedName>
    <definedName name="FirstX" localSheetId="13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6">OFFSET('Propriedades geométricas chavet'!FirstX,0,0,COUNT('Propriedades geométricas chavet'!$B$1:$B$65531))</definedName>
    <definedName name="X" localSheetId="12">OFFSET('Propriedades geométricas LA '!FirstX,0,0,COUNT('Propriedades geométricas LA '!$B$1:$B$65531))</definedName>
    <definedName name="X" localSheetId="11">OFFSET('Propriedades geométricas VI'!FirstX,0,0,COUNT('Propriedades geométricas VI'!$B$1:$B$65531))</definedName>
    <definedName name="X" localSheetId="15">OFFSET('Seções '!FirstX,0,0,COUNT(#REF!))</definedName>
    <definedName name="X" localSheetId="10">OFFSET('Seções Compostas'!FirstX,0,0,COUNT(#REF!))</definedName>
    <definedName name="X" localSheetId="14">OFFSET('Valores "A" e "Y"'!FirstX,0,0,COUNT('Valores "A" e "Y"'!$B$1:$B$65531))</definedName>
    <definedName name="X" localSheetId="13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6">OFFSET('Propriedades geométricas chavet'!X,0,1)</definedName>
    <definedName name="Y" localSheetId="12">OFFSET('Propriedades geométricas LA '!X,0,1)</definedName>
    <definedName name="Y" localSheetId="11">OFFSET('Propriedades geométricas VI'!X,0,1)</definedName>
    <definedName name="Y" localSheetId="15">OFFSET('Seções '!X,0,1)</definedName>
    <definedName name="Y" localSheetId="10">OFFSET('Seções Compostas'!X,0,1)</definedName>
    <definedName name="Y" localSheetId="14">OFFSET('Valores "A" e "Y"'!X,0,1)</definedName>
    <definedName name="Y" localSheetId="13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32" l="1"/>
  <c r="E12" i="32"/>
  <c r="D12" i="32"/>
  <c r="P11" i="32"/>
  <c r="E11" i="32"/>
  <c r="D11" i="32"/>
  <c r="P10" i="32"/>
  <c r="E10" i="32"/>
  <c r="D10" i="32"/>
  <c r="P9" i="32"/>
  <c r="E9" i="32"/>
  <c r="P8" i="32"/>
  <c r="E8" i="32"/>
  <c r="P7" i="32"/>
  <c r="E7" i="32"/>
  <c r="R6" i="32"/>
  <c r="P6" i="32"/>
  <c r="E6" i="32"/>
  <c r="G35" i="26"/>
  <c r="AJ19" i="26"/>
  <c r="AJ18" i="26"/>
  <c r="AJ17" i="26"/>
  <c r="AJ16" i="26"/>
  <c r="AJ15" i="26"/>
  <c r="J15" i="26"/>
  <c r="AJ14" i="26"/>
  <c r="AJ13" i="26"/>
  <c r="AJ12" i="26"/>
  <c r="AJ11" i="26"/>
  <c r="AJ10" i="26"/>
  <c r="F10" i="26"/>
  <c r="L10" i="26" s="1"/>
  <c r="G9" i="26"/>
  <c r="K9" i="26" s="1"/>
  <c r="G8" i="26"/>
  <c r="K4" i="26"/>
  <c r="L37" i="25"/>
  <c r="H1224" i="1" s="1"/>
  <c r="G35" i="25"/>
  <c r="AJ19" i="25"/>
  <c r="AJ18" i="25"/>
  <c r="AJ17" i="25"/>
  <c r="AJ16" i="25"/>
  <c r="AJ15" i="25"/>
  <c r="J15" i="25"/>
  <c r="AJ14" i="25"/>
  <c r="AJ13" i="25"/>
  <c r="AJ12" i="25"/>
  <c r="AJ11" i="25"/>
  <c r="AJ10" i="25"/>
  <c r="F10" i="25"/>
  <c r="L10" i="25" s="1"/>
  <c r="G9" i="25"/>
  <c r="K9" i="25" s="1"/>
  <c r="G8" i="25"/>
  <c r="K4" i="25"/>
  <c r="C15" i="23"/>
  <c r="C13" i="23"/>
  <c r="C11" i="23"/>
  <c r="C45" i="22"/>
  <c r="C33" i="22"/>
  <c r="A42" i="13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G18" i="13"/>
  <c r="J17" i="13"/>
  <c r="G17" i="13"/>
  <c r="J16" i="13"/>
  <c r="G16" i="13"/>
  <c r="J15" i="13"/>
  <c r="G15" i="13"/>
  <c r="J14" i="13"/>
  <c r="T13" i="13"/>
  <c r="N11" i="13"/>
  <c r="G11" i="13"/>
  <c r="S10" i="13"/>
  <c r="N10" i="13"/>
  <c r="J10" i="13"/>
  <c r="G10" i="13"/>
  <c r="N9" i="13"/>
  <c r="J9" i="13"/>
  <c r="G9" i="13"/>
  <c r="N8" i="13"/>
  <c r="J8" i="13"/>
  <c r="G8" i="13"/>
  <c r="R7" i="13"/>
  <c r="N7" i="13"/>
  <c r="J7" i="13"/>
  <c r="G7" i="13"/>
  <c r="C7" i="13"/>
  <c r="B7" i="13"/>
  <c r="A7" i="13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U6" i="13"/>
  <c r="R6" i="13"/>
  <c r="Q6" i="13" a="1"/>
  <c r="Q6" i="13" s="1"/>
  <c r="N6" i="13"/>
  <c r="J6" i="13"/>
  <c r="I6" i="13"/>
  <c r="M5" i="13" s="1"/>
  <c r="G6" i="13"/>
  <c r="F6" i="13" a="1"/>
  <c r="F6" i="13" s="1"/>
  <c r="M6" i="13" s="1"/>
  <c r="I70" i="1" s="1"/>
  <c r="W5" i="13"/>
  <c r="U5" i="13"/>
  <c r="R5" i="13"/>
  <c r="Q5" i="13" a="1"/>
  <c r="N5" i="13"/>
  <c r="J5" i="13"/>
  <c r="I5" i="13"/>
  <c r="W4" i="13"/>
  <c r="K242" i="15"/>
  <c r="Y246" i="12" s="1"/>
  <c r="F242" i="15"/>
  <c r="J242" i="15" s="1"/>
  <c r="X246" i="12" s="1"/>
  <c r="K241" i="15"/>
  <c r="Y245" i="12" s="1"/>
  <c r="F241" i="15"/>
  <c r="J241" i="15" s="1"/>
  <c r="X245" i="12" s="1"/>
  <c r="J240" i="15"/>
  <c r="X244" i="12" s="1"/>
  <c r="G240" i="15"/>
  <c r="K240" i="15" s="1"/>
  <c r="Y244" i="12" s="1"/>
  <c r="K239" i="15"/>
  <c r="Y243" i="12" s="1"/>
  <c r="J239" i="15"/>
  <c r="X243" i="12" s="1"/>
  <c r="G238" i="15"/>
  <c r="K238" i="15" s="1"/>
  <c r="Y242" i="12" s="1"/>
  <c r="F238" i="15"/>
  <c r="J238" i="15" s="1"/>
  <c r="X242" i="12" s="1"/>
  <c r="J237" i="15"/>
  <c r="X241" i="12" s="1"/>
  <c r="K236" i="15"/>
  <c r="Y240" i="12" s="1"/>
  <c r="K235" i="15"/>
  <c r="Y239" i="12" s="1"/>
  <c r="K234" i="15"/>
  <c r="Y238" i="12" s="1"/>
  <c r="K233" i="15"/>
  <c r="Y237" i="12" s="1"/>
  <c r="K232" i="15"/>
  <c r="Y236" i="12" s="1"/>
  <c r="K231" i="15"/>
  <c r="Y235" i="12" s="1"/>
  <c r="K230" i="15"/>
  <c r="Y234" i="12" s="1"/>
  <c r="K229" i="15"/>
  <c r="Y233" i="12" s="1"/>
  <c r="K228" i="15"/>
  <c r="Y232" i="12" s="1"/>
  <c r="K227" i="15"/>
  <c r="Y231" i="12" s="1"/>
  <c r="G226" i="15"/>
  <c r="K226" i="15" s="1"/>
  <c r="Y230" i="12" s="1"/>
  <c r="K225" i="15"/>
  <c r="Y229" i="12" s="1"/>
  <c r="K224" i="15"/>
  <c r="Y228" i="12" s="1"/>
  <c r="K223" i="15"/>
  <c r="Y227" i="12" s="1"/>
  <c r="K222" i="15"/>
  <c r="Y226" i="12" s="1"/>
  <c r="K221" i="15"/>
  <c r="Y225" i="12" s="1"/>
  <c r="K220" i="15"/>
  <c r="Y224" i="12" s="1"/>
  <c r="K219" i="15"/>
  <c r="Y223" i="12" s="1"/>
  <c r="K218" i="15"/>
  <c r="Y222" i="12" s="1"/>
  <c r="K217" i="15"/>
  <c r="Y221" i="12" s="1"/>
  <c r="K216" i="15"/>
  <c r="Y220" i="12" s="1"/>
  <c r="K215" i="15"/>
  <c r="Y219" i="12" s="1"/>
  <c r="K204" i="15"/>
  <c r="Y208" i="12" s="1"/>
  <c r="K203" i="15"/>
  <c r="Y207" i="12" s="1"/>
  <c r="K202" i="15"/>
  <c r="Y206" i="12" s="1"/>
  <c r="K201" i="15"/>
  <c r="Y205" i="12" s="1"/>
  <c r="K200" i="15"/>
  <c r="Y204" i="12" s="1"/>
  <c r="K199" i="15"/>
  <c r="Y203" i="12" s="1"/>
  <c r="K198" i="15"/>
  <c r="Y202" i="12" s="1"/>
  <c r="K197" i="15"/>
  <c r="Y201" i="12" s="1"/>
  <c r="K196" i="15"/>
  <c r="Y200" i="12" s="1"/>
  <c r="K195" i="15"/>
  <c r="Y199" i="12" s="1"/>
  <c r="G194" i="15"/>
  <c r="K194" i="15" s="1"/>
  <c r="Y198" i="12" s="1"/>
  <c r="K193" i="15"/>
  <c r="Y197" i="12" s="1"/>
  <c r="K192" i="15"/>
  <c r="Y196" i="12" s="1"/>
  <c r="K191" i="15"/>
  <c r="Y195" i="12" s="1"/>
  <c r="K190" i="15"/>
  <c r="Y194" i="12" s="1"/>
  <c r="K189" i="15"/>
  <c r="Y193" i="12" s="1"/>
  <c r="K188" i="15"/>
  <c r="Y192" i="12" s="1"/>
  <c r="K187" i="15"/>
  <c r="Y191" i="12" s="1"/>
  <c r="K186" i="15"/>
  <c r="Y190" i="12" s="1"/>
  <c r="K185" i="15"/>
  <c r="Y189" i="12" s="1"/>
  <c r="K184" i="15"/>
  <c r="Y188" i="12" s="1"/>
  <c r="K183" i="15"/>
  <c r="Y187" i="12" s="1"/>
  <c r="K172" i="15"/>
  <c r="Y176" i="12" s="1"/>
  <c r="K171" i="15"/>
  <c r="Y175" i="12" s="1"/>
  <c r="K170" i="15"/>
  <c r="Y174" i="12" s="1"/>
  <c r="K169" i="15"/>
  <c r="Y173" i="12" s="1"/>
  <c r="K168" i="15"/>
  <c r="Y172" i="12" s="1"/>
  <c r="K167" i="15"/>
  <c r="Y171" i="12" s="1"/>
  <c r="K166" i="15"/>
  <c r="Y170" i="12" s="1"/>
  <c r="K165" i="15"/>
  <c r="Y169" i="12" s="1"/>
  <c r="K164" i="15"/>
  <c r="Y168" i="12" s="1"/>
  <c r="K163" i="15"/>
  <c r="Y167" i="12" s="1"/>
  <c r="K162" i="15"/>
  <c r="Y166" i="12" s="1"/>
  <c r="G162" i="15"/>
  <c r="K161" i="15"/>
  <c r="Y165" i="12" s="1"/>
  <c r="K160" i="15"/>
  <c r="Y164" i="12" s="1"/>
  <c r="K159" i="15"/>
  <c r="Y163" i="12" s="1"/>
  <c r="K158" i="15"/>
  <c r="Y162" i="12" s="1"/>
  <c r="K157" i="15"/>
  <c r="Y161" i="12" s="1"/>
  <c r="K156" i="15"/>
  <c r="Y160" i="12" s="1"/>
  <c r="K155" i="15"/>
  <c r="Y159" i="12" s="1"/>
  <c r="K154" i="15"/>
  <c r="Y158" i="12" s="1"/>
  <c r="K153" i="15"/>
  <c r="Y157" i="12" s="1"/>
  <c r="K152" i="15"/>
  <c r="Y156" i="12" s="1"/>
  <c r="K151" i="15"/>
  <c r="Y155" i="12" s="1"/>
  <c r="K140" i="15"/>
  <c r="Y144" i="12" s="1"/>
  <c r="K139" i="15"/>
  <c r="Y143" i="12" s="1"/>
  <c r="K138" i="15"/>
  <c r="Y142" i="12" s="1"/>
  <c r="K137" i="15"/>
  <c r="Y141" i="12" s="1"/>
  <c r="K136" i="15"/>
  <c r="Y140" i="12" s="1"/>
  <c r="K135" i="15"/>
  <c r="Y139" i="12" s="1"/>
  <c r="K134" i="15"/>
  <c r="Y138" i="12" s="1"/>
  <c r="K133" i="15"/>
  <c r="Y137" i="12" s="1"/>
  <c r="K132" i="15"/>
  <c r="Y136" i="12" s="1"/>
  <c r="K131" i="15"/>
  <c r="Y135" i="12" s="1"/>
  <c r="G130" i="15"/>
  <c r="K130" i="15" s="1"/>
  <c r="Y134" i="12" s="1"/>
  <c r="K129" i="15"/>
  <c r="Y133" i="12" s="1"/>
  <c r="K128" i="15"/>
  <c r="Y132" i="12" s="1"/>
  <c r="K127" i="15"/>
  <c r="Y131" i="12" s="1"/>
  <c r="K126" i="15"/>
  <c r="Y130" i="12" s="1"/>
  <c r="K125" i="15"/>
  <c r="Y129" i="12" s="1"/>
  <c r="K124" i="15"/>
  <c r="Y128" i="12" s="1"/>
  <c r="K123" i="15"/>
  <c r="Y127" i="12" s="1"/>
  <c r="K122" i="15"/>
  <c r="Y126" i="12" s="1"/>
  <c r="K121" i="15"/>
  <c r="Y125" i="12" s="1"/>
  <c r="K120" i="15"/>
  <c r="Y124" i="12" s="1"/>
  <c r="K119" i="15"/>
  <c r="Y123" i="12" s="1"/>
  <c r="K108" i="15"/>
  <c r="Y112" i="12" s="1"/>
  <c r="K107" i="15"/>
  <c r="Y111" i="12" s="1"/>
  <c r="K106" i="15"/>
  <c r="Y110" i="12" s="1"/>
  <c r="K105" i="15"/>
  <c r="Y109" i="12" s="1"/>
  <c r="K104" i="15"/>
  <c r="Y108" i="12" s="1"/>
  <c r="K103" i="15"/>
  <c r="Y107" i="12" s="1"/>
  <c r="K102" i="15"/>
  <c r="Y106" i="12" s="1"/>
  <c r="K101" i="15"/>
  <c r="Y105" i="12" s="1"/>
  <c r="K100" i="15"/>
  <c r="Y104" i="12" s="1"/>
  <c r="K99" i="15"/>
  <c r="Y103" i="12" s="1"/>
  <c r="G98" i="15"/>
  <c r="K98" i="15" s="1"/>
  <c r="Y102" i="12" s="1"/>
  <c r="K97" i="15"/>
  <c r="K96" i="15"/>
  <c r="K95" i="15"/>
  <c r="K94" i="15"/>
  <c r="K93" i="15"/>
  <c r="K92" i="15"/>
  <c r="K91" i="15"/>
  <c r="K90" i="15"/>
  <c r="K89" i="15"/>
  <c r="K88" i="15"/>
  <c r="K87" i="15"/>
  <c r="F85" i="15"/>
  <c r="F82" i="15"/>
  <c r="G81" i="15"/>
  <c r="F80" i="15"/>
  <c r="F79" i="15"/>
  <c r="G78" i="15"/>
  <c r="F77" i="15"/>
  <c r="K76" i="15"/>
  <c r="Y80" i="12" s="1"/>
  <c r="F76" i="15"/>
  <c r="K75" i="15"/>
  <c r="Y79" i="12" s="1"/>
  <c r="F75" i="15"/>
  <c r="K74" i="15"/>
  <c r="Y78" i="12" s="1"/>
  <c r="F74" i="15"/>
  <c r="K73" i="15"/>
  <c r="Y77" i="12" s="1"/>
  <c r="F73" i="15"/>
  <c r="K72" i="15"/>
  <c r="Y76" i="12" s="1"/>
  <c r="F72" i="15"/>
  <c r="K71" i="15"/>
  <c r="Y75" i="12" s="1"/>
  <c r="F71" i="15"/>
  <c r="K70" i="15"/>
  <c r="Y74" i="12" s="1"/>
  <c r="F70" i="15"/>
  <c r="K69" i="15"/>
  <c r="Y73" i="12" s="1"/>
  <c r="F69" i="15"/>
  <c r="K68" i="15"/>
  <c r="Y72" i="12" s="1"/>
  <c r="F68" i="15"/>
  <c r="K67" i="15"/>
  <c r="Y71" i="12" s="1"/>
  <c r="F67" i="15"/>
  <c r="G66" i="15"/>
  <c r="K66" i="15" s="1"/>
  <c r="Y70" i="12" s="1"/>
  <c r="F66" i="15"/>
  <c r="K65" i="15"/>
  <c r="Y69" i="12" s="1"/>
  <c r="F65" i="15"/>
  <c r="K64" i="15"/>
  <c r="Y68" i="12" s="1"/>
  <c r="F64" i="15"/>
  <c r="K63" i="15"/>
  <c r="Y67" i="12" s="1"/>
  <c r="F63" i="15"/>
  <c r="K62" i="15"/>
  <c r="Y66" i="12" s="1"/>
  <c r="F62" i="15"/>
  <c r="K61" i="15"/>
  <c r="Y65" i="12" s="1"/>
  <c r="F61" i="15"/>
  <c r="K60" i="15"/>
  <c r="Y64" i="12" s="1"/>
  <c r="F60" i="15"/>
  <c r="K59" i="15"/>
  <c r="Y63" i="12" s="1"/>
  <c r="F59" i="15"/>
  <c r="K58" i="15"/>
  <c r="Y62" i="12" s="1"/>
  <c r="F58" i="15"/>
  <c r="K57" i="15"/>
  <c r="Y61" i="12" s="1"/>
  <c r="F57" i="15"/>
  <c r="K56" i="15"/>
  <c r="Y60" i="12" s="1"/>
  <c r="F56" i="15"/>
  <c r="K55" i="15"/>
  <c r="Y59" i="12" s="1"/>
  <c r="F55" i="15"/>
  <c r="G54" i="15"/>
  <c r="F54" i="15"/>
  <c r="J53" i="15"/>
  <c r="X57" i="12" s="1"/>
  <c r="G53" i="15"/>
  <c r="F52" i="15"/>
  <c r="F51" i="15"/>
  <c r="J50" i="15"/>
  <c r="X54" i="12" s="1"/>
  <c r="G50" i="15"/>
  <c r="K49" i="15"/>
  <c r="Y53" i="12" s="1"/>
  <c r="F49" i="15"/>
  <c r="J48" i="15"/>
  <c r="X52" i="12" s="1"/>
  <c r="J47" i="15"/>
  <c r="X51" i="12" s="1"/>
  <c r="K46" i="15"/>
  <c r="Y50" i="12" s="1"/>
  <c r="F46" i="15"/>
  <c r="K45" i="15"/>
  <c r="Y49" i="12" s="1"/>
  <c r="J45" i="15"/>
  <c r="X49" i="12" s="1"/>
  <c r="K44" i="15"/>
  <c r="Y48" i="12" s="1"/>
  <c r="J44" i="15"/>
  <c r="X48" i="12" s="1"/>
  <c r="K43" i="15"/>
  <c r="Y47" i="12" s="1"/>
  <c r="J43" i="15"/>
  <c r="X47" i="12" s="1"/>
  <c r="K42" i="15"/>
  <c r="Y46" i="12" s="1"/>
  <c r="J42" i="15"/>
  <c r="X46" i="12" s="1"/>
  <c r="K41" i="15"/>
  <c r="Y45" i="12" s="1"/>
  <c r="J41" i="15"/>
  <c r="X45" i="12" s="1"/>
  <c r="K40" i="15"/>
  <c r="Y44" i="12" s="1"/>
  <c r="J40" i="15"/>
  <c r="X44" i="12" s="1"/>
  <c r="K39" i="15"/>
  <c r="Y43" i="12" s="1"/>
  <c r="J39" i="15"/>
  <c r="X43" i="12" s="1"/>
  <c r="K38" i="15"/>
  <c r="Y42" i="12" s="1"/>
  <c r="J38" i="15"/>
  <c r="X42" i="12" s="1"/>
  <c r="K37" i="15"/>
  <c r="Y41" i="12" s="1"/>
  <c r="J37" i="15"/>
  <c r="X41" i="12" s="1"/>
  <c r="K36" i="15"/>
  <c r="Y40" i="12" s="1"/>
  <c r="J36" i="15"/>
  <c r="X40" i="12" s="1"/>
  <c r="K35" i="15"/>
  <c r="Y39" i="12" s="1"/>
  <c r="J35" i="15"/>
  <c r="X39" i="12" s="1"/>
  <c r="J34" i="15"/>
  <c r="X38" i="12" s="1"/>
  <c r="G34" i="15"/>
  <c r="K34" i="15" s="1"/>
  <c r="Y38" i="12" s="1"/>
  <c r="K33" i="15"/>
  <c r="Y37" i="12" s="1"/>
  <c r="J33" i="15"/>
  <c r="X37" i="12" s="1"/>
  <c r="K32" i="15"/>
  <c r="Y36" i="12" s="1"/>
  <c r="J32" i="15"/>
  <c r="X36" i="12" s="1"/>
  <c r="K31" i="15"/>
  <c r="Y35" i="12" s="1"/>
  <c r="J31" i="15"/>
  <c r="X35" i="12" s="1"/>
  <c r="K30" i="15"/>
  <c r="Y34" i="12" s="1"/>
  <c r="J30" i="15"/>
  <c r="X34" i="12" s="1"/>
  <c r="K29" i="15"/>
  <c r="Y33" i="12" s="1"/>
  <c r="J29" i="15"/>
  <c r="X33" i="12" s="1"/>
  <c r="K28" i="15"/>
  <c r="Y32" i="12" s="1"/>
  <c r="J28" i="15"/>
  <c r="X32" i="12" s="1"/>
  <c r="K27" i="15"/>
  <c r="Y31" i="12" s="1"/>
  <c r="J27" i="15"/>
  <c r="X31" i="12" s="1"/>
  <c r="K26" i="15"/>
  <c r="Y30" i="12" s="1"/>
  <c r="J26" i="15"/>
  <c r="X30" i="12" s="1"/>
  <c r="K25" i="15"/>
  <c r="Y29" i="12" s="1"/>
  <c r="J25" i="15"/>
  <c r="X29" i="12" s="1"/>
  <c r="K24" i="15"/>
  <c r="Y28" i="12" s="1"/>
  <c r="J24" i="15"/>
  <c r="X28" i="12" s="1"/>
  <c r="K23" i="15"/>
  <c r="Y27" i="12" s="1"/>
  <c r="J23" i="15"/>
  <c r="X27" i="12" s="1"/>
  <c r="K22" i="15"/>
  <c r="Y26" i="12" s="1"/>
  <c r="J22" i="15"/>
  <c r="X26" i="12" s="1"/>
  <c r="K21" i="15"/>
  <c r="Y25" i="12" s="1"/>
  <c r="J21" i="15"/>
  <c r="X25" i="12" s="1"/>
  <c r="J20" i="15"/>
  <c r="X24" i="12" s="1"/>
  <c r="G19" i="15"/>
  <c r="F19" i="15"/>
  <c r="J19" i="15" s="1"/>
  <c r="X23" i="12" s="1"/>
  <c r="K18" i="15"/>
  <c r="Y22" i="12" s="1"/>
  <c r="J18" i="15"/>
  <c r="X22" i="12" s="1"/>
  <c r="J17" i="15"/>
  <c r="X21" i="12" s="1"/>
  <c r="G17" i="15"/>
  <c r="K17" i="15" s="1"/>
  <c r="Y21" i="12" s="1"/>
  <c r="J16" i="15"/>
  <c r="X20" i="12" s="1"/>
  <c r="G16" i="15"/>
  <c r="K16" i="15" s="1"/>
  <c r="Y20" i="12" s="1"/>
  <c r="J15" i="15"/>
  <c r="X19" i="12" s="1"/>
  <c r="G15" i="15"/>
  <c r="K15" i="15" s="1"/>
  <c r="Y19" i="12" s="1"/>
  <c r="G14" i="15"/>
  <c r="K14" i="15" s="1"/>
  <c r="Y18" i="12" s="1"/>
  <c r="F14" i="15"/>
  <c r="J14" i="15" s="1"/>
  <c r="X18" i="12" s="1"/>
  <c r="J13" i="15"/>
  <c r="X17" i="12" s="1"/>
  <c r="G13" i="15"/>
  <c r="K13" i="15" s="1"/>
  <c r="Y17" i="12" s="1"/>
  <c r="G12" i="15"/>
  <c r="K12" i="15" s="1"/>
  <c r="Y16" i="12" s="1"/>
  <c r="F12" i="15"/>
  <c r="J12" i="15" s="1"/>
  <c r="X16" i="12" s="1"/>
  <c r="J11" i="15"/>
  <c r="X15" i="12" s="1"/>
  <c r="G11" i="15"/>
  <c r="K11" i="15" s="1"/>
  <c r="Y15" i="12" s="1"/>
  <c r="K10" i="15"/>
  <c r="Y10" i="12" s="1"/>
  <c r="Y11" i="12" s="1"/>
  <c r="F10" i="15"/>
  <c r="J10" i="15" s="1"/>
  <c r="X10" i="12" s="1"/>
  <c r="K9" i="15"/>
  <c r="Y9" i="12" s="1"/>
  <c r="J9" i="15"/>
  <c r="X9" i="12" s="1"/>
  <c r="K8" i="15"/>
  <c r="Y8" i="12" s="1"/>
  <c r="F8" i="15"/>
  <c r="J8" i="15" s="1"/>
  <c r="X8" i="12" s="1"/>
  <c r="K7" i="15"/>
  <c r="Y7" i="12" s="1"/>
  <c r="J7" i="15"/>
  <c r="X7" i="12" s="1"/>
  <c r="K6" i="15"/>
  <c r="Y6" i="12" s="1"/>
  <c r="J6" i="15"/>
  <c r="X6" i="12" s="1"/>
  <c r="K5" i="15"/>
  <c r="Y5" i="12" s="1"/>
  <c r="J5" i="15"/>
  <c r="X5" i="12" s="1"/>
  <c r="K4" i="15"/>
  <c r="Y4" i="12" s="1"/>
  <c r="J4" i="15"/>
  <c r="X4" i="12" s="1"/>
  <c r="K3" i="15"/>
  <c r="Y3" i="12" s="1"/>
  <c r="J3" i="15"/>
  <c r="X3" i="12" s="1"/>
  <c r="A42" i="17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G18" i="17"/>
  <c r="J17" i="17"/>
  <c r="G17" i="17"/>
  <c r="J16" i="17"/>
  <c r="G16" i="17"/>
  <c r="J15" i="17"/>
  <c r="G15" i="17"/>
  <c r="J14" i="17"/>
  <c r="N11" i="17"/>
  <c r="G11" i="17"/>
  <c r="N10" i="17"/>
  <c r="J10" i="17"/>
  <c r="G10" i="17"/>
  <c r="N9" i="17"/>
  <c r="J9" i="17"/>
  <c r="G9" i="17"/>
  <c r="N8" i="17"/>
  <c r="J8" i="17"/>
  <c r="G8" i="17"/>
  <c r="R7" i="17"/>
  <c r="N7" i="17"/>
  <c r="J7" i="17"/>
  <c r="G7" i="17"/>
  <c r="A7" i="17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U6" i="17"/>
  <c r="R6" i="17"/>
  <c r="N6" i="17"/>
  <c r="J6" i="17"/>
  <c r="G6" i="17"/>
  <c r="U5" i="17"/>
  <c r="R5" i="17"/>
  <c r="N5" i="17"/>
  <c r="J5" i="17"/>
  <c r="A42" i="18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G18" i="18"/>
  <c r="J17" i="18"/>
  <c r="G17" i="18"/>
  <c r="J16" i="18"/>
  <c r="G16" i="18"/>
  <c r="J15" i="18"/>
  <c r="G15" i="18"/>
  <c r="J14" i="18"/>
  <c r="N11" i="18"/>
  <c r="G11" i="18"/>
  <c r="N10" i="18"/>
  <c r="J10" i="18"/>
  <c r="G10" i="18"/>
  <c r="N9" i="18"/>
  <c r="J9" i="18"/>
  <c r="G9" i="18"/>
  <c r="N8" i="18"/>
  <c r="J8" i="18"/>
  <c r="G8" i="18"/>
  <c r="R7" i="18"/>
  <c r="N7" i="18"/>
  <c r="J7" i="18"/>
  <c r="G7" i="18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U6" i="18"/>
  <c r="R6" i="18"/>
  <c r="N6" i="18"/>
  <c r="J6" i="18"/>
  <c r="G6" i="18"/>
  <c r="U5" i="18"/>
  <c r="R5" i="18"/>
  <c r="N5" i="18"/>
  <c r="J5" i="18"/>
  <c r="C3" i="18"/>
  <c r="C191" i="14"/>
  <c r="A42" i="14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G18" i="14"/>
  <c r="J17" i="14"/>
  <c r="G17" i="14"/>
  <c r="J16" i="14"/>
  <c r="G16" i="14"/>
  <c r="J15" i="14"/>
  <c r="G15" i="14"/>
  <c r="J14" i="14"/>
  <c r="N11" i="14"/>
  <c r="G11" i="14"/>
  <c r="N10" i="14"/>
  <c r="J10" i="14"/>
  <c r="G10" i="14"/>
  <c r="N9" i="14"/>
  <c r="J9" i="14"/>
  <c r="G9" i="14"/>
  <c r="N8" i="14"/>
  <c r="J8" i="14"/>
  <c r="G8" i="14"/>
  <c r="R7" i="14"/>
  <c r="N7" i="14"/>
  <c r="J7" i="14"/>
  <c r="G7" i="14"/>
  <c r="A7" i="14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U6" i="14"/>
  <c r="R6" i="14"/>
  <c r="N6" i="14"/>
  <c r="J6" i="14"/>
  <c r="G6" i="14"/>
  <c r="U5" i="14"/>
  <c r="R5" i="14"/>
  <c r="N5" i="14"/>
  <c r="J5" i="14"/>
  <c r="C3" i="14"/>
  <c r="C258" i="16"/>
  <c r="B258" i="16"/>
  <c r="C257" i="16"/>
  <c r="B257" i="16"/>
  <c r="C256" i="16"/>
  <c r="B256" i="16"/>
  <c r="C255" i="16"/>
  <c r="B255" i="16"/>
  <c r="C254" i="16"/>
  <c r="B254" i="16"/>
  <c r="C253" i="16"/>
  <c r="B253" i="16"/>
  <c r="C252" i="16"/>
  <c r="B252" i="16"/>
  <c r="C251" i="16"/>
  <c r="B251" i="16"/>
  <c r="C250" i="16"/>
  <c r="B250" i="16"/>
  <c r="C249" i="16"/>
  <c r="B249" i="16"/>
  <c r="C248" i="16"/>
  <c r="B248" i="16"/>
  <c r="C247" i="16"/>
  <c r="B247" i="16"/>
  <c r="C246" i="16"/>
  <c r="B246" i="16"/>
  <c r="C245" i="16"/>
  <c r="B245" i="16"/>
  <c r="C244" i="16"/>
  <c r="B244" i="16"/>
  <c r="C243" i="16"/>
  <c r="B243" i="16"/>
  <c r="C242" i="16"/>
  <c r="B242" i="16"/>
  <c r="C241" i="16"/>
  <c r="B241" i="16"/>
  <c r="C240" i="16"/>
  <c r="B240" i="16"/>
  <c r="C239" i="16"/>
  <c r="B239" i="16"/>
  <c r="C238" i="16"/>
  <c r="B238" i="16"/>
  <c r="C237" i="16"/>
  <c r="B237" i="16"/>
  <c r="C236" i="16"/>
  <c r="B236" i="16"/>
  <c r="C235" i="16"/>
  <c r="B235" i="16"/>
  <c r="C234" i="16"/>
  <c r="B234" i="16"/>
  <c r="C233" i="16"/>
  <c r="B233" i="16"/>
  <c r="C232" i="16"/>
  <c r="B232" i="16"/>
  <c r="C231" i="16"/>
  <c r="B231" i="16"/>
  <c r="C230" i="16"/>
  <c r="B230" i="16"/>
  <c r="C229" i="16"/>
  <c r="B229" i="16"/>
  <c r="C228" i="16"/>
  <c r="B228" i="16"/>
  <c r="C227" i="16"/>
  <c r="B227" i="16"/>
  <c r="C226" i="16"/>
  <c r="B226" i="16"/>
  <c r="C225" i="16"/>
  <c r="B225" i="16"/>
  <c r="C224" i="16"/>
  <c r="B224" i="16"/>
  <c r="C223" i="16"/>
  <c r="B223" i="16"/>
  <c r="C222" i="16"/>
  <c r="B222" i="16"/>
  <c r="C221" i="16"/>
  <c r="B221" i="16"/>
  <c r="C220" i="16"/>
  <c r="B220" i="16"/>
  <c r="C219" i="16"/>
  <c r="B219" i="16"/>
  <c r="C218" i="16"/>
  <c r="B218" i="16"/>
  <c r="C217" i="16"/>
  <c r="B217" i="16"/>
  <c r="C216" i="16"/>
  <c r="B216" i="16"/>
  <c r="C215" i="16"/>
  <c r="B215" i="16"/>
  <c r="C214" i="16"/>
  <c r="B214" i="16"/>
  <c r="C213" i="16"/>
  <c r="B213" i="16"/>
  <c r="C212" i="16"/>
  <c r="B212" i="16"/>
  <c r="C211" i="16"/>
  <c r="B211" i="16"/>
  <c r="C210" i="16"/>
  <c r="B210" i="16"/>
  <c r="C209" i="16"/>
  <c r="B209" i="16"/>
  <c r="C208" i="16"/>
  <c r="B208" i="16"/>
  <c r="C207" i="16"/>
  <c r="B207" i="16"/>
  <c r="C206" i="16"/>
  <c r="B206" i="16"/>
  <c r="C205" i="16"/>
  <c r="B205" i="16"/>
  <c r="C204" i="16"/>
  <c r="B204" i="16"/>
  <c r="C203" i="16"/>
  <c r="B203" i="16"/>
  <c r="C202" i="16"/>
  <c r="B202" i="16"/>
  <c r="C201" i="16"/>
  <c r="B201" i="16"/>
  <c r="C200" i="16"/>
  <c r="B200" i="16"/>
  <c r="C199" i="16"/>
  <c r="B199" i="16"/>
  <c r="C198" i="16"/>
  <c r="B198" i="16"/>
  <c r="C197" i="16"/>
  <c r="B197" i="16"/>
  <c r="C196" i="16"/>
  <c r="B196" i="16"/>
  <c r="C195" i="16"/>
  <c r="B195" i="16"/>
  <c r="C194" i="16"/>
  <c r="B194" i="16"/>
  <c r="C193" i="16"/>
  <c r="B193" i="16"/>
  <c r="C192" i="16"/>
  <c r="B192" i="16"/>
  <c r="C191" i="16"/>
  <c r="B191" i="16"/>
  <c r="C190" i="16"/>
  <c r="B190" i="16"/>
  <c r="C189" i="16"/>
  <c r="B189" i="16"/>
  <c r="C188" i="16"/>
  <c r="B188" i="16"/>
  <c r="C187" i="16"/>
  <c r="B187" i="16"/>
  <c r="C186" i="16"/>
  <c r="B186" i="16"/>
  <c r="C185" i="16"/>
  <c r="B185" i="16"/>
  <c r="C184" i="16"/>
  <c r="B184" i="16"/>
  <c r="C183" i="16"/>
  <c r="AC263" i="1" s="1"/>
  <c r="B183" i="16"/>
  <c r="AB263" i="1" s="1"/>
  <c r="C182" i="16"/>
  <c r="AC262" i="1" s="1"/>
  <c r="B182" i="16"/>
  <c r="AB262" i="1" s="1"/>
  <c r="C181" i="16"/>
  <c r="AC261" i="1" s="1"/>
  <c r="B181" i="16"/>
  <c r="AB261" i="1" s="1"/>
  <c r="C180" i="16"/>
  <c r="AC260" i="1" s="1"/>
  <c r="B180" i="16"/>
  <c r="AB260" i="1" s="1"/>
  <c r="C179" i="16"/>
  <c r="AC259" i="1" s="1"/>
  <c r="B179" i="16"/>
  <c r="AB259" i="1" s="1"/>
  <c r="C178" i="16"/>
  <c r="AC258" i="1" s="1"/>
  <c r="B178" i="16"/>
  <c r="AB258" i="1" s="1"/>
  <c r="C177" i="16"/>
  <c r="AC257" i="1" s="1"/>
  <c r="B177" i="16"/>
  <c r="AB257" i="1" s="1"/>
  <c r="C176" i="16"/>
  <c r="AC256" i="1" s="1"/>
  <c r="B176" i="16"/>
  <c r="AB256" i="1" s="1"/>
  <c r="C175" i="16"/>
  <c r="AC255" i="1" s="1"/>
  <c r="B175" i="16"/>
  <c r="AB255" i="1" s="1"/>
  <c r="C174" i="16"/>
  <c r="AC254" i="1" s="1"/>
  <c r="B174" i="16"/>
  <c r="AB254" i="1" s="1"/>
  <c r="C173" i="16"/>
  <c r="AC253" i="1" s="1"/>
  <c r="B173" i="16"/>
  <c r="AB253" i="1" s="1"/>
  <c r="C172" i="16"/>
  <c r="AC252" i="1" s="1"/>
  <c r="B172" i="16"/>
  <c r="AB252" i="1" s="1"/>
  <c r="C171" i="16"/>
  <c r="AC251" i="1" s="1"/>
  <c r="B171" i="16"/>
  <c r="AB251" i="1" s="1"/>
  <c r="C170" i="16"/>
  <c r="AC250" i="1" s="1"/>
  <c r="B170" i="16"/>
  <c r="AB250" i="1" s="1"/>
  <c r="C169" i="16"/>
  <c r="AC249" i="1" s="1"/>
  <c r="B169" i="16"/>
  <c r="AB249" i="1" s="1"/>
  <c r="C168" i="16"/>
  <c r="AC248" i="1" s="1"/>
  <c r="B168" i="16"/>
  <c r="AB248" i="1" s="1"/>
  <c r="C167" i="16"/>
  <c r="AC247" i="1" s="1"/>
  <c r="B167" i="16"/>
  <c r="AB247" i="1" s="1"/>
  <c r="C166" i="16"/>
  <c r="AC246" i="1" s="1"/>
  <c r="B166" i="16"/>
  <c r="AB246" i="1" s="1"/>
  <c r="C165" i="16"/>
  <c r="AC245" i="1" s="1"/>
  <c r="B165" i="16"/>
  <c r="AB245" i="1" s="1"/>
  <c r="C164" i="16"/>
  <c r="B164" i="16"/>
  <c r="C163" i="16"/>
  <c r="AC244" i="1" s="1"/>
  <c r="B163" i="16"/>
  <c r="AB244" i="1" s="1"/>
  <c r="C162" i="16"/>
  <c r="AC243" i="1" s="1"/>
  <c r="B162" i="16"/>
  <c r="AB243" i="1" s="1"/>
  <c r="C161" i="16"/>
  <c r="AC242" i="1" s="1"/>
  <c r="B161" i="16"/>
  <c r="AB242" i="1" s="1"/>
  <c r="C160" i="16"/>
  <c r="AC241" i="1" s="1"/>
  <c r="B160" i="16"/>
  <c r="AB241" i="1" s="1"/>
  <c r="C159" i="16"/>
  <c r="AC240" i="1" s="1"/>
  <c r="B159" i="16"/>
  <c r="AB240" i="1" s="1"/>
  <c r="C158" i="16"/>
  <c r="AC239" i="1" s="1"/>
  <c r="B158" i="16"/>
  <c r="AB239" i="1" s="1"/>
  <c r="C157" i="16"/>
  <c r="AC238" i="1" s="1"/>
  <c r="B157" i="16"/>
  <c r="AB238" i="1" s="1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AC237" i="1" s="1"/>
  <c r="B147" i="16"/>
  <c r="AB237" i="1" s="1"/>
  <c r="C146" i="16"/>
  <c r="AC236" i="1" s="1"/>
  <c r="B146" i="16"/>
  <c r="AB236" i="1" s="1"/>
  <c r="C145" i="16"/>
  <c r="AC235" i="1" s="1"/>
  <c r="B145" i="16"/>
  <c r="AB235" i="1" s="1"/>
  <c r="C144" i="16"/>
  <c r="AC234" i="1" s="1"/>
  <c r="B144" i="16"/>
  <c r="AB234" i="1" s="1"/>
  <c r="C143" i="16"/>
  <c r="AC232" i="1" s="1"/>
  <c r="B143" i="16"/>
  <c r="AB232" i="1" s="1"/>
  <c r="C142" i="16"/>
  <c r="AC231" i="1" s="1"/>
  <c r="B142" i="16"/>
  <c r="AB231" i="1" s="1"/>
  <c r="C141" i="16"/>
  <c r="AC230" i="1" s="1"/>
  <c r="B141" i="16"/>
  <c r="AB230" i="1" s="1"/>
  <c r="C140" i="16"/>
  <c r="AC229" i="1" s="1"/>
  <c r="B140" i="16"/>
  <c r="AB229" i="1" s="1"/>
  <c r="C139" i="16"/>
  <c r="AC228" i="1" s="1"/>
  <c r="B139" i="16"/>
  <c r="AB228" i="1" s="1"/>
  <c r="C138" i="16"/>
  <c r="AC227" i="1" s="1"/>
  <c r="B138" i="16"/>
  <c r="AB227" i="1" s="1"/>
  <c r="C137" i="16"/>
  <c r="AC226" i="1" s="1"/>
  <c r="B137" i="16"/>
  <c r="AB226" i="1" s="1"/>
  <c r="C136" i="16"/>
  <c r="AC225" i="1" s="1"/>
  <c r="B136" i="16"/>
  <c r="AB225" i="1" s="1"/>
  <c r="C135" i="16"/>
  <c r="AC224" i="1" s="1"/>
  <c r="B135" i="16"/>
  <c r="AB224" i="1" s="1"/>
  <c r="C134" i="16"/>
  <c r="AC223" i="1" s="1"/>
  <c r="B134" i="16"/>
  <c r="AB223" i="1" s="1"/>
  <c r="C133" i="16"/>
  <c r="AC222" i="1" s="1"/>
  <c r="B133" i="16"/>
  <c r="AB222" i="1" s="1"/>
  <c r="C132" i="16"/>
  <c r="AC221" i="1" s="1"/>
  <c r="B132" i="16"/>
  <c r="AB221" i="1" s="1"/>
  <c r="C131" i="16"/>
  <c r="AC220" i="1" s="1"/>
  <c r="B131" i="16"/>
  <c r="AB220" i="1" s="1"/>
  <c r="C130" i="16"/>
  <c r="AC219" i="1" s="1"/>
  <c r="B130" i="16"/>
  <c r="AB219" i="1" s="1"/>
  <c r="C129" i="16"/>
  <c r="AC218" i="1" s="1"/>
  <c r="B129" i="16"/>
  <c r="AB218" i="1" s="1"/>
  <c r="C128" i="16"/>
  <c r="AC217" i="1" s="1"/>
  <c r="B128" i="16"/>
  <c r="AB217" i="1" s="1"/>
  <c r="C127" i="16"/>
  <c r="AC216" i="1" s="1"/>
  <c r="B127" i="16"/>
  <c r="AB216" i="1" s="1"/>
  <c r="C126" i="16"/>
  <c r="AC215" i="1" s="1"/>
  <c r="B126" i="16"/>
  <c r="AB215" i="1" s="1"/>
  <c r="C125" i="16"/>
  <c r="AC214" i="1" s="1"/>
  <c r="B125" i="16"/>
  <c r="AB214" i="1" s="1"/>
  <c r="C124" i="16"/>
  <c r="AC213" i="1" s="1"/>
  <c r="B124" i="16"/>
  <c r="AB213" i="1" s="1"/>
  <c r="C123" i="16"/>
  <c r="AC212" i="1" s="1"/>
  <c r="B123" i="16"/>
  <c r="AB212" i="1" s="1"/>
  <c r="C122" i="16"/>
  <c r="AC211" i="1" s="1"/>
  <c r="B122" i="16"/>
  <c r="AB211" i="1" s="1"/>
  <c r="C121" i="16"/>
  <c r="AC210" i="1" s="1"/>
  <c r="B121" i="16"/>
  <c r="AB210" i="1" s="1"/>
  <c r="C120" i="16"/>
  <c r="AC209" i="1" s="1"/>
  <c r="B120" i="16"/>
  <c r="AB209" i="1" s="1"/>
  <c r="C119" i="16"/>
  <c r="AC208" i="1" s="1"/>
  <c r="B119" i="16"/>
  <c r="AB208" i="1" s="1"/>
  <c r="C118" i="16"/>
  <c r="AC207" i="1" s="1"/>
  <c r="B118" i="16"/>
  <c r="AB207" i="1" s="1"/>
  <c r="C117" i="16"/>
  <c r="AC206" i="1" s="1"/>
  <c r="B117" i="16"/>
  <c r="AB206" i="1" s="1"/>
  <c r="C116" i="16"/>
  <c r="AC205" i="1" s="1"/>
  <c r="B116" i="16"/>
  <c r="AB205" i="1" s="1"/>
  <c r="C115" i="16"/>
  <c r="AC204" i="1" s="1"/>
  <c r="B115" i="16"/>
  <c r="AB204" i="1" s="1"/>
  <c r="C114" i="16"/>
  <c r="AC203" i="1" s="1"/>
  <c r="B114" i="16"/>
  <c r="AB203" i="1" s="1"/>
  <c r="C113" i="16"/>
  <c r="AC202" i="1" s="1"/>
  <c r="B113" i="16"/>
  <c r="AB202" i="1" s="1"/>
  <c r="C112" i="16"/>
  <c r="AC201" i="1" s="1"/>
  <c r="B112" i="16"/>
  <c r="AB201" i="1" s="1"/>
  <c r="C111" i="16"/>
  <c r="AC200" i="1" s="1"/>
  <c r="B111" i="16"/>
  <c r="AB200" i="1" s="1"/>
  <c r="C110" i="16"/>
  <c r="AC199" i="1" s="1"/>
  <c r="B110" i="16"/>
  <c r="AB199" i="1" s="1"/>
  <c r="C109" i="16"/>
  <c r="AC198" i="1" s="1"/>
  <c r="B109" i="16"/>
  <c r="AB198" i="1" s="1"/>
  <c r="C108" i="16"/>
  <c r="AC197" i="1" s="1"/>
  <c r="B108" i="16"/>
  <c r="AB197" i="1" s="1"/>
  <c r="C107" i="16"/>
  <c r="AC196" i="1" s="1"/>
  <c r="B107" i="16"/>
  <c r="AB196" i="1" s="1"/>
  <c r="C106" i="16"/>
  <c r="AC195" i="1" s="1"/>
  <c r="B106" i="16"/>
  <c r="AB195" i="1" s="1"/>
  <c r="C105" i="16"/>
  <c r="AC194" i="1" s="1"/>
  <c r="B105" i="16"/>
  <c r="AB194" i="1" s="1"/>
  <c r="C104" i="16"/>
  <c r="AC193" i="1" s="1"/>
  <c r="B104" i="16"/>
  <c r="AB193" i="1" s="1"/>
  <c r="C103" i="16"/>
  <c r="AC191" i="1" s="1"/>
  <c r="B103" i="16"/>
  <c r="AB191" i="1" s="1"/>
  <c r="C102" i="16"/>
  <c r="AC189" i="1" s="1"/>
  <c r="B102" i="16"/>
  <c r="AB189" i="1" s="1"/>
  <c r="C101" i="16"/>
  <c r="AC188" i="1" s="1"/>
  <c r="B101" i="16"/>
  <c r="AB188" i="1" s="1"/>
  <c r="C100" i="16"/>
  <c r="AC187" i="1" s="1"/>
  <c r="B100" i="16"/>
  <c r="AB187" i="1" s="1"/>
  <c r="C99" i="16"/>
  <c r="AC186" i="1" s="1"/>
  <c r="B99" i="16"/>
  <c r="AB186" i="1" s="1"/>
  <c r="C98" i="16"/>
  <c r="AC185" i="1" s="1"/>
  <c r="B98" i="16"/>
  <c r="AB185" i="1" s="1"/>
  <c r="C97" i="16"/>
  <c r="AC184" i="1" s="1"/>
  <c r="B97" i="16"/>
  <c r="AB184" i="1" s="1"/>
  <c r="C96" i="16"/>
  <c r="AC183" i="1" s="1"/>
  <c r="B96" i="16"/>
  <c r="AB183" i="1" s="1"/>
  <c r="C95" i="16"/>
  <c r="AC182" i="1" s="1"/>
  <c r="B95" i="16"/>
  <c r="AB182" i="1" s="1"/>
  <c r="C94" i="16"/>
  <c r="AC181" i="1" s="1"/>
  <c r="B94" i="16"/>
  <c r="AB181" i="1" s="1"/>
  <c r="C93" i="16"/>
  <c r="AC180" i="1" s="1"/>
  <c r="B93" i="16"/>
  <c r="AB180" i="1" s="1"/>
  <c r="C92" i="16"/>
  <c r="AC179" i="1" s="1"/>
  <c r="B92" i="16"/>
  <c r="AB179" i="1" s="1"/>
  <c r="C91" i="16"/>
  <c r="AC178" i="1" s="1"/>
  <c r="B91" i="16"/>
  <c r="AB178" i="1" s="1"/>
  <c r="C90" i="16"/>
  <c r="AC177" i="1" s="1"/>
  <c r="B90" i="16"/>
  <c r="AB177" i="1" s="1"/>
  <c r="C89" i="16"/>
  <c r="AC176" i="1" s="1"/>
  <c r="B89" i="16"/>
  <c r="AB176" i="1" s="1"/>
  <c r="C88" i="16"/>
  <c r="AC175" i="1" s="1"/>
  <c r="B88" i="16"/>
  <c r="AB175" i="1" s="1"/>
  <c r="C87" i="16"/>
  <c r="AC174" i="1" s="1"/>
  <c r="B87" i="16"/>
  <c r="AB174" i="1" s="1"/>
  <c r="C86" i="16"/>
  <c r="AC173" i="1" s="1"/>
  <c r="B86" i="16"/>
  <c r="AB173" i="1" s="1"/>
  <c r="C85" i="16"/>
  <c r="AC172" i="1" s="1"/>
  <c r="B85" i="16"/>
  <c r="AB172" i="1" s="1"/>
  <c r="C84" i="16"/>
  <c r="AC171" i="1" s="1"/>
  <c r="B84" i="16"/>
  <c r="AB171" i="1" s="1"/>
  <c r="C83" i="16"/>
  <c r="AC170" i="1" s="1"/>
  <c r="B83" i="16"/>
  <c r="AB170" i="1" s="1"/>
  <c r="C82" i="16"/>
  <c r="AC169" i="1" s="1"/>
  <c r="B82" i="16"/>
  <c r="AB169" i="1" s="1"/>
  <c r="C81" i="16"/>
  <c r="AC168" i="1" s="1"/>
  <c r="B81" i="16"/>
  <c r="AB168" i="1" s="1"/>
  <c r="A42" i="16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G18" i="16"/>
  <c r="J17" i="16"/>
  <c r="G17" i="16"/>
  <c r="J16" i="16"/>
  <c r="G16" i="16"/>
  <c r="J15" i="16"/>
  <c r="G15" i="16"/>
  <c r="L14" i="16"/>
  <c r="J14" i="16"/>
  <c r="N11" i="16"/>
  <c r="G11" i="16"/>
  <c r="N10" i="16"/>
  <c r="J10" i="16"/>
  <c r="G10" i="16"/>
  <c r="N9" i="16"/>
  <c r="J9" i="16"/>
  <c r="G9" i="16"/>
  <c r="N8" i="16"/>
  <c r="J8" i="16"/>
  <c r="G8" i="16"/>
  <c r="R7" i="16"/>
  <c r="N7" i="16"/>
  <c r="J7" i="16"/>
  <c r="G7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U6" i="16"/>
  <c r="R6" i="16"/>
  <c r="N6" i="16"/>
  <c r="J6" i="16"/>
  <c r="G6" i="16"/>
  <c r="U5" i="16"/>
  <c r="R5" i="16"/>
  <c r="N5" i="16"/>
  <c r="J5" i="16"/>
  <c r="C3" i="16"/>
  <c r="M246" i="12"/>
  <c r="M245" i="12"/>
  <c r="N244" i="12"/>
  <c r="N242" i="12"/>
  <c r="M242" i="12"/>
  <c r="N230" i="12"/>
  <c r="N198" i="12"/>
  <c r="N166" i="12"/>
  <c r="N134" i="12"/>
  <c r="M107" i="12"/>
  <c r="M139" i="12" s="1"/>
  <c r="M171" i="12" s="1"/>
  <c r="M203" i="12" s="1"/>
  <c r="M235" i="12" s="1"/>
  <c r="M106" i="12"/>
  <c r="M138" i="12" s="1"/>
  <c r="M170" i="12" s="1"/>
  <c r="M202" i="12" s="1"/>
  <c r="M234" i="12" s="1"/>
  <c r="M105" i="12"/>
  <c r="M137" i="12" s="1"/>
  <c r="M169" i="12" s="1"/>
  <c r="M201" i="12" s="1"/>
  <c r="M233" i="12" s="1"/>
  <c r="M104" i="12"/>
  <c r="M136" i="12" s="1"/>
  <c r="M168" i="12" s="1"/>
  <c r="M200" i="12" s="1"/>
  <c r="M232" i="12" s="1"/>
  <c r="M103" i="12"/>
  <c r="M135" i="12" s="1"/>
  <c r="M167" i="12" s="1"/>
  <c r="M199" i="12" s="1"/>
  <c r="M231" i="12" s="1"/>
  <c r="N102" i="12"/>
  <c r="M102" i="12"/>
  <c r="M134" i="12" s="1"/>
  <c r="M166" i="12" s="1"/>
  <c r="M198" i="12" s="1"/>
  <c r="M230" i="12" s="1"/>
  <c r="Y101" i="12"/>
  <c r="M101" i="12"/>
  <c r="M133" i="12" s="1"/>
  <c r="M165" i="12" s="1"/>
  <c r="M197" i="12" s="1"/>
  <c r="M229" i="12" s="1"/>
  <c r="Y100" i="12"/>
  <c r="M100" i="12"/>
  <c r="M132" i="12" s="1"/>
  <c r="M164" i="12" s="1"/>
  <c r="M196" i="12" s="1"/>
  <c r="M228" i="12" s="1"/>
  <c r="Y99" i="12"/>
  <c r="M99" i="12"/>
  <c r="M131" i="12" s="1"/>
  <c r="M163" i="12" s="1"/>
  <c r="M195" i="12" s="1"/>
  <c r="M227" i="12" s="1"/>
  <c r="Y98" i="12"/>
  <c r="M98" i="12"/>
  <c r="M130" i="12" s="1"/>
  <c r="M162" i="12" s="1"/>
  <c r="M194" i="12" s="1"/>
  <c r="M226" i="12" s="1"/>
  <c r="Y97" i="12"/>
  <c r="M97" i="12"/>
  <c r="M129" i="12" s="1"/>
  <c r="M161" i="12" s="1"/>
  <c r="M193" i="12" s="1"/>
  <c r="M225" i="12" s="1"/>
  <c r="Y96" i="12"/>
  <c r="M96" i="12"/>
  <c r="M128" i="12" s="1"/>
  <c r="M160" i="12" s="1"/>
  <c r="M192" i="12" s="1"/>
  <c r="M224" i="12" s="1"/>
  <c r="Y95" i="12"/>
  <c r="M95" i="12"/>
  <c r="M127" i="12" s="1"/>
  <c r="M159" i="12" s="1"/>
  <c r="M191" i="12" s="1"/>
  <c r="M223" i="12" s="1"/>
  <c r="Y94" i="12"/>
  <c r="M94" i="12"/>
  <c r="M126" i="12" s="1"/>
  <c r="M158" i="12" s="1"/>
  <c r="M190" i="12" s="1"/>
  <c r="M222" i="12" s="1"/>
  <c r="Y93" i="12"/>
  <c r="M93" i="12"/>
  <c r="M125" i="12" s="1"/>
  <c r="M157" i="12" s="1"/>
  <c r="M189" i="12" s="1"/>
  <c r="M221" i="12" s="1"/>
  <c r="Y92" i="12"/>
  <c r="M92" i="12"/>
  <c r="M124" i="12" s="1"/>
  <c r="M156" i="12" s="1"/>
  <c r="M188" i="12" s="1"/>
  <c r="M220" i="12" s="1"/>
  <c r="Y91" i="12"/>
  <c r="M91" i="12"/>
  <c r="M123" i="12" s="1"/>
  <c r="M155" i="12" s="1"/>
  <c r="M187" i="12" s="1"/>
  <c r="M219" i="12" s="1"/>
  <c r="N90" i="12"/>
  <c r="M90" i="12"/>
  <c r="M122" i="12" s="1"/>
  <c r="M154" i="12" s="1"/>
  <c r="M186" i="12" s="1"/>
  <c r="M218" i="12" s="1"/>
  <c r="N89" i="12"/>
  <c r="N121" i="12" s="1"/>
  <c r="N153" i="12" s="1"/>
  <c r="N185" i="12" s="1"/>
  <c r="N217" i="12" s="1"/>
  <c r="M89" i="12"/>
  <c r="M121" i="12" s="1"/>
  <c r="M153" i="12" s="1"/>
  <c r="M185" i="12" s="1"/>
  <c r="M217" i="12" s="1"/>
  <c r="M88" i="12"/>
  <c r="M120" i="12" s="1"/>
  <c r="M152" i="12" s="1"/>
  <c r="M184" i="12" s="1"/>
  <c r="M216" i="12" s="1"/>
  <c r="M87" i="12"/>
  <c r="M119" i="12" s="1"/>
  <c r="M151" i="12" s="1"/>
  <c r="M183" i="12" s="1"/>
  <c r="M215" i="12" s="1"/>
  <c r="N86" i="12"/>
  <c r="N118" i="12" s="1"/>
  <c r="N150" i="12" s="1"/>
  <c r="N182" i="12" s="1"/>
  <c r="N214" i="12" s="1"/>
  <c r="M86" i="12"/>
  <c r="M118" i="12" s="1"/>
  <c r="M150" i="12" s="1"/>
  <c r="M182" i="12" s="1"/>
  <c r="M214" i="12" s="1"/>
  <c r="N85" i="12"/>
  <c r="N117" i="12" s="1"/>
  <c r="N149" i="12" s="1"/>
  <c r="N181" i="12" s="1"/>
  <c r="N213" i="12" s="1"/>
  <c r="M85" i="12"/>
  <c r="M117" i="12" s="1"/>
  <c r="M149" i="12" s="1"/>
  <c r="M181" i="12" s="1"/>
  <c r="M213" i="12" s="1"/>
  <c r="M84" i="12"/>
  <c r="M116" i="12" s="1"/>
  <c r="M148" i="12" s="1"/>
  <c r="M180" i="12" s="1"/>
  <c r="M212" i="12" s="1"/>
  <c r="M83" i="12"/>
  <c r="M115" i="12" s="1"/>
  <c r="M147" i="12" s="1"/>
  <c r="M179" i="12" s="1"/>
  <c r="M211" i="12" s="1"/>
  <c r="N82" i="12"/>
  <c r="N114" i="12" s="1"/>
  <c r="N146" i="12" s="1"/>
  <c r="N178" i="12" s="1"/>
  <c r="N210" i="12" s="1"/>
  <c r="M82" i="12"/>
  <c r="M114" i="12" s="1"/>
  <c r="M146" i="12" s="1"/>
  <c r="M178" i="12" s="1"/>
  <c r="M210" i="12" s="1"/>
  <c r="N81" i="12"/>
  <c r="M81" i="12"/>
  <c r="M113" i="12" s="1"/>
  <c r="M145" i="12" s="1"/>
  <c r="M177" i="12" s="1"/>
  <c r="M209" i="12" s="1"/>
  <c r="M80" i="12"/>
  <c r="M112" i="12" s="1"/>
  <c r="M144" i="12" s="1"/>
  <c r="M176" i="12" s="1"/>
  <c r="M208" i="12" s="1"/>
  <c r="M240" i="12" s="1"/>
  <c r="M79" i="12"/>
  <c r="M111" i="12" s="1"/>
  <c r="M143" i="12" s="1"/>
  <c r="M175" i="12" s="1"/>
  <c r="M207" i="12" s="1"/>
  <c r="M239" i="12" s="1"/>
  <c r="M78" i="12"/>
  <c r="M110" i="12" s="1"/>
  <c r="M142" i="12" s="1"/>
  <c r="M174" i="12" s="1"/>
  <c r="M206" i="12" s="1"/>
  <c r="M238" i="12" s="1"/>
  <c r="M77" i="12"/>
  <c r="M109" i="12" s="1"/>
  <c r="M141" i="12" s="1"/>
  <c r="M173" i="12" s="1"/>
  <c r="M205" i="12" s="1"/>
  <c r="M237" i="12" s="1"/>
  <c r="M76" i="12"/>
  <c r="M108" i="12" s="1"/>
  <c r="M140" i="12" s="1"/>
  <c r="M172" i="12" s="1"/>
  <c r="M204" i="12" s="1"/>
  <c r="M236" i="12" s="1"/>
  <c r="M75" i="12"/>
  <c r="M74" i="12"/>
  <c r="M73" i="12"/>
  <c r="M72" i="12"/>
  <c r="M71" i="12"/>
  <c r="N70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N58" i="12"/>
  <c r="M58" i="12"/>
  <c r="N57" i="12"/>
  <c r="M56" i="12"/>
  <c r="M55" i="12"/>
  <c r="N54" i="12"/>
  <c r="M53" i="12"/>
  <c r="M50" i="12"/>
  <c r="N38" i="12"/>
  <c r="N23" i="12"/>
  <c r="N24" i="12" s="1"/>
  <c r="N51" i="12" s="1"/>
  <c r="M23" i="12"/>
  <c r="N21" i="12"/>
  <c r="N20" i="12"/>
  <c r="N19" i="12"/>
  <c r="N18" i="12"/>
  <c r="M18" i="12"/>
  <c r="N17" i="12"/>
  <c r="N16" i="12"/>
  <c r="M16" i="12"/>
  <c r="N15" i="12"/>
  <c r="N14" i="12"/>
  <c r="B14" i="12"/>
  <c r="AC13" i="12"/>
  <c r="AB13" i="12"/>
  <c r="C13" i="12"/>
  <c r="AB12" i="12"/>
  <c r="C12" i="12"/>
  <c r="AC11" i="12"/>
  <c r="N11" i="12"/>
  <c r="N12" i="12" s="1"/>
  <c r="N13" i="12" s="1"/>
  <c r="C11" i="12"/>
  <c r="R10" i="12"/>
  <c r="R11" i="12" s="1"/>
  <c r="M10" i="12"/>
  <c r="G10" i="12"/>
  <c r="G11" i="12" s="1"/>
  <c r="C10" i="12"/>
  <c r="R9" i="12"/>
  <c r="Q9" i="12"/>
  <c r="G9" i="12"/>
  <c r="F9" i="12"/>
  <c r="R8" i="12"/>
  <c r="M8" i="12"/>
  <c r="Q8" i="12" s="1"/>
  <c r="G8" i="12"/>
  <c r="F8" i="12"/>
  <c r="R7" i="12"/>
  <c r="Q7" i="12"/>
  <c r="G7" i="12"/>
  <c r="F7" i="12"/>
  <c r="R6" i="12"/>
  <c r="R12" i="12" s="1"/>
  <c r="Q6" i="12"/>
  <c r="G6" i="12"/>
  <c r="G12" i="12" s="1"/>
  <c r="G13" i="12" s="1"/>
  <c r="F6" i="12"/>
  <c r="F13" i="12" s="1"/>
  <c r="AF59" i="2"/>
  <c r="V59" i="2"/>
  <c r="L59" i="2"/>
  <c r="B59" i="2"/>
  <c r="AF58" i="2"/>
  <c r="V58" i="2"/>
  <c r="L58" i="2"/>
  <c r="B58" i="2"/>
  <c r="AH57" i="2"/>
  <c r="AF57" i="2"/>
  <c r="X57" i="2"/>
  <c r="V57" i="2"/>
  <c r="N57" i="2"/>
  <c r="L57" i="2"/>
  <c r="D57" i="2"/>
  <c r="B57" i="2"/>
  <c r="D56" i="2"/>
  <c r="B56" i="2"/>
  <c r="L56" i="2" s="1"/>
  <c r="V56" i="2" s="1"/>
  <c r="AF56" i="2" s="1"/>
  <c r="AH55" i="2"/>
  <c r="AF55" i="2"/>
  <c r="X55" i="2"/>
  <c r="V55" i="2"/>
  <c r="N55" i="2"/>
  <c r="L55" i="2"/>
  <c r="D55" i="2"/>
  <c r="B55" i="2"/>
  <c r="V11" i="2"/>
  <c r="L11" i="2"/>
  <c r="B11" i="2"/>
  <c r="BJ10" i="2"/>
  <c r="AZ10" i="2"/>
  <c r="AP10" i="2"/>
  <c r="AF10" i="2"/>
  <c r="V10" i="2"/>
  <c r="L10" i="2"/>
  <c r="B10" i="2"/>
  <c r="BL9" i="2"/>
  <c r="BJ9" i="2"/>
  <c r="BB9" i="2"/>
  <c r="AZ9" i="2"/>
  <c r="AR9" i="2"/>
  <c r="AP9" i="2"/>
  <c r="AH9" i="2"/>
  <c r="AF9" i="2"/>
  <c r="X9" i="2"/>
  <c r="V9" i="2"/>
  <c r="L9" i="2"/>
  <c r="D9" i="2"/>
  <c r="B9" i="2"/>
  <c r="BJ8" i="2"/>
  <c r="AZ8" i="2"/>
  <c r="AP8" i="2"/>
  <c r="AF8" i="2"/>
  <c r="V8" i="2"/>
  <c r="L8" i="2"/>
  <c r="D8" i="2"/>
  <c r="B8" i="2"/>
  <c r="BL7" i="2"/>
  <c r="BB7" i="2"/>
  <c r="AR7" i="2"/>
  <c r="AH7" i="2"/>
  <c r="X7" i="2"/>
  <c r="N7" i="2"/>
  <c r="D7" i="2"/>
  <c r="K72" i="19"/>
  <c r="J72" i="19"/>
  <c r="K63" i="19"/>
  <c r="J63" i="19"/>
  <c r="I11" i="19"/>
  <c r="I10" i="19"/>
  <c r="I8" i="19"/>
  <c r="M7" i="19"/>
  <c r="I7" i="19"/>
  <c r="I6" i="19"/>
  <c r="I5" i="19"/>
  <c r="C545" i="27"/>
  <c r="C544" i="27"/>
  <c r="C542" i="27"/>
  <c r="F517" i="27"/>
  <c r="G517" i="27" s="1"/>
  <c r="C506" i="27"/>
  <c r="C508" i="27" s="1"/>
  <c r="C505" i="27"/>
  <c r="C507" i="27" s="1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48" i="27"/>
  <c r="C47" i="27"/>
  <c r="C46" i="27"/>
  <c r="C33" i="27"/>
  <c r="W16" i="27"/>
  <c r="V16" i="27"/>
  <c r="C6" i="27"/>
  <c r="C7" i="27" s="1"/>
  <c r="C5" i="27"/>
  <c r="C39" i="27" s="1"/>
  <c r="C4" i="27"/>
  <c r="C3" i="27"/>
  <c r="Y51" i="20"/>
  <c r="L51" i="20"/>
  <c r="Y28" i="20"/>
  <c r="L28" i="20"/>
  <c r="L54" i="21"/>
  <c r="L49" i="21"/>
  <c r="D7" i="29"/>
  <c r="D130" i="31"/>
  <c r="C76" i="31"/>
  <c r="E76" i="31" s="1"/>
  <c r="C61" i="31"/>
  <c r="C40" i="31"/>
  <c r="C36" i="31"/>
  <c r="C32" i="31"/>
  <c r="C30" i="31"/>
  <c r="C19" i="31"/>
  <c r="C14" i="31"/>
  <c r="C13" i="31"/>
  <c r="C9" i="31"/>
  <c r="C8" i="31"/>
  <c r="C44" i="31" s="1"/>
  <c r="D308" i="28"/>
  <c r="D299" i="28"/>
  <c r="D298" i="28"/>
  <c r="D291" i="28"/>
  <c r="D290" i="28"/>
  <c r="D289" i="28"/>
  <c r="D286" i="28"/>
  <c r="D288" i="28" s="1"/>
  <c r="D285" i="28"/>
  <c r="D287" i="28" s="1"/>
  <c r="D284" i="28"/>
  <c r="D283" i="28"/>
  <c r="D278" i="28"/>
  <c r="D279" i="28" s="1"/>
  <c r="D277" i="28"/>
  <c r="D276" i="28"/>
  <c r="D275" i="28"/>
  <c r="D263" i="28"/>
  <c r="D257" i="28"/>
  <c r="D256" i="28"/>
  <c r="D248" i="28"/>
  <c r="D247" i="28"/>
  <c r="D225" i="28"/>
  <c r="D224" i="28"/>
  <c r="D223" i="28"/>
  <c r="D220" i="28"/>
  <c r="D222" i="28" s="1"/>
  <c r="D219" i="28"/>
  <c r="D221" i="28" s="1"/>
  <c r="D218" i="28"/>
  <c r="D217" i="28"/>
  <c r="D214" i="28"/>
  <c r="D213" i="28"/>
  <c r="D208" i="28"/>
  <c r="D206" i="28"/>
  <c r="D264" i="28" s="1"/>
  <c r="D203" i="28"/>
  <c r="D201" i="28"/>
  <c r="D200" i="28"/>
  <c r="D202" i="28" s="1"/>
  <c r="D249" i="28" s="1"/>
  <c r="D191" i="28"/>
  <c r="D190" i="28"/>
  <c r="D189" i="28"/>
  <c r="D177" i="28"/>
  <c r="D176" i="28"/>
  <c r="D175" i="28"/>
  <c r="D178" i="28" s="1"/>
  <c r="D171" i="28"/>
  <c r="D150" i="28"/>
  <c r="D146" i="28"/>
  <c r="D145" i="28"/>
  <c r="D144" i="28"/>
  <c r="D130" i="28"/>
  <c r="D122" i="28"/>
  <c r="D152" i="28" s="1"/>
  <c r="D120" i="28"/>
  <c r="D116" i="28"/>
  <c r="D115" i="28"/>
  <c r="D114" i="28"/>
  <c r="D100" i="28"/>
  <c r="D160" i="28" s="1"/>
  <c r="D98" i="28"/>
  <c r="D97" i="28"/>
  <c r="D94" i="28"/>
  <c r="D96" i="28" s="1"/>
  <c r="D93" i="28"/>
  <c r="D95" i="28" s="1"/>
  <c r="D99" i="28" s="1"/>
  <c r="D92" i="28"/>
  <c r="D91" i="28"/>
  <c r="D86" i="28"/>
  <c r="D85" i="28"/>
  <c r="D84" i="28"/>
  <c r="D83" i="28"/>
  <c r="D67" i="28"/>
  <c r="D64" i="28"/>
  <c r="D45" i="28"/>
  <c r="D53" i="28" s="1"/>
  <c r="D66" i="28" s="1"/>
  <c r="D42" i="28"/>
  <c r="D41" i="28"/>
  <c r="D32" i="28"/>
  <c r="D33" i="28" s="1"/>
  <c r="D169" i="28" s="1"/>
  <c r="G20" i="28"/>
  <c r="G18" i="28"/>
  <c r="G15" i="28"/>
  <c r="G16" i="28" s="1"/>
  <c r="D15" i="28"/>
  <c r="G14" i="28"/>
  <c r="G4" i="28"/>
  <c r="G5" i="28" s="1"/>
  <c r="G3" i="28"/>
  <c r="H1285" i="1"/>
  <c r="H1278" i="1"/>
  <c r="H1250" i="1"/>
  <c r="H1241" i="1"/>
  <c r="H1220" i="1"/>
  <c r="H1219" i="1"/>
  <c r="H1204" i="1"/>
  <c r="C31" i="31" s="1"/>
  <c r="H1203" i="1"/>
  <c r="H1185" i="1"/>
  <c r="H1184" i="1"/>
  <c r="H1190" i="1" s="1"/>
  <c r="H1206" i="1" s="1"/>
  <c r="H1180" i="1"/>
  <c r="H1181" i="1" s="1"/>
  <c r="H1179" i="1"/>
  <c r="H1177" i="1"/>
  <c r="H1189" i="1" s="1"/>
  <c r="H1176" i="1"/>
  <c r="H1175" i="1"/>
  <c r="H1169" i="1"/>
  <c r="G1152" i="1"/>
  <c r="H1144" i="1"/>
  <c r="H1143" i="1"/>
  <c r="H1142" i="1"/>
  <c r="G1141" i="1"/>
  <c r="H1133" i="1"/>
  <c r="H1129" i="1"/>
  <c r="H1128" i="1"/>
  <c r="H1125" i="1"/>
  <c r="H1123" i="1"/>
  <c r="G1122" i="1"/>
  <c r="H1114" i="1"/>
  <c r="H1110" i="1"/>
  <c r="H1105" i="1"/>
  <c r="H1096" i="1"/>
  <c r="H1087" i="1"/>
  <c r="H1086" i="1"/>
  <c r="H1080" i="1"/>
  <c r="H1050" i="1"/>
  <c r="H1041" i="1"/>
  <c r="H1013" i="1"/>
  <c r="H1012" i="1"/>
  <c r="M946" i="1"/>
  <c r="H934" i="1"/>
  <c r="H881" i="1"/>
  <c r="H879" i="1"/>
  <c r="H866" i="1"/>
  <c r="H865" i="1"/>
  <c r="H863" i="1"/>
  <c r="N843" i="1"/>
  <c r="N842" i="1"/>
  <c r="N841" i="1"/>
  <c r="N840" i="1"/>
  <c r="N839" i="1"/>
  <c r="N838" i="1"/>
  <c r="N837" i="1"/>
  <c r="N836" i="1"/>
  <c r="L830" i="1"/>
  <c r="K797" i="1"/>
  <c r="K777" i="1"/>
  <c r="K774" i="1"/>
  <c r="K754" i="1"/>
  <c r="H740" i="1"/>
  <c r="H734" i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H731" i="1"/>
  <c r="H732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L725" i="1"/>
  <c r="L716" i="1"/>
  <c r="K685" i="1"/>
  <c r="K665" i="1"/>
  <c r="K661" i="1"/>
  <c r="K641" i="1"/>
  <c r="K611" i="1"/>
  <c r="K591" i="1"/>
  <c r="K588" i="1"/>
  <c r="AC582" i="1"/>
  <c r="AA581" i="1"/>
  <c r="AC581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568" i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K568" i="1"/>
  <c r="K497" i="1"/>
  <c r="I496" i="1"/>
  <c r="M497" i="1" s="1"/>
  <c r="L487" i="1"/>
  <c r="L478" i="1"/>
  <c r="K436" i="1"/>
  <c r="K416" i="1"/>
  <c r="K413" i="1"/>
  <c r="K393" i="1"/>
  <c r="K355" i="1"/>
  <c r="K335" i="1"/>
  <c r="K332" i="1"/>
  <c r="J323" i="1"/>
  <c r="J324" i="1" s="1"/>
  <c r="J325" i="1" s="1"/>
  <c r="J326" i="1" s="1"/>
  <c r="J327" i="1" s="1"/>
  <c r="J328" i="1" s="1"/>
  <c r="J329" i="1" s="1"/>
  <c r="J330" i="1" s="1"/>
  <c r="J331" i="1" s="1"/>
  <c r="J332" i="1" s="1"/>
  <c r="Q314" i="1"/>
  <c r="S314" i="1" s="1"/>
  <c r="Q313" i="1"/>
  <c r="S313" i="1" s="1"/>
  <c r="K312" i="1"/>
  <c r="I247" i="1"/>
  <c r="K247" i="1" s="1"/>
  <c r="I246" i="1"/>
  <c r="M247" i="1" s="1"/>
  <c r="H166" i="1"/>
  <c r="M159" i="1"/>
  <c r="H148" i="1"/>
  <c r="H151" i="1" s="1"/>
  <c r="J138" i="1"/>
  <c r="H138" i="1"/>
  <c r="G138" i="1"/>
  <c r="L133" i="1"/>
  <c r="M134" i="1" s="1"/>
  <c r="L131" i="1"/>
  <c r="J127" i="1"/>
  <c r="L122" i="1"/>
  <c r="H144" i="1" s="1"/>
  <c r="H121" i="1"/>
  <c r="H122" i="1" s="1"/>
  <c r="G121" i="1"/>
  <c r="L120" i="1"/>
  <c r="M121" i="1" s="1"/>
  <c r="H143" i="1" s="1"/>
  <c r="H120" i="1"/>
  <c r="L118" i="1"/>
  <c r="M113" i="1"/>
  <c r="M111" i="1"/>
  <c r="H168" i="1" s="1"/>
  <c r="AX107" i="1"/>
  <c r="AU107" i="1"/>
  <c r="AW107" i="1" s="1"/>
  <c r="AT107" i="1"/>
  <c r="AS107" i="1"/>
  <c r="AX106" i="1"/>
  <c r="AU106" i="1" s="1"/>
  <c r="AW106" i="1" s="1"/>
  <c r="AT106" i="1"/>
  <c r="AQ106" i="1"/>
  <c r="AS106" i="1" s="1"/>
  <c r="AX105" i="1"/>
  <c r="AU105" i="1"/>
  <c r="AW105" i="1" s="1"/>
  <c r="AT105" i="1"/>
  <c r="AS105" i="1"/>
  <c r="AX104" i="1"/>
  <c r="AU104" i="1" s="1"/>
  <c r="AW104" i="1" s="1"/>
  <c r="AT104" i="1"/>
  <c r="AQ104" i="1"/>
  <c r="AS104" i="1" s="1"/>
  <c r="L104" i="1"/>
  <c r="N67" i="19" s="1"/>
  <c r="AX103" i="1"/>
  <c r="AU103" i="1"/>
  <c r="AW103" i="1" s="1"/>
  <c r="AT103" i="1"/>
  <c r="AQ103" i="1"/>
  <c r="AS103" i="1" s="1"/>
  <c r="AX102" i="1"/>
  <c r="AU102" i="1" s="1"/>
  <c r="AW102" i="1" s="1"/>
  <c r="AT102" i="1"/>
  <c r="AQ102" i="1"/>
  <c r="AS102" i="1" s="1"/>
  <c r="AX101" i="1"/>
  <c r="AU101" i="1" s="1"/>
  <c r="AW101" i="1" s="1"/>
  <c r="AT101" i="1"/>
  <c r="AQ101" i="1"/>
  <c r="AS101" i="1" s="1"/>
  <c r="I101" i="1"/>
  <c r="I104" i="1" s="1"/>
  <c r="AX100" i="1"/>
  <c r="AU100" i="1"/>
  <c r="AW100" i="1" s="1"/>
  <c r="AT100" i="1"/>
  <c r="AS100" i="1"/>
  <c r="AX99" i="1"/>
  <c r="AU99" i="1"/>
  <c r="AW99" i="1" s="1"/>
  <c r="AT99" i="1"/>
  <c r="AQ99" i="1" s="1"/>
  <c r="AS99" i="1" s="1"/>
  <c r="AX98" i="1"/>
  <c r="AU98" i="1"/>
  <c r="AW98" i="1" s="1"/>
  <c r="AT98" i="1"/>
  <c r="AS98" i="1"/>
  <c r="I94" i="1"/>
  <c r="I95" i="1" s="1"/>
  <c r="H86" i="1"/>
  <c r="H85" i="1"/>
  <c r="H84" i="1"/>
  <c r="H83" i="1"/>
  <c r="H82" i="1"/>
  <c r="H81" i="1"/>
  <c r="I76" i="1"/>
  <c r="I75" i="1"/>
  <c r="H60" i="1"/>
  <c r="I34" i="1"/>
  <c r="H32" i="1"/>
  <c r="I78" i="1" s="1"/>
  <c r="H31" i="1"/>
  <c r="H30" i="1"/>
  <c r="L24" i="1"/>
  <c r="H21" i="1"/>
  <c r="L20" i="1"/>
  <c r="K16" i="19" s="1"/>
  <c r="H9" i="1"/>
  <c r="L1" i="1"/>
  <c r="M9" i="1" s="1"/>
  <c r="G34" i="26" l="1"/>
  <c r="K8" i="26"/>
  <c r="G16" i="26"/>
  <c r="G18" i="26" s="1"/>
  <c r="J18" i="26" s="1"/>
  <c r="J34" i="26"/>
  <c r="G34" i="25"/>
  <c r="K8" i="25"/>
  <c r="J34" i="25"/>
  <c r="G16" i="25"/>
  <c r="G18" i="25" s="1"/>
  <c r="J18" i="25" s="1"/>
  <c r="T12" i="13"/>
  <c r="S9" i="13"/>
  <c r="F8" i="13" a="1"/>
  <c r="F8" i="13" s="1"/>
  <c r="Q7" i="13" a="1"/>
  <c r="Q7" i="13" s="1"/>
  <c r="F11" i="13" s="1"/>
  <c r="F7" i="13" a="1"/>
  <c r="F7" i="13" s="1"/>
  <c r="F10" i="13" s="1"/>
  <c r="W10" i="13"/>
  <c r="V9" i="13"/>
  <c r="W9" i="13"/>
  <c r="V10" i="13"/>
  <c r="J85" i="15"/>
  <c r="X89" i="12" s="1"/>
  <c r="F117" i="15"/>
  <c r="F114" i="15"/>
  <c r="J82" i="15"/>
  <c r="X86" i="12" s="1"/>
  <c r="G113" i="15"/>
  <c r="K81" i="15"/>
  <c r="Y85" i="12" s="1"/>
  <c r="F112" i="15"/>
  <c r="J80" i="15"/>
  <c r="X84" i="12" s="1"/>
  <c r="J79" i="15"/>
  <c r="X83" i="12" s="1"/>
  <c r="F111" i="15"/>
  <c r="K78" i="15"/>
  <c r="Y82" i="12" s="1"/>
  <c r="G110" i="15"/>
  <c r="J77" i="15"/>
  <c r="X81" i="12" s="1"/>
  <c r="F109" i="15"/>
  <c r="J76" i="15"/>
  <c r="X80" i="12" s="1"/>
  <c r="F108" i="15"/>
  <c r="J75" i="15"/>
  <c r="X79" i="12" s="1"/>
  <c r="F107" i="15"/>
  <c r="F106" i="15"/>
  <c r="J74" i="15"/>
  <c r="X78" i="12" s="1"/>
  <c r="F105" i="15"/>
  <c r="J73" i="15"/>
  <c r="X77" i="12" s="1"/>
  <c r="J72" i="15"/>
  <c r="X76" i="12" s="1"/>
  <c r="F104" i="15"/>
  <c r="F103" i="15"/>
  <c r="J71" i="15"/>
  <c r="X75" i="12" s="1"/>
  <c r="J70" i="15"/>
  <c r="X74" i="12" s="1"/>
  <c r="F102" i="15"/>
  <c r="F101" i="15"/>
  <c r="J69" i="15"/>
  <c r="X73" i="12" s="1"/>
  <c r="J68" i="15"/>
  <c r="X72" i="12" s="1"/>
  <c r="F100" i="15"/>
  <c r="F99" i="15"/>
  <c r="J67" i="15"/>
  <c r="X71" i="12" s="1"/>
  <c r="J66" i="15"/>
  <c r="X70" i="12" s="1"/>
  <c r="F98" i="15"/>
  <c r="J65" i="15"/>
  <c r="X69" i="12" s="1"/>
  <c r="F97" i="15"/>
  <c r="J64" i="15"/>
  <c r="X68" i="12" s="1"/>
  <c r="F96" i="15"/>
  <c r="F95" i="15"/>
  <c r="J63" i="15"/>
  <c r="X67" i="12" s="1"/>
  <c r="F94" i="15"/>
  <c r="J62" i="15"/>
  <c r="X66" i="12" s="1"/>
  <c r="J61" i="15"/>
  <c r="X65" i="12" s="1"/>
  <c r="F93" i="15"/>
  <c r="J60" i="15"/>
  <c r="X64" i="12" s="1"/>
  <c r="F92" i="15"/>
  <c r="J59" i="15"/>
  <c r="X63" i="12" s="1"/>
  <c r="F91" i="15"/>
  <c r="F90" i="15"/>
  <c r="J58" i="15"/>
  <c r="X62" i="12" s="1"/>
  <c r="F89" i="15"/>
  <c r="J57" i="15"/>
  <c r="X61" i="12" s="1"/>
  <c r="J56" i="15"/>
  <c r="X60" i="12" s="1"/>
  <c r="F88" i="15"/>
  <c r="J55" i="15"/>
  <c r="X59" i="12" s="1"/>
  <c r="F87" i="15"/>
  <c r="G77" i="15"/>
  <c r="K77" i="15" s="1"/>
  <c r="Y81" i="12" s="1"/>
  <c r="G86" i="15"/>
  <c r="K54" i="15"/>
  <c r="Y58" i="12" s="1"/>
  <c r="F86" i="15"/>
  <c r="J54" i="15"/>
  <c r="X58" i="12" s="1"/>
  <c r="K53" i="15"/>
  <c r="Y57" i="12" s="1"/>
  <c r="G85" i="15"/>
  <c r="F84" i="15"/>
  <c r="J52" i="15"/>
  <c r="X56" i="12" s="1"/>
  <c r="F83" i="15"/>
  <c r="J51" i="15"/>
  <c r="X55" i="12" s="1"/>
  <c r="K50" i="15"/>
  <c r="Y54" i="12" s="1"/>
  <c r="G82" i="15"/>
  <c r="J49" i="15"/>
  <c r="X53" i="12" s="1"/>
  <c r="F81" i="15"/>
  <c r="F78" i="15"/>
  <c r="J46" i="15"/>
  <c r="X50" i="12" s="1"/>
  <c r="K19" i="15"/>
  <c r="Y23" i="12" s="1"/>
  <c r="G20" i="15"/>
  <c r="Y12" i="12"/>
  <c r="Y13" i="12" s="1"/>
  <c r="Y14" i="12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C15" i="14"/>
  <c r="C14" i="14"/>
  <c r="C13" i="14"/>
  <c r="C12" i="14"/>
  <c r="B12" i="14"/>
  <c r="C11" i="14"/>
  <c r="C10" i="14"/>
  <c r="B10" i="14"/>
  <c r="C9" i="14"/>
  <c r="B9" i="14"/>
  <c r="C8" i="14"/>
  <c r="B8" i="14"/>
  <c r="C7" i="14"/>
  <c r="B7" i="14"/>
  <c r="C228" i="14"/>
  <c r="B226" i="14"/>
  <c r="C224" i="14"/>
  <c r="B223" i="14"/>
  <c r="B221" i="14"/>
  <c r="C219" i="14"/>
  <c r="B218" i="14"/>
  <c r="B216" i="14"/>
  <c r="C214" i="14"/>
  <c r="B213" i="14"/>
  <c r="C211" i="14"/>
  <c r="C208" i="14"/>
  <c r="C207" i="14"/>
  <c r="C206" i="14"/>
  <c r="C205" i="14"/>
  <c r="C204" i="14"/>
  <c r="C202" i="14"/>
  <c r="B201" i="14"/>
  <c r="C199" i="14"/>
  <c r="B198" i="14"/>
  <c r="B196" i="14"/>
  <c r="B194" i="14"/>
  <c r="C192" i="14"/>
  <c r="C190" i="14"/>
  <c r="C189" i="14"/>
  <c r="B188" i="14"/>
  <c r="B227" i="14"/>
  <c r="C223" i="14"/>
  <c r="C221" i="14"/>
  <c r="B219" i="14"/>
  <c r="C217" i="14"/>
  <c r="B215" i="14"/>
  <c r="C213" i="14"/>
  <c r="C210" i="14"/>
  <c r="B207" i="14"/>
  <c r="B203" i="14"/>
  <c r="C200" i="14"/>
  <c r="B199" i="14"/>
  <c r="B197" i="14"/>
  <c r="C194" i="14"/>
  <c r="B192" i="14"/>
  <c r="B190" i="14"/>
  <c r="C188" i="14"/>
  <c r="C227" i="14"/>
  <c r="C225" i="14"/>
  <c r="B224" i="14"/>
  <c r="B222" i="14"/>
  <c r="B220" i="14"/>
  <c r="C218" i="14"/>
  <c r="C216" i="14"/>
  <c r="B214" i="14"/>
  <c r="B212" i="14"/>
  <c r="B211" i="14"/>
  <c r="C209" i="14"/>
  <c r="B208" i="14"/>
  <c r="B206" i="14"/>
  <c r="B204" i="14"/>
  <c r="B202" i="14"/>
  <c r="B200" i="14"/>
  <c r="C197" i="14"/>
  <c r="C195" i="14"/>
  <c r="C193" i="14"/>
  <c r="B191" i="14"/>
  <c r="B189" i="14"/>
  <c r="C187" i="14"/>
  <c r="B11" i="14"/>
  <c r="C249" i="14"/>
  <c r="B249" i="14"/>
  <c r="C248" i="14"/>
  <c r="B248" i="14"/>
  <c r="C247" i="14"/>
  <c r="B247" i="14"/>
  <c r="C246" i="14"/>
  <c r="B246" i="14"/>
  <c r="C245" i="14"/>
  <c r="B245" i="14"/>
  <c r="C244" i="14"/>
  <c r="B244" i="14"/>
  <c r="C243" i="14"/>
  <c r="B243" i="14"/>
  <c r="C242" i="14"/>
  <c r="B242" i="14"/>
  <c r="C241" i="14"/>
  <c r="B241" i="14"/>
  <c r="C240" i="14"/>
  <c r="B240" i="14"/>
  <c r="C239" i="14"/>
  <c r="B239" i="14"/>
  <c r="C238" i="14"/>
  <c r="B238" i="14"/>
  <c r="C237" i="14"/>
  <c r="B237" i="14"/>
  <c r="C236" i="14"/>
  <c r="B236" i="14"/>
  <c r="C235" i="14"/>
  <c r="B235" i="14"/>
  <c r="C234" i="14"/>
  <c r="B234" i="14"/>
  <c r="C233" i="14"/>
  <c r="B233" i="14"/>
  <c r="C232" i="14"/>
  <c r="B232" i="14"/>
  <c r="C231" i="14"/>
  <c r="B231" i="14"/>
  <c r="C230" i="14"/>
  <c r="B230" i="14"/>
  <c r="C229" i="14"/>
  <c r="B229" i="14"/>
  <c r="B228" i="14"/>
  <c r="C226" i="14"/>
  <c r="B225" i="14"/>
  <c r="C222" i="14"/>
  <c r="C220" i="14"/>
  <c r="B217" i="14"/>
  <c r="C215" i="14"/>
  <c r="C212" i="14"/>
  <c r="B210" i="14"/>
  <c r="B209" i="14"/>
  <c r="B205" i="14"/>
  <c r="C203" i="14"/>
  <c r="C201" i="14"/>
  <c r="C198" i="14"/>
  <c r="C196" i="14"/>
  <c r="B195" i="14"/>
  <c r="B193" i="14"/>
  <c r="B187" i="14"/>
  <c r="C186" i="14"/>
  <c r="B186" i="14"/>
  <c r="C185" i="14"/>
  <c r="B185" i="14"/>
  <c r="C184" i="14"/>
  <c r="B184" i="14"/>
  <c r="C183" i="14"/>
  <c r="B183" i="14"/>
  <c r="C182" i="14"/>
  <c r="B182" i="14"/>
  <c r="C181" i="14"/>
  <c r="B181" i="14"/>
  <c r="C180" i="14"/>
  <c r="B180" i="14"/>
  <c r="C179" i="14"/>
  <c r="B179" i="14"/>
  <c r="C178" i="14"/>
  <c r="B178" i="14"/>
  <c r="C177" i="14"/>
  <c r="B177" i="14"/>
  <c r="C176" i="14"/>
  <c r="B176" i="14"/>
  <c r="C175" i="14"/>
  <c r="B175" i="14"/>
  <c r="C174" i="14"/>
  <c r="B174" i="14"/>
  <c r="C173" i="14"/>
  <c r="B173" i="14"/>
  <c r="C172" i="14"/>
  <c r="B172" i="14"/>
  <c r="C171" i="14"/>
  <c r="B171" i="14"/>
  <c r="C170" i="14"/>
  <c r="B170" i="14"/>
  <c r="C169" i="14"/>
  <c r="B169" i="14"/>
  <c r="C168" i="14"/>
  <c r="B168" i="14"/>
  <c r="C167" i="14"/>
  <c r="B167" i="14"/>
  <c r="C166" i="14"/>
  <c r="B166" i="14"/>
  <c r="C165" i="14"/>
  <c r="B165" i="14"/>
  <c r="C164" i="14"/>
  <c r="B164" i="14"/>
  <c r="C163" i="14"/>
  <c r="B163" i="14"/>
  <c r="C162" i="14"/>
  <c r="B162" i="14"/>
  <c r="C161" i="14"/>
  <c r="B161" i="14"/>
  <c r="C160" i="14"/>
  <c r="B160" i="14"/>
  <c r="C159" i="14"/>
  <c r="B159" i="14"/>
  <c r="C158" i="14"/>
  <c r="B158" i="14"/>
  <c r="C157" i="14"/>
  <c r="B157" i="14"/>
  <c r="C156" i="14"/>
  <c r="B156" i="14"/>
  <c r="C155" i="14"/>
  <c r="B155" i="14"/>
  <c r="C154" i="14"/>
  <c r="B154" i="14"/>
  <c r="C153" i="14"/>
  <c r="B153" i="14"/>
  <c r="C152" i="14"/>
  <c r="B152" i="14"/>
  <c r="C151" i="14"/>
  <c r="B151" i="14"/>
  <c r="C150" i="14"/>
  <c r="B150" i="14"/>
  <c r="C149" i="14"/>
  <c r="B149" i="14"/>
  <c r="C148" i="14"/>
  <c r="B148" i="14"/>
  <c r="C147" i="14"/>
  <c r="B147" i="14"/>
  <c r="C146" i="14"/>
  <c r="B146" i="14"/>
  <c r="C145" i="14"/>
  <c r="B145" i="14"/>
  <c r="C144" i="14"/>
  <c r="B144" i="14"/>
  <c r="C143" i="14"/>
  <c r="B143" i="14"/>
  <c r="C142" i="14"/>
  <c r="B142" i="14"/>
  <c r="C141" i="14"/>
  <c r="B141" i="14"/>
  <c r="C140" i="14"/>
  <c r="B140" i="14"/>
  <c r="C139" i="14"/>
  <c r="B139" i="14"/>
  <c r="C138" i="14"/>
  <c r="B138" i="14"/>
  <c r="C137" i="14"/>
  <c r="B137" i="14"/>
  <c r="C136" i="14"/>
  <c r="B136" i="14"/>
  <c r="C135" i="14"/>
  <c r="B135" i="14"/>
  <c r="C134" i="14"/>
  <c r="B134" i="14"/>
  <c r="C133" i="14"/>
  <c r="B133" i="14"/>
  <c r="C132" i="14"/>
  <c r="B132" i="14"/>
  <c r="C131" i="14"/>
  <c r="B131" i="14"/>
  <c r="C130" i="14"/>
  <c r="B130" i="14"/>
  <c r="C129" i="14"/>
  <c r="B129" i="14"/>
  <c r="C128" i="14"/>
  <c r="B128" i="14"/>
  <c r="C127" i="14"/>
  <c r="B127" i="14"/>
  <c r="C126" i="14"/>
  <c r="B126" i="14"/>
  <c r="C125" i="14"/>
  <c r="B125" i="14"/>
  <c r="C124" i="14"/>
  <c r="B124" i="14"/>
  <c r="C123" i="14"/>
  <c r="B123" i="14"/>
  <c r="C122" i="14"/>
  <c r="B122" i="14"/>
  <c r="C121" i="14"/>
  <c r="B121" i="14"/>
  <c r="C120" i="14"/>
  <c r="B120" i="14"/>
  <c r="C119" i="14"/>
  <c r="B119" i="14"/>
  <c r="C118" i="14"/>
  <c r="B118" i="14"/>
  <c r="C117" i="14"/>
  <c r="B117" i="14"/>
  <c r="C116" i="14"/>
  <c r="B116" i="14"/>
  <c r="C115" i="14"/>
  <c r="B115" i="14"/>
  <c r="C114" i="14"/>
  <c r="B114" i="14"/>
  <c r="C113" i="14"/>
  <c r="B113" i="14"/>
  <c r="C112" i="14"/>
  <c r="B112" i="14"/>
  <c r="C111" i="14"/>
  <c r="B111" i="14"/>
  <c r="C110" i="14"/>
  <c r="B110" i="14"/>
  <c r="C109" i="14"/>
  <c r="B109" i="14"/>
  <c r="C108" i="14"/>
  <c r="B108" i="14"/>
  <c r="C107" i="14"/>
  <c r="B107" i="14"/>
  <c r="C106" i="14"/>
  <c r="B106" i="14"/>
  <c r="C105" i="14"/>
  <c r="B105" i="14"/>
  <c r="C104" i="14"/>
  <c r="B104" i="14"/>
  <c r="C103" i="14"/>
  <c r="B103" i="14"/>
  <c r="C102" i="14"/>
  <c r="B102" i="14"/>
  <c r="C101" i="14"/>
  <c r="B101" i="14"/>
  <c r="C100" i="14"/>
  <c r="B100" i="14"/>
  <c r="C99" i="14"/>
  <c r="B99" i="14"/>
  <c r="C98" i="14"/>
  <c r="B98" i="14"/>
  <c r="C97" i="14"/>
  <c r="B97" i="14"/>
  <c r="C96" i="14"/>
  <c r="B96" i="14"/>
  <c r="C95" i="14"/>
  <c r="B95" i="14"/>
  <c r="C94" i="14"/>
  <c r="B94" i="14"/>
  <c r="C93" i="14"/>
  <c r="B93" i="14"/>
  <c r="C92" i="14"/>
  <c r="B92" i="14"/>
  <c r="C91" i="14"/>
  <c r="B91" i="14"/>
  <c r="C90" i="14"/>
  <c r="B90" i="14"/>
  <c r="C89" i="14"/>
  <c r="B89" i="14"/>
  <c r="C88" i="14"/>
  <c r="B88" i="14"/>
  <c r="C87" i="14"/>
  <c r="B87" i="14"/>
  <c r="C86" i="14"/>
  <c r="B86" i="14"/>
  <c r="C85" i="14"/>
  <c r="B85" i="14"/>
  <c r="C84" i="14"/>
  <c r="B84" i="14"/>
  <c r="C83" i="14"/>
  <c r="B83" i="14"/>
  <c r="C82" i="14"/>
  <c r="B82" i="14"/>
  <c r="C81" i="14"/>
  <c r="B81" i="14"/>
  <c r="C80" i="14"/>
  <c r="B80" i="14"/>
  <c r="C79" i="14"/>
  <c r="B79" i="14"/>
  <c r="C78" i="14"/>
  <c r="B78" i="14"/>
  <c r="C77" i="14"/>
  <c r="B77" i="14"/>
  <c r="C76" i="14"/>
  <c r="B76" i="14"/>
  <c r="C75" i="14"/>
  <c r="B75" i="14"/>
  <c r="C74" i="14"/>
  <c r="B74" i="14"/>
  <c r="C73" i="14"/>
  <c r="B73" i="14"/>
  <c r="C72" i="14"/>
  <c r="B72" i="14"/>
  <c r="C71" i="14"/>
  <c r="B71" i="14"/>
  <c r="C70" i="14"/>
  <c r="B70" i="14"/>
  <c r="C69" i="14"/>
  <c r="B69" i="14"/>
  <c r="C68" i="14"/>
  <c r="B68" i="14"/>
  <c r="C67" i="14"/>
  <c r="B67" i="14"/>
  <c r="C66" i="14"/>
  <c r="B66" i="14"/>
  <c r="C65" i="14"/>
  <c r="B65" i="14"/>
  <c r="C64" i="14"/>
  <c r="B64" i="14"/>
  <c r="C63" i="14"/>
  <c r="B63" i="14"/>
  <c r="C62" i="14"/>
  <c r="B62" i="14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16" i="16"/>
  <c r="AC103" i="1" s="1"/>
  <c r="B17" i="16"/>
  <c r="AB104" i="1" s="1"/>
  <c r="C17" i="16"/>
  <c r="AC104" i="1" s="1"/>
  <c r="B18" i="16"/>
  <c r="AB105" i="1" s="1"/>
  <c r="C18" i="16"/>
  <c r="AC105" i="1" s="1"/>
  <c r="B19" i="16"/>
  <c r="AB106" i="1" s="1"/>
  <c r="C19" i="16"/>
  <c r="AC106" i="1" s="1"/>
  <c r="B20" i="16"/>
  <c r="AB107" i="1" s="1"/>
  <c r="C20" i="16"/>
  <c r="AC107" i="1" s="1"/>
  <c r="B21" i="16"/>
  <c r="AB108" i="1" s="1"/>
  <c r="C21" i="16"/>
  <c r="AC108" i="1" s="1"/>
  <c r="B22" i="16"/>
  <c r="AB109" i="1" s="1"/>
  <c r="C22" i="16"/>
  <c r="AC109" i="1" s="1"/>
  <c r="B23" i="16"/>
  <c r="AB110" i="1" s="1"/>
  <c r="C23" i="16"/>
  <c r="AC110" i="1" s="1"/>
  <c r="B24" i="16"/>
  <c r="AB111" i="1" s="1"/>
  <c r="C24" i="16"/>
  <c r="AC111" i="1" s="1"/>
  <c r="B25" i="16"/>
  <c r="AB112" i="1" s="1"/>
  <c r="C25" i="16"/>
  <c r="AC112" i="1" s="1"/>
  <c r="B26" i="16"/>
  <c r="AB113" i="1" s="1"/>
  <c r="C26" i="16"/>
  <c r="AC113" i="1" s="1"/>
  <c r="B27" i="16"/>
  <c r="AB114" i="1" s="1"/>
  <c r="C27" i="16"/>
  <c r="AC114" i="1" s="1"/>
  <c r="B28" i="16"/>
  <c r="AB115" i="1" s="1"/>
  <c r="C28" i="16"/>
  <c r="AC115" i="1" s="1"/>
  <c r="B29" i="16"/>
  <c r="AB116" i="1" s="1"/>
  <c r="C29" i="16"/>
  <c r="AC116" i="1" s="1"/>
  <c r="C30" i="16"/>
  <c r="AC117" i="1" s="1"/>
  <c r="B31" i="16"/>
  <c r="AB118" i="1" s="1"/>
  <c r="C31" i="16"/>
  <c r="AC118" i="1" s="1"/>
  <c r="B32" i="16"/>
  <c r="AB119" i="1" s="1"/>
  <c r="C32" i="16"/>
  <c r="AC119" i="1" s="1"/>
  <c r="B33" i="16"/>
  <c r="AB120" i="1" s="1"/>
  <c r="C33" i="16"/>
  <c r="AC120" i="1" s="1"/>
  <c r="B34" i="16"/>
  <c r="AB121" i="1" s="1"/>
  <c r="C34" i="16"/>
  <c r="AC121" i="1" s="1"/>
  <c r="B35" i="16"/>
  <c r="AB122" i="1" s="1"/>
  <c r="C35" i="16"/>
  <c r="AC122" i="1" s="1"/>
  <c r="B36" i="16"/>
  <c r="AB123" i="1" s="1"/>
  <c r="C36" i="16"/>
  <c r="AC123" i="1" s="1"/>
  <c r="B37" i="16"/>
  <c r="AB124" i="1" s="1"/>
  <c r="C37" i="16"/>
  <c r="AC124" i="1" s="1"/>
  <c r="B38" i="16"/>
  <c r="AB125" i="1" s="1"/>
  <c r="C38" i="16"/>
  <c r="AC125" i="1" s="1"/>
  <c r="B39" i="16"/>
  <c r="AB126" i="1" s="1"/>
  <c r="C39" i="16"/>
  <c r="AC126" i="1" s="1"/>
  <c r="B40" i="16"/>
  <c r="AB127" i="1" s="1"/>
  <c r="C40" i="16"/>
  <c r="AC127" i="1" s="1"/>
  <c r="B41" i="16"/>
  <c r="AB128" i="1" s="1"/>
  <c r="C41" i="16"/>
  <c r="AC128" i="1" s="1"/>
  <c r="B42" i="16"/>
  <c r="AB129" i="1" s="1"/>
  <c r="C42" i="16"/>
  <c r="AC129" i="1" s="1"/>
  <c r="B43" i="16"/>
  <c r="AB130" i="1" s="1"/>
  <c r="C43" i="16"/>
  <c r="AC130" i="1" s="1"/>
  <c r="B44" i="16"/>
  <c r="AB131" i="1" s="1"/>
  <c r="C44" i="16"/>
  <c r="AC131" i="1" s="1"/>
  <c r="B45" i="16"/>
  <c r="AB132" i="1" s="1"/>
  <c r="C45" i="16"/>
  <c r="AC132" i="1" s="1"/>
  <c r="B46" i="16"/>
  <c r="AB133" i="1" s="1"/>
  <c r="C46" i="16"/>
  <c r="AC133" i="1" s="1"/>
  <c r="B47" i="16"/>
  <c r="AB134" i="1" s="1"/>
  <c r="C47" i="16"/>
  <c r="AC134" i="1" s="1"/>
  <c r="B48" i="16"/>
  <c r="AB135" i="1" s="1"/>
  <c r="C48" i="16"/>
  <c r="AC135" i="1" s="1"/>
  <c r="B49" i="16"/>
  <c r="AB136" i="1" s="1"/>
  <c r="C49" i="16"/>
  <c r="AC136" i="1" s="1"/>
  <c r="B50" i="16"/>
  <c r="AB137" i="1" s="1"/>
  <c r="C50" i="16"/>
  <c r="AC137" i="1" s="1"/>
  <c r="B51" i="16"/>
  <c r="AB138" i="1" s="1"/>
  <c r="C51" i="16"/>
  <c r="AC138" i="1" s="1"/>
  <c r="B52" i="16"/>
  <c r="AB139" i="1" s="1"/>
  <c r="C52" i="16"/>
  <c r="AC139" i="1" s="1"/>
  <c r="B53" i="16"/>
  <c r="AB140" i="1" s="1"/>
  <c r="C53" i="16"/>
  <c r="AC140" i="1" s="1"/>
  <c r="B54" i="16"/>
  <c r="AB141" i="1" s="1"/>
  <c r="C54" i="16"/>
  <c r="AC141" i="1" s="1"/>
  <c r="B55" i="16"/>
  <c r="AB142" i="1" s="1"/>
  <c r="C55" i="16"/>
  <c r="AC142" i="1" s="1"/>
  <c r="B56" i="16"/>
  <c r="AB143" i="1" s="1"/>
  <c r="C56" i="16"/>
  <c r="AC143" i="1" s="1"/>
  <c r="B57" i="16"/>
  <c r="AB144" i="1" s="1"/>
  <c r="C57" i="16"/>
  <c r="AC144" i="1" s="1"/>
  <c r="B58" i="16"/>
  <c r="AB145" i="1" s="1"/>
  <c r="C58" i="16"/>
  <c r="AC145" i="1" s="1"/>
  <c r="B30" i="16"/>
  <c r="AB117" i="1" s="1"/>
  <c r="B59" i="16"/>
  <c r="AB146" i="1" s="1"/>
  <c r="C59" i="16"/>
  <c r="AC146" i="1" s="1"/>
  <c r="B60" i="16"/>
  <c r="AB147" i="1" s="1"/>
  <c r="C60" i="16"/>
  <c r="AC147" i="1" s="1"/>
  <c r="B61" i="16"/>
  <c r="AB148" i="1" s="1"/>
  <c r="C61" i="16"/>
  <c r="AC148" i="1" s="1"/>
  <c r="B62" i="16"/>
  <c r="AB149" i="1" s="1"/>
  <c r="C62" i="16"/>
  <c r="AC149" i="1" s="1"/>
  <c r="B63" i="16"/>
  <c r="AB150" i="1" s="1"/>
  <c r="C63" i="16"/>
  <c r="AC150" i="1" s="1"/>
  <c r="B64" i="16"/>
  <c r="AB151" i="1" s="1"/>
  <c r="C64" i="16"/>
  <c r="AC151" i="1" s="1"/>
  <c r="B65" i="16"/>
  <c r="AB152" i="1" s="1"/>
  <c r="C65" i="16"/>
  <c r="AC152" i="1" s="1"/>
  <c r="C68" i="16"/>
  <c r="AC155" i="1" s="1"/>
  <c r="B66" i="16"/>
  <c r="AB153" i="1" s="1"/>
  <c r="C3" i="17"/>
  <c r="C80" i="16"/>
  <c r="AC167" i="1" s="1"/>
  <c r="B80" i="16"/>
  <c r="AB167" i="1" s="1"/>
  <c r="C79" i="16"/>
  <c r="AC166" i="1" s="1"/>
  <c r="B79" i="16"/>
  <c r="AB166" i="1" s="1"/>
  <c r="C78" i="16"/>
  <c r="AC165" i="1" s="1"/>
  <c r="B78" i="16"/>
  <c r="AB165" i="1" s="1"/>
  <c r="C77" i="16"/>
  <c r="AC164" i="1" s="1"/>
  <c r="B77" i="16"/>
  <c r="AB164" i="1" s="1"/>
  <c r="C76" i="16"/>
  <c r="AC163" i="1" s="1"/>
  <c r="B76" i="16"/>
  <c r="AB163" i="1" s="1"/>
  <c r="C75" i="16"/>
  <c r="AC162" i="1" s="1"/>
  <c r="B75" i="16"/>
  <c r="AB162" i="1" s="1"/>
  <c r="C74" i="16"/>
  <c r="AC161" i="1" s="1"/>
  <c r="B74" i="16"/>
  <c r="AB161" i="1" s="1"/>
  <c r="C73" i="16"/>
  <c r="AC160" i="1" s="1"/>
  <c r="B73" i="16"/>
  <c r="AB160" i="1" s="1"/>
  <c r="C72" i="16"/>
  <c r="AC159" i="1" s="1"/>
  <c r="B72" i="16"/>
  <c r="AB159" i="1" s="1"/>
  <c r="C71" i="16"/>
  <c r="AC158" i="1" s="1"/>
  <c r="B71" i="16"/>
  <c r="AB158" i="1" s="1"/>
  <c r="C70" i="16"/>
  <c r="AC157" i="1" s="1"/>
  <c r="B70" i="16"/>
  <c r="AB157" i="1" s="1"/>
  <c r="C69" i="16"/>
  <c r="AC156" i="1" s="1"/>
  <c r="B69" i="16"/>
  <c r="AB156" i="1" s="1"/>
  <c r="B7" i="16"/>
  <c r="C7" i="16"/>
  <c r="AC94" i="1" s="1"/>
  <c r="B8" i="16"/>
  <c r="AB95" i="1" s="1"/>
  <c r="C8" i="16"/>
  <c r="AC95" i="1" s="1"/>
  <c r="B9" i="16"/>
  <c r="AB96" i="1" s="1"/>
  <c r="C9" i="16"/>
  <c r="AC96" i="1" s="1"/>
  <c r="B10" i="16"/>
  <c r="AB97" i="1" s="1"/>
  <c r="C10" i="16"/>
  <c r="AC97" i="1" s="1"/>
  <c r="B68" i="16"/>
  <c r="AB155" i="1" s="1"/>
  <c r="C67" i="16"/>
  <c r="AC154" i="1" s="1"/>
  <c r="B67" i="16"/>
  <c r="AB154" i="1" s="1"/>
  <c r="C66" i="16"/>
  <c r="AC153" i="1" s="1"/>
  <c r="B11" i="16"/>
  <c r="AB98" i="1" s="1"/>
  <c r="C11" i="16"/>
  <c r="AC98" i="1" s="1"/>
  <c r="B12" i="16"/>
  <c r="AB99" i="1" s="1"/>
  <c r="C12" i="16"/>
  <c r="AC99" i="1" s="1"/>
  <c r="B13" i="16"/>
  <c r="AB100" i="1" s="1"/>
  <c r="C13" i="16"/>
  <c r="AC100" i="1" s="1"/>
  <c r="B14" i="16"/>
  <c r="AB101" i="1" s="1"/>
  <c r="C14" i="16"/>
  <c r="AC101" i="1" s="1"/>
  <c r="B15" i="16"/>
  <c r="AB102" i="1" s="1"/>
  <c r="C15" i="16"/>
  <c r="AC102" i="1" s="1"/>
  <c r="P15" i="16"/>
  <c r="B16" i="16"/>
  <c r="AB103" i="1" s="1"/>
  <c r="N122" i="12"/>
  <c r="N113" i="12"/>
  <c r="N52" i="12"/>
  <c r="N83" i="12"/>
  <c r="N115" i="12" s="1"/>
  <c r="N147" i="12" s="1"/>
  <c r="N179" i="12" s="1"/>
  <c r="N211" i="12" s="1"/>
  <c r="Q10" i="12"/>
  <c r="AF76" i="2"/>
  <c r="AF77" i="2" s="1"/>
  <c r="AF73" i="2"/>
  <c r="AH62" i="2"/>
  <c r="V73" i="2"/>
  <c r="X62" i="2"/>
  <c r="V76" i="2"/>
  <c r="V77" i="2" s="1"/>
  <c r="L73" i="2"/>
  <c r="N62" i="2"/>
  <c r="L76" i="2"/>
  <c r="L77" i="2" s="1"/>
  <c r="B73" i="2"/>
  <c r="B76" i="2"/>
  <c r="B77" i="2" s="1"/>
  <c r="D62" i="2"/>
  <c r="D67" i="2"/>
  <c r="N56" i="2"/>
  <c r="B65" i="2"/>
  <c r="B62" i="2"/>
  <c r="AF11" i="2"/>
  <c r="BJ28" i="2"/>
  <c r="BL14" i="2"/>
  <c r="BJ25" i="2"/>
  <c r="BB14" i="2"/>
  <c r="AZ28" i="2"/>
  <c r="AZ25" i="2"/>
  <c r="AP28" i="2"/>
  <c r="AR14" i="2"/>
  <c r="AP25" i="2"/>
  <c r="AF28" i="2"/>
  <c r="AH14" i="2"/>
  <c r="AF25" i="2"/>
  <c r="V25" i="2"/>
  <c r="V28" i="2"/>
  <c r="X14" i="2"/>
  <c r="L25" i="2"/>
  <c r="N14" i="2"/>
  <c r="L28" i="2"/>
  <c r="D14" i="2"/>
  <c r="B25" i="2"/>
  <c r="B28" i="2"/>
  <c r="D19" i="2"/>
  <c r="B17" i="2"/>
  <c r="B14" i="2"/>
  <c r="N8" i="2"/>
  <c r="D518" i="27"/>
  <c r="E518" i="27"/>
  <c r="C41" i="31"/>
  <c r="C115" i="31" s="1"/>
  <c r="D129" i="31" s="1"/>
  <c r="C42" i="31"/>
  <c r="C37" i="31"/>
  <c r="C38" i="31" s="1"/>
  <c r="C39" i="31"/>
  <c r="C82" i="31"/>
  <c r="C15" i="31"/>
  <c r="C69" i="31"/>
  <c r="C70" i="31" s="1"/>
  <c r="H1159" i="1" s="1"/>
  <c r="C18" i="31"/>
  <c r="C17" i="31"/>
  <c r="D192" i="28"/>
  <c r="D212" i="28" s="1"/>
  <c r="D246" i="28"/>
  <c r="D147" i="28"/>
  <c r="D149" i="28" s="1"/>
  <c r="D151" i="28" s="1"/>
  <c r="D153" i="28" s="1"/>
  <c r="D148" i="28"/>
  <c r="D118" i="28"/>
  <c r="D117" i="28"/>
  <c r="D119" i="28" s="1"/>
  <c r="D121" i="28" s="1"/>
  <c r="D123" i="28" s="1"/>
  <c r="D101" i="28"/>
  <c r="D102" i="28" s="1"/>
  <c r="D129" i="28"/>
  <c r="D88" i="28"/>
  <c r="D124" i="28"/>
  <c r="D113" i="28"/>
  <c r="D280" i="28"/>
  <c r="D87" i="28"/>
  <c r="D89" i="28" s="1"/>
  <c r="D112" i="28"/>
  <c r="D72" i="28"/>
  <c r="D70" i="28"/>
  <c r="D69" i="28"/>
  <c r="D71" i="28" s="1"/>
  <c r="D50" i="28"/>
  <c r="D43" i="28"/>
  <c r="D58" i="28"/>
  <c r="D49" i="28"/>
  <c r="G19" i="28"/>
  <c r="D17" i="28"/>
  <c r="D16" i="28"/>
  <c r="D18" i="28" s="1"/>
  <c r="D19" i="28" s="1"/>
  <c r="D20" i="28" s="1"/>
  <c r="D21" i="28" s="1"/>
  <c r="D22" i="28" s="1"/>
  <c r="G8" i="28"/>
  <c r="G6" i="28"/>
  <c r="G7" i="28"/>
  <c r="D44" i="28" s="1"/>
  <c r="H1244" i="1"/>
  <c r="H1196" i="1"/>
  <c r="H1205" i="1"/>
  <c r="H1212" i="1" s="1"/>
  <c r="I74" i="1" s="1"/>
  <c r="D4" i="28" s="1"/>
  <c r="H1191" i="1"/>
  <c r="H1134" i="1"/>
  <c r="H1037" i="1"/>
  <c r="H1049" i="1"/>
  <c r="C33" i="31"/>
  <c r="U1044" i="1"/>
  <c r="U1043" i="1"/>
  <c r="T1044" i="1"/>
  <c r="R13" i="18"/>
  <c r="T1043" i="1"/>
  <c r="H882" i="1"/>
  <c r="H884" i="1"/>
  <c r="H867" i="1"/>
  <c r="M176" i="1"/>
  <c r="H1098" i="1"/>
  <c r="H1093" i="1"/>
  <c r="H868" i="1"/>
  <c r="G740" i="1"/>
  <c r="I740" i="1"/>
  <c r="J740" i="1" s="1"/>
  <c r="K740" i="1" s="1"/>
  <c r="L740" i="1" s="1"/>
  <c r="M740" i="1" s="1"/>
  <c r="N740" i="1" s="1"/>
  <c r="G743" i="1" s="1"/>
  <c r="H743" i="1" s="1"/>
  <c r="I743" i="1" s="1"/>
  <c r="J743" i="1" s="1"/>
  <c r="K743" i="1" s="1"/>
  <c r="L743" i="1" s="1"/>
  <c r="M743" i="1" s="1"/>
  <c r="N743" i="1" s="1"/>
  <c r="G746" i="1" s="1"/>
  <c r="H746" i="1" s="1"/>
  <c r="I746" i="1" s="1"/>
  <c r="J746" i="1" s="1"/>
  <c r="K746" i="1" s="1"/>
  <c r="M393" i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312" i="1"/>
  <c r="M313" i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5" i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416" i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C23" i="22"/>
  <c r="C48" i="31"/>
  <c r="H190" i="1"/>
  <c r="H191" i="1"/>
  <c r="C31" i="22"/>
  <c r="H139" i="1"/>
  <c r="L139" i="1"/>
  <c r="K36" i="19" s="1"/>
  <c r="N74" i="19" s="1"/>
  <c r="H1094" i="1"/>
  <c r="H1095" i="1"/>
  <c r="C16" i="31"/>
  <c r="C49" i="31"/>
  <c r="H1126" i="1"/>
  <c r="H1106" i="1"/>
  <c r="C24" i="22"/>
  <c r="I105" i="1"/>
  <c r="N76" i="19"/>
  <c r="H1043" i="1"/>
  <c r="D5" i="28"/>
  <c r="H542" i="1"/>
  <c r="G542" i="1"/>
  <c r="J84" i="1"/>
  <c r="J83" i="1"/>
  <c r="L83" i="1" s="1"/>
  <c r="H1178" i="1"/>
  <c r="H822" i="1"/>
  <c r="H1103" i="1"/>
  <c r="H1109" i="1"/>
  <c r="H924" i="1"/>
  <c r="H131" i="1"/>
  <c r="H132" i="1" s="1"/>
  <c r="H871" i="1"/>
  <c r="J824" i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J822" i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L94" i="1"/>
  <c r="H824" i="1"/>
  <c r="G553" i="1"/>
  <c r="H553" i="1"/>
  <c r="H1234" i="1"/>
  <c r="H1255" i="1"/>
  <c r="D8" i="28"/>
  <c r="J86" i="1"/>
  <c r="M163" i="1"/>
  <c r="C113" i="31"/>
  <c r="W15" i="27"/>
  <c r="C13" i="27"/>
  <c r="K3" i="1"/>
  <c r="K20" i="19"/>
  <c r="H530" i="1"/>
  <c r="I530" i="1" s="1"/>
  <c r="J530" i="1" s="1"/>
  <c r="K530" i="1" s="1"/>
  <c r="L530" i="1" s="1"/>
  <c r="M530" i="1" s="1"/>
  <c r="N530" i="1" s="1"/>
  <c r="G533" i="1" s="1"/>
  <c r="H533" i="1" s="1"/>
  <c r="I533" i="1" s="1"/>
  <c r="J533" i="1" s="1"/>
  <c r="K533" i="1" s="1"/>
  <c r="L533" i="1" s="1"/>
  <c r="M533" i="1" s="1"/>
  <c r="N533" i="1" s="1"/>
  <c r="G536" i="1" s="1"/>
  <c r="H536" i="1" s="1"/>
  <c r="I536" i="1" s="1"/>
  <c r="J536" i="1" s="1"/>
  <c r="K536" i="1" s="1"/>
  <c r="G530" i="1"/>
  <c r="H302" i="1"/>
  <c r="G302" i="1"/>
  <c r="G303" i="1" s="1"/>
  <c r="H1005" i="1"/>
  <c r="I1254" i="1"/>
  <c r="N72" i="19"/>
  <c r="I4" i="19"/>
  <c r="N63" i="19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H291" i="1"/>
  <c r="G291" i="1"/>
  <c r="G292" i="1" s="1"/>
  <c r="D30" i="28"/>
  <c r="H280" i="1"/>
  <c r="G280" i="1"/>
  <c r="D10" i="29"/>
  <c r="H1254" i="1"/>
  <c r="G5" i="30" s="1"/>
  <c r="G6" i="30" s="1"/>
  <c r="C60" i="31"/>
  <c r="H552" i="1"/>
  <c r="I552" i="1" s="1"/>
  <c r="G552" i="1"/>
  <c r="C14" i="27"/>
  <c r="H541" i="1"/>
  <c r="I541" i="1" s="1"/>
  <c r="G541" i="1"/>
  <c r="I77" i="1"/>
  <c r="I9" i="19"/>
  <c r="P33" i="26" l="1"/>
  <c r="P32" i="26"/>
  <c r="P33" i="25"/>
  <c r="P32" i="25"/>
  <c r="F9" i="13"/>
  <c r="M7" i="13"/>
  <c r="M8" i="13" s="1"/>
  <c r="J117" i="15"/>
  <c r="X121" i="12" s="1"/>
  <c r="F149" i="15"/>
  <c r="J114" i="15"/>
  <c r="X118" i="12" s="1"/>
  <c r="F146" i="15"/>
  <c r="K113" i="15"/>
  <c r="Y117" i="12" s="1"/>
  <c r="G145" i="15"/>
  <c r="J112" i="15"/>
  <c r="X116" i="12" s="1"/>
  <c r="F144" i="15"/>
  <c r="J111" i="15"/>
  <c r="X115" i="12" s="1"/>
  <c r="F143" i="15"/>
  <c r="K110" i="15"/>
  <c r="Y114" i="12" s="1"/>
  <c r="G142" i="15"/>
  <c r="J109" i="15"/>
  <c r="X113" i="12" s="1"/>
  <c r="F141" i="15"/>
  <c r="J108" i="15"/>
  <c r="X112" i="12" s="1"/>
  <c r="F140" i="15"/>
  <c r="J107" i="15"/>
  <c r="X111" i="12" s="1"/>
  <c r="F139" i="15"/>
  <c r="J106" i="15"/>
  <c r="X110" i="12" s="1"/>
  <c r="F138" i="15"/>
  <c r="J105" i="15"/>
  <c r="X109" i="12" s="1"/>
  <c r="F137" i="15"/>
  <c r="J104" i="15"/>
  <c r="X108" i="12" s="1"/>
  <c r="F136" i="15"/>
  <c r="J103" i="15"/>
  <c r="X107" i="12" s="1"/>
  <c r="F135" i="15"/>
  <c r="J102" i="15"/>
  <c r="X106" i="12" s="1"/>
  <c r="F134" i="15"/>
  <c r="J101" i="15"/>
  <c r="X105" i="12" s="1"/>
  <c r="F133" i="15"/>
  <c r="J100" i="15"/>
  <c r="X104" i="12" s="1"/>
  <c r="F132" i="15"/>
  <c r="J99" i="15"/>
  <c r="X103" i="12" s="1"/>
  <c r="F131" i="15"/>
  <c r="J98" i="15"/>
  <c r="X102" i="12" s="1"/>
  <c r="F130" i="15"/>
  <c r="J97" i="15"/>
  <c r="X101" i="12" s="1"/>
  <c r="F129" i="15"/>
  <c r="J96" i="15"/>
  <c r="X100" i="12" s="1"/>
  <c r="F128" i="15"/>
  <c r="J95" i="15"/>
  <c r="X99" i="12" s="1"/>
  <c r="F127" i="15"/>
  <c r="J94" i="15"/>
  <c r="X98" i="12" s="1"/>
  <c r="F126" i="15"/>
  <c r="J93" i="15"/>
  <c r="X97" i="12" s="1"/>
  <c r="F125" i="15"/>
  <c r="J92" i="15"/>
  <c r="X96" i="12" s="1"/>
  <c r="F124" i="15"/>
  <c r="J91" i="15"/>
  <c r="X95" i="12" s="1"/>
  <c r="F123" i="15"/>
  <c r="J90" i="15"/>
  <c r="X94" i="12" s="1"/>
  <c r="F122" i="15"/>
  <c r="J89" i="15"/>
  <c r="X93" i="12" s="1"/>
  <c r="F121" i="15"/>
  <c r="J88" i="15"/>
  <c r="X92" i="12" s="1"/>
  <c r="F120" i="15"/>
  <c r="J87" i="15"/>
  <c r="X91" i="12" s="1"/>
  <c r="F119" i="15"/>
  <c r="K86" i="15"/>
  <c r="Y90" i="12" s="1"/>
  <c r="G109" i="15"/>
  <c r="K109" i="15" s="1"/>
  <c r="Y113" i="12" s="1"/>
  <c r="G118" i="15"/>
  <c r="J86" i="15"/>
  <c r="X90" i="12" s="1"/>
  <c r="F118" i="15"/>
  <c r="K85" i="15"/>
  <c r="Y89" i="12" s="1"/>
  <c r="G117" i="15"/>
  <c r="J84" i="15"/>
  <c r="X88" i="12" s="1"/>
  <c r="F116" i="15"/>
  <c r="J83" i="15"/>
  <c r="X87" i="12" s="1"/>
  <c r="F115" i="15"/>
  <c r="K82" i="15"/>
  <c r="Y86" i="12" s="1"/>
  <c r="G114" i="15"/>
  <c r="J81" i="15"/>
  <c r="X85" i="12" s="1"/>
  <c r="F113" i="15"/>
  <c r="J78" i="15"/>
  <c r="X82" i="12" s="1"/>
  <c r="F110" i="15"/>
  <c r="K20" i="15"/>
  <c r="Y24" i="12" s="1"/>
  <c r="G47" i="15"/>
  <c r="AF133" i="1"/>
  <c r="B46" i="18"/>
  <c r="B46" i="17"/>
  <c r="AE133" i="1"/>
  <c r="AF132" i="1"/>
  <c r="B45" i="18"/>
  <c r="B45" i="17"/>
  <c r="AE132" i="1"/>
  <c r="AF131" i="1"/>
  <c r="B44" i="18"/>
  <c r="B44" i="17"/>
  <c r="AE131" i="1"/>
  <c r="L1278" i="1"/>
  <c r="L1279" i="1" s="1"/>
  <c r="L1280" i="1" s="1"/>
  <c r="H1280" i="1" s="1"/>
  <c r="AF130" i="1"/>
  <c r="B43" i="18"/>
  <c r="B43" i="17"/>
  <c r="AE130" i="1"/>
  <c r="AF129" i="1"/>
  <c r="B42" i="18"/>
  <c r="B42" i="17"/>
  <c r="AE129" i="1"/>
  <c r="AF128" i="1"/>
  <c r="B41" i="18"/>
  <c r="B41" i="17"/>
  <c r="AE128" i="1"/>
  <c r="AF127" i="1"/>
  <c r="B40" i="18"/>
  <c r="B40" i="17"/>
  <c r="AE127" i="1"/>
  <c r="AF126" i="1"/>
  <c r="B39" i="18"/>
  <c r="B39" i="17"/>
  <c r="AE126" i="1"/>
  <c r="AF125" i="1"/>
  <c r="B38" i="18"/>
  <c r="B38" i="17"/>
  <c r="AE125" i="1"/>
  <c r="AF124" i="1"/>
  <c r="B37" i="18"/>
  <c r="B37" i="17"/>
  <c r="AE124" i="1"/>
  <c r="AF123" i="1"/>
  <c r="B36" i="18"/>
  <c r="B36" i="17"/>
  <c r="AE123" i="1"/>
  <c r="AF122" i="1"/>
  <c r="B35" i="18"/>
  <c r="B35" i="17"/>
  <c r="AE122" i="1"/>
  <c r="AF121" i="1"/>
  <c r="B34" i="18"/>
  <c r="B34" i="17"/>
  <c r="AE121" i="1"/>
  <c r="AF120" i="1"/>
  <c r="B33" i="18"/>
  <c r="B33" i="17"/>
  <c r="AE120" i="1"/>
  <c r="AF119" i="1"/>
  <c r="B32" i="18"/>
  <c r="B32" i="17"/>
  <c r="AE119" i="1"/>
  <c r="AF118" i="1"/>
  <c r="B31" i="18"/>
  <c r="B31" i="17"/>
  <c r="AE118" i="1"/>
  <c r="AF117" i="1"/>
  <c r="B30" i="18"/>
  <c r="B30" i="17"/>
  <c r="AE117" i="1"/>
  <c r="AF116" i="1"/>
  <c r="B29" i="18"/>
  <c r="B29" i="17"/>
  <c r="AE116" i="1"/>
  <c r="AF115" i="1"/>
  <c r="B28" i="18"/>
  <c r="B28" i="17"/>
  <c r="AE115" i="1"/>
  <c r="AF114" i="1"/>
  <c r="B27" i="18"/>
  <c r="B27" i="17"/>
  <c r="AE114" i="1"/>
  <c r="AF113" i="1"/>
  <c r="B26" i="18"/>
  <c r="B26" i="17"/>
  <c r="AE113" i="1"/>
  <c r="AF112" i="1"/>
  <c r="B25" i="18"/>
  <c r="B25" i="17"/>
  <c r="AE112" i="1"/>
  <c r="AF111" i="1"/>
  <c r="B24" i="18"/>
  <c r="B24" i="17"/>
  <c r="AE111" i="1"/>
  <c r="AF110" i="1"/>
  <c r="B23" i="18"/>
  <c r="B23" i="17"/>
  <c r="AE110" i="1"/>
  <c r="AF109" i="1"/>
  <c r="B22" i="18"/>
  <c r="B22" i="17"/>
  <c r="AE109" i="1"/>
  <c r="AF108" i="1"/>
  <c r="B21" i="18"/>
  <c r="B21" i="17"/>
  <c r="AE108" i="1"/>
  <c r="AF107" i="1"/>
  <c r="B20" i="18"/>
  <c r="B20" i="17"/>
  <c r="AE107" i="1"/>
  <c r="AF106" i="1"/>
  <c r="B19" i="18"/>
  <c r="B19" i="17"/>
  <c r="AE106" i="1"/>
  <c r="AF105" i="1"/>
  <c r="B18" i="18"/>
  <c r="B18" i="17"/>
  <c r="AE105" i="1"/>
  <c r="M16" i="14"/>
  <c r="C15" i="27" s="1"/>
  <c r="AF104" i="1"/>
  <c r="B17" i="18"/>
  <c r="B17" i="17"/>
  <c r="AE104" i="1"/>
  <c r="AF103" i="1"/>
  <c r="AF102" i="1"/>
  <c r="AF101" i="1"/>
  <c r="AF100" i="1"/>
  <c r="AF99" i="1"/>
  <c r="B12" i="18"/>
  <c r="B12" i="17"/>
  <c r="AE99" i="1"/>
  <c r="AF98" i="1"/>
  <c r="AF97" i="1"/>
  <c r="B10" i="18"/>
  <c r="B10" i="17"/>
  <c r="AE97" i="1"/>
  <c r="AF96" i="1"/>
  <c r="B9" i="18"/>
  <c r="B9" i="17"/>
  <c r="AE96" i="1"/>
  <c r="AF95" i="1"/>
  <c r="B8" i="18"/>
  <c r="B8" i="17"/>
  <c r="AE95" i="1"/>
  <c r="AF94" i="1"/>
  <c r="B7" i="18"/>
  <c r="B7" i="17"/>
  <c r="AE94" i="1"/>
  <c r="B223" i="18"/>
  <c r="B223" i="17"/>
  <c r="B221" i="18"/>
  <c r="B221" i="17"/>
  <c r="B218" i="18"/>
  <c r="B218" i="17"/>
  <c r="B216" i="18"/>
  <c r="B216" i="17"/>
  <c r="B213" i="18"/>
  <c r="B213" i="17"/>
  <c r="B201" i="18"/>
  <c r="B201" i="17"/>
  <c r="B198" i="18"/>
  <c r="B198" i="17"/>
  <c r="B196" i="18"/>
  <c r="B196" i="17"/>
  <c r="B194" i="18"/>
  <c r="B194" i="17"/>
  <c r="B188" i="18"/>
  <c r="B188" i="17"/>
  <c r="B219" i="17"/>
  <c r="B219" i="18"/>
  <c r="B215" i="17"/>
  <c r="B215" i="18"/>
  <c r="B207" i="17"/>
  <c r="B207" i="18"/>
  <c r="B203" i="17"/>
  <c r="B203" i="18"/>
  <c r="B199" i="17"/>
  <c r="B199" i="18"/>
  <c r="B197" i="17"/>
  <c r="B197" i="18"/>
  <c r="B192" i="18"/>
  <c r="B192" i="17"/>
  <c r="B190" i="17"/>
  <c r="B190" i="18"/>
  <c r="B224" i="18"/>
  <c r="B224" i="17"/>
  <c r="B222" i="18"/>
  <c r="B222" i="17"/>
  <c r="B220" i="17"/>
  <c r="B220" i="18"/>
  <c r="B214" i="17"/>
  <c r="B214" i="18"/>
  <c r="B212" i="17"/>
  <c r="B212" i="18"/>
  <c r="B211" i="17"/>
  <c r="B211" i="18"/>
  <c r="B208" i="17"/>
  <c r="B208" i="18"/>
  <c r="B206" i="17"/>
  <c r="B206" i="18"/>
  <c r="B204" i="17"/>
  <c r="B204" i="18"/>
  <c r="B202" i="17"/>
  <c r="B202" i="18"/>
  <c r="B200" i="17"/>
  <c r="B200" i="18"/>
  <c r="B191" i="17"/>
  <c r="B191" i="18"/>
  <c r="B189" i="17"/>
  <c r="B189" i="18"/>
  <c r="AF267" i="1"/>
  <c r="B11" i="18"/>
  <c r="B11" i="17"/>
  <c r="AE98" i="1"/>
  <c r="B217" i="17"/>
  <c r="B217" i="18"/>
  <c r="B210" i="17"/>
  <c r="B210" i="18"/>
  <c r="B209" i="17"/>
  <c r="B209" i="18"/>
  <c r="B205" i="17"/>
  <c r="B205" i="18"/>
  <c r="B195" i="17"/>
  <c r="B195" i="18"/>
  <c r="B193" i="17"/>
  <c r="B193" i="18"/>
  <c r="B187" i="18"/>
  <c r="B187" i="17"/>
  <c r="AE267" i="1"/>
  <c r="AF266" i="1"/>
  <c r="B186" i="17"/>
  <c r="B186" i="18"/>
  <c r="AE266" i="1"/>
  <c r="AF265" i="1"/>
  <c r="B185" i="17"/>
  <c r="B185" i="18"/>
  <c r="AE265" i="1"/>
  <c r="AF264" i="1"/>
  <c r="B184" i="17"/>
  <c r="B184" i="18"/>
  <c r="AE264" i="1"/>
  <c r="AF263" i="1"/>
  <c r="B183" i="17"/>
  <c r="B183" i="18"/>
  <c r="AE263" i="1"/>
  <c r="AF262" i="1"/>
  <c r="B182" i="18"/>
  <c r="B182" i="17"/>
  <c r="AE262" i="1"/>
  <c r="AF261" i="1"/>
  <c r="B181" i="18"/>
  <c r="B181" i="17"/>
  <c r="AE261" i="1"/>
  <c r="AF260" i="1"/>
  <c r="B180" i="17"/>
  <c r="B180" i="18"/>
  <c r="AE260" i="1"/>
  <c r="AF259" i="1"/>
  <c r="B179" i="18"/>
  <c r="B179" i="17"/>
  <c r="AE259" i="1"/>
  <c r="AF258" i="1"/>
  <c r="B178" i="18"/>
  <c r="B178" i="17"/>
  <c r="AE258" i="1"/>
  <c r="AF257" i="1"/>
  <c r="B177" i="18"/>
  <c r="B177" i="17"/>
  <c r="AE257" i="1"/>
  <c r="AF256" i="1"/>
  <c r="B176" i="18"/>
  <c r="B176" i="17"/>
  <c r="AE256" i="1"/>
  <c r="AF255" i="1"/>
  <c r="B175" i="17"/>
  <c r="B175" i="18"/>
  <c r="AE255" i="1"/>
  <c r="AF254" i="1"/>
  <c r="B174" i="18"/>
  <c r="B174" i="17"/>
  <c r="AE254" i="1"/>
  <c r="AF253" i="1"/>
  <c r="B173" i="18"/>
  <c r="B173" i="17"/>
  <c r="AE253" i="1"/>
  <c r="AF252" i="1"/>
  <c r="B172" i="18"/>
  <c r="B172" i="17"/>
  <c r="AE252" i="1"/>
  <c r="AF251" i="1"/>
  <c r="B171" i="18"/>
  <c r="B171" i="17"/>
  <c r="AE251" i="1"/>
  <c r="AF250" i="1"/>
  <c r="B170" i="17"/>
  <c r="B170" i="18"/>
  <c r="AE250" i="1"/>
  <c r="AF249" i="1"/>
  <c r="B169" i="18"/>
  <c r="B169" i="17"/>
  <c r="AE249" i="1"/>
  <c r="AF248" i="1"/>
  <c r="B168" i="18"/>
  <c r="B168" i="17"/>
  <c r="AE248" i="1"/>
  <c r="AF247" i="1"/>
  <c r="B167" i="17"/>
  <c r="B167" i="18"/>
  <c r="AE247" i="1"/>
  <c r="AF246" i="1"/>
  <c r="B166" i="17"/>
  <c r="B166" i="18"/>
  <c r="AE246" i="1"/>
  <c r="AF245" i="1"/>
  <c r="B165" i="18"/>
  <c r="B165" i="17"/>
  <c r="AE245" i="1"/>
  <c r="B164" i="17"/>
  <c r="B164" i="18"/>
  <c r="AF244" i="1"/>
  <c r="B163" i="17"/>
  <c r="B163" i="18"/>
  <c r="AE244" i="1"/>
  <c r="AF243" i="1"/>
  <c r="B162" i="18"/>
  <c r="B162" i="17"/>
  <c r="AE243" i="1"/>
  <c r="AF242" i="1"/>
  <c r="B161" i="18"/>
  <c r="B161" i="17"/>
  <c r="AE242" i="1"/>
  <c r="AF241" i="1"/>
  <c r="B160" i="18"/>
  <c r="B160" i="17"/>
  <c r="AE241" i="1"/>
  <c r="AF240" i="1"/>
  <c r="B159" i="18"/>
  <c r="B159" i="17"/>
  <c r="AE240" i="1"/>
  <c r="AF239" i="1"/>
  <c r="B158" i="18"/>
  <c r="B158" i="17"/>
  <c r="AE239" i="1"/>
  <c r="AF238" i="1"/>
  <c r="B157" i="18"/>
  <c r="B157" i="17"/>
  <c r="AE238" i="1"/>
  <c r="B156" i="17"/>
  <c r="B156" i="18"/>
  <c r="B155" i="18"/>
  <c r="B155" i="17"/>
  <c r="B154" i="18"/>
  <c r="B154" i="17"/>
  <c r="B153" i="18"/>
  <c r="B153" i="17"/>
  <c r="B152" i="17"/>
  <c r="B152" i="18"/>
  <c r="B151" i="18"/>
  <c r="B151" i="17"/>
  <c r="B150" i="18"/>
  <c r="B150" i="17"/>
  <c r="B149" i="17"/>
  <c r="B149" i="18"/>
  <c r="B148" i="18"/>
  <c r="B148" i="17"/>
  <c r="AF237" i="1"/>
  <c r="B147" i="18"/>
  <c r="B147" i="17"/>
  <c r="AE237" i="1"/>
  <c r="AF236" i="1"/>
  <c r="B146" i="18"/>
  <c r="B146" i="17"/>
  <c r="AE236" i="1"/>
  <c r="AF235" i="1"/>
  <c r="B145" i="17"/>
  <c r="B145" i="18"/>
  <c r="AE235" i="1"/>
  <c r="AF234" i="1"/>
  <c r="B144" i="18"/>
  <c r="B144" i="17"/>
  <c r="AE234" i="1"/>
  <c r="AF232" i="1"/>
  <c r="B143" i="18"/>
  <c r="B143" i="17"/>
  <c r="AE232" i="1"/>
  <c r="AF231" i="1"/>
  <c r="B142" i="18"/>
  <c r="B142" i="17"/>
  <c r="AE231" i="1"/>
  <c r="AF230" i="1"/>
  <c r="B141" i="18"/>
  <c r="B141" i="17"/>
  <c r="AE230" i="1"/>
  <c r="AF229" i="1"/>
  <c r="B140" i="18"/>
  <c r="B140" i="17"/>
  <c r="AE229" i="1"/>
  <c r="AF228" i="1"/>
  <c r="B139" i="18"/>
  <c r="B139" i="17"/>
  <c r="AE228" i="1"/>
  <c r="AF227" i="1"/>
  <c r="B138" i="17"/>
  <c r="B138" i="18"/>
  <c r="AE227" i="1"/>
  <c r="AF226" i="1"/>
  <c r="B137" i="18"/>
  <c r="B137" i="17"/>
  <c r="AE226" i="1"/>
  <c r="AF225" i="1"/>
  <c r="B136" i="18"/>
  <c r="B136" i="17"/>
  <c r="AE225" i="1"/>
  <c r="AF224" i="1"/>
  <c r="B135" i="18"/>
  <c r="B135" i="17"/>
  <c r="AE224" i="1"/>
  <c r="AF223" i="1"/>
  <c r="B134" i="18"/>
  <c r="B134" i="17"/>
  <c r="AE223" i="1"/>
  <c r="AF222" i="1"/>
  <c r="B133" i="18"/>
  <c r="B133" i="17"/>
  <c r="AE222" i="1"/>
  <c r="AF221" i="1"/>
  <c r="B132" i="18"/>
  <c r="B132" i="17"/>
  <c r="AE221" i="1"/>
  <c r="AF220" i="1"/>
  <c r="B131" i="17"/>
  <c r="B131" i="18"/>
  <c r="AE220" i="1"/>
  <c r="AF219" i="1"/>
  <c r="B130" i="17"/>
  <c r="B130" i="18"/>
  <c r="AE219" i="1"/>
  <c r="AF218" i="1"/>
  <c r="B129" i="18"/>
  <c r="B129" i="17"/>
  <c r="AE218" i="1"/>
  <c r="AF217" i="1"/>
  <c r="B128" i="18"/>
  <c r="B128" i="17"/>
  <c r="AE217" i="1"/>
  <c r="AF216" i="1"/>
  <c r="B127" i="17"/>
  <c r="B127" i="18"/>
  <c r="AE216" i="1"/>
  <c r="AF215" i="1"/>
  <c r="B126" i="17"/>
  <c r="B126" i="18"/>
  <c r="AE215" i="1"/>
  <c r="AF214" i="1"/>
  <c r="B125" i="18"/>
  <c r="B125" i="17"/>
  <c r="AE214" i="1"/>
  <c r="AF213" i="1"/>
  <c r="B124" i="18"/>
  <c r="B124" i="17"/>
  <c r="AE213" i="1"/>
  <c r="AF212" i="1"/>
  <c r="B123" i="18"/>
  <c r="B123" i="17"/>
  <c r="AE212" i="1"/>
  <c r="AF211" i="1"/>
  <c r="B122" i="17"/>
  <c r="B122" i="18"/>
  <c r="AE211" i="1"/>
  <c r="AF210" i="1"/>
  <c r="B121" i="18"/>
  <c r="B121" i="17"/>
  <c r="AE210" i="1"/>
  <c r="AF209" i="1"/>
  <c r="B120" i="17"/>
  <c r="B120" i="18"/>
  <c r="AE209" i="1"/>
  <c r="AF208" i="1"/>
  <c r="B119" i="17"/>
  <c r="B119" i="18"/>
  <c r="AE208" i="1"/>
  <c r="AF207" i="1"/>
  <c r="B118" i="18"/>
  <c r="B118" i="17"/>
  <c r="AE207" i="1"/>
  <c r="AF206" i="1"/>
  <c r="B117" i="18"/>
  <c r="B117" i="17"/>
  <c r="AE206" i="1"/>
  <c r="AF205" i="1"/>
  <c r="B116" i="17"/>
  <c r="B116" i="18"/>
  <c r="AE205" i="1"/>
  <c r="AF204" i="1"/>
  <c r="B115" i="18"/>
  <c r="B115" i="17"/>
  <c r="AE204" i="1"/>
  <c r="AF203" i="1"/>
  <c r="B114" i="18"/>
  <c r="B114" i="17"/>
  <c r="AE203" i="1"/>
  <c r="AF202" i="1"/>
  <c r="B113" i="17"/>
  <c r="B113" i="18"/>
  <c r="AE202" i="1"/>
  <c r="AF201" i="1"/>
  <c r="B112" i="18"/>
  <c r="B112" i="17"/>
  <c r="AE201" i="1"/>
  <c r="AF200" i="1"/>
  <c r="B111" i="18"/>
  <c r="B111" i="17"/>
  <c r="AE200" i="1"/>
  <c r="AF199" i="1"/>
  <c r="B110" i="18"/>
  <c r="B110" i="17"/>
  <c r="AE199" i="1"/>
  <c r="AF198" i="1"/>
  <c r="B109" i="18"/>
  <c r="B109" i="17"/>
  <c r="AE198" i="1"/>
  <c r="AF197" i="1"/>
  <c r="B108" i="18"/>
  <c r="B108" i="17"/>
  <c r="AE197" i="1"/>
  <c r="AF196" i="1"/>
  <c r="B107" i="18"/>
  <c r="B107" i="17"/>
  <c r="AE196" i="1"/>
  <c r="AF195" i="1"/>
  <c r="B106" i="17"/>
  <c r="B106" i="18"/>
  <c r="AE195" i="1"/>
  <c r="AF194" i="1"/>
  <c r="B105" i="17"/>
  <c r="B105" i="18"/>
  <c r="AE194" i="1"/>
  <c r="AF193" i="1"/>
  <c r="B104" i="17"/>
  <c r="B104" i="18"/>
  <c r="AE193" i="1"/>
  <c r="AF191" i="1"/>
  <c r="B103" i="17"/>
  <c r="B103" i="18"/>
  <c r="AE191" i="1"/>
  <c r="AF189" i="1"/>
  <c r="B102" i="18"/>
  <c r="B102" i="17"/>
  <c r="AE189" i="1"/>
  <c r="AF188" i="1"/>
  <c r="B101" i="18"/>
  <c r="B101" i="17"/>
  <c r="AE188" i="1"/>
  <c r="AF187" i="1"/>
  <c r="B100" i="17"/>
  <c r="B100" i="18"/>
  <c r="AE187" i="1"/>
  <c r="AF186" i="1"/>
  <c r="B99" i="17"/>
  <c r="B99" i="18"/>
  <c r="AE186" i="1"/>
  <c r="AF185" i="1"/>
  <c r="B98" i="18"/>
  <c r="B98" i="17"/>
  <c r="AE185" i="1"/>
  <c r="AF184" i="1"/>
  <c r="B97" i="18"/>
  <c r="B97" i="17"/>
  <c r="AE184" i="1"/>
  <c r="AF183" i="1"/>
  <c r="B96" i="17"/>
  <c r="B96" i="18"/>
  <c r="AE183" i="1"/>
  <c r="AF182" i="1"/>
  <c r="B95" i="18"/>
  <c r="B95" i="17"/>
  <c r="AE182" i="1"/>
  <c r="AF181" i="1"/>
  <c r="B94" i="18"/>
  <c r="B94" i="17"/>
  <c r="AE181" i="1"/>
  <c r="AF180" i="1"/>
  <c r="B93" i="18"/>
  <c r="B93" i="17"/>
  <c r="AE180" i="1"/>
  <c r="AF179" i="1"/>
  <c r="B92" i="18"/>
  <c r="B92" i="17"/>
  <c r="AE179" i="1"/>
  <c r="AF178" i="1"/>
  <c r="B91" i="17"/>
  <c r="B91" i="18"/>
  <c r="AE178" i="1"/>
  <c r="AF177" i="1"/>
  <c r="B90" i="18"/>
  <c r="B90" i="17"/>
  <c r="AE177" i="1"/>
  <c r="AF176" i="1"/>
  <c r="B89" i="18"/>
  <c r="B89" i="17"/>
  <c r="AE176" i="1"/>
  <c r="AF175" i="1"/>
  <c r="B88" i="17"/>
  <c r="B88" i="18"/>
  <c r="AE175" i="1"/>
  <c r="AF174" i="1"/>
  <c r="B87" i="18"/>
  <c r="B87" i="17"/>
  <c r="AE174" i="1"/>
  <c r="AF173" i="1"/>
  <c r="B86" i="17"/>
  <c r="B86" i="18"/>
  <c r="AE173" i="1"/>
  <c r="AF172" i="1"/>
  <c r="B85" i="18"/>
  <c r="B85" i="17"/>
  <c r="AE172" i="1"/>
  <c r="AF171" i="1"/>
  <c r="B84" i="18"/>
  <c r="B84" i="17"/>
  <c r="AE171" i="1"/>
  <c r="AF170" i="1"/>
  <c r="B83" i="18"/>
  <c r="B83" i="17"/>
  <c r="AE170" i="1"/>
  <c r="AF169" i="1"/>
  <c r="B82" i="18"/>
  <c r="B82" i="17"/>
  <c r="AE169" i="1"/>
  <c r="AF168" i="1"/>
  <c r="B81" i="18"/>
  <c r="B81" i="17"/>
  <c r="AE168" i="1"/>
  <c r="AF167" i="1"/>
  <c r="B80" i="18"/>
  <c r="B80" i="17"/>
  <c r="AE167" i="1"/>
  <c r="AF166" i="1"/>
  <c r="B79" i="17"/>
  <c r="B79" i="18"/>
  <c r="AE166" i="1"/>
  <c r="AF165" i="1"/>
  <c r="B78" i="18"/>
  <c r="B78" i="17"/>
  <c r="AE165" i="1"/>
  <c r="AF164" i="1"/>
  <c r="B77" i="18"/>
  <c r="B77" i="17"/>
  <c r="AE164" i="1"/>
  <c r="AF163" i="1"/>
  <c r="B76" i="18"/>
  <c r="B76" i="17"/>
  <c r="AE163" i="1"/>
  <c r="AF162" i="1"/>
  <c r="B75" i="18"/>
  <c r="B75" i="17"/>
  <c r="AE162" i="1"/>
  <c r="AF161" i="1"/>
  <c r="B74" i="18"/>
  <c r="B74" i="17"/>
  <c r="AE161" i="1"/>
  <c r="AF160" i="1"/>
  <c r="B73" i="18"/>
  <c r="B73" i="17"/>
  <c r="AE160" i="1"/>
  <c r="AF159" i="1"/>
  <c r="B72" i="18"/>
  <c r="B72" i="17"/>
  <c r="AE159" i="1"/>
  <c r="AF158" i="1"/>
  <c r="B71" i="18"/>
  <c r="B71" i="17"/>
  <c r="AE158" i="1"/>
  <c r="AF157" i="1"/>
  <c r="B70" i="18"/>
  <c r="B70" i="17"/>
  <c r="AE157" i="1"/>
  <c r="AF156" i="1"/>
  <c r="B69" i="18"/>
  <c r="B69" i="17"/>
  <c r="AE156" i="1"/>
  <c r="AF155" i="1"/>
  <c r="B68" i="18"/>
  <c r="B68" i="17"/>
  <c r="AE155" i="1"/>
  <c r="AF154" i="1"/>
  <c r="B67" i="18"/>
  <c r="B67" i="17"/>
  <c r="AE154" i="1"/>
  <c r="AF153" i="1"/>
  <c r="B66" i="18"/>
  <c r="B66" i="17"/>
  <c r="AE153" i="1"/>
  <c r="AF152" i="1"/>
  <c r="B65" i="18"/>
  <c r="B65" i="17"/>
  <c r="AE152" i="1"/>
  <c r="AF151" i="1"/>
  <c r="B64" i="18"/>
  <c r="B64" i="17"/>
  <c r="AE151" i="1"/>
  <c r="AF150" i="1"/>
  <c r="B63" i="18"/>
  <c r="B63" i="17"/>
  <c r="AE150" i="1"/>
  <c r="AF149" i="1"/>
  <c r="B62" i="18"/>
  <c r="B62" i="17"/>
  <c r="AE149" i="1"/>
  <c r="AF148" i="1"/>
  <c r="B61" i="18"/>
  <c r="B61" i="17"/>
  <c r="AE148" i="1"/>
  <c r="AF147" i="1"/>
  <c r="B60" i="18"/>
  <c r="B60" i="17"/>
  <c r="AE147" i="1"/>
  <c r="AF146" i="1"/>
  <c r="B59" i="18"/>
  <c r="B59" i="17"/>
  <c r="AE146" i="1"/>
  <c r="AF145" i="1"/>
  <c r="B58" i="18"/>
  <c r="B58" i="17"/>
  <c r="AE145" i="1"/>
  <c r="AF144" i="1"/>
  <c r="B57" i="18"/>
  <c r="B57" i="17"/>
  <c r="AE144" i="1"/>
  <c r="AF143" i="1"/>
  <c r="B56" i="18"/>
  <c r="B56" i="17"/>
  <c r="AE143" i="1"/>
  <c r="AF142" i="1"/>
  <c r="B55" i="18"/>
  <c r="B55" i="17"/>
  <c r="AE142" i="1"/>
  <c r="AF141" i="1"/>
  <c r="B54" i="18"/>
  <c r="B54" i="17"/>
  <c r="AE141" i="1"/>
  <c r="AF140" i="1"/>
  <c r="B53" i="18"/>
  <c r="B53" i="17"/>
  <c r="AE140" i="1"/>
  <c r="AF139" i="1"/>
  <c r="B52" i="18"/>
  <c r="B52" i="17"/>
  <c r="AE139" i="1"/>
  <c r="AF138" i="1"/>
  <c r="B51" i="18"/>
  <c r="B51" i="17"/>
  <c r="AE138" i="1"/>
  <c r="AF137" i="1"/>
  <c r="B50" i="18"/>
  <c r="B50" i="17"/>
  <c r="AE137" i="1"/>
  <c r="AF136" i="1"/>
  <c r="B49" i="18"/>
  <c r="B49" i="17"/>
  <c r="AE136" i="1"/>
  <c r="AF135" i="1"/>
  <c r="B48" i="18"/>
  <c r="B48" i="17"/>
  <c r="AE135" i="1"/>
  <c r="AF134" i="1"/>
  <c r="B47" i="18"/>
  <c r="B47" i="17"/>
  <c r="AE134" i="1"/>
  <c r="Q7" i="16" a="1"/>
  <c r="Q7" i="16" s="1"/>
  <c r="S9" i="16"/>
  <c r="S10" i="16"/>
  <c r="T12" i="16"/>
  <c r="T13" i="16"/>
  <c r="AB94" i="1"/>
  <c r="C23" i="31"/>
  <c r="W4" i="16"/>
  <c r="I5" i="16"/>
  <c r="Q5" i="16" a="1"/>
  <c r="W5" i="16"/>
  <c r="F6" i="16" a="1"/>
  <c r="F6" i="16" s="1"/>
  <c r="F8" i="16" s="1" a="1"/>
  <c r="F8" i="16" s="1"/>
  <c r="I6" i="16"/>
  <c r="Q6" i="16" a="1"/>
  <c r="Q6" i="16" s="1"/>
  <c r="N145" i="12"/>
  <c r="N177" i="12" s="1"/>
  <c r="N209" i="12" s="1"/>
  <c r="N241" i="12" s="1"/>
  <c r="N154" i="12"/>
  <c r="N186" i="12" s="1"/>
  <c r="N218" i="12" s="1"/>
  <c r="N55" i="12"/>
  <c r="N84" i="12"/>
  <c r="N116" i="12" s="1"/>
  <c r="N148" i="12" s="1"/>
  <c r="N180" i="12" s="1"/>
  <c r="N212" i="12" s="1"/>
  <c r="AF78" i="2"/>
  <c r="AF85" i="2"/>
  <c r="AH65" i="2"/>
  <c r="AH70" i="2"/>
  <c r="AF74" i="2"/>
  <c r="AF75" i="2" s="1"/>
  <c r="AF72" i="2"/>
  <c r="AH63" i="2"/>
  <c r="AH64" i="2" s="1"/>
  <c r="AH61" i="2"/>
  <c r="V74" i="2"/>
  <c r="V75" i="2" s="1"/>
  <c r="V72" i="2"/>
  <c r="X63" i="2"/>
  <c r="X64" i="2" s="1"/>
  <c r="X61" i="2"/>
  <c r="V78" i="2"/>
  <c r="V85" i="2"/>
  <c r="X65" i="2"/>
  <c r="X66" i="2" s="1"/>
  <c r="X70" i="2"/>
  <c r="L74" i="2"/>
  <c r="L75" i="2" s="1"/>
  <c r="L72" i="2"/>
  <c r="N63" i="2"/>
  <c r="N64" i="2" s="1"/>
  <c r="N61" i="2"/>
  <c r="L78" i="2"/>
  <c r="L85" i="2"/>
  <c r="N65" i="2"/>
  <c r="N66" i="2" s="1"/>
  <c r="N70" i="2"/>
  <c r="B74" i="2"/>
  <c r="B75" i="2" s="1"/>
  <c r="B72" i="2"/>
  <c r="B78" i="2"/>
  <c r="B85" i="2"/>
  <c r="D65" i="2"/>
  <c r="D70" i="2"/>
  <c r="D63" i="2"/>
  <c r="D64" i="2" s="1"/>
  <c r="D61" i="2"/>
  <c r="D68" i="2"/>
  <c r="D69" i="2"/>
  <c r="X56" i="2"/>
  <c r="L62" i="2"/>
  <c r="L65" i="2"/>
  <c r="N67" i="2"/>
  <c r="B67" i="2"/>
  <c r="B63" i="2"/>
  <c r="B66" i="2" s="1"/>
  <c r="B64" i="2"/>
  <c r="AP11" i="2"/>
  <c r="BL15" i="2"/>
  <c r="BL13" i="2"/>
  <c r="BJ26" i="2"/>
  <c r="BJ24" i="2"/>
  <c r="BB15" i="2"/>
  <c r="BB13" i="2"/>
  <c r="AZ26" i="2"/>
  <c r="AZ24" i="2"/>
  <c r="AR15" i="2"/>
  <c r="AR13" i="2"/>
  <c r="AP26" i="2"/>
  <c r="AP24" i="2"/>
  <c r="AH15" i="2"/>
  <c r="AH13" i="2"/>
  <c r="AH16" i="2" s="1"/>
  <c r="AF26" i="2"/>
  <c r="AF24" i="2"/>
  <c r="AF27" i="2" s="1"/>
  <c r="V26" i="2"/>
  <c r="V24" i="2"/>
  <c r="V27" i="2" s="1"/>
  <c r="X15" i="2"/>
  <c r="X13" i="2"/>
  <c r="X16" i="2" s="1"/>
  <c r="L26" i="2"/>
  <c r="L24" i="2"/>
  <c r="L27" i="2" s="1"/>
  <c r="N13" i="2"/>
  <c r="N16" i="2" s="1"/>
  <c r="N15" i="2"/>
  <c r="D15" i="2"/>
  <c r="D13" i="2"/>
  <c r="D16" i="2" s="1"/>
  <c r="B26" i="2"/>
  <c r="B24" i="2"/>
  <c r="B27" i="2" s="1"/>
  <c r="D20" i="2"/>
  <c r="D21" i="2"/>
  <c r="B19" i="2"/>
  <c r="F6" i="32"/>
  <c r="G6" i="32" s="1"/>
  <c r="H6" i="32" s="1"/>
  <c r="F7" i="32"/>
  <c r="G7" i="32" s="1"/>
  <c r="H7" i="32" s="1"/>
  <c r="F8" i="32"/>
  <c r="G8" i="32" s="1"/>
  <c r="H8" i="32" s="1"/>
  <c r="F9" i="32"/>
  <c r="G9" i="32" s="1"/>
  <c r="H9" i="32" s="1"/>
  <c r="F10" i="32"/>
  <c r="G10" i="32" s="1"/>
  <c r="H10" i="32" s="1"/>
  <c r="F11" i="32"/>
  <c r="G11" i="32" s="1"/>
  <c r="H11" i="32" s="1"/>
  <c r="F12" i="32"/>
  <c r="G12" i="32" s="1"/>
  <c r="H12" i="32" s="1"/>
  <c r="L50" i="21"/>
  <c r="L51" i="21" s="1"/>
  <c r="L55" i="21"/>
  <c r="L56" i="21" s="1"/>
  <c r="I960" i="1"/>
  <c r="L947" i="1"/>
  <c r="L948" i="1" s="1"/>
  <c r="L949" i="1" s="1"/>
  <c r="B15" i="2"/>
  <c r="B18" i="2" s="1"/>
  <c r="B16" i="2"/>
  <c r="L14" i="2"/>
  <c r="L17" i="2"/>
  <c r="N19" i="2"/>
  <c r="X8" i="2"/>
  <c r="D215" i="28"/>
  <c r="D216" i="28"/>
  <c r="D281" i="28"/>
  <c r="D282" i="28"/>
  <c r="D131" i="28"/>
  <c r="D132" i="28" s="1"/>
  <c r="D159" i="28"/>
  <c r="D161" i="28" s="1"/>
  <c r="D126" i="28"/>
  <c r="D154" i="28"/>
  <c r="D156" i="28" s="1"/>
  <c r="D143" i="28"/>
  <c r="D211" i="28"/>
  <c r="D125" i="28"/>
  <c r="D127" i="28" s="1"/>
  <c r="D142" i="28"/>
  <c r="D155" i="28" s="1"/>
  <c r="D52" i="28"/>
  <c r="D51" i="28"/>
  <c r="J82" i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H1193" i="1"/>
  <c r="H1207" i="1"/>
  <c r="H1192" i="1"/>
  <c r="H1038" i="1"/>
  <c r="C64" i="31"/>
  <c r="C66" i="31" s="1"/>
  <c r="C80" i="31"/>
  <c r="S17" i="18"/>
  <c r="T17" i="18"/>
  <c r="U17" i="18"/>
  <c r="V17" i="18"/>
  <c r="W17" i="18"/>
  <c r="X17" i="18"/>
  <c r="Y17" i="18"/>
  <c r="H883" i="1"/>
  <c r="H67" i="1"/>
  <c r="H885" i="1"/>
  <c r="C43" i="31"/>
  <c r="C45" i="31" s="1"/>
  <c r="H1145" i="1" s="1"/>
  <c r="H1147" i="1" s="1"/>
  <c r="D9" i="29"/>
  <c r="L960" i="1"/>
  <c r="D74" i="28"/>
  <c r="C38" i="22"/>
  <c r="H1099" i="1"/>
  <c r="H1115" i="1"/>
  <c r="H1111" i="1"/>
  <c r="H1116" i="1" s="1"/>
  <c r="H1165" i="1"/>
  <c r="H1130" i="1"/>
  <c r="H112" i="1"/>
  <c r="C30" i="22"/>
  <c r="L126" i="1"/>
  <c r="K32" i="19" s="1"/>
  <c r="N65" i="19" s="1"/>
  <c r="H128" i="1"/>
  <c r="H157" i="1"/>
  <c r="H159" i="1" s="1"/>
  <c r="L84" i="1"/>
  <c r="H876" i="1"/>
  <c r="H874" i="1"/>
  <c r="H873" i="1"/>
  <c r="L95" i="1"/>
  <c r="H1017" i="1"/>
  <c r="H1237" i="1"/>
  <c r="H1238" i="1" s="1"/>
  <c r="H1239" i="1" s="1"/>
  <c r="H1240" i="1" s="1"/>
  <c r="H1242" i="1" s="1"/>
  <c r="H1246" i="1" s="1"/>
  <c r="L86" i="1"/>
  <c r="H1004" i="1"/>
  <c r="H1006" i="1"/>
  <c r="D34" i="28"/>
  <c r="D168" i="28"/>
  <c r="D188" i="28"/>
  <c r="D193" i="28" s="1"/>
  <c r="H9" i="20"/>
  <c r="M9" i="20"/>
  <c r="H27" i="20"/>
  <c r="H32" i="20"/>
  <c r="M32" i="20"/>
  <c r="H50" i="20"/>
  <c r="M50" i="20"/>
  <c r="M27" i="20"/>
  <c r="D6" i="28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J85" i="1"/>
  <c r="I9" i="13"/>
  <c r="I10" i="13"/>
  <c r="C108" i="31"/>
  <c r="D73" i="28"/>
  <c r="D75" i="28" s="1"/>
  <c r="D46" i="28"/>
  <c r="F518" i="27"/>
  <c r="G518" i="27" s="1"/>
  <c r="D104" i="28"/>
  <c r="H1209" i="1"/>
  <c r="I302" i="1"/>
  <c r="H303" i="1"/>
  <c r="H5" i="30"/>
  <c r="H6" i="30" s="1"/>
  <c r="I1255" i="1"/>
  <c r="J1254" i="1"/>
  <c r="C12" i="22"/>
  <c r="C18" i="22"/>
  <c r="C17" i="22"/>
  <c r="C20" i="22"/>
  <c r="D12" i="22"/>
  <c r="D20" i="22"/>
  <c r="D17" i="22"/>
  <c r="D18" i="22"/>
  <c r="E12" i="22"/>
  <c r="E18" i="22"/>
  <c r="E17" i="22"/>
  <c r="E20" i="22"/>
  <c r="F12" i="22"/>
  <c r="F17" i="22"/>
  <c r="F20" i="22"/>
  <c r="F18" i="22"/>
  <c r="G12" i="22"/>
  <c r="G17" i="22"/>
  <c r="G20" i="22"/>
  <c r="G18" i="22"/>
  <c r="H12" i="22"/>
  <c r="H18" i="22"/>
  <c r="H17" i="22"/>
  <c r="H20" i="22"/>
  <c r="I12" i="22"/>
  <c r="I18" i="22"/>
  <c r="I20" i="22"/>
  <c r="I17" i="22"/>
  <c r="J12" i="22"/>
  <c r="J20" i="22"/>
  <c r="J18" i="22"/>
  <c r="J17" i="22"/>
  <c r="K12" i="22"/>
  <c r="K20" i="22"/>
  <c r="K18" i="22"/>
  <c r="K17" i="22"/>
  <c r="L12" i="22"/>
  <c r="L18" i="22"/>
  <c r="L20" i="22"/>
  <c r="L17" i="22"/>
  <c r="M12" i="22"/>
  <c r="M20" i="22"/>
  <c r="M18" i="22"/>
  <c r="M17" i="22"/>
  <c r="N12" i="22"/>
  <c r="N20" i="22"/>
  <c r="N17" i="22"/>
  <c r="N18" i="22"/>
  <c r="O12" i="22"/>
  <c r="O20" i="22"/>
  <c r="O18" i="22"/>
  <c r="O17" i="22"/>
  <c r="P12" i="22"/>
  <c r="P18" i="22"/>
  <c r="P17" i="22"/>
  <c r="P20" i="22"/>
  <c r="Q12" i="22"/>
  <c r="Q18" i="22"/>
  <c r="Q20" i="22"/>
  <c r="Q17" i="22"/>
  <c r="R12" i="22"/>
  <c r="R18" i="22"/>
  <c r="R20" i="22"/>
  <c r="R17" i="22"/>
  <c r="S12" i="22"/>
  <c r="S18" i="22"/>
  <c r="S20" i="22"/>
  <c r="S17" i="22"/>
  <c r="T12" i="22"/>
  <c r="T17" i="22"/>
  <c r="T18" i="22"/>
  <c r="T20" i="22"/>
  <c r="U12" i="22"/>
  <c r="U20" i="22"/>
  <c r="U17" i="22"/>
  <c r="U18" i="22"/>
  <c r="V12" i="22"/>
  <c r="V17" i="22"/>
  <c r="V18" i="22"/>
  <c r="V20" i="22"/>
  <c r="W12" i="22"/>
  <c r="W17" i="22"/>
  <c r="W20" i="22"/>
  <c r="W18" i="22"/>
  <c r="H292" i="1"/>
  <c r="I291" i="1"/>
  <c r="I280" i="1"/>
  <c r="G1254" i="1"/>
  <c r="J552" i="1"/>
  <c r="I553" i="1"/>
  <c r="J541" i="1"/>
  <c r="I542" i="1"/>
  <c r="F5" i="13" l="1"/>
  <c r="I8" i="13"/>
  <c r="M10" i="13" s="1"/>
  <c r="I7" i="13"/>
  <c r="M11" i="13" s="1"/>
  <c r="T6" i="13"/>
  <c r="T5" i="13"/>
  <c r="M9" i="13"/>
  <c r="F181" i="15"/>
  <c r="J149" i="15"/>
  <c r="X153" i="12" s="1"/>
  <c r="J146" i="15"/>
  <c r="X150" i="12" s="1"/>
  <c r="F178" i="15"/>
  <c r="K145" i="15"/>
  <c r="Y149" i="12" s="1"/>
  <c r="G177" i="15"/>
  <c r="J144" i="15"/>
  <c r="X148" i="12" s="1"/>
  <c r="F176" i="15"/>
  <c r="J143" i="15"/>
  <c r="X147" i="12" s="1"/>
  <c r="F175" i="15"/>
  <c r="K142" i="15"/>
  <c r="Y146" i="12" s="1"/>
  <c r="G174" i="15"/>
  <c r="J141" i="15"/>
  <c r="X145" i="12" s="1"/>
  <c r="F173" i="15"/>
  <c r="J140" i="15"/>
  <c r="X144" i="12" s="1"/>
  <c r="F172" i="15"/>
  <c r="J139" i="15"/>
  <c r="X143" i="12" s="1"/>
  <c r="F171" i="15"/>
  <c r="J138" i="15"/>
  <c r="X142" i="12" s="1"/>
  <c r="F170" i="15"/>
  <c r="J137" i="15"/>
  <c r="X141" i="12" s="1"/>
  <c r="F169" i="15"/>
  <c r="J136" i="15"/>
  <c r="X140" i="12" s="1"/>
  <c r="F168" i="15"/>
  <c r="J135" i="15"/>
  <c r="X139" i="12" s="1"/>
  <c r="F167" i="15"/>
  <c r="J134" i="15"/>
  <c r="X138" i="12" s="1"/>
  <c r="F166" i="15"/>
  <c r="J133" i="15"/>
  <c r="X137" i="12" s="1"/>
  <c r="F165" i="15"/>
  <c r="J132" i="15"/>
  <c r="X136" i="12" s="1"/>
  <c r="F164" i="15"/>
  <c r="J131" i="15"/>
  <c r="X135" i="12" s="1"/>
  <c r="F163" i="15"/>
  <c r="J130" i="15"/>
  <c r="X134" i="12" s="1"/>
  <c r="F162" i="15"/>
  <c r="J129" i="15"/>
  <c r="X133" i="12" s="1"/>
  <c r="F161" i="15"/>
  <c r="J128" i="15"/>
  <c r="X132" i="12" s="1"/>
  <c r="F160" i="15"/>
  <c r="J127" i="15"/>
  <c r="X131" i="12" s="1"/>
  <c r="F159" i="15"/>
  <c r="J126" i="15"/>
  <c r="X130" i="12" s="1"/>
  <c r="F158" i="15"/>
  <c r="J125" i="15"/>
  <c r="X129" i="12" s="1"/>
  <c r="F157" i="15"/>
  <c r="J124" i="15"/>
  <c r="X128" i="12" s="1"/>
  <c r="F156" i="15"/>
  <c r="J123" i="15"/>
  <c r="X127" i="12" s="1"/>
  <c r="F155" i="15"/>
  <c r="J122" i="15"/>
  <c r="X126" i="12" s="1"/>
  <c r="F154" i="15"/>
  <c r="J121" i="15"/>
  <c r="X125" i="12" s="1"/>
  <c r="F153" i="15"/>
  <c r="J120" i="15"/>
  <c r="X124" i="12" s="1"/>
  <c r="F152" i="15"/>
  <c r="J119" i="15"/>
  <c r="X123" i="12" s="1"/>
  <c r="F151" i="15"/>
  <c r="K118" i="15"/>
  <c r="Y122" i="12" s="1"/>
  <c r="G141" i="15"/>
  <c r="G150" i="15"/>
  <c r="J118" i="15"/>
  <c r="X122" i="12" s="1"/>
  <c r="F150" i="15"/>
  <c r="K117" i="15"/>
  <c r="Y121" i="12" s="1"/>
  <c r="G149" i="15"/>
  <c r="J116" i="15"/>
  <c r="X120" i="12" s="1"/>
  <c r="F148" i="15"/>
  <c r="J115" i="15"/>
  <c r="X119" i="12" s="1"/>
  <c r="F147" i="15"/>
  <c r="K114" i="15"/>
  <c r="Y118" i="12" s="1"/>
  <c r="G146" i="15"/>
  <c r="J113" i="15"/>
  <c r="X117" i="12" s="1"/>
  <c r="F145" i="15"/>
  <c r="J110" i="15"/>
  <c r="X114" i="12" s="1"/>
  <c r="F142" i="15"/>
  <c r="K47" i="15"/>
  <c r="Y51" i="12" s="1"/>
  <c r="G48" i="15"/>
  <c r="G79" i="15"/>
  <c r="M13" i="16"/>
  <c r="M14" i="16"/>
  <c r="M7" i="16"/>
  <c r="V9" i="16"/>
  <c r="W9" i="16"/>
  <c r="V10" i="16"/>
  <c r="W10" i="16"/>
  <c r="M8" i="16"/>
  <c r="L7" i="21" s="1"/>
  <c r="M5" i="16"/>
  <c r="N56" i="12"/>
  <c r="N88" i="12" s="1"/>
  <c r="N120" i="12" s="1"/>
  <c r="N152" i="12" s="1"/>
  <c r="N184" i="12" s="1"/>
  <c r="N216" i="12" s="1"/>
  <c r="N87" i="12"/>
  <c r="N119" i="12" s="1"/>
  <c r="N151" i="12" s="1"/>
  <c r="N183" i="12" s="1"/>
  <c r="N215" i="12" s="1"/>
  <c r="AF86" i="2"/>
  <c r="AF87" i="2"/>
  <c r="AF88" i="2"/>
  <c r="AF89" i="2"/>
  <c r="AH72" i="2"/>
  <c r="AH73" i="2"/>
  <c r="AH74" i="2"/>
  <c r="AH75" i="2"/>
  <c r="AF80" i="2"/>
  <c r="AF79" i="2"/>
  <c r="AF81" i="2" s="1"/>
  <c r="V80" i="2"/>
  <c r="V79" i="2"/>
  <c r="V81" i="2" s="1"/>
  <c r="V86" i="2"/>
  <c r="V87" i="2"/>
  <c r="V88" i="2"/>
  <c r="V89" i="2"/>
  <c r="X72" i="2"/>
  <c r="X73" i="2"/>
  <c r="X74" i="2"/>
  <c r="X75" i="2"/>
  <c r="L80" i="2"/>
  <c r="L79" i="2"/>
  <c r="L81" i="2" s="1"/>
  <c r="L86" i="2"/>
  <c r="L87" i="2"/>
  <c r="L88" i="2"/>
  <c r="L89" i="2"/>
  <c r="N72" i="2"/>
  <c r="N73" i="2"/>
  <c r="N74" i="2"/>
  <c r="N75" i="2"/>
  <c r="B80" i="2"/>
  <c r="B79" i="2"/>
  <c r="B81" i="2" s="1"/>
  <c r="B86" i="2"/>
  <c r="B91" i="2" s="1"/>
  <c r="B87" i="2"/>
  <c r="B88" i="2"/>
  <c r="B89" i="2"/>
  <c r="D72" i="2"/>
  <c r="D73" i="2"/>
  <c r="D74" i="2"/>
  <c r="D75" i="2"/>
  <c r="AH56" i="2"/>
  <c r="V62" i="2"/>
  <c r="V65" i="2"/>
  <c r="X67" i="2"/>
  <c r="L63" i="2"/>
  <c r="L90" i="2" s="1"/>
  <c r="L64" i="2"/>
  <c r="L66" i="2"/>
  <c r="L67" i="2"/>
  <c r="N68" i="2"/>
  <c r="N76" i="2" s="1"/>
  <c r="N69" i="2"/>
  <c r="N77" i="2" s="1"/>
  <c r="N78" i="2" s="1"/>
  <c r="B68" i="2"/>
  <c r="B70" i="2" s="1"/>
  <c r="B69" i="2"/>
  <c r="B84" i="2"/>
  <c r="AR16" i="2"/>
  <c r="AP27" i="2"/>
  <c r="AZ11" i="2"/>
  <c r="B20" i="2"/>
  <c r="B21" i="2"/>
  <c r="B22" i="2" s="1"/>
  <c r="L52" i="21"/>
  <c r="L11" i="21" s="1"/>
  <c r="L53" i="21"/>
  <c r="L57" i="21"/>
  <c r="L32" i="21" s="1"/>
  <c r="L58" i="21"/>
  <c r="B36" i="2"/>
  <c r="L15" i="2"/>
  <c r="L16" i="2"/>
  <c r="L18" i="2"/>
  <c r="L19" i="2"/>
  <c r="N20" i="2"/>
  <c r="N21" i="2"/>
  <c r="AH8" i="2"/>
  <c r="V14" i="2"/>
  <c r="V17" i="2"/>
  <c r="X19" i="2"/>
  <c r="D59" i="28"/>
  <c r="D76" i="28"/>
  <c r="E76" i="28" s="1"/>
  <c r="D54" i="28"/>
  <c r="L82" i="1"/>
  <c r="H1194" i="1"/>
  <c r="H1208" i="1"/>
  <c r="C65" i="31"/>
  <c r="M11" i="12"/>
  <c r="B10" i="12"/>
  <c r="I32" i="1"/>
  <c r="I31" i="1"/>
  <c r="H1150" i="1"/>
  <c r="H1097" i="1"/>
  <c r="H1100" i="1" s="1"/>
  <c r="C102" i="31" s="1"/>
  <c r="D128" i="31" s="1"/>
  <c r="H1135" i="1"/>
  <c r="H1149" i="1"/>
  <c r="H1151" i="1" s="1"/>
  <c r="H1195" i="1"/>
  <c r="K895" i="1"/>
  <c r="K896" i="1" s="1"/>
  <c r="I159" i="1"/>
  <c r="H160" i="1"/>
  <c r="H161" i="1" s="1"/>
  <c r="H184" i="1"/>
  <c r="H185" i="1" s="1"/>
  <c r="H875" i="1"/>
  <c r="I947" i="1" s="1"/>
  <c r="H1014" i="1"/>
  <c r="H1018" i="1"/>
  <c r="D199" i="28"/>
  <c r="L85" i="1"/>
  <c r="E519" i="27"/>
  <c r="D519" i="27"/>
  <c r="F519" i="27" s="1"/>
  <c r="G519" i="27" s="1"/>
  <c r="J302" i="1"/>
  <c r="I303" i="1"/>
  <c r="K1254" i="1"/>
  <c r="J1255" i="1"/>
  <c r="I5" i="30"/>
  <c r="I6" i="30" s="1"/>
  <c r="I292" i="1"/>
  <c r="J291" i="1"/>
  <c r="M26" i="20"/>
  <c r="M49" i="20"/>
  <c r="H49" i="20"/>
  <c r="M33" i="20"/>
  <c r="H33" i="20"/>
  <c r="H26" i="20"/>
  <c r="M10" i="20"/>
  <c r="H10" i="20"/>
  <c r="J280" i="1"/>
  <c r="G1255" i="1"/>
  <c r="F5" i="30"/>
  <c r="F6" i="30" s="1"/>
  <c r="K552" i="1"/>
  <c r="J553" i="1"/>
  <c r="K541" i="1"/>
  <c r="J542" i="1"/>
  <c r="F9" i="16"/>
  <c r="AH66" i="2"/>
  <c r="D66" i="2"/>
  <c r="D226" i="28"/>
  <c r="D292" i="28"/>
  <c r="D293" i="28" s="1"/>
  <c r="D134" i="28"/>
  <c r="D162" i="28"/>
  <c r="D157" i="28"/>
  <c r="M6" i="16"/>
  <c r="F7" i="16" a="1"/>
  <c r="F7" i="16" s="1"/>
  <c r="S13" i="13" l="1"/>
  <c r="T9" i="13"/>
  <c r="S12" i="13"/>
  <c r="T10" i="13"/>
  <c r="F14" i="13"/>
  <c r="J181" i="15"/>
  <c r="X185" i="12" s="1"/>
  <c r="F213" i="15"/>
  <c r="J213" i="15" s="1"/>
  <c r="X217" i="12" s="1"/>
  <c r="J178" i="15"/>
  <c r="X182" i="12" s="1"/>
  <c r="F210" i="15"/>
  <c r="J210" i="15" s="1"/>
  <c r="X214" i="12" s="1"/>
  <c r="K177" i="15"/>
  <c r="Y181" i="12" s="1"/>
  <c r="G209" i="15"/>
  <c r="K209" i="15" s="1"/>
  <c r="Y213" i="12" s="1"/>
  <c r="J176" i="15"/>
  <c r="X180" i="12" s="1"/>
  <c r="F208" i="15"/>
  <c r="J208" i="15" s="1"/>
  <c r="X212" i="12" s="1"/>
  <c r="J175" i="15"/>
  <c r="X179" i="12" s="1"/>
  <c r="F207" i="15"/>
  <c r="J207" i="15" s="1"/>
  <c r="X211" i="12" s="1"/>
  <c r="G206" i="15"/>
  <c r="K206" i="15" s="1"/>
  <c r="Y210" i="12" s="1"/>
  <c r="K174" i="15"/>
  <c r="Y178" i="12" s="1"/>
  <c r="J173" i="15"/>
  <c r="X177" i="12" s="1"/>
  <c r="F205" i="15"/>
  <c r="J205" i="15" s="1"/>
  <c r="X209" i="12" s="1"/>
  <c r="J172" i="15"/>
  <c r="X176" i="12" s="1"/>
  <c r="F204" i="15"/>
  <c r="F203" i="15"/>
  <c r="J171" i="15"/>
  <c r="X175" i="12" s="1"/>
  <c r="J170" i="15"/>
  <c r="X174" i="12" s="1"/>
  <c r="F202" i="15"/>
  <c r="J169" i="15"/>
  <c r="X173" i="12" s="1"/>
  <c r="F201" i="15"/>
  <c r="J168" i="15"/>
  <c r="X172" i="12" s="1"/>
  <c r="F200" i="15"/>
  <c r="J167" i="15"/>
  <c r="X171" i="12" s="1"/>
  <c r="F199" i="15"/>
  <c r="J166" i="15"/>
  <c r="X170" i="12" s="1"/>
  <c r="F198" i="15"/>
  <c r="J165" i="15"/>
  <c r="X169" i="12" s="1"/>
  <c r="F197" i="15"/>
  <c r="J164" i="15"/>
  <c r="X168" i="12" s="1"/>
  <c r="F196" i="15"/>
  <c r="J163" i="15"/>
  <c r="X167" i="12" s="1"/>
  <c r="F195" i="15"/>
  <c r="J162" i="15"/>
  <c r="X166" i="12" s="1"/>
  <c r="F194" i="15"/>
  <c r="F193" i="15"/>
  <c r="J161" i="15"/>
  <c r="X165" i="12" s="1"/>
  <c r="F192" i="15"/>
  <c r="J160" i="15"/>
  <c r="X164" i="12" s="1"/>
  <c r="F191" i="15"/>
  <c r="J159" i="15"/>
  <c r="X163" i="12" s="1"/>
  <c r="F190" i="15"/>
  <c r="J158" i="15"/>
  <c r="X162" i="12" s="1"/>
  <c r="J157" i="15"/>
  <c r="X161" i="12" s="1"/>
  <c r="F189" i="15"/>
  <c r="J156" i="15"/>
  <c r="X160" i="12" s="1"/>
  <c r="F188" i="15"/>
  <c r="F187" i="15"/>
  <c r="J155" i="15"/>
  <c r="X159" i="12" s="1"/>
  <c r="F186" i="15"/>
  <c r="J154" i="15"/>
  <c r="X158" i="12" s="1"/>
  <c r="F185" i="15"/>
  <c r="J153" i="15"/>
  <c r="X157" i="12" s="1"/>
  <c r="J152" i="15"/>
  <c r="X156" i="12" s="1"/>
  <c r="F184" i="15"/>
  <c r="J151" i="15"/>
  <c r="X155" i="12" s="1"/>
  <c r="F183" i="15"/>
  <c r="K141" i="15"/>
  <c r="Y145" i="12" s="1"/>
  <c r="G173" i="15"/>
  <c r="K150" i="15"/>
  <c r="Y154" i="12" s="1"/>
  <c r="G182" i="15"/>
  <c r="J150" i="15"/>
  <c r="X154" i="12" s="1"/>
  <c r="F182" i="15"/>
  <c r="G181" i="15"/>
  <c r="K149" i="15"/>
  <c r="Y153" i="12" s="1"/>
  <c r="J148" i="15"/>
  <c r="X152" i="12" s="1"/>
  <c r="F180" i="15"/>
  <c r="J147" i="15"/>
  <c r="X151" i="12" s="1"/>
  <c r="F179" i="15"/>
  <c r="G178" i="15"/>
  <c r="K146" i="15"/>
  <c r="Y150" i="12" s="1"/>
  <c r="J145" i="15"/>
  <c r="X149" i="12" s="1"/>
  <c r="F177" i="15"/>
  <c r="J142" i="15"/>
  <c r="X146" i="12" s="1"/>
  <c r="F174" i="15"/>
  <c r="K48" i="15"/>
  <c r="Y52" i="12" s="1"/>
  <c r="G51" i="15"/>
  <c r="G80" i="15"/>
  <c r="K79" i="15"/>
  <c r="Y83" i="12" s="1"/>
  <c r="G111" i="15"/>
  <c r="L6" i="21"/>
  <c r="C21" i="31"/>
  <c r="D77" i="2"/>
  <c r="D78" i="2" s="1"/>
  <c r="D76" i="2"/>
  <c r="AF62" i="2"/>
  <c r="AF65" i="2"/>
  <c r="AH67" i="2"/>
  <c r="V63" i="2"/>
  <c r="V90" i="2" s="1"/>
  <c r="V64" i="2"/>
  <c r="V66" i="2"/>
  <c r="V67" i="2"/>
  <c r="X68" i="2"/>
  <c r="X76" i="2" s="1"/>
  <c r="X69" i="2"/>
  <c r="X77" i="2" s="1"/>
  <c r="X78" i="2" s="1"/>
  <c r="L84" i="2"/>
  <c r="L91" i="2"/>
  <c r="L68" i="2"/>
  <c r="L70" i="2" s="1"/>
  <c r="L92" i="2" s="1"/>
  <c r="L205" i="1" s="1"/>
  <c r="L69" i="2"/>
  <c r="BJ11" i="2"/>
  <c r="BB16" i="2"/>
  <c r="AZ27" i="2"/>
  <c r="L36" i="2"/>
  <c r="L20" i="2"/>
  <c r="L21" i="2"/>
  <c r="L22" i="2" s="1"/>
  <c r="AR8" i="2"/>
  <c r="AF17" i="2"/>
  <c r="AH19" i="2"/>
  <c r="AF14" i="2"/>
  <c r="V15" i="2"/>
  <c r="V16" i="2"/>
  <c r="V18" i="2"/>
  <c r="V19" i="2"/>
  <c r="X20" i="2"/>
  <c r="X21" i="2"/>
  <c r="M12" i="12"/>
  <c r="M13" i="12" s="1"/>
  <c r="X11" i="12"/>
  <c r="X12" i="12" s="1"/>
  <c r="M14" i="12"/>
  <c r="X13" i="12"/>
  <c r="X14" i="12" s="1"/>
  <c r="B13" i="14"/>
  <c r="B11" i="12"/>
  <c r="H1197" i="1"/>
  <c r="H1198" i="1" s="1"/>
  <c r="H1199" i="1" s="1"/>
  <c r="H1210" i="1"/>
  <c r="H1211" i="1" s="1"/>
  <c r="H1214" i="1" s="1"/>
  <c r="H172" i="1"/>
  <c r="C32" i="22"/>
  <c r="C36" i="22"/>
  <c r="D520" i="27"/>
  <c r="E520" i="27"/>
  <c r="J303" i="1"/>
  <c r="K302" i="1"/>
  <c r="K1255" i="1"/>
  <c r="L1254" i="1"/>
  <c r="J5" i="30"/>
  <c r="J6" i="30" s="1"/>
  <c r="K291" i="1"/>
  <c r="J292" i="1"/>
  <c r="M34" i="20"/>
  <c r="H34" i="20"/>
  <c r="M48" i="20"/>
  <c r="H48" i="20"/>
  <c r="M25" i="20"/>
  <c r="H25" i="20"/>
  <c r="M11" i="20"/>
  <c r="H11" i="20"/>
  <c r="K280" i="1"/>
  <c r="H4" i="25"/>
  <c r="G20" i="25" s="1"/>
  <c r="G22" i="25" s="1"/>
  <c r="L552" i="1"/>
  <c r="K553" i="1"/>
  <c r="L541" i="1"/>
  <c r="K542" i="1"/>
  <c r="I8" i="16"/>
  <c r="M10" i="16" s="1"/>
  <c r="I7" i="16"/>
  <c r="M11" i="16" s="1"/>
  <c r="M9" i="16"/>
  <c r="D300" i="28"/>
  <c r="D174" i="28"/>
  <c r="C20" i="31"/>
  <c r="H1124" i="1"/>
  <c r="H1146" i="1" s="1"/>
  <c r="L4" i="21"/>
  <c r="F11" i="16"/>
  <c r="F10" i="16"/>
  <c r="B90" i="2"/>
  <c r="B92" i="2"/>
  <c r="L204" i="1" s="1"/>
  <c r="D164" i="28"/>
  <c r="D251" i="28"/>
  <c r="D230" i="28"/>
  <c r="D236" i="28"/>
  <c r="F15" i="13" l="1"/>
  <c r="F17" i="13"/>
  <c r="F16" i="13"/>
  <c r="J204" i="15"/>
  <c r="X208" i="12" s="1"/>
  <c r="F236" i="15"/>
  <c r="J236" i="15" s="1"/>
  <c r="X240" i="12" s="1"/>
  <c r="J203" i="15"/>
  <c r="X207" i="12" s="1"/>
  <c r="F235" i="15"/>
  <c r="J235" i="15" s="1"/>
  <c r="X239" i="12" s="1"/>
  <c r="J202" i="15"/>
  <c r="X206" i="12" s="1"/>
  <c r="F234" i="15"/>
  <c r="J234" i="15" s="1"/>
  <c r="X238" i="12" s="1"/>
  <c r="J201" i="15"/>
  <c r="X205" i="12" s="1"/>
  <c r="F233" i="15"/>
  <c r="J233" i="15" s="1"/>
  <c r="X237" i="12" s="1"/>
  <c r="F232" i="15"/>
  <c r="J232" i="15" s="1"/>
  <c r="X236" i="12" s="1"/>
  <c r="J200" i="15"/>
  <c r="X204" i="12" s="1"/>
  <c r="J199" i="15"/>
  <c r="X203" i="12" s="1"/>
  <c r="F231" i="15"/>
  <c r="J231" i="15" s="1"/>
  <c r="X235" i="12" s="1"/>
  <c r="J198" i="15"/>
  <c r="X202" i="12" s="1"/>
  <c r="F230" i="15"/>
  <c r="J230" i="15" s="1"/>
  <c r="X234" i="12" s="1"/>
  <c r="J197" i="15"/>
  <c r="X201" i="12" s="1"/>
  <c r="F229" i="15"/>
  <c r="J229" i="15" s="1"/>
  <c r="X233" i="12" s="1"/>
  <c r="J196" i="15"/>
  <c r="X200" i="12" s="1"/>
  <c r="F228" i="15"/>
  <c r="J228" i="15" s="1"/>
  <c r="X232" i="12" s="1"/>
  <c r="J195" i="15"/>
  <c r="X199" i="12" s="1"/>
  <c r="F227" i="15"/>
  <c r="J227" i="15" s="1"/>
  <c r="X231" i="12" s="1"/>
  <c r="F226" i="15"/>
  <c r="J226" i="15" s="1"/>
  <c r="X230" i="12" s="1"/>
  <c r="J194" i="15"/>
  <c r="X198" i="12" s="1"/>
  <c r="J193" i="15"/>
  <c r="X197" i="12" s="1"/>
  <c r="F225" i="15"/>
  <c r="J225" i="15" s="1"/>
  <c r="X229" i="12" s="1"/>
  <c r="J192" i="15"/>
  <c r="X196" i="12" s="1"/>
  <c r="F224" i="15"/>
  <c r="J224" i="15" s="1"/>
  <c r="X228" i="12" s="1"/>
  <c r="J191" i="15"/>
  <c r="X195" i="12" s="1"/>
  <c r="F223" i="15"/>
  <c r="J223" i="15" s="1"/>
  <c r="X227" i="12" s="1"/>
  <c r="F222" i="15"/>
  <c r="J222" i="15" s="1"/>
  <c r="X226" i="12" s="1"/>
  <c r="J190" i="15"/>
  <c r="X194" i="12" s="1"/>
  <c r="F221" i="15"/>
  <c r="J221" i="15" s="1"/>
  <c r="X225" i="12" s="1"/>
  <c r="J189" i="15"/>
  <c r="X193" i="12" s="1"/>
  <c r="F220" i="15"/>
  <c r="J220" i="15" s="1"/>
  <c r="X224" i="12" s="1"/>
  <c r="J188" i="15"/>
  <c r="X192" i="12" s="1"/>
  <c r="J187" i="15"/>
  <c r="X191" i="12" s="1"/>
  <c r="F219" i="15"/>
  <c r="J219" i="15" s="1"/>
  <c r="X223" i="12" s="1"/>
  <c r="F218" i="15"/>
  <c r="J218" i="15" s="1"/>
  <c r="X222" i="12" s="1"/>
  <c r="J186" i="15"/>
  <c r="X190" i="12" s="1"/>
  <c r="F217" i="15"/>
  <c r="J217" i="15" s="1"/>
  <c r="X221" i="12" s="1"/>
  <c r="J185" i="15"/>
  <c r="X189" i="12" s="1"/>
  <c r="J184" i="15"/>
  <c r="X188" i="12" s="1"/>
  <c r="F216" i="15"/>
  <c r="J216" i="15" s="1"/>
  <c r="X220" i="12" s="1"/>
  <c r="F215" i="15"/>
  <c r="J215" i="15" s="1"/>
  <c r="X219" i="12" s="1"/>
  <c r="J183" i="15"/>
  <c r="X187" i="12" s="1"/>
  <c r="K173" i="15"/>
  <c r="Y177" i="12" s="1"/>
  <c r="G205" i="15"/>
  <c r="K182" i="15"/>
  <c r="Y186" i="12" s="1"/>
  <c r="G214" i="15"/>
  <c r="K214" i="15" s="1"/>
  <c r="Y218" i="12" s="1"/>
  <c r="F214" i="15"/>
  <c r="J214" i="15" s="1"/>
  <c r="X218" i="12" s="1"/>
  <c r="J182" i="15"/>
  <c r="X186" i="12" s="1"/>
  <c r="K181" i="15"/>
  <c r="Y185" i="12" s="1"/>
  <c r="G213" i="15"/>
  <c r="K213" i="15" s="1"/>
  <c r="Y217" i="12" s="1"/>
  <c r="J180" i="15"/>
  <c r="X184" i="12" s="1"/>
  <c r="F212" i="15"/>
  <c r="J212" i="15" s="1"/>
  <c r="X216" i="12" s="1"/>
  <c r="F211" i="15"/>
  <c r="J211" i="15" s="1"/>
  <c r="X215" i="12" s="1"/>
  <c r="J179" i="15"/>
  <c r="X183" i="12" s="1"/>
  <c r="G210" i="15"/>
  <c r="K210" i="15" s="1"/>
  <c r="Y214" i="12" s="1"/>
  <c r="K178" i="15"/>
  <c r="Y182" i="12" s="1"/>
  <c r="J177" i="15"/>
  <c r="X181" i="12" s="1"/>
  <c r="F209" i="15"/>
  <c r="J209" i="15" s="1"/>
  <c r="X213" i="12" s="1"/>
  <c r="F206" i="15"/>
  <c r="J206" i="15" s="1"/>
  <c r="X210" i="12" s="1"/>
  <c r="J174" i="15"/>
  <c r="X178" i="12" s="1"/>
  <c r="K51" i="15"/>
  <c r="Y55" i="12" s="1"/>
  <c r="G52" i="15"/>
  <c r="G83" i="15"/>
  <c r="K80" i="15"/>
  <c r="Y84" i="12" s="1"/>
  <c r="G112" i="15"/>
  <c r="K111" i="15"/>
  <c r="Y115" i="12" s="1"/>
  <c r="G143" i="15"/>
  <c r="C24" i="31"/>
  <c r="C25" i="31"/>
  <c r="AF63" i="2"/>
  <c r="AF90" i="2" s="1"/>
  <c r="AF64" i="2"/>
  <c r="AF66" i="2"/>
  <c r="AF67" i="2"/>
  <c r="AH68" i="2"/>
  <c r="AH76" i="2" s="1"/>
  <c r="AH69" i="2"/>
  <c r="AH77" i="2" s="1"/>
  <c r="V84" i="2"/>
  <c r="V91" i="2"/>
  <c r="V68" i="2"/>
  <c r="V70" i="2" s="1"/>
  <c r="V92" i="2" s="1"/>
  <c r="L206" i="1" s="1"/>
  <c r="V69" i="2"/>
  <c r="BL16" i="2"/>
  <c r="BJ27" i="2"/>
  <c r="AP14" i="2"/>
  <c r="AP17" i="2"/>
  <c r="AR19" i="2"/>
  <c r="BB8" i="2"/>
  <c r="AF19" i="2"/>
  <c r="AH20" i="2"/>
  <c r="AH21" i="2"/>
  <c r="AF15" i="2"/>
  <c r="AF18" i="2" s="1"/>
  <c r="AF16" i="2"/>
  <c r="V36" i="2"/>
  <c r="V20" i="2"/>
  <c r="V21" i="2"/>
  <c r="V22" i="2" s="1"/>
  <c r="AE100" i="1"/>
  <c r="B13" i="17"/>
  <c r="B13" i="18"/>
  <c r="B12" i="12"/>
  <c r="B14" i="14"/>
  <c r="H175" i="1"/>
  <c r="L302" i="1"/>
  <c r="K303" i="1"/>
  <c r="L1255" i="1"/>
  <c r="M1254" i="1"/>
  <c r="K5" i="30"/>
  <c r="K6" i="30" s="1"/>
  <c r="L291" i="1"/>
  <c r="K292" i="1"/>
  <c r="M35" i="20"/>
  <c r="H35" i="20"/>
  <c r="M47" i="20"/>
  <c r="H47" i="20"/>
  <c r="M24" i="20"/>
  <c r="H24" i="20"/>
  <c r="M12" i="20"/>
  <c r="H12" i="20"/>
  <c r="L280" i="1"/>
  <c r="G25" i="25"/>
  <c r="G31" i="25"/>
  <c r="G37" i="25" s="1"/>
  <c r="M552" i="1"/>
  <c r="L553" i="1"/>
  <c r="M541" i="1"/>
  <c r="L542" i="1"/>
  <c r="H1051" i="1"/>
  <c r="C22" i="31"/>
  <c r="L5" i="21"/>
  <c r="L9" i="21"/>
  <c r="H36" i="1" s="1"/>
  <c r="L13" i="21"/>
  <c r="I9" i="16"/>
  <c r="I10" i="16"/>
  <c r="D258" i="28"/>
  <c r="F520" i="27"/>
  <c r="G520" i="27" s="1"/>
  <c r="F5" i="16"/>
  <c r="T6" i="16"/>
  <c r="T5" i="16"/>
  <c r="C26" i="31" l="1"/>
  <c r="I14" i="13" a="1"/>
  <c r="I14" i="13" s="1"/>
  <c r="F18" i="13"/>
  <c r="I15" i="13" a="1"/>
  <c r="I15" i="13" s="1"/>
  <c r="I17" i="13" a="1"/>
  <c r="I17" i="13" s="1"/>
  <c r="I16" i="13" a="1"/>
  <c r="I16" i="13" s="1"/>
  <c r="K205" i="15"/>
  <c r="Y209" i="12" s="1"/>
  <c r="G237" i="15"/>
  <c r="K237" i="15" s="1"/>
  <c r="Y241" i="12" s="1"/>
  <c r="K52" i="15"/>
  <c r="Y56" i="12" s="1"/>
  <c r="G84" i="15"/>
  <c r="K83" i="15"/>
  <c r="Y87" i="12" s="1"/>
  <c r="G115" i="15"/>
  <c r="K112" i="15"/>
  <c r="Y116" i="12" s="1"/>
  <c r="G144" i="15"/>
  <c r="K143" i="15"/>
  <c r="Y147" i="12" s="1"/>
  <c r="G175" i="15"/>
  <c r="H1044" i="1"/>
  <c r="AF84" i="2"/>
  <c r="AF91" i="2"/>
  <c r="AF68" i="2"/>
  <c r="AF70" i="2" s="1"/>
  <c r="AF92" i="2" s="1"/>
  <c r="AF69" i="2"/>
  <c r="AP15" i="2"/>
  <c r="AP16" i="2"/>
  <c r="AP18" i="2"/>
  <c r="AP19" i="2"/>
  <c r="AR20" i="2"/>
  <c r="AR21" i="2"/>
  <c r="BL8" i="2"/>
  <c r="AZ14" i="2"/>
  <c r="AZ17" i="2"/>
  <c r="BB19" i="2"/>
  <c r="AF20" i="2"/>
  <c r="AF21" i="2"/>
  <c r="AF22" i="2" s="1"/>
  <c r="AF36" i="2"/>
  <c r="B13" i="12"/>
  <c r="B16" i="14" s="1"/>
  <c r="B15" i="14"/>
  <c r="AE101" i="1"/>
  <c r="B14" i="17"/>
  <c r="B14" i="18"/>
  <c r="C34" i="22"/>
  <c r="M302" i="1"/>
  <c r="L303" i="1"/>
  <c r="M1255" i="1"/>
  <c r="N1254" i="1"/>
  <c r="L5" i="30"/>
  <c r="L6" i="30" s="1"/>
  <c r="L292" i="1"/>
  <c r="M291" i="1"/>
  <c r="H36" i="20"/>
  <c r="M46" i="20"/>
  <c r="H46" i="20"/>
  <c r="M36" i="20"/>
  <c r="M23" i="20"/>
  <c r="H23" i="20"/>
  <c r="M13" i="20"/>
  <c r="H13" i="20"/>
  <c r="M280" i="1"/>
  <c r="P34" i="25"/>
  <c r="J28" i="25" s="1"/>
  <c r="G28" i="25"/>
  <c r="H1226" i="1"/>
  <c r="J37" i="25"/>
  <c r="K37" i="25" s="1"/>
  <c r="H1225" i="1" s="1"/>
  <c r="N552" i="1"/>
  <c r="M553" i="1"/>
  <c r="N541" i="1"/>
  <c r="M542" i="1"/>
  <c r="C52" i="23"/>
  <c r="L219" i="1"/>
  <c r="C49" i="22" s="1"/>
  <c r="M158" i="1"/>
  <c r="I73" i="1"/>
  <c r="C8" i="27"/>
  <c r="C10" i="27" s="1"/>
  <c r="V15" i="27"/>
  <c r="V18" i="27" s="1"/>
  <c r="C16" i="27" s="1"/>
  <c r="C17" i="27" s="1"/>
  <c r="H1104" i="1"/>
  <c r="C27" i="22"/>
  <c r="M6" i="32"/>
  <c r="M7" i="32"/>
  <c r="M8" i="32"/>
  <c r="M9" i="32"/>
  <c r="M10" i="32"/>
  <c r="M11" i="32"/>
  <c r="M12" i="32"/>
  <c r="H24" i="1"/>
  <c r="L12" i="21"/>
  <c r="H25" i="1" s="1"/>
  <c r="H169" i="1" s="1"/>
  <c r="L18" i="21"/>
  <c r="L17" i="21" s="1"/>
  <c r="L14" i="21" s="1"/>
  <c r="E521" i="27"/>
  <c r="D521" i="27"/>
  <c r="F521" i="27" s="1"/>
  <c r="G521" i="27" s="1"/>
  <c r="F14" i="16"/>
  <c r="S12" i="16"/>
  <c r="S13" i="16"/>
  <c r="T10" i="16"/>
  <c r="T9" i="16"/>
  <c r="L15" i="21"/>
  <c r="AH78" i="2"/>
  <c r="Q5" i="14" a="1"/>
  <c r="W5" i="14"/>
  <c r="S9" i="14"/>
  <c r="Q6" i="14" a="1"/>
  <c r="Q6" i="14" s="1"/>
  <c r="T12" i="14"/>
  <c r="I6" i="14"/>
  <c r="I5" i="14"/>
  <c r="W4" i="14"/>
  <c r="T13" i="14"/>
  <c r="S10" i="14"/>
  <c r="Q7" i="14" a="1"/>
  <c r="Q7" i="14" s="1"/>
  <c r="F6" i="14" a="1"/>
  <c r="F6" i="14" s="1"/>
  <c r="H1045" i="1" l="1"/>
  <c r="C27" i="31"/>
  <c r="H1042" i="1" s="1"/>
  <c r="K84" i="15"/>
  <c r="Y88" i="12" s="1"/>
  <c r="G116" i="15"/>
  <c r="K115" i="15"/>
  <c r="Y119" i="12" s="1"/>
  <c r="G147" i="15"/>
  <c r="K144" i="15"/>
  <c r="Y148" i="12" s="1"/>
  <c r="G176" i="15"/>
  <c r="K175" i="15"/>
  <c r="Y179" i="12" s="1"/>
  <c r="G207" i="15"/>
  <c r="K207" i="15" s="1"/>
  <c r="Y211" i="12" s="1"/>
  <c r="L208" i="1"/>
  <c r="L207" i="1"/>
  <c r="AP36" i="2"/>
  <c r="AP20" i="2"/>
  <c r="AP21" i="2"/>
  <c r="AP22" i="2" s="1"/>
  <c r="BJ14" i="2"/>
  <c r="BJ17" i="2"/>
  <c r="BL19" i="2"/>
  <c r="AZ15" i="2"/>
  <c r="AZ16" i="2"/>
  <c r="AZ18" i="2"/>
  <c r="AZ19" i="2"/>
  <c r="BB20" i="2"/>
  <c r="BB21" i="2"/>
  <c r="AE103" i="1"/>
  <c r="B16" i="17"/>
  <c r="B16" i="18"/>
  <c r="AE102" i="1"/>
  <c r="B15" i="17"/>
  <c r="B15" i="18"/>
  <c r="M303" i="1"/>
  <c r="N302" i="1"/>
  <c r="G1257" i="1"/>
  <c r="N1255" i="1"/>
  <c r="M5" i="30"/>
  <c r="M6" i="30" s="1"/>
  <c r="M292" i="1"/>
  <c r="N291" i="1"/>
  <c r="M37" i="20"/>
  <c r="H37" i="20"/>
  <c r="M45" i="20"/>
  <c r="H45" i="20"/>
  <c r="M22" i="20"/>
  <c r="H22" i="20"/>
  <c r="M14" i="20"/>
  <c r="H14" i="20"/>
  <c r="N280" i="1"/>
  <c r="N281" i="1" s="1"/>
  <c r="G555" i="1"/>
  <c r="N553" i="1"/>
  <c r="G544" i="1"/>
  <c r="N542" i="1"/>
  <c r="BA208" i="1"/>
  <c r="BB208" i="1"/>
  <c r="BC208" i="1"/>
  <c r="BD208" i="1"/>
  <c r="L7" i="2"/>
  <c r="L29" i="2" s="1"/>
  <c r="AP7" i="2"/>
  <c r="AP29" i="2" s="1"/>
  <c r="AZ7" i="2"/>
  <c r="AZ29" i="2" s="1"/>
  <c r="BJ7" i="2"/>
  <c r="BJ29" i="2" s="1"/>
  <c r="B7" i="2"/>
  <c r="B29" i="2" s="1"/>
  <c r="V7" i="2"/>
  <c r="V29" i="2" s="1"/>
  <c r="AF7" i="2"/>
  <c r="AF29" i="2" s="1"/>
  <c r="G281" i="1"/>
  <c r="H281" i="1"/>
  <c r="I281" i="1"/>
  <c r="J281" i="1"/>
  <c r="K281" i="1"/>
  <c r="L281" i="1"/>
  <c r="M281" i="1"/>
  <c r="G531" i="1"/>
  <c r="H531" i="1"/>
  <c r="I531" i="1"/>
  <c r="J531" i="1"/>
  <c r="K531" i="1"/>
  <c r="L531" i="1"/>
  <c r="M531" i="1"/>
  <c r="N531" i="1"/>
  <c r="G534" i="1"/>
  <c r="H534" i="1"/>
  <c r="I534" i="1"/>
  <c r="J534" i="1"/>
  <c r="K534" i="1"/>
  <c r="L534" i="1"/>
  <c r="M534" i="1"/>
  <c r="N534" i="1"/>
  <c r="G537" i="1"/>
  <c r="H537" i="1"/>
  <c r="I537" i="1"/>
  <c r="J537" i="1"/>
  <c r="K537" i="1"/>
  <c r="I741" i="1"/>
  <c r="K741" i="1"/>
  <c r="C62" i="31"/>
  <c r="C63" i="31"/>
  <c r="C68" i="31" s="1"/>
  <c r="J741" i="1"/>
  <c r="N741" i="1"/>
  <c r="I744" i="1"/>
  <c r="K744" i="1"/>
  <c r="N744" i="1"/>
  <c r="H747" i="1"/>
  <c r="H744" i="1"/>
  <c r="G741" i="1"/>
  <c r="G744" i="1"/>
  <c r="L744" i="1"/>
  <c r="G747" i="1"/>
  <c r="J747" i="1"/>
  <c r="D3" i="28"/>
  <c r="G9" i="30"/>
  <c r="M741" i="1"/>
  <c r="M744" i="1"/>
  <c r="G10" i="30"/>
  <c r="I747" i="1"/>
  <c r="H1119" i="1"/>
  <c r="H1160" i="1"/>
  <c r="L741" i="1"/>
  <c r="J744" i="1"/>
  <c r="H741" i="1"/>
  <c r="K747" i="1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I79" i="1"/>
  <c r="J81" i="1"/>
  <c r="H167" i="1"/>
  <c r="C14" i="23"/>
  <c r="C26" i="22"/>
  <c r="H39" i="1"/>
  <c r="D522" i="27"/>
  <c r="F522" i="27" s="1"/>
  <c r="G522" i="27" s="1"/>
  <c r="E522" i="27"/>
  <c r="F17" i="16"/>
  <c r="F16" i="16"/>
  <c r="F15" i="16"/>
  <c r="H37" i="1"/>
  <c r="L20" i="21"/>
  <c r="H40" i="1" s="1"/>
  <c r="H43" i="1" s="1"/>
  <c r="L21" i="21"/>
  <c r="H41" i="1" s="1"/>
  <c r="M5" i="14"/>
  <c r="V9" i="14"/>
  <c r="W9" i="14"/>
  <c r="V10" i="14"/>
  <c r="W10" i="14"/>
  <c r="M6" i="14"/>
  <c r="F8" i="14" a="1"/>
  <c r="F8" i="14" s="1"/>
  <c r="F9" i="14" s="1"/>
  <c r="F7" i="14" a="1"/>
  <c r="F7" i="14" s="1"/>
  <c r="F10" i="14" s="1"/>
  <c r="K116" i="15" l="1"/>
  <c r="Y120" i="12" s="1"/>
  <c r="G148" i="15"/>
  <c r="G179" i="15"/>
  <c r="K147" i="15"/>
  <c r="Y151" i="12" s="1"/>
  <c r="K176" i="15"/>
  <c r="Y180" i="12" s="1"/>
  <c r="G208" i="15"/>
  <c r="K208" i="15" s="1"/>
  <c r="Y212" i="12" s="1"/>
  <c r="BJ15" i="2"/>
  <c r="BJ16" i="2"/>
  <c r="BJ18" i="2"/>
  <c r="BJ19" i="2"/>
  <c r="BL20" i="2"/>
  <c r="BL21" i="2"/>
  <c r="AZ36" i="2"/>
  <c r="AZ20" i="2"/>
  <c r="AZ21" i="2"/>
  <c r="AZ22" i="2" s="1"/>
  <c r="S9" i="17"/>
  <c r="S10" i="17"/>
  <c r="W4" i="17"/>
  <c r="I5" i="17"/>
  <c r="G305" i="1"/>
  <c r="N303" i="1"/>
  <c r="G1258" i="1"/>
  <c r="N5" i="30"/>
  <c r="N6" i="30" s="1"/>
  <c r="G294" i="1"/>
  <c r="N292" i="1"/>
  <c r="H38" i="20"/>
  <c r="M44" i="20"/>
  <c r="H44" i="20"/>
  <c r="M38" i="20"/>
  <c r="M21" i="20"/>
  <c r="H21" i="20"/>
  <c r="M15" i="20"/>
  <c r="H15" i="20"/>
  <c r="G283" i="1"/>
  <c r="H555" i="1"/>
  <c r="G556" i="1"/>
  <c r="G545" i="1"/>
  <c r="H544" i="1"/>
  <c r="BA209" i="1"/>
  <c r="BA210" i="1"/>
  <c r="BA211" i="1"/>
  <c r="BC209" i="1"/>
  <c r="BC210" i="1"/>
  <c r="BC211" i="1"/>
  <c r="BD209" i="1"/>
  <c r="BB209" i="1" s="1"/>
  <c r="BD210" i="1"/>
  <c r="BB210" i="1" s="1"/>
  <c r="BD211" i="1"/>
  <c r="BB211" i="1" s="1"/>
  <c r="N22" i="2"/>
  <c r="N17" i="2"/>
  <c r="N18" i="2" s="1"/>
  <c r="L37" i="2"/>
  <c r="L30" i="2"/>
  <c r="AR22" i="2"/>
  <c r="AR17" i="2"/>
  <c r="AR18" i="2" s="1"/>
  <c r="AP37" i="2"/>
  <c r="AP30" i="2"/>
  <c r="BB22" i="2"/>
  <c r="BB17" i="2"/>
  <c r="BB18" i="2" s="1"/>
  <c r="AZ37" i="2"/>
  <c r="AZ30" i="2"/>
  <c r="BL22" i="2"/>
  <c r="BL17" i="2"/>
  <c r="BL18" i="2" s="1"/>
  <c r="BJ37" i="2"/>
  <c r="BJ30" i="2"/>
  <c r="D22" i="2"/>
  <c r="D17" i="2"/>
  <c r="D18" i="2" s="1"/>
  <c r="B37" i="2"/>
  <c r="B30" i="2"/>
  <c r="X22" i="2"/>
  <c r="X17" i="2"/>
  <c r="X18" i="2" s="1"/>
  <c r="V37" i="2"/>
  <c r="V30" i="2"/>
  <c r="AH22" i="2"/>
  <c r="AH17" i="2"/>
  <c r="AH18" i="2" s="1"/>
  <c r="AF37" i="2"/>
  <c r="AF30" i="2"/>
  <c r="C67" i="31"/>
  <c r="C71" i="31"/>
  <c r="C72" i="31"/>
  <c r="C73" i="31"/>
  <c r="D198" i="28"/>
  <c r="D209" i="28" s="1"/>
  <c r="D194" i="28"/>
  <c r="D35" i="28"/>
  <c r="D304" i="28"/>
  <c r="D172" i="28"/>
  <c r="D10" i="28"/>
  <c r="G17" i="28"/>
  <c r="G21" i="28" s="1"/>
  <c r="D170" i="28"/>
  <c r="C98" i="31"/>
  <c r="H1161" i="1"/>
  <c r="H1162" i="1"/>
  <c r="R7" i="32"/>
  <c r="R8" i="32" s="1"/>
  <c r="R9" i="32" s="1"/>
  <c r="R10" i="32" s="1"/>
  <c r="R11" i="32" s="1"/>
  <c r="R12" i="32" s="1"/>
  <c r="H937" i="1" s="1"/>
  <c r="J87" i="1"/>
  <c r="L81" i="1"/>
  <c r="H258" i="1"/>
  <c r="L258" i="1"/>
  <c r="H273" i="1"/>
  <c r="L273" i="1"/>
  <c r="H507" i="1"/>
  <c r="L507" i="1"/>
  <c r="H518" i="1"/>
  <c r="L518" i="1"/>
  <c r="H929" i="1"/>
  <c r="L852" i="1"/>
  <c r="H176" i="1"/>
  <c r="L217" i="1"/>
  <c r="C47" i="22" s="1"/>
  <c r="H38" i="1"/>
  <c r="H135" i="1" s="1"/>
  <c r="C25" i="22"/>
  <c r="C17" i="23"/>
  <c r="C51" i="23"/>
  <c r="D523" i="27"/>
  <c r="E523" i="27"/>
  <c r="I17" i="16" a="1"/>
  <c r="I17" i="16" s="1"/>
  <c r="I16" i="16" a="1"/>
  <c r="I16" i="16" s="1"/>
  <c r="I14" i="16" a="1"/>
  <c r="I14" i="16" s="1"/>
  <c r="F18" i="16"/>
  <c r="I15" i="16" a="1"/>
  <c r="I15" i="16" s="1"/>
  <c r="L951" i="1"/>
  <c r="L952" i="1" s="1"/>
  <c r="L953" i="1" s="1"/>
  <c r="I962" i="1"/>
  <c r="I963" i="1" s="1"/>
  <c r="I964" i="1" s="1"/>
  <c r="C9" i="27"/>
  <c r="C24" i="27" s="1"/>
  <c r="C28" i="22"/>
  <c r="H42" i="1"/>
  <c r="H44" i="1" s="1"/>
  <c r="N6" i="32"/>
  <c r="O6" i="32"/>
  <c r="N7" i="32"/>
  <c r="O7" i="32"/>
  <c r="N8" i="32"/>
  <c r="O8" i="32"/>
  <c r="N9" i="32"/>
  <c r="O9" i="32"/>
  <c r="N10" i="32"/>
  <c r="N11" i="32"/>
  <c r="N12" i="32"/>
  <c r="I8" i="14"/>
  <c r="M10" i="14" s="1"/>
  <c r="I7" i="14"/>
  <c r="M11" i="14" s="1"/>
  <c r="M9" i="14"/>
  <c r="I9" i="14"/>
  <c r="I10" i="14"/>
  <c r="L25" i="21"/>
  <c r="C18" i="27"/>
  <c r="C20" i="27" s="1"/>
  <c r="M7" i="14"/>
  <c r="M15" i="14"/>
  <c r="M14" i="14"/>
  <c r="I11" i="14"/>
  <c r="I12" i="14" s="1"/>
  <c r="F11" i="14"/>
  <c r="S10" i="18"/>
  <c r="I5" i="18"/>
  <c r="W4" i="18"/>
  <c r="S9" i="18"/>
  <c r="L218" i="1"/>
  <c r="C48" i="22" s="1"/>
  <c r="I951" i="1"/>
  <c r="I952" i="1" s="1"/>
  <c r="I953" i="1" s="1"/>
  <c r="K148" i="15" l="1"/>
  <c r="Y152" i="12" s="1"/>
  <c r="G180" i="15"/>
  <c r="K179" i="15"/>
  <c r="Y183" i="12" s="1"/>
  <c r="G211" i="15"/>
  <c r="K211" i="15" s="1"/>
  <c r="Y215" i="12" s="1"/>
  <c r="BJ36" i="2"/>
  <c r="BJ20" i="2"/>
  <c r="BJ21" i="2"/>
  <c r="BJ22" i="2" s="1"/>
  <c r="H305" i="1"/>
  <c r="G306" i="1"/>
  <c r="H1235" i="1"/>
  <c r="H4" i="26"/>
  <c r="G20" i="26" s="1"/>
  <c r="G22" i="26" s="1"/>
  <c r="H294" i="1"/>
  <c r="G295" i="1"/>
  <c r="G284" i="1"/>
  <c r="M43" i="20"/>
  <c r="H43" i="20"/>
  <c r="M39" i="20"/>
  <c r="H39" i="20"/>
  <c r="M20" i="20"/>
  <c r="H20" i="20"/>
  <c r="M16" i="20"/>
  <c r="H16" i="20"/>
  <c r="H283" i="1"/>
  <c r="I555" i="1"/>
  <c r="H556" i="1"/>
  <c r="H545" i="1"/>
  <c r="I544" i="1"/>
  <c r="N24" i="2"/>
  <c r="N25" i="2"/>
  <c r="N26" i="2"/>
  <c r="N27" i="2"/>
  <c r="L38" i="2"/>
  <c r="L39" i="2"/>
  <c r="L40" i="2"/>
  <c r="L41" i="2"/>
  <c r="L31" i="2"/>
  <c r="L32" i="2"/>
  <c r="L33" i="2" s="1"/>
  <c r="AR24" i="2"/>
  <c r="AR25" i="2"/>
  <c r="AR26" i="2"/>
  <c r="AR27" i="2"/>
  <c r="AP38" i="2"/>
  <c r="AP39" i="2"/>
  <c r="AP40" i="2"/>
  <c r="AP41" i="2"/>
  <c r="AP32" i="2"/>
  <c r="AP33" i="2" s="1"/>
  <c r="AP31" i="2"/>
  <c r="BB24" i="2"/>
  <c r="BB25" i="2"/>
  <c r="BB26" i="2"/>
  <c r="BB27" i="2"/>
  <c r="AZ38" i="2"/>
  <c r="AZ39" i="2"/>
  <c r="AZ40" i="2"/>
  <c r="AZ41" i="2"/>
  <c r="AZ32" i="2"/>
  <c r="AZ33" i="2" s="1"/>
  <c r="AZ31" i="2"/>
  <c r="BL24" i="2"/>
  <c r="BL25" i="2"/>
  <c r="BL26" i="2"/>
  <c r="BL27" i="2"/>
  <c r="BJ38" i="2"/>
  <c r="BJ39" i="2"/>
  <c r="BJ40" i="2"/>
  <c r="BJ41" i="2"/>
  <c r="BJ32" i="2"/>
  <c r="BJ33" i="2" s="1"/>
  <c r="BJ31" i="2"/>
  <c r="D24" i="2"/>
  <c r="D25" i="2"/>
  <c r="D26" i="2"/>
  <c r="D27" i="2"/>
  <c r="B38" i="2"/>
  <c r="B39" i="2"/>
  <c r="B40" i="2"/>
  <c r="B41" i="2"/>
  <c r="B31" i="2"/>
  <c r="B32" i="2"/>
  <c r="B33" i="2" s="1"/>
  <c r="X24" i="2"/>
  <c r="X25" i="2"/>
  <c r="X26" i="2"/>
  <c r="X27" i="2"/>
  <c r="V38" i="2"/>
  <c r="V39" i="2"/>
  <c r="V40" i="2"/>
  <c r="V41" i="2"/>
  <c r="V31" i="2"/>
  <c r="V32" i="2"/>
  <c r="V33" i="2" s="1"/>
  <c r="AH24" i="2"/>
  <c r="AH25" i="2"/>
  <c r="AH26" i="2"/>
  <c r="AH27" i="2"/>
  <c r="AF38" i="2"/>
  <c r="AF39" i="2"/>
  <c r="AF40" i="2"/>
  <c r="AF41" i="2"/>
  <c r="AF32" i="2"/>
  <c r="AF33" i="2" s="1"/>
  <c r="AF31" i="2"/>
  <c r="C132" i="31"/>
  <c r="C88" i="31"/>
  <c r="C103" i="31"/>
  <c r="H1062" i="1"/>
  <c r="K1073" i="1"/>
  <c r="H1138" i="1"/>
  <c r="C95" i="31"/>
  <c r="E236" i="28"/>
  <c r="E230" i="28"/>
  <c r="E258" i="28"/>
  <c r="E251" i="28"/>
  <c r="E293" i="28"/>
  <c r="E164" i="28"/>
  <c r="E134" i="28"/>
  <c r="E54" i="28"/>
  <c r="E59" i="28"/>
  <c r="E104" i="28"/>
  <c r="D47" i="28"/>
  <c r="D309" i="28"/>
  <c r="D262" i="28"/>
  <c r="D265" i="28" s="1"/>
  <c r="D232" i="28"/>
  <c r="G22" i="28"/>
  <c r="D238" i="28"/>
  <c r="C127" i="31"/>
  <c r="L853" i="1"/>
  <c r="H179" i="1"/>
  <c r="H188" i="1" s="1"/>
  <c r="I194" i="1" s="1"/>
  <c r="H180" i="1"/>
  <c r="H189" i="1" s="1"/>
  <c r="I195" i="1" s="1"/>
  <c r="C35" i="22"/>
  <c r="G137" i="1"/>
  <c r="C18" i="23"/>
  <c r="C20" i="23" s="1"/>
  <c r="C22" i="23" s="1"/>
  <c r="C19" i="23"/>
  <c r="C21" i="23" s="1"/>
  <c r="C23" i="23" s="1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C26" i="27"/>
  <c r="C23" i="27" s="1"/>
  <c r="C25" i="27"/>
  <c r="H1293" i="1" s="1"/>
  <c r="C28" i="31"/>
  <c r="L26" i="21"/>
  <c r="C19" i="27"/>
  <c r="C30" i="27" s="1"/>
  <c r="L30" i="21"/>
  <c r="I36" i="1" s="1"/>
  <c r="M162" i="1" s="1"/>
  <c r="M8" i="14"/>
  <c r="L28" i="21" s="1"/>
  <c r="L27" i="21"/>
  <c r="M14" i="18"/>
  <c r="M15" i="18" s="1"/>
  <c r="M14" i="17"/>
  <c r="M15" i="17" s="1"/>
  <c r="D173" i="28"/>
  <c r="D180" i="28" s="1"/>
  <c r="D182" i="28" s="1"/>
  <c r="H1167" i="1"/>
  <c r="F523" i="27"/>
  <c r="G523" i="27" s="1"/>
  <c r="F5" i="14"/>
  <c r="T10" i="14" s="1"/>
  <c r="T6" i="14"/>
  <c r="T5" i="14"/>
  <c r="L34" i="21" l="1"/>
  <c r="I24" i="1" s="1"/>
  <c r="BJ43" i="2"/>
  <c r="K180" i="15"/>
  <c r="Y184" i="12" s="1"/>
  <c r="G212" i="15"/>
  <c r="K212" i="15" s="1"/>
  <c r="Y216" i="12" s="1"/>
  <c r="H306" i="1"/>
  <c r="I305" i="1"/>
  <c r="G25" i="26"/>
  <c r="G31" i="26"/>
  <c r="G37" i="26" s="1"/>
  <c r="I294" i="1"/>
  <c r="H295" i="1"/>
  <c r="H284" i="1"/>
  <c r="H40" i="20"/>
  <c r="M42" i="20"/>
  <c r="H42" i="20"/>
  <c r="M40" i="20"/>
  <c r="M19" i="20"/>
  <c r="H19" i="20"/>
  <c r="M17" i="20"/>
  <c r="H17" i="20"/>
  <c r="I283" i="1"/>
  <c r="J555" i="1"/>
  <c r="I556" i="1"/>
  <c r="J544" i="1"/>
  <c r="I545" i="1"/>
  <c r="N29" i="2"/>
  <c r="N28" i="2"/>
  <c r="L43" i="2"/>
  <c r="L42" i="2"/>
  <c r="AR29" i="2"/>
  <c r="AR28" i="2"/>
  <c r="AP43" i="2"/>
  <c r="AP42" i="2"/>
  <c r="BB28" i="2"/>
  <c r="BB29" i="2"/>
  <c r="AZ43" i="2"/>
  <c r="AZ42" i="2"/>
  <c r="BL29" i="2"/>
  <c r="BL28" i="2"/>
  <c r="D29" i="2"/>
  <c r="D28" i="2"/>
  <c r="B43" i="2"/>
  <c r="B42" i="2"/>
  <c r="X28" i="2"/>
  <c r="X29" i="2"/>
  <c r="V43" i="2"/>
  <c r="V42" i="2"/>
  <c r="AH29" i="2"/>
  <c r="AH28" i="2"/>
  <c r="AF43" i="2"/>
  <c r="AF42" i="2"/>
  <c r="M13" i="1"/>
  <c r="C125" i="31"/>
  <c r="C128" i="31"/>
  <c r="C104" i="31"/>
  <c r="E128" i="31" s="1"/>
  <c r="H1081" i="1"/>
  <c r="H1154" i="1"/>
  <c r="C126" i="31"/>
  <c r="D313" i="28"/>
  <c r="E313" i="28" s="1"/>
  <c r="E309" i="28"/>
  <c r="D269" i="28"/>
  <c r="E269" i="28" s="1"/>
  <c r="E265" i="28"/>
  <c r="L856" i="1"/>
  <c r="U853" i="1"/>
  <c r="L855" i="1"/>
  <c r="L854" i="1"/>
  <c r="L857" i="1" s="1"/>
  <c r="L858" i="1" s="1"/>
  <c r="H854" i="1" s="1"/>
  <c r="I11" i="32"/>
  <c r="I10" i="32"/>
  <c r="I9" i="32"/>
  <c r="I8" i="32"/>
  <c r="I7" i="32"/>
  <c r="I6" i="32"/>
  <c r="I980" i="1"/>
  <c r="H1107" i="1"/>
  <c r="H926" i="1"/>
  <c r="H925" i="1"/>
  <c r="I978" i="1"/>
  <c r="H1025" i="1"/>
  <c r="H1026" i="1" s="1"/>
  <c r="H1020" i="1" s="1"/>
  <c r="H750" i="1"/>
  <c r="F2" i="20" s="1"/>
  <c r="I981" i="1"/>
  <c r="H749" i="1"/>
  <c r="H218" i="1"/>
  <c r="K231" i="1" s="1"/>
  <c r="L231" i="1" s="1"/>
  <c r="H221" i="1" s="1"/>
  <c r="H224" i="1" s="1"/>
  <c r="K194" i="1"/>
  <c r="I193" i="1" s="1"/>
  <c r="M167" i="1"/>
  <c r="D109" i="22" s="1"/>
  <c r="M166" i="1"/>
  <c r="J11" i="32"/>
  <c r="J10" i="32"/>
  <c r="J9" i="32"/>
  <c r="J8" i="32"/>
  <c r="J7" i="32"/>
  <c r="J6" i="32"/>
  <c r="H1027" i="1"/>
  <c r="H1028" i="1" s="1"/>
  <c r="H1019" i="1" s="1"/>
  <c r="H219" i="1"/>
  <c r="K232" i="1" s="1"/>
  <c r="L232" i="1" s="1"/>
  <c r="H222" i="1" s="1"/>
  <c r="H225" i="1" s="1"/>
  <c r="K195" i="1"/>
  <c r="K55" i="22"/>
  <c r="K57" i="22" s="1"/>
  <c r="K59" i="22" s="1"/>
  <c r="H55" i="22"/>
  <c r="H57" i="22" s="1"/>
  <c r="H59" i="22" s="1"/>
  <c r="D55" i="22"/>
  <c r="D57" i="22" s="1"/>
  <c r="D59" i="22" s="1"/>
  <c r="J55" i="22"/>
  <c r="J57" i="22" s="1"/>
  <c r="J59" i="22" s="1"/>
  <c r="I55" i="22"/>
  <c r="I57" i="22" s="1"/>
  <c r="I59" i="22" s="1"/>
  <c r="G55" i="22"/>
  <c r="G57" i="22" s="1"/>
  <c r="G59" i="22" s="1"/>
  <c r="E55" i="22"/>
  <c r="E57" i="22" s="1"/>
  <c r="E59" i="22" s="1"/>
  <c r="T56" i="22"/>
  <c r="T58" i="22" s="1"/>
  <c r="T60" i="22" s="1"/>
  <c r="W56" i="22"/>
  <c r="W58" i="22" s="1"/>
  <c r="W60" i="22" s="1"/>
  <c r="U56" i="22"/>
  <c r="U58" i="22" s="1"/>
  <c r="U60" i="22" s="1"/>
  <c r="R56" i="22"/>
  <c r="R58" i="22" s="1"/>
  <c r="R60" i="22" s="1"/>
  <c r="I56" i="22"/>
  <c r="I58" i="22" s="1"/>
  <c r="I60" i="22" s="1"/>
  <c r="F55" i="22"/>
  <c r="F57" i="22" s="1"/>
  <c r="F59" i="22" s="1"/>
  <c r="C55" i="22"/>
  <c r="C57" i="22" s="1"/>
  <c r="C59" i="22" s="1"/>
  <c r="V56" i="22"/>
  <c r="V58" i="22" s="1"/>
  <c r="V60" i="22" s="1"/>
  <c r="S56" i="22"/>
  <c r="S58" i="22" s="1"/>
  <c r="S60" i="22" s="1"/>
  <c r="Q56" i="22"/>
  <c r="Q58" i="22" s="1"/>
  <c r="Q60" i="22" s="1"/>
  <c r="P56" i="22"/>
  <c r="P58" i="22" s="1"/>
  <c r="P60" i="22" s="1"/>
  <c r="O56" i="22"/>
  <c r="O58" i="22" s="1"/>
  <c r="O60" i="22" s="1"/>
  <c r="N56" i="22"/>
  <c r="N58" i="22" s="1"/>
  <c r="N60" i="22" s="1"/>
  <c r="M56" i="22"/>
  <c r="M58" i="22" s="1"/>
  <c r="M60" i="22" s="1"/>
  <c r="L56" i="22"/>
  <c r="L58" i="22" s="1"/>
  <c r="L60" i="22" s="1"/>
  <c r="K56" i="22"/>
  <c r="K58" i="22" s="1"/>
  <c r="K60" i="22" s="1"/>
  <c r="J56" i="22"/>
  <c r="J58" i="22" s="1"/>
  <c r="J60" i="22" s="1"/>
  <c r="H56" i="22"/>
  <c r="H58" i="22" s="1"/>
  <c r="H60" i="22" s="1"/>
  <c r="G56" i="22"/>
  <c r="G58" i="22" s="1"/>
  <c r="G60" i="22" s="1"/>
  <c r="F56" i="22"/>
  <c r="F58" i="22" s="1"/>
  <c r="F60" i="22" s="1"/>
  <c r="E56" i="22"/>
  <c r="E58" i="22" s="1"/>
  <c r="E60" i="22" s="1"/>
  <c r="D56" i="22"/>
  <c r="D58" i="22" s="1"/>
  <c r="D60" i="22" s="1"/>
  <c r="C56" i="22"/>
  <c r="C58" i="22" s="1"/>
  <c r="C60" i="22" s="1"/>
  <c r="W55" i="22"/>
  <c r="W57" i="22" s="1"/>
  <c r="W59" i="22" s="1"/>
  <c r="V55" i="22"/>
  <c r="V57" i="22" s="1"/>
  <c r="V59" i="22" s="1"/>
  <c r="U55" i="22"/>
  <c r="U57" i="22" s="1"/>
  <c r="U59" i="22" s="1"/>
  <c r="T55" i="22"/>
  <c r="T57" i="22" s="1"/>
  <c r="T59" i="22" s="1"/>
  <c r="S55" i="22"/>
  <c r="S57" i="22" s="1"/>
  <c r="S59" i="22" s="1"/>
  <c r="R55" i="22"/>
  <c r="R57" i="22" s="1"/>
  <c r="R59" i="22" s="1"/>
  <c r="Q55" i="22"/>
  <c r="Q57" i="22" s="1"/>
  <c r="Q59" i="22" s="1"/>
  <c r="P55" i="22"/>
  <c r="P57" i="22" s="1"/>
  <c r="P59" i="22" s="1"/>
  <c r="O55" i="22"/>
  <c r="O57" i="22" s="1"/>
  <c r="O59" i="22" s="1"/>
  <c r="N55" i="22"/>
  <c r="N57" i="22" s="1"/>
  <c r="N59" i="22" s="1"/>
  <c r="M55" i="22"/>
  <c r="M57" i="22" s="1"/>
  <c r="M59" i="22" s="1"/>
  <c r="L55" i="22"/>
  <c r="L57" i="22" s="1"/>
  <c r="L59" i="22" s="1"/>
  <c r="C41" i="23"/>
  <c r="C43" i="23" s="1"/>
  <c r="C45" i="23" s="1"/>
  <c r="C27" i="23"/>
  <c r="C26" i="23"/>
  <c r="C42" i="23"/>
  <c r="C44" i="23" s="1"/>
  <c r="C46" i="23" s="1"/>
  <c r="C55" i="27"/>
  <c r="C131" i="27"/>
  <c r="D131" i="27" s="1"/>
  <c r="C132" i="27"/>
  <c r="D132" i="27"/>
  <c r="C133" i="27"/>
  <c r="D133" i="27" s="1"/>
  <c r="C134" i="27"/>
  <c r="D134" i="27" s="1"/>
  <c r="C135" i="27"/>
  <c r="D135" i="27"/>
  <c r="C136" i="27"/>
  <c r="D136" i="27"/>
  <c r="C137" i="27"/>
  <c r="D137" i="27" s="1"/>
  <c r="C138" i="27"/>
  <c r="D138" i="27" s="1"/>
  <c r="C139" i="27"/>
  <c r="D139" i="27" s="1"/>
  <c r="C140" i="27"/>
  <c r="D140" i="27"/>
  <c r="C141" i="27"/>
  <c r="D141" i="27" s="1"/>
  <c r="C142" i="27"/>
  <c r="D142" i="27" s="1"/>
  <c r="C143" i="27"/>
  <c r="D143" i="27" s="1"/>
  <c r="C144" i="27"/>
  <c r="D144" i="27" s="1"/>
  <c r="C145" i="27"/>
  <c r="D145" i="27" s="1"/>
  <c r="C146" i="27"/>
  <c r="D146" i="27" s="1"/>
  <c r="C147" i="27"/>
  <c r="D147" i="27" s="1"/>
  <c r="C148" i="27"/>
  <c r="D148" i="27" s="1"/>
  <c r="C149" i="27"/>
  <c r="D149" i="27" s="1"/>
  <c r="C150" i="27"/>
  <c r="D150" i="27" s="1"/>
  <c r="C151" i="27"/>
  <c r="D151" i="27"/>
  <c r="C152" i="27"/>
  <c r="D152" i="27" s="1"/>
  <c r="C153" i="27"/>
  <c r="D153" i="27" s="1"/>
  <c r="C154" i="27"/>
  <c r="D154" i="27"/>
  <c r="C155" i="27"/>
  <c r="D155" i="27" s="1"/>
  <c r="C156" i="27"/>
  <c r="D156" i="27"/>
  <c r="C157" i="27"/>
  <c r="D157" i="27"/>
  <c r="C158" i="27"/>
  <c r="D158" i="27" s="1"/>
  <c r="C159" i="27"/>
  <c r="D159" i="27" s="1"/>
  <c r="C160" i="27"/>
  <c r="D160" i="27" s="1"/>
  <c r="C161" i="27"/>
  <c r="D161" i="27" s="1"/>
  <c r="C162" i="27"/>
  <c r="D162" i="27"/>
  <c r="C163" i="27"/>
  <c r="D163" i="27" s="1"/>
  <c r="C164" i="27"/>
  <c r="D164" i="27"/>
  <c r="C165" i="27"/>
  <c r="D165" i="27"/>
  <c r="C166" i="27"/>
  <c r="D166" i="27"/>
  <c r="C167" i="27"/>
  <c r="D167" i="27"/>
  <c r="C168" i="27"/>
  <c r="D168" i="27"/>
  <c r="C169" i="27"/>
  <c r="D169" i="27"/>
  <c r="C170" i="27"/>
  <c r="D170" i="27"/>
  <c r="C171" i="27"/>
  <c r="D171" i="27"/>
  <c r="C172" i="27"/>
  <c r="D172" i="27"/>
  <c r="C173" i="27"/>
  <c r="D173" i="27"/>
  <c r="C174" i="27"/>
  <c r="D174" i="27"/>
  <c r="C175" i="27"/>
  <c r="D175" i="27"/>
  <c r="C176" i="27"/>
  <c r="D176" i="27"/>
  <c r="C177" i="27"/>
  <c r="D177" i="27"/>
  <c r="C178" i="27"/>
  <c r="D178" i="27" s="1"/>
  <c r="C179" i="27"/>
  <c r="D179" i="27"/>
  <c r="C180" i="27"/>
  <c r="D180" i="27"/>
  <c r="C181" i="27"/>
  <c r="D181" i="27" s="1"/>
  <c r="C182" i="27"/>
  <c r="D182" i="27" s="1"/>
  <c r="C183" i="27"/>
  <c r="D183" i="27" s="1"/>
  <c r="C184" i="27"/>
  <c r="D184" i="27"/>
  <c r="C185" i="27"/>
  <c r="D185" i="27" s="1"/>
  <c r="C186" i="27"/>
  <c r="D186" i="27"/>
  <c r="C187" i="27"/>
  <c r="D187" i="27"/>
  <c r="C188" i="27"/>
  <c r="D188" i="27"/>
  <c r="C189" i="27"/>
  <c r="D189" i="27"/>
  <c r="C190" i="27"/>
  <c r="D190" i="27" s="1"/>
  <c r="C191" i="27"/>
  <c r="D191" i="27"/>
  <c r="C192" i="27"/>
  <c r="D192" i="27"/>
  <c r="C193" i="27"/>
  <c r="D193" i="27"/>
  <c r="C194" i="27"/>
  <c r="D194" i="27"/>
  <c r="C195" i="27"/>
  <c r="D195" i="27"/>
  <c r="C196" i="27"/>
  <c r="D196" i="27" s="1"/>
  <c r="C197" i="27"/>
  <c r="D197" i="27"/>
  <c r="C198" i="27"/>
  <c r="D198" i="27"/>
  <c r="C199" i="27"/>
  <c r="D199" i="27" s="1"/>
  <c r="C200" i="27"/>
  <c r="D200" i="27"/>
  <c r="C201" i="27"/>
  <c r="D201" i="27"/>
  <c r="C202" i="27"/>
  <c r="D202" i="27"/>
  <c r="C203" i="27"/>
  <c r="D203" i="27" s="1"/>
  <c r="C204" i="27"/>
  <c r="D204" i="27" s="1"/>
  <c r="C205" i="27"/>
  <c r="D205" i="27"/>
  <c r="C206" i="27"/>
  <c r="D206" i="27"/>
  <c r="C207" i="27"/>
  <c r="D207" i="27"/>
  <c r="C208" i="27"/>
  <c r="D208" i="27"/>
  <c r="C209" i="27"/>
  <c r="D209" i="27" s="1"/>
  <c r="C210" i="27"/>
  <c r="D210" i="27"/>
  <c r="C211" i="27"/>
  <c r="D211" i="27"/>
  <c r="C212" i="27"/>
  <c r="D212" i="27"/>
  <c r="C213" i="27"/>
  <c r="D213" i="27"/>
  <c r="C214" i="27"/>
  <c r="D214" i="27"/>
  <c r="C215" i="27"/>
  <c r="D215" i="27"/>
  <c r="C216" i="27"/>
  <c r="D216" i="27"/>
  <c r="C217" i="27"/>
  <c r="D217" i="27" s="1"/>
  <c r="C218" i="27"/>
  <c r="D218" i="27" s="1"/>
  <c r="C219" i="27"/>
  <c r="D219" i="27"/>
  <c r="C220" i="27"/>
  <c r="D220" i="27"/>
  <c r="C221" i="27"/>
  <c r="D221" i="27" s="1"/>
  <c r="C222" i="27"/>
  <c r="D222" i="27" s="1"/>
  <c r="C223" i="27"/>
  <c r="D223" i="27"/>
  <c r="C224" i="27"/>
  <c r="D224" i="27" s="1"/>
  <c r="C225" i="27"/>
  <c r="D225" i="27"/>
  <c r="C226" i="27"/>
  <c r="D226" i="27" s="1"/>
  <c r="C227" i="27"/>
  <c r="D227" i="27" s="1"/>
  <c r="C228" i="27"/>
  <c r="D228" i="27"/>
  <c r="C229" i="27"/>
  <c r="D229" i="27"/>
  <c r="C230" i="27"/>
  <c r="D230" i="27" s="1"/>
  <c r="C231" i="27"/>
  <c r="D231" i="27"/>
  <c r="C232" i="27"/>
  <c r="D232" i="27"/>
  <c r="C233" i="27"/>
  <c r="D233" i="27" s="1"/>
  <c r="C234" i="27"/>
  <c r="D234" i="27"/>
  <c r="C235" i="27"/>
  <c r="D235" i="27"/>
  <c r="C236" i="27"/>
  <c r="D236" i="27"/>
  <c r="C237" i="27"/>
  <c r="D237" i="27" s="1"/>
  <c r="C238" i="27"/>
  <c r="D238" i="27" s="1"/>
  <c r="C239" i="27"/>
  <c r="D239" i="27"/>
  <c r="C240" i="27"/>
  <c r="D240" i="27"/>
  <c r="C241" i="27"/>
  <c r="D241" i="27" s="1"/>
  <c r="C242" i="27"/>
  <c r="D242" i="27" s="1"/>
  <c r="C243" i="27"/>
  <c r="D243" i="27" s="1"/>
  <c r="C244" i="27"/>
  <c r="D244" i="27"/>
  <c r="C245" i="27"/>
  <c r="D245" i="27"/>
  <c r="C246" i="27"/>
  <c r="D246" i="27"/>
  <c r="C247" i="27"/>
  <c r="D247" i="27" s="1"/>
  <c r="C248" i="27"/>
  <c r="D248" i="27"/>
  <c r="C249" i="27"/>
  <c r="D249" i="27"/>
  <c r="C250" i="27"/>
  <c r="D250" i="27"/>
  <c r="C251" i="27"/>
  <c r="D251" i="27"/>
  <c r="H1292" i="1"/>
  <c r="C32" i="27"/>
  <c r="C31" i="27"/>
  <c r="H1295" i="1" s="1"/>
  <c r="BE207" i="1"/>
  <c r="BF207" i="1"/>
  <c r="BG207" i="1"/>
  <c r="BH207" i="1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101" i="18"/>
  <c r="C98" i="18"/>
  <c r="C97" i="18"/>
  <c r="C94" i="18"/>
  <c r="C93" i="18"/>
  <c r="C92" i="18"/>
  <c r="C89" i="18"/>
  <c r="C88" i="18"/>
  <c r="C86" i="18"/>
  <c r="C85" i="18"/>
  <c r="C84" i="18"/>
  <c r="C102" i="18"/>
  <c r="C99" i="18"/>
  <c r="C95" i="18"/>
  <c r="C90" i="18"/>
  <c r="C103" i="18"/>
  <c r="C100" i="18"/>
  <c r="C96" i="18"/>
  <c r="C91" i="18"/>
  <c r="C87" i="18"/>
  <c r="C129" i="18"/>
  <c r="C128" i="18"/>
  <c r="C123" i="18"/>
  <c r="C117" i="18"/>
  <c r="C116" i="18"/>
  <c r="C114" i="18"/>
  <c r="C112" i="18"/>
  <c r="C131" i="18"/>
  <c r="C130" i="18"/>
  <c r="C126" i="18"/>
  <c r="C122" i="18"/>
  <c r="C119" i="18"/>
  <c r="C115" i="18"/>
  <c r="C127" i="18"/>
  <c r="C125" i="18"/>
  <c r="C124" i="18"/>
  <c r="C121" i="18"/>
  <c r="C120" i="18"/>
  <c r="C118" i="18"/>
  <c r="C113" i="18"/>
  <c r="C159" i="18"/>
  <c r="C158" i="18"/>
  <c r="C157" i="18"/>
  <c r="C154" i="18"/>
  <c r="C153" i="18"/>
  <c r="C150" i="18"/>
  <c r="C147" i="18"/>
  <c r="C146" i="18"/>
  <c r="C143" i="18"/>
  <c r="C142" i="18"/>
  <c r="C140" i="18"/>
  <c r="C156" i="18"/>
  <c r="C151" i="18"/>
  <c r="C144" i="18"/>
  <c r="C155" i="18"/>
  <c r="C152" i="18"/>
  <c r="C149" i="18"/>
  <c r="C148" i="18"/>
  <c r="C145" i="18"/>
  <c r="C141" i="18"/>
  <c r="C186" i="18"/>
  <c r="C181" i="18"/>
  <c r="C178" i="18"/>
  <c r="C177" i="18"/>
  <c r="C176" i="18"/>
  <c r="C173" i="18"/>
  <c r="C172" i="18"/>
  <c r="C171" i="18"/>
  <c r="C168" i="18"/>
  <c r="C185" i="18"/>
  <c r="C182" i="18"/>
  <c r="C179" i="18"/>
  <c r="C175" i="18"/>
  <c r="C174" i="18"/>
  <c r="C169" i="18"/>
  <c r="C187" i="18"/>
  <c r="C184" i="18"/>
  <c r="C183" i="18"/>
  <c r="C180" i="18"/>
  <c r="C170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48" i="18"/>
  <c r="C49" i="18"/>
  <c r="C50" i="18"/>
  <c r="C51" i="18"/>
  <c r="C52" i="18"/>
  <c r="C53" i="18"/>
  <c r="C54" i="18"/>
  <c r="C55" i="18"/>
  <c r="C76" i="18"/>
  <c r="C77" i="18"/>
  <c r="C78" i="18"/>
  <c r="C79" i="18"/>
  <c r="C80" i="18"/>
  <c r="C81" i="18"/>
  <c r="C82" i="18"/>
  <c r="C83" i="18"/>
  <c r="C104" i="18"/>
  <c r="C105" i="18"/>
  <c r="C110" i="18"/>
  <c r="C111" i="18"/>
  <c r="C132" i="18"/>
  <c r="C136" i="18"/>
  <c r="C137" i="18"/>
  <c r="C138" i="18"/>
  <c r="C106" i="18"/>
  <c r="C107" i="18"/>
  <c r="C108" i="18"/>
  <c r="C109" i="18"/>
  <c r="C133" i="18"/>
  <c r="C134" i="18"/>
  <c r="C135" i="18"/>
  <c r="C139" i="18"/>
  <c r="C160" i="18"/>
  <c r="C161" i="18"/>
  <c r="C162" i="18"/>
  <c r="C163" i="18"/>
  <c r="C164" i="18"/>
  <c r="C165" i="18"/>
  <c r="C166" i="18"/>
  <c r="C167" i="18"/>
  <c r="C220" i="18"/>
  <c r="C222" i="18"/>
  <c r="C193" i="18"/>
  <c r="C195" i="18"/>
  <c r="C216" i="18"/>
  <c r="C218" i="18"/>
  <c r="C188" i="18"/>
  <c r="C194" i="18"/>
  <c r="C217" i="18"/>
  <c r="C221" i="18"/>
  <c r="C223" i="18"/>
  <c r="C189" i="18"/>
  <c r="C190" i="18"/>
  <c r="C192" i="18"/>
  <c r="C219" i="18"/>
  <c r="C224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191" i="18"/>
  <c r="C102" i="17"/>
  <c r="C103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108" i="17"/>
  <c r="C109" i="17"/>
  <c r="C112" i="17"/>
  <c r="C114" i="17"/>
  <c r="C116" i="17"/>
  <c r="C117" i="17"/>
  <c r="C118" i="17"/>
  <c r="C120" i="17"/>
  <c r="C121" i="17"/>
  <c r="C123" i="17"/>
  <c r="C124" i="17"/>
  <c r="C125" i="17"/>
  <c r="C127" i="17"/>
  <c r="C128" i="17"/>
  <c r="C129" i="17"/>
  <c r="C130" i="17"/>
  <c r="C131" i="17"/>
  <c r="C133" i="17"/>
  <c r="C134" i="17"/>
  <c r="C135" i="17"/>
  <c r="C140" i="17"/>
  <c r="C143" i="17"/>
  <c r="C96" i="17"/>
  <c r="C98" i="17"/>
  <c r="C100" i="17"/>
  <c r="C105" i="17"/>
  <c r="C110" i="17"/>
  <c r="C111" i="17"/>
  <c r="C115" i="17"/>
  <c r="C119" i="17"/>
  <c r="C122" i="17"/>
  <c r="C126" i="17"/>
  <c r="C132" i="17"/>
  <c r="C136" i="17"/>
  <c r="C137" i="17"/>
  <c r="C138" i="17"/>
  <c r="C139" i="17"/>
  <c r="C141" i="17"/>
  <c r="C142" i="17"/>
  <c r="C144" i="17"/>
  <c r="C145" i="17"/>
  <c r="C146" i="17"/>
  <c r="C147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95" i="17"/>
  <c r="C97" i="17"/>
  <c r="C104" i="17"/>
  <c r="C106" i="17"/>
  <c r="C107" i="17"/>
  <c r="C11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220" i="17"/>
  <c r="C222" i="17"/>
  <c r="C187" i="17"/>
  <c r="C193" i="17"/>
  <c r="C195" i="17"/>
  <c r="C216" i="17"/>
  <c r="C218" i="17"/>
  <c r="C188" i="17"/>
  <c r="C194" i="17"/>
  <c r="C217" i="17"/>
  <c r="C221" i="17"/>
  <c r="C223" i="17"/>
  <c r="C189" i="17"/>
  <c r="C190" i="17"/>
  <c r="C192" i="17"/>
  <c r="C219" i="17"/>
  <c r="C224" i="17"/>
  <c r="C7" i="17"/>
  <c r="C8" i="17"/>
  <c r="C9" i="17"/>
  <c r="C10" i="17"/>
  <c r="C11" i="17"/>
  <c r="C99" i="17"/>
  <c r="C10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203" i="17"/>
  <c r="C210" i="17"/>
  <c r="C199" i="17"/>
  <c r="C211" i="17"/>
  <c r="C196" i="17"/>
  <c r="C209" i="17"/>
  <c r="C200" i="17"/>
  <c r="C202" i="17"/>
  <c r="C208" i="17"/>
  <c r="C201" i="17"/>
  <c r="C197" i="17"/>
  <c r="C206" i="17"/>
  <c r="C212" i="17"/>
  <c r="C213" i="17"/>
  <c r="C204" i="17"/>
  <c r="C207" i="17"/>
  <c r="C191" i="17"/>
  <c r="C198" i="17"/>
  <c r="C215" i="17"/>
  <c r="C205" i="17"/>
  <c r="C214" i="17"/>
  <c r="C148" i="17"/>
  <c r="C149" i="17"/>
  <c r="C150" i="17"/>
  <c r="C151" i="17"/>
  <c r="C152" i="17"/>
  <c r="C153" i="17"/>
  <c r="C154" i="17"/>
  <c r="C155" i="17"/>
  <c r="C156" i="17"/>
  <c r="E524" i="27"/>
  <c r="D524" i="27"/>
  <c r="F524" i="27" s="1"/>
  <c r="G524" i="27" s="1"/>
  <c r="T9" i="14"/>
  <c r="S12" i="14"/>
  <c r="S13" i="14"/>
  <c r="F14" i="14"/>
  <c r="BJ42" i="2"/>
  <c r="BB30" i="2" l="1"/>
  <c r="L33" i="21"/>
  <c r="I25" i="1" s="1"/>
  <c r="L39" i="21"/>
  <c r="L38" i="21" s="1"/>
  <c r="L35" i="21" s="1"/>
  <c r="L36" i="21"/>
  <c r="I37" i="1" s="1"/>
  <c r="X30" i="2"/>
  <c r="BJ44" i="2"/>
  <c r="AR30" i="2"/>
  <c r="AP44" i="2"/>
  <c r="J205" i="1" s="1"/>
  <c r="M205" i="1" s="1"/>
  <c r="D30" i="2"/>
  <c r="H213" i="1" s="1"/>
  <c r="C37" i="22" s="1"/>
  <c r="V44" i="2"/>
  <c r="J203" i="1" s="1"/>
  <c r="M203" i="1" s="1"/>
  <c r="AH30" i="2"/>
  <c r="J305" i="1"/>
  <c r="I306" i="1"/>
  <c r="P34" i="26"/>
  <c r="J28" i="26" s="1"/>
  <c r="G28" i="26"/>
  <c r="H1232" i="1"/>
  <c r="J37" i="26"/>
  <c r="K37" i="26" s="1"/>
  <c r="J294" i="1"/>
  <c r="I295" i="1"/>
  <c r="I284" i="1"/>
  <c r="M41" i="20"/>
  <c r="H41" i="20"/>
  <c r="M18" i="20"/>
  <c r="H18" i="20"/>
  <c r="J283" i="1"/>
  <c r="K555" i="1"/>
  <c r="J556" i="1"/>
  <c r="K544" i="1"/>
  <c r="J545" i="1"/>
  <c r="M2" i="1"/>
  <c r="M9" i="19"/>
  <c r="H1182" i="1"/>
  <c r="H1183" i="1" s="1"/>
  <c r="H857" i="1"/>
  <c r="L6" i="1" s="1"/>
  <c r="K4" i="19" s="1"/>
  <c r="I854" i="1"/>
  <c r="K11" i="32"/>
  <c r="L11" i="32"/>
  <c r="L10" i="32"/>
  <c r="K10" i="32"/>
  <c r="K9" i="32"/>
  <c r="L9" i="32"/>
  <c r="L8" i="32"/>
  <c r="K8" i="32"/>
  <c r="Q8" i="32" s="1"/>
  <c r="L7" i="32"/>
  <c r="K7" i="32"/>
  <c r="Q7" i="32" s="1"/>
  <c r="H927" i="1" s="1"/>
  <c r="K6" i="32"/>
  <c r="L6" i="32"/>
  <c r="J1031" i="1"/>
  <c r="C53" i="31"/>
  <c r="C55" i="31" s="1"/>
  <c r="H1047" i="1"/>
  <c r="H1048" i="1" s="1"/>
  <c r="C77" i="31" s="1"/>
  <c r="I983" i="1"/>
  <c r="I984" i="1" s="1"/>
  <c r="F1" i="20"/>
  <c r="J749" i="1"/>
  <c r="K749" i="1" s="1"/>
  <c r="J750" i="1"/>
  <c r="K750" i="1" s="1"/>
  <c r="M748" i="1"/>
  <c r="M749" i="1" s="1"/>
  <c r="K193" i="1"/>
  <c r="D108" i="22"/>
  <c r="I1047" i="1"/>
  <c r="I1048" i="1" s="1"/>
  <c r="C78" i="31" s="1"/>
  <c r="J1030" i="1"/>
  <c r="C54" i="31"/>
  <c r="C56" i="31" s="1"/>
  <c r="K77" i="22"/>
  <c r="K79" i="22" s="1"/>
  <c r="K81" i="22" s="1"/>
  <c r="K61" i="22"/>
  <c r="K65" i="22"/>
  <c r="K66" i="22"/>
  <c r="K100" i="22"/>
  <c r="K99" i="22"/>
  <c r="H77" i="22"/>
  <c r="H79" i="22" s="1"/>
  <c r="H81" i="22" s="1"/>
  <c r="H61" i="22"/>
  <c r="H65" i="22"/>
  <c r="H66" i="22"/>
  <c r="H99" i="22"/>
  <c r="H100" i="22"/>
  <c r="D77" i="22"/>
  <c r="D79" i="22" s="1"/>
  <c r="D81" i="22" s="1"/>
  <c r="D61" i="22"/>
  <c r="D65" i="22"/>
  <c r="D66" i="22"/>
  <c r="D99" i="22"/>
  <c r="D100" i="22"/>
  <c r="J77" i="22"/>
  <c r="J79" i="22" s="1"/>
  <c r="J81" i="22" s="1"/>
  <c r="J61" i="22"/>
  <c r="J65" i="22"/>
  <c r="J66" i="22"/>
  <c r="J99" i="22"/>
  <c r="J100" i="22"/>
  <c r="I77" i="22"/>
  <c r="I79" i="22" s="1"/>
  <c r="I81" i="22" s="1"/>
  <c r="I61" i="22"/>
  <c r="I65" i="22"/>
  <c r="I100" i="22"/>
  <c r="I66" i="22"/>
  <c r="I99" i="22"/>
  <c r="G77" i="22"/>
  <c r="G79" i="22" s="1"/>
  <c r="G81" i="22" s="1"/>
  <c r="G61" i="22"/>
  <c r="G65" i="22"/>
  <c r="G66" i="22"/>
  <c r="G100" i="22"/>
  <c r="G99" i="22"/>
  <c r="E77" i="22"/>
  <c r="E79" i="22" s="1"/>
  <c r="E81" i="22" s="1"/>
  <c r="E61" i="22"/>
  <c r="E65" i="22"/>
  <c r="E66" i="22"/>
  <c r="E99" i="22"/>
  <c r="E100" i="22"/>
  <c r="T78" i="22"/>
  <c r="T80" i="22" s="1"/>
  <c r="T82" i="22" s="1"/>
  <c r="T62" i="22"/>
  <c r="W78" i="22"/>
  <c r="W80" i="22" s="1"/>
  <c r="W82" i="22" s="1"/>
  <c r="W62" i="22"/>
  <c r="U78" i="22"/>
  <c r="U80" i="22" s="1"/>
  <c r="U82" i="22" s="1"/>
  <c r="U62" i="22"/>
  <c r="R78" i="22"/>
  <c r="R80" i="22" s="1"/>
  <c r="R82" i="22" s="1"/>
  <c r="R62" i="22"/>
  <c r="I78" i="22"/>
  <c r="I80" i="22" s="1"/>
  <c r="I82" i="22" s="1"/>
  <c r="I62" i="22"/>
  <c r="F77" i="22"/>
  <c r="F79" i="22" s="1"/>
  <c r="F81" i="22" s="1"/>
  <c r="F61" i="22"/>
  <c r="F65" i="22"/>
  <c r="F66" i="22"/>
  <c r="F99" i="22"/>
  <c r="F100" i="22"/>
  <c r="C77" i="22"/>
  <c r="C79" i="22" s="1"/>
  <c r="C81" i="22" s="1"/>
  <c r="C61" i="22"/>
  <c r="C65" i="22"/>
  <c r="C66" i="22"/>
  <c r="C100" i="22"/>
  <c r="C99" i="22"/>
  <c r="V78" i="22"/>
  <c r="V80" i="22" s="1"/>
  <c r="V82" i="22" s="1"/>
  <c r="V62" i="22"/>
  <c r="S78" i="22"/>
  <c r="S80" i="22" s="1"/>
  <c r="S82" i="22" s="1"/>
  <c r="S62" i="22"/>
  <c r="Q78" i="22"/>
  <c r="Q80" i="22" s="1"/>
  <c r="Q82" i="22" s="1"/>
  <c r="Q62" i="22"/>
  <c r="P78" i="22"/>
  <c r="P80" i="22" s="1"/>
  <c r="P82" i="22" s="1"/>
  <c r="P62" i="22"/>
  <c r="O78" i="22"/>
  <c r="O80" i="22" s="1"/>
  <c r="O82" i="22" s="1"/>
  <c r="O62" i="22"/>
  <c r="N78" i="22"/>
  <c r="N80" i="22" s="1"/>
  <c r="N82" i="22" s="1"/>
  <c r="N62" i="22"/>
  <c r="M78" i="22"/>
  <c r="M80" i="22" s="1"/>
  <c r="M82" i="22" s="1"/>
  <c r="M62" i="22"/>
  <c r="L78" i="22"/>
  <c r="L80" i="22" s="1"/>
  <c r="L82" i="22" s="1"/>
  <c r="L62" i="22"/>
  <c r="K78" i="22"/>
  <c r="K80" i="22" s="1"/>
  <c r="K82" i="22" s="1"/>
  <c r="K62" i="22"/>
  <c r="J78" i="22"/>
  <c r="J80" i="22" s="1"/>
  <c r="J82" i="22" s="1"/>
  <c r="J62" i="22"/>
  <c r="H78" i="22"/>
  <c r="H80" i="22" s="1"/>
  <c r="H82" i="22" s="1"/>
  <c r="H62" i="22"/>
  <c r="G78" i="22"/>
  <c r="G80" i="22" s="1"/>
  <c r="G82" i="22" s="1"/>
  <c r="G62" i="22"/>
  <c r="F78" i="22"/>
  <c r="F80" i="22" s="1"/>
  <c r="F82" i="22" s="1"/>
  <c r="F62" i="22"/>
  <c r="E78" i="22"/>
  <c r="E80" i="22" s="1"/>
  <c r="E82" i="22" s="1"/>
  <c r="E62" i="22"/>
  <c r="D78" i="22"/>
  <c r="D80" i="22" s="1"/>
  <c r="D82" i="22" s="1"/>
  <c r="D62" i="22"/>
  <c r="C78" i="22"/>
  <c r="C80" i="22" s="1"/>
  <c r="C82" i="22" s="1"/>
  <c r="C62" i="22"/>
  <c r="W77" i="22"/>
  <c r="W79" i="22" s="1"/>
  <c r="W81" i="22" s="1"/>
  <c r="W61" i="22"/>
  <c r="W66" i="22"/>
  <c r="W65" i="22"/>
  <c r="W99" i="22"/>
  <c r="W100" i="22"/>
  <c r="V77" i="22"/>
  <c r="V79" i="22" s="1"/>
  <c r="V81" i="22" s="1"/>
  <c r="V61" i="22"/>
  <c r="V65" i="22"/>
  <c r="V66" i="22"/>
  <c r="V100" i="22"/>
  <c r="V99" i="22"/>
  <c r="U77" i="22"/>
  <c r="U79" i="22" s="1"/>
  <c r="U81" i="22" s="1"/>
  <c r="U61" i="22"/>
  <c r="U65" i="22"/>
  <c r="U66" i="22"/>
  <c r="U100" i="22"/>
  <c r="U99" i="22"/>
  <c r="T77" i="22"/>
  <c r="T79" i="22" s="1"/>
  <c r="T81" i="22" s="1"/>
  <c r="T61" i="22"/>
  <c r="T65" i="22"/>
  <c r="T66" i="22"/>
  <c r="T100" i="22"/>
  <c r="T99" i="22"/>
  <c r="S77" i="22"/>
  <c r="S79" i="22" s="1"/>
  <c r="S81" i="22" s="1"/>
  <c r="S61" i="22"/>
  <c r="S65" i="22"/>
  <c r="S66" i="22"/>
  <c r="S99" i="22"/>
  <c r="S100" i="22"/>
  <c r="R77" i="22"/>
  <c r="R79" i="22" s="1"/>
  <c r="R81" i="22" s="1"/>
  <c r="R61" i="22"/>
  <c r="R65" i="22"/>
  <c r="R66" i="22"/>
  <c r="R99" i="22"/>
  <c r="R100" i="22"/>
  <c r="Q77" i="22"/>
  <c r="Q79" i="22" s="1"/>
  <c r="Q81" i="22" s="1"/>
  <c r="Q61" i="22"/>
  <c r="Q66" i="22"/>
  <c r="Q99" i="22"/>
  <c r="Q65" i="22"/>
  <c r="Q100" i="22"/>
  <c r="P77" i="22"/>
  <c r="P79" i="22" s="1"/>
  <c r="P81" i="22" s="1"/>
  <c r="P61" i="22"/>
  <c r="P65" i="22"/>
  <c r="P100" i="22"/>
  <c r="P66" i="22"/>
  <c r="P99" i="22"/>
  <c r="O77" i="22"/>
  <c r="O79" i="22" s="1"/>
  <c r="O81" i="22" s="1"/>
  <c r="O61" i="22"/>
  <c r="O65" i="22"/>
  <c r="O66" i="22"/>
  <c r="O99" i="22"/>
  <c r="O100" i="22"/>
  <c r="N77" i="22"/>
  <c r="N79" i="22" s="1"/>
  <c r="N81" i="22" s="1"/>
  <c r="N61" i="22"/>
  <c r="N65" i="22"/>
  <c r="N66" i="22"/>
  <c r="N100" i="22"/>
  <c r="N99" i="22"/>
  <c r="M77" i="22"/>
  <c r="M79" i="22" s="1"/>
  <c r="M81" i="22" s="1"/>
  <c r="M61" i="22"/>
  <c r="M65" i="22"/>
  <c r="M66" i="22"/>
  <c r="M99" i="22"/>
  <c r="C108" i="22" s="1"/>
  <c r="M100" i="22"/>
  <c r="C109" i="22" s="1"/>
  <c r="E109" i="22" s="1"/>
  <c r="L77" i="22"/>
  <c r="L79" i="22" s="1"/>
  <c r="L81" i="22" s="1"/>
  <c r="L61" i="22"/>
  <c r="L65" i="22"/>
  <c r="L66" i="22"/>
  <c r="L100" i="22"/>
  <c r="L99" i="22"/>
  <c r="C34" i="27"/>
  <c r="C40" i="27"/>
  <c r="C29" i="27"/>
  <c r="BE208" i="1"/>
  <c r="BE209" i="1"/>
  <c r="BE210" i="1"/>
  <c r="BG208" i="1"/>
  <c r="BG209" i="1"/>
  <c r="BG210" i="1"/>
  <c r="BH208" i="1"/>
  <c r="BF208" i="1" s="1"/>
  <c r="BH209" i="1"/>
  <c r="BH210" i="1"/>
  <c r="BF210" i="1" s="1"/>
  <c r="C51" i="22"/>
  <c r="H265" i="1"/>
  <c r="G426" i="1"/>
  <c r="C50" i="22"/>
  <c r="Q7" i="18" a="1"/>
  <c r="Q7" i="18" s="1"/>
  <c r="T12" i="18"/>
  <c r="T13" i="18"/>
  <c r="Q6" i="18" a="1"/>
  <c r="Q6" i="18" s="1"/>
  <c r="Q5" i="18" a="1"/>
  <c r="F6" i="18" a="1"/>
  <c r="F6" i="18" s="1"/>
  <c r="I6" i="18"/>
  <c r="W5" i="18"/>
  <c r="Q7" i="17" a="1"/>
  <c r="Q7" i="17" s="1"/>
  <c r="Q5" i="17" a="1"/>
  <c r="T12" i="17"/>
  <c r="W5" i="17"/>
  <c r="F6" i="17" a="1"/>
  <c r="F6" i="17" s="1"/>
  <c r="F7" i="17" s="1" a="1"/>
  <c r="F7" i="17" s="1"/>
  <c r="Q6" i="17" a="1"/>
  <c r="Q6" i="17" s="1"/>
  <c r="I6" i="17"/>
  <c r="T13" i="17"/>
  <c r="D525" i="27"/>
  <c r="E525" i="27"/>
  <c r="F16" i="14"/>
  <c r="F15" i="14"/>
  <c r="F17" i="14"/>
  <c r="N30" i="2"/>
  <c r="AZ44" i="2"/>
  <c r="J206" i="1" s="1"/>
  <c r="M206" i="1" s="1"/>
  <c r="BL30" i="2"/>
  <c r="L44" i="2"/>
  <c r="B44" i="2"/>
  <c r="AF44" i="2"/>
  <c r="J204" i="1" s="1"/>
  <c r="M204" i="1" s="1"/>
  <c r="L213" i="1"/>
  <c r="H227" i="1"/>
  <c r="L214" i="1"/>
  <c r="H228" i="1"/>
  <c r="C47" i="23"/>
  <c r="C49" i="23"/>
  <c r="C48" i="23"/>
  <c r="C50" i="23"/>
  <c r="BF209" i="1" l="1"/>
  <c r="E45" i="20"/>
  <c r="E41" i="20"/>
  <c r="E48" i="20"/>
  <c r="E42" i="20"/>
  <c r="E25" i="20"/>
  <c r="E21" i="20"/>
  <c r="E20" i="20"/>
  <c r="E11" i="20"/>
  <c r="E37" i="20"/>
  <c r="E49" i="20"/>
  <c r="L42" i="21"/>
  <c r="I41" i="1" s="1"/>
  <c r="L41" i="21"/>
  <c r="I40" i="1" s="1"/>
  <c r="E36" i="20"/>
  <c r="E38" i="20"/>
  <c r="E35" i="20"/>
  <c r="E47" i="20"/>
  <c r="J207" i="1"/>
  <c r="M207" i="1" s="1"/>
  <c r="J208" i="1"/>
  <c r="M208" i="1" s="1"/>
  <c r="J997" i="1" s="1"/>
  <c r="K997" i="1" s="1"/>
  <c r="E23" i="20"/>
  <c r="E14" i="20"/>
  <c r="E10" i="20"/>
  <c r="E9" i="20"/>
  <c r="E40" i="20"/>
  <c r="E39" i="20"/>
  <c r="E34" i="20"/>
  <c r="E50" i="20"/>
  <c r="E26" i="20"/>
  <c r="E22" i="20"/>
  <c r="F10" i="17"/>
  <c r="E108" i="22"/>
  <c r="O41" i="20"/>
  <c r="B41" i="20"/>
  <c r="E32" i="20"/>
  <c r="E33" i="20"/>
  <c r="E46" i="20"/>
  <c r="E44" i="20"/>
  <c r="E43" i="20"/>
  <c r="E27" i="20"/>
  <c r="O18" i="20"/>
  <c r="B18" i="20"/>
  <c r="E24" i="20"/>
  <c r="E19" i="20"/>
  <c r="E18" i="20"/>
  <c r="E17" i="20"/>
  <c r="E16" i="20"/>
  <c r="E15" i="20"/>
  <c r="E13" i="20"/>
  <c r="E12" i="20"/>
  <c r="Q6" i="32"/>
  <c r="S6" i="32" s="1"/>
  <c r="J995" i="1"/>
  <c r="K995" i="1" s="1"/>
  <c r="C42" i="22"/>
  <c r="F17" i="20"/>
  <c r="F40" i="20"/>
  <c r="J992" i="1"/>
  <c r="K992" i="1" s="1"/>
  <c r="M171" i="1"/>
  <c r="C40" i="22"/>
  <c r="M183" i="1"/>
  <c r="C37" i="23" s="1"/>
  <c r="C32" i="23"/>
  <c r="V83" i="22"/>
  <c r="V85" i="22"/>
  <c r="F42" i="20"/>
  <c r="F19" i="20"/>
  <c r="M6" i="18"/>
  <c r="F7" i="18" a="1"/>
  <c r="F7" i="18" s="1"/>
  <c r="F10" i="18" s="1"/>
  <c r="F8" i="18" a="1"/>
  <c r="F8" i="18" s="1"/>
  <c r="M184" i="1"/>
  <c r="C38" i="23" s="1"/>
  <c r="M172" i="1"/>
  <c r="C33" i="23" s="1"/>
  <c r="K305" i="1"/>
  <c r="J306" i="1"/>
  <c r="L37" i="26"/>
  <c r="H1230" i="1" s="1"/>
  <c r="H1231" i="1"/>
  <c r="K294" i="1"/>
  <c r="J295" i="1"/>
  <c r="F41" i="20"/>
  <c r="F18" i="20"/>
  <c r="J284" i="1"/>
  <c r="K283" i="1"/>
  <c r="L555" i="1"/>
  <c r="K556" i="1"/>
  <c r="L544" i="1"/>
  <c r="K545" i="1"/>
  <c r="J1214" i="1"/>
  <c r="J1199" i="1"/>
  <c r="O40" i="20"/>
  <c r="B40" i="20"/>
  <c r="O39" i="20"/>
  <c r="B39" i="20"/>
  <c r="B38" i="20"/>
  <c r="O38" i="20"/>
  <c r="O37" i="20"/>
  <c r="B37" i="20"/>
  <c r="O36" i="20"/>
  <c r="B36" i="20"/>
  <c r="O35" i="20"/>
  <c r="B35" i="20"/>
  <c r="B34" i="20"/>
  <c r="O34" i="20"/>
  <c r="B33" i="20"/>
  <c r="O33" i="20"/>
  <c r="B31" i="20"/>
  <c r="B32" i="20"/>
  <c r="O31" i="20"/>
  <c r="O32" i="20"/>
  <c r="H1272" i="1"/>
  <c r="I985" i="1"/>
  <c r="L1000" i="1"/>
  <c r="O17" i="20"/>
  <c r="B17" i="20"/>
  <c r="B16" i="20"/>
  <c r="O16" i="20"/>
  <c r="B15" i="20"/>
  <c r="O15" i="20"/>
  <c r="B14" i="20"/>
  <c r="O14" i="20"/>
  <c r="B13" i="20"/>
  <c r="O13" i="20"/>
  <c r="O12" i="20"/>
  <c r="B12" i="20"/>
  <c r="B11" i="20"/>
  <c r="O11" i="20"/>
  <c r="B10" i="20"/>
  <c r="O10" i="20"/>
  <c r="O9" i="20"/>
  <c r="B8" i="20"/>
  <c r="B9" i="20"/>
  <c r="O8" i="20"/>
  <c r="F16" i="20"/>
  <c r="F39" i="20"/>
  <c r="F36" i="20"/>
  <c r="F13" i="20"/>
  <c r="F32" i="20"/>
  <c r="F9" i="20"/>
  <c r="F38" i="20"/>
  <c r="F15" i="20"/>
  <c r="F14" i="20"/>
  <c r="F37" i="20"/>
  <c r="F35" i="20"/>
  <c r="F12" i="20"/>
  <c r="F10" i="20"/>
  <c r="F33" i="20"/>
  <c r="F34" i="20"/>
  <c r="F11" i="20"/>
  <c r="F27" i="20"/>
  <c r="F50" i="20"/>
  <c r="F26" i="20"/>
  <c r="F49" i="20"/>
  <c r="F25" i="20"/>
  <c r="F48" i="20"/>
  <c r="F24" i="20"/>
  <c r="F47" i="20"/>
  <c r="F23" i="20"/>
  <c r="F46" i="20"/>
  <c r="F22" i="20"/>
  <c r="F45" i="20"/>
  <c r="F44" i="20"/>
  <c r="F21" i="20"/>
  <c r="F20" i="20"/>
  <c r="F43" i="20"/>
  <c r="C41" i="27"/>
  <c r="C37" i="27"/>
  <c r="C56" i="27"/>
  <c r="C256" i="27"/>
  <c r="D256" i="27"/>
  <c r="C257" i="27"/>
  <c r="D257" i="27" s="1"/>
  <c r="C258" i="27"/>
  <c r="D258" i="27" s="1"/>
  <c r="C259" i="27"/>
  <c r="D259" i="27" s="1"/>
  <c r="C260" i="27"/>
  <c r="D260" i="27"/>
  <c r="C261" i="27"/>
  <c r="D261" i="27"/>
  <c r="C262" i="27"/>
  <c r="D262" i="27" s="1"/>
  <c r="C263" i="27"/>
  <c r="D263" i="27" s="1"/>
  <c r="C264" i="27"/>
  <c r="D264" i="27"/>
  <c r="C265" i="27"/>
  <c r="D265" i="27" s="1"/>
  <c r="C266" i="27"/>
  <c r="D266" i="27"/>
  <c r="C267" i="27"/>
  <c r="D267" i="27"/>
  <c r="C268" i="27"/>
  <c r="D268" i="27" s="1"/>
  <c r="C269" i="27"/>
  <c r="D269" i="27"/>
  <c r="C270" i="27"/>
  <c r="D270" i="27"/>
  <c r="C271" i="27"/>
  <c r="D271" i="27" s="1"/>
  <c r="C272" i="27"/>
  <c r="D272" i="27" s="1"/>
  <c r="C273" i="27"/>
  <c r="D273" i="27"/>
  <c r="C274" i="27"/>
  <c r="D274" i="27" s="1"/>
  <c r="C275" i="27"/>
  <c r="D275" i="27"/>
  <c r="C276" i="27"/>
  <c r="D276" i="27"/>
  <c r="C277" i="27"/>
  <c r="D277" i="27"/>
  <c r="C278" i="27"/>
  <c r="D278" i="27" s="1"/>
  <c r="C279" i="27"/>
  <c r="D279" i="27" s="1"/>
  <c r="C280" i="27"/>
  <c r="D280" i="27" s="1"/>
  <c r="C281" i="27"/>
  <c r="D281" i="27" s="1"/>
  <c r="C282" i="27"/>
  <c r="D282" i="27" s="1"/>
  <c r="C283" i="27"/>
  <c r="D283" i="27"/>
  <c r="C284" i="27"/>
  <c r="D284" i="27" s="1"/>
  <c r="C285" i="27"/>
  <c r="D285" i="27" s="1"/>
  <c r="C286" i="27"/>
  <c r="D286" i="27"/>
  <c r="C287" i="27"/>
  <c r="D287" i="27"/>
  <c r="C288" i="27"/>
  <c r="D288" i="27"/>
  <c r="C289" i="27"/>
  <c r="D289" i="27"/>
  <c r="C290" i="27"/>
  <c r="D290" i="27"/>
  <c r="C291" i="27"/>
  <c r="D291" i="27"/>
  <c r="C292" i="27"/>
  <c r="D292" i="27"/>
  <c r="C293" i="27"/>
  <c r="D293" i="27"/>
  <c r="C294" i="27"/>
  <c r="D294" i="27"/>
  <c r="C295" i="27"/>
  <c r="D295" i="27"/>
  <c r="C296" i="27"/>
  <c r="D296" i="27"/>
  <c r="C297" i="27"/>
  <c r="D297" i="27"/>
  <c r="C298" i="27"/>
  <c r="D298" i="27"/>
  <c r="C299" i="27"/>
  <c r="D299" i="27"/>
  <c r="C300" i="27"/>
  <c r="D300" i="27"/>
  <c r="C301" i="27"/>
  <c r="D301" i="27"/>
  <c r="C302" i="27"/>
  <c r="D302" i="27"/>
  <c r="C303" i="27"/>
  <c r="D303" i="27" s="1"/>
  <c r="C304" i="27"/>
  <c r="D304" i="27"/>
  <c r="C305" i="27"/>
  <c r="D305" i="27"/>
  <c r="C306" i="27"/>
  <c r="D306" i="27"/>
  <c r="C307" i="27"/>
  <c r="D307" i="27" s="1"/>
  <c r="C308" i="27"/>
  <c r="D308" i="27"/>
  <c r="C309" i="27"/>
  <c r="D309" i="27"/>
  <c r="C310" i="27"/>
  <c r="D310" i="27" s="1"/>
  <c r="C311" i="27"/>
  <c r="D311" i="27"/>
  <c r="C312" i="27"/>
  <c r="D312" i="27"/>
  <c r="C313" i="27"/>
  <c r="D313" i="27"/>
  <c r="C314" i="27"/>
  <c r="D314" i="27"/>
  <c r="C315" i="27"/>
  <c r="D315" i="27"/>
  <c r="C316" i="27"/>
  <c r="D316" i="27"/>
  <c r="C317" i="27"/>
  <c r="D317" i="27"/>
  <c r="C318" i="27"/>
  <c r="D318" i="27" s="1"/>
  <c r="C319" i="27"/>
  <c r="D319" i="27"/>
  <c r="C320" i="27"/>
  <c r="D320" i="27" s="1"/>
  <c r="C321" i="27"/>
  <c r="D321" i="27" s="1"/>
  <c r="C322" i="27"/>
  <c r="D322" i="27" s="1"/>
  <c r="C323" i="27"/>
  <c r="D323" i="27"/>
  <c r="C324" i="27"/>
  <c r="D324" i="27"/>
  <c r="C325" i="27"/>
  <c r="D325" i="27"/>
  <c r="C326" i="27"/>
  <c r="D326" i="27"/>
  <c r="C327" i="27"/>
  <c r="D327" i="27"/>
  <c r="C328" i="27"/>
  <c r="D328" i="27" s="1"/>
  <c r="C329" i="27"/>
  <c r="D329" i="27"/>
  <c r="C330" i="27"/>
  <c r="D330" i="27"/>
  <c r="C331" i="27"/>
  <c r="D331" i="27"/>
  <c r="C332" i="27"/>
  <c r="D332" i="27"/>
  <c r="C333" i="27"/>
  <c r="D333" i="27" s="1"/>
  <c r="C334" i="27"/>
  <c r="D334" i="27" s="1"/>
  <c r="C335" i="27"/>
  <c r="D335" i="27"/>
  <c r="C336" i="27"/>
  <c r="D336" i="27"/>
  <c r="C337" i="27"/>
  <c r="D337" i="27" s="1"/>
  <c r="C338" i="27"/>
  <c r="D338" i="27"/>
  <c r="C339" i="27"/>
  <c r="D339" i="27" s="1"/>
  <c r="C340" i="27"/>
  <c r="D340" i="27" s="1"/>
  <c r="C341" i="27"/>
  <c r="D341" i="27" s="1"/>
  <c r="C342" i="27"/>
  <c r="D342" i="27"/>
  <c r="C343" i="27"/>
  <c r="D343" i="27" s="1"/>
  <c r="C344" i="27"/>
  <c r="D344" i="27"/>
  <c r="C345" i="27"/>
  <c r="D345" i="27" s="1"/>
  <c r="C346" i="27"/>
  <c r="D346" i="27"/>
  <c r="C347" i="27"/>
  <c r="D347" i="27"/>
  <c r="C348" i="27"/>
  <c r="D348" i="27"/>
  <c r="C349" i="27"/>
  <c r="D349" i="27"/>
  <c r="C350" i="27"/>
  <c r="D350" i="27" s="1"/>
  <c r="C351" i="27"/>
  <c r="D351" i="27" s="1"/>
  <c r="C352" i="27"/>
  <c r="D352" i="27"/>
  <c r="C353" i="27"/>
  <c r="D353" i="27" s="1"/>
  <c r="C354" i="27"/>
  <c r="D354" i="27"/>
  <c r="C355" i="27"/>
  <c r="D355" i="27"/>
  <c r="C356" i="27"/>
  <c r="D356" i="27"/>
  <c r="C357" i="27"/>
  <c r="D357" i="27" s="1"/>
  <c r="C358" i="27"/>
  <c r="D358" i="27" s="1"/>
  <c r="C359" i="27"/>
  <c r="D359" i="27" s="1"/>
  <c r="C360" i="27"/>
  <c r="D360" i="27"/>
  <c r="C361" i="27"/>
  <c r="D361" i="27" s="1"/>
  <c r="C362" i="27"/>
  <c r="D362" i="27" s="1"/>
  <c r="C363" i="27"/>
  <c r="D363" i="27"/>
  <c r="C364" i="27"/>
  <c r="D364" i="27"/>
  <c r="C365" i="27"/>
  <c r="D365" i="27" s="1"/>
  <c r="C366" i="27"/>
  <c r="D366" i="27"/>
  <c r="C367" i="27"/>
  <c r="D367" i="27"/>
  <c r="C368" i="27"/>
  <c r="D368" i="27"/>
  <c r="C369" i="27"/>
  <c r="D369" i="27"/>
  <c r="C370" i="27"/>
  <c r="D370" i="27" s="1"/>
  <c r="C371" i="27"/>
  <c r="D371" i="27"/>
  <c r="C372" i="27"/>
  <c r="D372" i="27"/>
  <c r="C373" i="27"/>
  <c r="D373" i="27"/>
  <c r="C374" i="27"/>
  <c r="D374" i="27"/>
  <c r="C375" i="27"/>
  <c r="D375" i="27" s="1"/>
  <c r="C376" i="27"/>
  <c r="D376" i="27"/>
  <c r="H1294" i="1"/>
  <c r="M5" i="18"/>
  <c r="V9" i="18"/>
  <c r="W9" i="18"/>
  <c r="W10" i="18"/>
  <c r="V10" i="18"/>
  <c r="W10" i="17"/>
  <c r="V10" i="17"/>
  <c r="W9" i="17"/>
  <c r="V9" i="17"/>
  <c r="M5" i="17"/>
  <c r="I17" i="14" a="1"/>
  <c r="I17" i="14" s="1"/>
  <c r="I16" i="14" a="1"/>
  <c r="I16" i="14" s="1"/>
  <c r="I14" i="14" a="1"/>
  <c r="I14" i="14" s="1"/>
  <c r="F18" i="14"/>
  <c r="I15" i="14" a="1"/>
  <c r="I15" i="14" s="1"/>
  <c r="I970" i="1"/>
  <c r="I971" i="1" s="1"/>
  <c r="I972" i="1" s="1"/>
  <c r="H1248" i="1"/>
  <c r="H1249" i="1" s="1"/>
  <c r="I1249" i="1" s="1"/>
  <c r="L970" i="1"/>
  <c r="L971" i="1" s="1"/>
  <c r="L972" i="1" s="1"/>
  <c r="L962" i="1"/>
  <c r="L963" i="1" s="1"/>
  <c r="L964" i="1" s="1"/>
  <c r="H266" i="1"/>
  <c r="P1061" i="1"/>
  <c r="P1062" i="1"/>
  <c r="P1066" i="1"/>
  <c r="P1067" i="1"/>
  <c r="P1070" i="1"/>
  <c r="S1070" i="1" s="1"/>
  <c r="P1071" i="1"/>
  <c r="S1071" i="1" s="1"/>
  <c r="P1074" i="1"/>
  <c r="P1075" i="1"/>
  <c r="P1079" i="1"/>
  <c r="P1080" i="1"/>
  <c r="P1083" i="1"/>
  <c r="P1084" i="1"/>
  <c r="P1087" i="1"/>
  <c r="P1088" i="1"/>
  <c r="D8" i="29"/>
  <c r="D12" i="29" s="1"/>
  <c r="C29" i="22"/>
  <c r="J994" i="1"/>
  <c r="K994" i="1" s="1"/>
  <c r="C43" i="22"/>
  <c r="J201" i="1"/>
  <c r="J202" i="1"/>
  <c r="M202" i="1" s="1"/>
  <c r="J991" i="1" s="1"/>
  <c r="K991" i="1" s="1"/>
  <c r="J993" i="1"/>
  <c r="K993" i="1" s="1"/>
  <c r="C41" i="22"/>
  <c r="Q9" i="32"/>
  <c r="F525" i="27"/>
  <c r="G525" i="27" s="1"/>
  <c r="K83" i="22"/>
  <c r="K85" i="22"/>
  <c r="H83" i="22"/>
  <c r="H85" i="22"/>
  <c r="D83" i="22"/>
  <c r="D85" i="22"/>
  <c r="J83" i="22"/>
  <c r="J85" i="22"/>
  <c r="I83" i="22"/>
  <c r="I85" i="22"/>
  <c r="G83" i="22"/>
  <c r="G85" i="22"/>
  <c r="E83" i="22"/>
  <c r="E85" i="22"/>
  <c r="T84" i="22"/>
  <c r="T86" i="22"/>
  <c r="W84" i="22"/>
  <c r="W86" i="22"/>
  <c r="U84" i="22"/>
  <c r="U86" i="22"/>
  <c r="R84" i="22"/>
  <c r="R86" i="22"/>
  <c r="I84" i="22"/>
  <c r="I86" i="22"/>
  <c r="F83" i="22"/>
  <c r="F85" i="22"/>
  <c r="C83" i="22"/>
  <c r="C85" i="22"/>
  <c r="V84" i="22"/>
  <c r="V86" i="22"/>
  <c r="S84" i="22"/>
  <c r="S86" i="22"/>
  <c r="Q84" i="22"/>
  <c r="Q86" i="22"/>
  <c r="P84" i="22"/>
  <c r="P86" i="22"/>
  <c r="O84" i="22"/>
  <c r="O86" i="22"/>
  <c r="N84" i="22"/>
  <c r="N86" i="22"/>
  <c r="M84" i="22"/>
  <c r="M86" i="22"/>
  <c r="L84" i="22"/>
  <c r="L86" i="22"/>
  <c r="K84" i="22"/>
  <c r="K86" i="22"/>
  <c r="J84" i="22"/>
  <c r="J86" i="22"/>
  <c r="H84" i="22"/>
  <c r="H86" i="22"/>
  <c r="G84" i="22"/>
  <c r="G86" i="22"/>
  <c r="F84" i="22"/>
  <c r="F86" i="22"/>
  <c r="E84" i="22"/>
  <c r="E86" i="22"/>
  <c r="D84" i="22"/>
  <c r="D86" i="22"/>
  <c r="C84" i="22"/>
  <c r="C86" i="22"/>
  <c r="W83" i="22"/>
  <c r="W85" i="22"/>
  <c r="U83" i="22"/>
  <c r="U85" i="22"/>
  <c r="T83" i="22"/>
  <c r="T85" i="22"/>
  <c r="S83" i="22"/>
  <c r="S85" i="22"/>
  <c r="R83" i="22"/>
  <c r="R85" i="22"/>
  <c r="Q83" i="22"/>
  <c r="Q85" i="22"/>
  <c r="P83" i="22"/>
  <c r="P85" i="22"/>
  <c r="O83" i="22"/>
  <c r="O85" i="22"/>
  <c r="N83" i="22"/>
  <c r="N85" i="22"/>
  <c r="M83" i="22"/>
  <c r="M85" i="22"/>
  <c r="L83" i="22"/>
  <c r="L85" i="22"/>
  <c r="M6" i="17"/>
  <c r="F8" i="17" a="1"/>
  <c r="F8" i="17" s="1"/>
  <c r="J34" i="20" l="1"/>
  <c r="J48" i="20"/>
  <c r="I48" i="20"/>
  <c r="D48" i="20" s="1"/>
  <c r="J25" i="20"/>
  <c r="I25" i="20"/>
  <c r="D25" i="20" s="1"/>
  <c r="C41" i="20"/>
  <c r="C18" i="20"/>
  <c r="H115" i="1"/>
  <c r="O12" i="32"/>
  <c r="H118" i="1"/>
  <c r="L259" i="1"/>
  <c r="H259" i="1"/>
  <c r="H260" i="1"/>
  <c r="O11" i="32"/>
  <c r="Q11" i="32" s="1"/>
  <c r="O10" i="32"/>
  <c r="Q10" i="32" s="1"/>
  <c r="H519" i="1"/>
  <c r="H508" i="1"/>
  <c r="H509" i="1"/>
  <c r="M185" i="1"/>
  <c r="C39" i="23" s="1"/>
  <c r="J996" i="1"/>
  <c r="K996" i="1" s="1"/>
  <c r="C44" i="22"/>
  <c r="M173" i="1"/>
  <c r="C34" i="23" s="1"/>
  <c r="I37" i="20"/>
  <c r="I14" i="20"/>
  <c r="J37" i="20"/>
  <c r="J14" i="20"/>
  <c r="I17" i="20"/>
  <c r="J40" i="20"/>
  <c r="J17" i="20"/>
  <c r="I40" i="20"/>
  <c r="D40" i="20" s="1"/>
  <c r="I26" i="20"/>
  <c r="I49" i="20"/>
  <c r="J26" i="20"/>
  <c r="J49" i="20"/>
  <c r="J22" i="20"/>
  <c r="I22" i="20"/>
  <c r="D22" i="20" s="1"/>
  <c r="J45" i="20"/>
  <c r="I45" i="20"/>
  <c r="I9" i="17"/>
  <c r="I10" i="17"/>
  <c r="I9" i="20"/>
  <c r="I32" i="20"/>
  <c r="J9" i="20"/>
  <c r="J32" i="20"/>
  <c r="I33" i="20"/>
  <c r="J33" i="20"/>
  <c r="J10" i="20"/>
  <c r="I10" i="20"/>
  <c r="D10" i="20" s="1"/>
  <c r="I46" i="20"/>
  <c r="J23" i="20"/>
  <c r="J46" i="20"/>
  <c r="I23" i="20"/>
  <c r="I44" i="20"/>
  <c r="I21" i="20"/>
  <c r="J44" i="20"/>
  <c r="J21" i="20"/>
  <c r="J43" i="20"/>
  <c r="J20" i="20"/>
  <c r="I20" i="20"/>
  <c r="D20" i="20" s="1"/>
  <c r="I43" i="20"/>
  <c r="D43" i="20" s="1"/>
  <c r="I47" i="20"/>
  <c r="J47" i="20"/>
  <c r="D47" i="20" s="1"/>
  <c r="I24" i="20"/>
  <c r="J24" i="20"/>
  <c r="J42" i="20"/>
  <c r="I42" i="20"/>
  <c r="D42" i="20" s="1"/>
  <c r="J19" i="20"/>
  <c r="I19" i="20"/>
  <c r="I18" i="20"/>
  <c r="I41" i="20"/>
  <c r="J18" i="20"/>
  <c r="J41" i="20"/>
  <c r="J38" i="20"/>
  <c r="J15" i="20"/>
  <c r="I38" i="20"/>
  <c r="D38" i="20" s="1"/>
  <c r="I15" i="20"/>
  <c r="J13" i="20"/>
  <c r="J36" i="20"/>
  <c r="I13" i="20"/>
  <c r="I36" i="20"/>
  <c r="J35" i="20"/>
  <c r="J12" i="20"/>
  <c r="I35" i="20"/>
  <c r="D35" i="20" s="1"/>
  <c r="I12" i="20"/>
  <c r="N990" i="1"/>
  <c r="T6" i="32"/>
  <c r="I990" i="1" s="1"/>
  <c r="S7" i="32"/>
  <c r="N997" i="1"/>
  <c r="I11" i="20"/>
  <c r="J11" i="20"/>
  <c r="I34" i="20"/>
  <c r="I27" i="20"/>
  <c r="I50" i="20"/>
  <c r="J27" i="20"/>
  <c r="J50" i="20"/>
  <c r="I39" i="20"/>
  <c r="I16" i="20"/>
  <c r="J39" i="20"/>
  <c r="J16" i="20"/>
  <c r="D74" i="22"/>
  <c r="H74" i="22"/>
  <c r="I74" i="22"/>
  <c r="J74" i="22"/>
  <c r="K74" i="22"/>
  <c r="M69" i="22"/>
  <c r="N74" i="22"/>
  <c r="P69" i="22"/>
  <c r="Q74" i="22"/>
  <c r="R74" i="22"/>
  <c r="S74" i="22"/>
  <c r="T74" i="22"/>
  <c r="U69" i="22"/>
  <c r="V69" i="22"/>
  <c r="W69" i="22"/>
  <c r="C69" i="22"/>
  <c r="C74" i="22"/>
  <c r="D69" i="22"/>
  <c r="E69" i="22"/>
  <c r="E74" i="22"/>
  <c r="F69" i="22"/>
  <c r="F74" i="22"/>
  <c r="G69" i="22"/>
  <c r="G74" i="22"/>
  <c r="H69" i="22"/>
  <c r="F11" i="18"/>
  <c r="M73" i="22"/>
  <c r="L68" i="22"/>
  <c r="L73" i="22"/>
  <c r="K68" i="22"/>
  <c r="K73" i="22"/>
  <c r="J68" i="22"/>
  <c r="J73" i="22"/>
  <c r="I68" i="22"/>
  <c r="Q73" i="22"/>
  <c r="I73" i="22"/>
  <c r="H68" i="22"/>
  <c r="H73" i="22"/>
  <c r="G68" i="22"/>
  <c r="G73" i="22"/>
  <c r="F68" i="22"/>
  <c r="F73" i="22"/>
  <c r="E68" i="22"/>
  <c r="E73" i="22"/>
  <c r="D68" i="22"/>
  <c r="C68" i="22"/>
  <c r="C73" i="22"/>
  <c r="W68" i="22"/>
  <c r="W73" i="22"/>
  <c r="V68" i="22"/>
  <c r="V73" i="22"/>
  <c r="U68" i="22"/>
  <c r="U73" i="22"/>
  <c r="T68" i="22"/>
  <c r="T73" i="22"/>
  <c r="S68" i="22"/>
  <c r="S73" i="22"/>
  <c r="R68" i="22"/>
  <c r="R73" i="22"/>
  <c r="Q68" i="22"/>
  <c r="D73" i="22"/>
  <c r="P68" i="22"/>
  <c r="P73" i="22"/>
  <c r="O68" i="22"/>
  <c r="O73" i="22"/>
  <c r="N68" i="22"/>
  <c r="N73" i="22"/>
  <c r="M68" i="22"/>
  <c r="M16" i="18"/>
  <c r="M7" i="18"/>
  <c r="M8" i="18" s="1"/>
  <c r="F9" i="18"/>
  <c r="I69" i="22"/>
  <c r="J69" i="22"/>
  <c r="K69" i="22"/>
  <c r="L69" i="22"/>
  <c r="M74" i="22"/>
  <c r="N69" i="22"/>
  <c r="O69" i="22"/>
  <c r="O74" i="22"/>
  <c r="P74" i="22"/>
  <c r="Q69" i="22"/>
  <c r="R69" i="22"/>
  <c r="S69" i="22"/>
  <c r="T69" i="22"/>
  <c r="U74" i="22"/>
  <c r="V74" i="22"/>
  <c r="W74" i="22"/>
  <c r="L74" i="22"/>
  <c r="L305" i="1"/>
  <c r="K306" i="1"/>
  <c r="L294" i="1"/>
  <c r="K295" i="1"/>
  <c r="K284" i="1"/>
  <c r="L283" i="1"/>
  <c r="M555" i="1"/>
  <c r="L556" i="1"/>
  <c r="M544" i="1"/>
  <c r="L545" i="1"/>
  <c r="O42" i="20"/>
  <c r="C40" i="20"/>
  <c r="B42" i="20"/>
  <c r="C42" i="20" s="1"/>
  <c r="O43" i="20"/>
  <c r="B43" i="20"/>
  <c r="C43" i="20" s="1"/>
  <c r="C39" i="20"/>
  <c r="C38" i="20"/>
  <c r="B44" i="20"/>
  <c r="C44" i="20" s="1"/>
  <c r="O44" i="20"/>
  <c r="O45" i="20"/>
  <c r="C37" i="20"/>
  <c r="B45" i="20"/>
  <c r="C45" i="20" s="1"/>
  <c r="O46" i="20"/>
  <c r="B46" i="20"/>
  <c r="C46" i="20" s="1"/>
  <c r="C36" i="20"/>
  <c r="O47" i="20"/>
  <c r="C35" i="20"/>
  <c r="B47" i="20"/>
  <c r="C47" i="20" s="1"/>
  <c r="B48" i="20"/>
  <c r="C48" i="20" s="1"/>
  <c r="C34" i="20"/>
  <c r="O48" i="20"/>
  <c r="B49" i="20"/>
  <c r="C49" i="20" s="1"/>
  <c r="C33" i="20"/>
  <c r="O49" i="20"/>
  <c r="B51" i="20"/>
  <c r="C31" i="20"/>
  <c r="L31" i="20" s="1"/>
  <c r="B50" i="20"/>
  <c r="O51" i="20"/>
  <c r="P31" i="20"/>
  <c r="Y31" i="20" s="1"/>
  <c r="O50" i="20"/>
  <c r="L999" i="1"/>
  <c r="L1001" i="1"/>
  <c r="K24" i="19"/>
  <c r="L28" i="1"/>
  <c r="K40" i="19" s="1"/>
  <c r="K1" i="1"/>
  <c r="O19" i="20"/>
  <c r="B19" i="20"/>
  <c r="C19" i="20" s="1"/>
  <c r="C17" i="20"/>
  <c r="B20" i="20"/>
  <c r="C20" i="20" s="1"/>
  <c r="C16" i="20"/>
  <c r="O20" i="20"/>
  <c r="B21" i="20"/>
  <c r="C21" i="20" s="1"/>
  <c r="C15" i="20"/>
  <c r="O21" i="20"/>
  <c r="B22" i="20"/>
  <c r="C22" i="20" s="1"/>
  <c r="C14" i="20"/>
  <c r="O22" i="20"/>
  <c r="B23" i="20"/>
  <c r="C23" i="20" s="1"/>
  <c r="C13" i="20"/>
  <c r="O23" i="20"/>
  <c r="O24" i="20"/>
  <c r="B24" i="20"/>
  <c r="C24" i="20" s="1"/>
  <c r="C12" i="20"/>
  <c r="B25" i="20"/>
  <c r="C25" i="20" s="1"/>
  <c r="C11" i="20"/>
  <c r="O25" i="20"/>
  <c r="B26" i="20"/>
  <c r="C26" i="20" s="1"/>
  <c r="C10" i="20"/>
  <c r="O26" i="20"/>
  <c r="O27" i="20"/>
  <c r="B28" i="20"/>
  <c r="C8" i="20"/>
  <c r="L8" i="20" s="1"/>
  <c r="B27" i="20"/>
  <c r="C27" i="20" s="1"/>
  <c r="C9" i="20"/>
  <c r="O28" i="20"/>
  <c r="P8" i="20"/>
  <c r="Y8" i="20" s="1"/>
  <c r="L519" i="1"/>
  <c r="L508" i="1"/>
  <c r="L274" i="1"/>
  <c r="H274" i="1"/>
  <c r="H275" i="1"/>
  <c r="L509" i="1"/>
  <c r="C31" i="23"/>
  <c r="M170" i="1"/>
  <c r="M201" i="1"/>
  <c r="I9" i="18"/>
  <c r="I10" i="18"/>
  <c r="E526" i="27"/>
  <c r="D526" i="27"/>
  <c r="F9" i="17"/>
  <c r="F11" i="17"/>
  <c r="F5" i="17" s="1"/>
  <c r="M16" i="17"/>
  <c r="C29" i="31" s="1"/>
  <c r="C84" i="31" s="1"/>
  <c r="M7" i="17"/>
  <c r="M8" i="17" s="1"/>
  <c r="D36" i="20" l="1"/>
  <c r="D13" i="20"/>
  <c r="D9" i="20"/>
  <c r="D32" i="20"/>
  <c r="C32" i="20" s="1"/>
  <c r="D19" i="20"/>
  <c r="D12" i="20"/>
  <c r="D37" i="20"/>
  <c r="D46" i="20"/>
  <c r="D44" i="20"/>
  <c r="D34" i="20"/>
  <c r="D27" i="20"/>
  <c r="G120" i="1"/>
  <c r="D14" i="20"/>
  <c r="D17" i="20"/>
  <c r="D49" i="20"/>
  <c r="D33" i="20"/>
  <c r="D23" i="20"/>
  <c r="D24" i="20"/>
  <c r="D18" i="20"/>
  <c r="D41" i="20"/>
  <c r="D11" i="20"/>
  <c r="D50" i="20"/>
  <c r="C50" i="20" s="1"/>
  <c r="L41" i="20"/>
  <c r="I787" i="1"/>
  <c r="K787" i="1" s="1"/>
  <c r="L18" i="20"/>
  <c r="I764" i="1"/>
  <c r="K764" i="1" s="1"/>
  <c r="D26" i="20"/>
  <c r="C35" i="23"/>
  <c r="D21" i="20"/>
  <c r="D15" i="20"/>
  <c r="M177" i="1"/>
  <c r="M178" i="1" s="1"/>
  <c r="D45" i="20"/>
  <c r="L70" i="22"/>
  <c r="G75" i="22"/>
  <c r="E75" i="22"/>
  <c r="C75" i="22"/>
  <c r="U70" i="22"/>
  <c r="R70" i="22"/>
  <c r="Q70" i="22"/>
  <c r="L75" i="22"/>
  <c r="J70" i="22"/>
  <c r="F70" i="22"/>
  <c r="W75" i="22"/>
  <c r="T75" i="22"/>
  <c r="Q75" i="22"/>
  <c r="N75" i="22"/>
  <c r="O70" i="22"/>
  <c r="J75" i="22"/>
  <c r="H75" i="22"/>
  <c r="F75" i="22"/>
  <c r="D75" i="22"/>
  <c r="V70" i="22"/>
  <c r="T70" i="22"/>
  <c r="S70" i="22"/>
  <c r="P70" i="22"/>
  <c r="M70" i="22"/>
  <c r="I70" i="22"/>
  <c r="E70" i="22"/>
  <c r="K70" i="22"/>
  <c r="G70" i="22"/>
  <c r="C70" i="22"/>
  <c r="W70" i="22"/>
  <c r="N70" i="22"/>
  <c r="H70" i="22"/>
  <c r="D70" i="22"/>
  <c r="V75" i="22"/>
  <c r="U75" i="22"/>
  <c r="S75" i="22"/>
  <c r="R75" i="22"/>
  <c r="P75" i="22"/>
  <c r="O75" i="22"/>
  <c r="M75" i="22"/>
  <c r="K75" i="22"/>
  <c r="I75" i="22"/>
  <c r="S8" i="32"/>
  <c r="N991" i="1"/>
  <c r="T7" i="32"/>
  <c r="I991" i="1" s="1"/>
  <c r="L991" i="1" s="1"/>
  <c r="D39" i="20"/>
  <c r="D16" i="20"/>
  <c r="F5" i="18"/>
  <c r="I8" i="18"/>
  <c r="M10" i="18" s="1"/>
  <c r="I7" i="18"/>
  <c r="M11" i="18" s="1"/>
  <c r="T6" i="18"/>
  <c r="T5" i="18"/>
  <c r="M9" i="18"/>
  <c r="M305" i="1"/>
  <c r="L306" i="1"/>
  <c r="M294" i="1"/>
  <c r="L295" i="1"/>
  <c r="L284" i="1"/>
  <c r="M283" i="1"/>
  <c r="N555" i="1"/>
  <c r="M556" i="1"/>
  <c r="N544" i="1"/>
  <c r="M545" i="1"/>
  <c r="L40" i="20"/>
  <c r="I786" i="1"/>
  <c r="K786" i="1" s="1"/>
  <c r="L42" i="20"/>
  <c r="I788" i="1"/>
  <c r="K788" i="1" s="1"/>
  <c r="L43" i="20"/>
  <c r="I789" i="1"/>
  <c r="K789" i="1" s="1"/>
  <c r="I785" i="1"/>
  <c r="K785" i="1" s="1"/>
  <c r="L39" i="20"/>
  <c r="I784" i="1"/>
  <c r="K784" i="1" s="1"/>
  <c r="L38" i="20"/>
  <c r="L44" i="20"/>
  <c r="I790" i="1"/>
  <c r="K790" i="1" s="1"/>
  <c r="L37" i="20"/>
  <c r="I783" i="1"/>
  <c r="K783" i="1" s="1"/>
  <c r="L45" i="20"/>
  <c r="I791" i="1"/>
  <c r="K791" i="1" s="1"/>
  <c r="L46" i="20"/>
  <c r="I792" i="1"/>
  <c r="K792" i="1" s="1"/>
  <c r="L36" i="20"/>
  <c r="I782" i="1"/>
  <c r="K782" i="1" s="1"/>
  <c r="L35" i="20"/>
  <c r="I781" i="1"/>
  <c r="K781" i="1" s="1"/>
  <c r="L47" i="20"/>
  <c r="I793" i="1"/>
  <c r="K793" i="1" s="1"/>
  <c r="L48" i="20"/>
  <c r="I794" i="1"/>
  <c r="K794" i="1" s="1"/>
  <c r="L34" i="20"/>
  <c r="I780" i="1"/>
  <c r="K780" i="1" s="1"/>
  <c r="L49" i="20"/>
  <c r="I795" i="1"/>
  <c r="K795" i="1" s="1"/>
  <c r="L33" i="20"/>
  <c r="I779" i="1"/>
  <c r="K779" i="1" s="1"/>
  <c r="L19" i="20"/>
  <c r="I765" i="1"/>
  <c r="K765" i="1" s="1"/>
  <c r="L17" i="20"/>
  <c r="I763" i="1"/>
  <c r="K763" i="1" s="1"/>
  <c r="L20" i="20"/>
  <c r="I766" i="1"/>
  <c r="K766" i="1" s="1"/>
  <c r="L16" i="20"/>
  <c r="I762" i="1"/>
  <c r="K762" i="1" s="1"/>
  <c r="L21" i="20"/>
  <c r="I767" i="1"/>
  <c r="K767" i="1" s="1"/>
  <c r="L15" i="20"/>
  <c r="I761" i="1"/>
  <c r="K761" i="1" s="1"/>
  <c r="L22" i="20"/>
  <c r="I768" i="1"/>
  <c r="K768" i="1" s="1"/>
  <c r="L14" i="20"/>
  <c r="I760" i="1"/>
  <c r="K760" i="1" s="1"/>
  <c r="L23" i="20"/>
  <c r="I769" i="1"/>
  <c r="K769" i="1" s="1"/>
  <c r="L13" i="20"/>
  <c r="I759" i="1"/>
  <c r="K759" i="1" s="1"/>
  <c r="L24" i="20"/>
  <c r="I770" i="1"/>
  <c r="K770" i="1" s="1"/>
  <c r="L12" i="20"/>
  <c r="I758" i="1"/>
  <c r="K758" i="1" s="1"/>
  <c r="L25" i="20"/>
  <c r="I771" i="1"/>
  <c r="K771" i="1" s="1"/>
  <c r="L11" i="20"/>
  <c r="I757" i="1"/>
  <c r="K757" i="1" s="1"/>
  <c r="L26" i="20"/>
  <c r="I772" i="1"/>
  <c r="K772" i="1" s="1"/>
  <c r="L10" i="20"/>
  <c r="I756" i="1"/>
  <c r="K756" i="1" s="1"/>
  <c r="L27" i="20"/>
  <c r="I773" i="1"/>
  <c r="K773" i="1" s="1"/>
  <c r="L9" i="20"/>
  <c r="I755" i="1"/>
  <c r="C36" i="23"/>
  <c r="C40" i="23" s="1"/>
  <c r="M182" i="1"/>
  <c r="M187" i="1" s="1"/>
  <c r="M188" i="1" s="1"/>
  <c r="C39" i="22"/>
  <c r="J990" i="1"/>
  <c r="K990" i="1" s="1"/>
  <c r="L990" i="1" s="1"/>
  <c r="M990" i="1" s="1"/>
  <c r="L216" i="1"/>
  <c r="M9" i="17"/>
  <c r="T5" i="17"/>
  <c r="T6" i="17"/>
  <c r="I7" i="17"/>
  <c r="M11" i="17" s="1"/>
  <c r="I8" i="17"/>
  <c r="M10" i="17" s="1"/>
  <c r="T9" i="17"/>
  <c r="T10" i="17"/>
  <c r="F14" i="17"/>
  <c r="F526" i="27"/>
  <c r="G526" i="27" s="1"/>
  <c r="S13" i="17"/>
  <c r="S12" i="17"/>
  <c r="I778" i="1" l="1"/>
  <c r="K778" i="1" s="1"/>
  <c r="L32" i="20"/>
  <c r="L222" i="1"/>
  <c r="J238" i="1" s="1"/>
  <c r="C54" i="23"/>
  <c r="C57" i="23" s="1"/>
  <c r="M991" i="1"/>
  <c r="T8" i="32"/>
  <c r="I992" i="1" s="1"/>
  <c r="L992" i="1" s="1"/>
  <c r="S9" i="32"/>
  <c r="N992" i="1"/>
  <c r="T9" i="18"/>
  <c r="T10" i="18"/>
  <c r="S13" i="18"/>
  <c r="S12" i="18"/>
  <c r="F14" i="18"/>
  <c r="F16" i="17"/>
  <c r="F15" i="17"/>
  <c r="F17" i="17"/>
  <c r="N305" i="1"/>
  <c r="M306" i="1"/>
  <c r="N294" i="1"/>
  <c r="M295" i="1"/>
  <c r="M284" i="1"/>
  <c r="N283" i="1"/>
  <c r="G558" i="1"/>
  <c r="N556" i="1"/>
  <c r="G547" i="1"/>
  <c r="N545" i="1"/>
  <c r="K755" i="1"/>
  <c r="N67" i="22"/>
  <c r="N71" i="22" s="1"/>
  <c r="Q72" i="22"/>
  <c r="Q76" i="22" s="1"/>
  <c r="U67" i="22"/>
  <c r="U71" i="22" s="1"/>
  <c r="W67" i="22"/>
  <c r="W71" i="22" s="1"/>
  <c r="C72" i="22"/>
  <c r="C76" i="22" s="1"/>
  <c r="G72" i="22"/>
  <c r="G76" i="22" s="1"/>
  <c r="I67" i="22"/>
  <c r="I71" i="22" s="1"/>
  <c r="J72" i="22"/>
  <c r="J76" i="22" s="1"/>
  <c r="H67" i="22"/>
  <c r="H71" i="22" s="1"/>
  <c r="K67" i="22"/>
  <c r="K71" i="22" s="1"/>
  <c r="K72" i="22"/>
  <c r="K76" i="22" s="1"/>
  <c r="O67" i="22"/>
  <c r="O71" i="22" s="1"/>
  <c r="P67" i="22"/>
  <c r="P71" i="22" s="1"/>
  <c r="R72" i="22"/>
  <c r="R76" i="22" s="1"/>
  <c r="T72" i="22"/>
  <c r="T76" i="22" s="1"/>
  <c r="U72" i="22"/>
  <c r="U76" i="22" s="1"/>
  <c r="F67" i="22"/>
  <c r="F71" i="22" s="1"/>
  <c r="E72" i="22"/>
  <c r="E76" i="22" s="1"/>
  <c r="D67" i="22"/>
  <c r="D71" i="22" s="1"/>
  <c r="H72" i="22"/>
  <c r="H76" i="22" s="1"/>
  <c r="T67" i="22"/>
  <c r="T71" i="22" s="1"/>
  <c r="V72" i="22"/>
  <c r="V76" i="22" s="1"/>
  <c r="M67" i="22"/>
  <c r="M71" i="22" s="1"/>
  <c r="V67" i="22"/>
  <c r="V71" i="22" s="1"/>
  <c r="C67" i="22"/>
  <c r="C71" i="22" s="1"/>
  <c r="F72" i="22"/>
  <c r="F76" i="22" s="1"/>
  <c r="E67" i="22"/>
  <c r="E71" i="22" s="1"/>
  <c r="G67" i="22"/>
  <c r="G71" i="22" s="1"/>
  <c r="I72" i="22"/>
  <c r="I76" i="22" s="1"/>
  <c r="D72" i="22"/>
  <c r="D76" i="22" s="1"/>
  <c r="L72" i="22"/>
  <c r="L76" i="22" s="1"/>
  <c r="N72" i="22"/>
  <c r="N76" i="22" s="1"/>
  <c r="O72" i="22"/>
  <c r="O76" i="22" s="1"/>
  <c r="Q67" i="22"/>
  <c r="Q71" i="22" s="1"/>
  <c r="L67" i="22"/>
  <c r="L71" i="22" s="1"/>
  <c r="M72" i="22"/>
  <c r="M76" i="22" s="1"/>
  <c r="P72" i="22"/>
  <c r="P76" i="22" s="1"/>
  <c r="S72" i="22"/>
  <c r="S76" i="22" s="1"/>
  <c r="R67" i="22"/>
  <c r="R71" i="22" s="1"/>
  <c r="S67" i="22"/>
  <c r="S71" i="22" s="1"/>
  <c r="W72" i="22"/>
  <c r="W76" i="22" s="1"/>
  <c r="J67" i="22"/>
  <c r="J71" i="22" s="1"/>
  <c r="L221" i="1"/>
  <c r="J237" i="1" s="1"/>
  <c r="C53" i="23"/>
  <c r="C56" i="23" s="1"/>
  <c r="C46" i="22"/>
  <c r="E527" i="27"/>
  <c r="D527" i="27"/>
  <c r="F527" i="27" s="1"/>
  <c r="G527" i="27" s="1"/>
  <c r="I796" i="1"/>
  <c r="L50" i="20"/>
  <c r="I1052" i="1" l="1"/>
  <c r="K238" i="1"/>
  <c r="J12" i="32"/>
  <c r="H916" i="1"/>
  <c r="H917" i="1" s="1"/>
  <c r="L138" i="1" s="1"/>
  <c r="D105" i="22"/>
  <c r="C51" i="31"/>
  <c r="U87" i="22"/>
  <c r="U91" i="22" s="1"/>
  <c r="M992" i="1"/>
  <c r="N87" i="22"/>
  <c r="N91" i="22" s="1"/>
  <c r="Q88" i="22"/>
  <c r="Q92" i="22" s="1"/>
  <c r="T9" i="32"/>
  <c r="I993" i="1" s="1"/>
  <c r="L993" i="1" s="1"/>
  <c r="M993" i="1" s="1"/>
  <c r="S10" i="32"/>
  <c r="N993" i="1"/>
  <c r="F15" i="18"/>
  <c r="F16" i="18"/>
  <c r="F17" i="18"/>
  <c r="I16" i="17" a="1"/>
  <c r="I16" i="17" s="1"/>
  <c r="I17" i="17" a="1"/>
  <c r="I17" i="17" s="1"/>
  <c r="W88" i="22"/>
  <c r="W92" i="22" s="1"/>
  <c r="W94" i="22" s="1"/>
  <c r="I15" i="17" a="1"/>
  <c r="I15" i="17" s="1"/>
  <c r="F18" i="17"/>
  <c r="I14" i="17" a="1"/>
  <c r="I14" i="17" s="1"/>
  <c r="G308" i="1"/>
  <c r="N306" i="1"/>
  <c r="N295" i="1"/>
  <c r="G297" i="1"/>
  <c r="N284" i="1"/>
  <c r="G286" i="1"/>
  <c r="H558" i="1"/>
  <c r="G559" i="1"/>
  <c r="G548" i="1"/>
  <c r="H547" i="1"/>
  <c r="J242" i="1"/>
  <c r="J243" i="1"/>
  <c r="K237" i="1"/>
  <c r="H561" i="1"/>
  <c r="H562" i="1"/>
  <c r="H1052" i="1"/>
  <c r="H1053" i="1"/>
  <c r="L980" i="1"/>
  <c r="C50" i="31"/>
  <c r="D104" i="22"/>
  <c r="H932" i="1"/>
  <c r="L981" i="1"/>
  <c r="L983" i="1" s="1"/>
  <c r="L984" i="1" s="1"/>
  <c r="L985" i="1" s="1"/>
  <c r="I997" i="1" s="1"/>
  <c r="L997" i="1" s="1"/>
  <c r="H911" i="1"/>
  <c r="H912" i="1" s="1"/>
  <c r="H933" i="1"/>
  <c r="I12" i="32"/>
  <c r="C59" i="23"/>
  <c r="C58" i="23"/>
  <c r="D528" i="27"/>
  <c r="E528" i="27"/>
  <c r="W87" i="22"/>
  <c r="W91" i="22" s="1"/>
  <c r="C88" i="22"/>
  <c r="C92" i="22" s="1"/>
  <c r="C94" i="22" s="1"/>
  <c r="G88" i="22"/>
  <c r="G92" i="22" s="1"/>
  <c r="I87" i="22"/>
  <c r="I91" i="22" s="1"/>
  <c r="J88" i="22"/>
  <c r="J92" i="22" s="1"/>
  <c r="H87" i="22"/>
  <c r="H91" i="22" s="1"/>
  <c r="K87" i="22"/>
  <c r="K91" i="22" s="1"/>
  <c r="K88" i="22"/>
  <c r="K92" i="22" s="1"/>
  <c r="O87" i="22"/>
  <c r="O91" i="22" s="1"/>
  <c r="R88" i="22"/>
  <c r="R92" i="22" s="1"/>
  <c r="T88" i="22"/>
  <c r="T92" i="22" s="1"/>
  <c r="F87" i="22"/>
  <c r="F91" i="22" s="1"/>
  <c r="E88" i="22"/>
  <c r="E92" i="22" s="1"/>
  <c r="D87" i="22"/>
  <c r="D91" i="22" s="1"/>
  <c r="T87" i="22"/>
  <c r="T91" i="22" s="1"/>
  <c r="I88" i="22"/>
  <c r="I92" i="22" s="1"/>
  <c r="N88" i="22"/>
  <c r="N92" i="22" s="1"/>
  <c r="Q87" i="22"/>
  <c r="Q91" i="22" s="1"/>
  <c r="P88" i="22"/>
  <c r="P92" i="22" s="1"/>
  <c r="R87" i="22"/>
  <c r="R91" i="22" s="1"/>
  <c r="P87" i="22"/>
  <c r="P91" i="22" s="1"/>
  <c r="U88" i="22"/>
  <c r="U92" i="22" s="1"/>
  <c r="H88" i="22"/>
  <c r="H92" i="22" s="1"/>
  <c r="V88" i="22"/>
  <c r="V92" i="22" s="1"/>
  <c r="D88" i="22"/>
  <c r="D92" i="22" s="1"/>
  <c r="O88" i="22"/>
  <c r="O92" i="22" s="1"/>
  <c r="M88" i="22"/>
  <c r="M92" i="22" s="1"/>
  <c r="S87" i="22"/>
  <c r="S91" i="22" s="1"/>
  <c r="J87" i="22"/>
  <c r="J91" i="22" s="1"/>
  <c r="M87" i="22"/>
  <c r="M91" i="22" s="1"/>
  <c r="V87" i="22"/>
  <c r="V91" i="22" s="1"/>
  <c r="C87" i="22"/>
  <c r="C91" i="22" s="1"/>
  <c r="F88" i="22"/>
  <c r="F92" i="22" s="1"/>
  <c r="E87" i="22"/>
  <c r="E91" i="22" s="1"/>
  <c r="G87" i="22"/>
  <c r="G91" i="22" s="1"/>
  <c r="L88" i="22"/>
  <c r="L92" i="22" s="1"/>
  <c r="S88" i="22"/>
  <c r="S92" i="22" s="1"/>
  <c r="L87" i="22"/>
  <c r="L91" i="22" s="1"/>
  <c r="K796" i="1"/>
  <c r="J829" i="1"/>
  <c r="J830" i="1" s="1"/>
  <c r="J831" i="1" s="1"/>
  <c r="I833" i="1" s="1"/>
  <c r="C52" i="31" l="1"/>
  <c r="U97" i="22"/>
  <c r="R49" i="20"/>
  <c r="U93" i="22"/>
  <c r="N93" i="22"/>
  <c r="N98" i="22"/>
  <c r="R42" i="20"/>
  <c r="N97" i="22"/>
  <c r="R22" i="20"/>
  <c r="Q94" i="22"/>
  <c r="T10" i="32"/>
  <c r="I995" i="1" s="1"/>
  <c r="L995" i="1" s="1"/>
  <c r="S11" i="32"/>
  <c r="N995" i="1"/>
  <c r="U98" i="22"/>
  <c r="I14" i="18" a="1"/>
  <c r="I14" i="18" s="1"/>
  <c r="F18" i="18"/>
  <c r="I15" i="18" a="1"/>
  <c r="I15" i="18" s="1"/>
  <c r="I17" i="18" a="1"/>
  <c r="I17" i="18" s="1"/>
  <c r="I16" i="18" a="1"/>
  <c r="I16" i="18" s="1"/>
  <c r="H308" i="1"/>
  <c r="G309" i="1"/>
  <c r="G298" i="1"/>
  <c r="H297" i="1"/>
  <c r="G287" i="1"/>
  <c r="AB47" i="20" s="1"/>
  <c r="H286" i="1"/>
  <c r="I558" i="1"/>
  <c r="H559" i="1"/>
  <c r="H548" i="1"/>
  <c r="I547" i="1"/>
  <c r="T11" i="32"/>
  <c r="I994" i="1" s="1"/>
  <c r="L994" i="1" s="1"/>
  <c r="M994" i="1" s="1"/>
  <c r="M995" i="1" s="1"/>
  <c r="N994" i="1"/>
  <c r="S42" i="20"/>
  <c r="P42" i="20" s="1"/>
  <c r="Y42" i="20" s="1"/>
  <c r="S19" i="20"/>
  <c r="P19" i="20" s="1"/>
  <c r="Y19" i="20" s="1"/>
  <c r="I676" i="1"/>
  <c r="K676" i="1" s="1"/>
  <c r="I602" i="1"/>
  <c r="K602" i="1" s="1"/>
  <c r="I346" i="1"/>
  <c r="K346" i="1" s="1"/>
  <c r="I427" i="1"/>
  <c r="K427" i="1" s="1"/>
  <c r="I652" i="1"/>
  <c r="K652" i="1" s="1"/>
  <c r="D106" i="22"/>
  <c r="H256" i="1"/>
  <c r="L256" i="1"/>
  <c r="H271" i="1"/>
  <c r="L271" i="1"/>
  <c r="H505" i="1"/>
  <c r="L505" i="1"/>
  <c r="H516" i="1"/>
  <c r="L516" i="1"/>
  <c r="H1276" i="1"/>
  <c r="H1277" i="1" s="1"/>
  <c r="H1284" i="1" s="1"/>
  <c r="I1284" i="1" s="1"/>
  <c r="AB32" i="20"/>
  <c r="AB35" i="20"/>
  <c r="AB38" i="20"/>
  <c r="AB40" i="20"/>
  <c r="AB41" i="20"/>
  <c r="AB42" i="20"/>
  <c r="AB43" i="20"/>
  <c r="AB44" i="20"/>
  <c r="AB45" i="20"/>
  <c r="AB46" i="20"/>
  <c r="H1131" i="1"/>
  <c r="AB33" i="20"/>
  <c r="AB34" i="20"/>
  <c r="AB36" i="20"/>
  <c r="AB37" i="20"/>
  <c r="AB39" i="20"/>
  <c r="H1112" i="1"/>
  <c r="H1113" i="1" s="1"/>
  <c r="H1117" i="1" s="1"/>
  <c r="H1118" i="1" s="1"/>
  <c r="D107" i="22"/>
  <c r="H257" i="1"/>
  <c r="L257" i="1"/>
  <c r="H272" i="1"/>
  <c r="L272" i="1"/>
  <c r="H506" i="1"/>
  <c r="L506" i="1"/>
  <c r="H517" i="1"/>
  <c r="L517" i="1"/>
  <c r="C79" i="31"/>
  <c r="K1075" i="1"/>
  <c r="H1064" i="1"/>
  <c r="I1065" i="1" s="1"/>
  <c r="L127" i="1"/>
  <c r="H888" i="1"/>
  <c r="K12" i="32"/>
  <c r="L12" i="32"/>
  <c r="W98" i="22"/>
  <c r="W93" i="22"/>
  <c r="W97" i="22"/>
  <c r="R12" i="20"/>
  <c r="G94" i="22"/>
  <c r="I97" i="22"/>
  <c r="I98" i="22"/>
  <c r="I93" i="22"/>
  <c r="R37" i="20"/>
  <c r="J94" i="22"/>
  <c r="R15" i="20"/>
  <c r="H93" i="22"/>
  <c r="H97" i="22"/>
  <c r="H98" i="22"/>
  <c r="R36" i="20"/>
  <c r="K98" i="22"/>
  <c r="K97" i="22"/>
  <c r="K93" i="22"/>
  <c r="R39" i="20"/>
  <c r="R16" i="20"/>
  <c r="K94" i="22"/>
  <c r="O97" i="22"/>
  <c r="O93" i="22"/>
  <c r="O98" i="22"/>
  <c r="R43" i="20"/>
  <c r="R23" i="20"/>
  <c r="R94" i="22"/>
  <c r="R25" i="20"/>
  <c r="T94" i="22"/>
  <c r="F93" i="22"/>
  <c r="F98" i="22"/>
  <c r="R34" i="20"/>
  <c r="F97" i="22"/>
  <c r="R10" i="20"/>
  <c r="E94" i="22"/>
  <c r="D98" i="22"/>
  <c r="D97" i="22"/>
  <c r="D93" i="22"/>
  <c r="R32" i="20"/>
  <c r="T98" i="22"/>
  <c r="R48" i="20"/>
  <c r="T97" i="22"/>
  <c r="T93" i="22"/>
  <c r="I94" i="22"/>
  <c r="R14" i="20"/>
  <c r="N94" i="22"/>
  <c r="R19" i="20"/>
  <c r="Q97" i="22"/>
  <c r="Q98" i="22"/>
  <c r="R45" i="20"/>
  <c r="Q93" i="22"/>
  <c r="R21" i="20"/>
  <c r="P94" i="22"/>
  <c r="R98" i="22"/>
  <c r="R97" i="22"/>
  <c r="R93" i="22"/>
  <c r="R46" i="20"/>
  <c r="P97" i="22"/>
  <c r="R44" i="20"/>
  <c r="P98" i="22"/>
  <c r="P93" i="22"/>
  <c r="R26" i="20"/>
  <c r="U94" i="22"/>
  <c r="R13" i="20"/>
  <c r="H94" i="22"/>
  <c r="V94" i="22"/>
  <c r="R27" i="20"/>
  <c r="D94" i="22"/>
  <c r="R9" i="20"/>
  <c r="O94" i="22"/>
  <c r="R20" i="20"/>
  <c r="C105" i="22"/>
  <c r="E105" i="22" s="1"/>
  <c r="M94" i="22"/>
  <c r="R18" i="20"/>
  <c r="S98" i="22"/>
  <c r="S93" i="22"/>
  <c r="S97" i="22"/>
  <c r="R47" i="20"/>
  <c r="J98" i="22"/>
  <c r="R38" i="20"/>
  <c r="J97" i="22"/>
  <c r="J93" i="22"/>
  <c r="R41" i="20"/>
  <c r="M98" i="22"/>
  <c r="C107" i="22" s="1"/>
  <c r="M97" i="22"/>
  <c r="C104" i="22"/>
  <c r="E104" i="22" s="1"/>
  <c r="M93" i="22"/>
  <c r="V98" i="22"/>
  <c r="V93" i="22"/>
  <c r="V97" i="22"/>
  <c r="R50" i="20"/>
  <c r="C93" i="22"/>
  <c r="C97" i="22"/>
  <c r="C98" i="22"/>
  <c r="R11" i="20"/>
  <c r="F94" i="22"/>
  <c r="E97" i="22"/>
  <c r="R33" i="20"/>
  <c r="E98" i="22"/>
  <c r="E93" i="22"/>
  <c r="G98" i="22"/>
  <c r="G93" i="22"/>
  <c r="G97" i="22"/>
  <c r="R35" i="20"/>
  <c r="R17" i="20"/>
  <c r="L94" i="22"/>
  <c r="S94" i="22"/>
  <c r="R24" i="20"/>
  <c r="R40" i="20"/>
  <c r="L93" i="22"/>
  <c r="L98" i="22"/>
  <c r="L97" i="22"/>
  <c r="F528" i="27"/>
  <c r="G528" i="27" s="1"/>
  <c r="I579" i="1" l="1"/>
  <c r="K579" i="1" s="1"/>
  <c r="I404" i="1"/>
  <c r="K404" i="1" s="1"/>
  <c r="I323" i="1"/>
  <c r="K323" i="1" s="1"/>
  <c r="E107" i="22"/>
  <c r="I308" i="1"/>
  <c r="H309" i="1"/>
  <c r="H298" i="1"/>
  <c r="I297" i="1"/>
  <c r="H287" i="1"/>
  <c r="I286" i="1"/>
  <c r="J558" i="1"/>
  <c r="I559" i="1"/>
  <c r="I548" i="1"/>
  <c r="J547" i="1"/>
  <c r="H1132" i="1"/>
  <c r="H1136" i="1" s="1"/>
  <c r="H1137" i="1" s="1"/>
  <c r="H1148" i="1"/>
  <c r="H1152" i="1" s="1"/>
  <c r="H1153" i="1" s="1"/>
  <c r="H1120" i="1"/>
  <c r="C97" i="31"/>
  <c r="L1076" i="1"/>
  <c r="H1082" i="1"/>
  <c r="K897" i="1"/>
  <c r="I897" i="1"/>
  <c r="S37" i="20"/>
  <c r="P37" i="20" s="1"/>
  <c r="Y37" i="20" s="1"/>
  <c r="S14" i="20"/>
  <c r="P14" i="20" s="1"/>
  <c r="Y14" i="20" s="1"/>
  <c r="I574" i="1"/>
  <c r="K574" i="1" s="1"/>
  <c r="I318" i="1"/>
  <c r="K318" i="1" s="1"/>
  <c r="I647" i="1"/>
  <c r="K647" i="1" s="1"/>
  <c r="I399" i="1"/>
  <c r="K399" i="1" s="1"/>
  <c r="I671" i="1"/>
  <c r="K671" i="1" s="1"/>
  <c r="I597" i="1"/>
  <c r="K597" i="1" s="1"/>
  <c r="I422" i="1"/>
  <c r="K422" i="1" s="1"/>
  <c r="I341" i="1"/>
  <c r="K341" i="1" s="1"/>
  <c r="V14" i="20"/>
  <c r="W14" i="20"/>
  <c r="V37" i="20"/>
  <c r="W37" i="20"/>
  <c r="S36" i="20"/>
  <c r="P36" i="20" s="1"/>
  <c r="Y36" i="20" s="1"/>
  <c r="S13" i="20"/>
  <c r="P13" i="20" s="1"/>
  <c r="Y13" i="20" s="1"/>
  <c r="I646" i="1"/>
  <c r="K646" i="1" s="1"/>
  <c r="I573" i="1"/>
  <c r="K573" i="1" s="1"/>
  <c r="I398" i="1"/>
  <c r="K398" i="1" s="1"/>
  <c r="I317" i="1"/>
  <c r="K317" i="1" s="1"/>
  <c r="I421" i="1"/>
  <c r="K421" i="1" s="1"/>
  <c r="I670" i="1"/>
  <c r="K670" i="1" s="1"/>
  <c r="I596" i="1"/>
  <c r="K596" i="1" s="1"/>
  <c r="I340" i="1"/>
  <c r="K340" i="1" s="1"/>
  <c r="W13" i="20"/>
  <c r="V13" i="20"/>
  <c r="Q13" i="20" s="1"/>
  <c r="W36" i="20"/>
  <c r="V36" i="20"/>
  <c r="S39" i="20"/>
  <c r="P39" i="20" s="1"/>
  <c r="Y39" i="20" s="1"/>
  <c r="S16" i="20"/>
  <c r="P16" i="20" s="1"/>
  <c r="Y16" i="20" s="1"/>
  <c r="I649" i="1"/>
  <c r="K649" i="1" s="1"/>
  <c r="I576" i="1"/>
  <c r="K576" i="1" s="1"/>
  <c r="I401" i="1"/>
  <c r="K401" i="1" s="1"/>
  <c r="I320" i="1"/>
  <c r="K320" i="1" s="1"/>
  <c r="I424" i="1"/>
  <c r="K424" i="1" s="1"/>
  <c r="I673" i="1"/>
  <c r="K673" i="1" s="1"/>
  <c r="I599" i="1"/>
  <c r="K599" i="1" s="1"/>
  <c r="I343" i="1"/>
  <c r="K343" i="1" s="1"/>
  <c r="V16" i="20"/>
  <c r="W16" i="20"/>
  <c r="V39" i="20"/>
  <c r="W39" i="20"/>
  <c r="S43" i="20"/>
  <c r="P43" i="20" s="1"/>
  <c r="Y43" i="20" s="1"/>
  <c r="S20" i="20"/>
  <c r="P20" i="20" s="1"/>
  <c r="Y20" i="20" s="1"/>
  <c r="I653" i="1"/>
  <c r="K653" i="1" s="1"/>
  <c r="I580" i="1"/>
  <c r="K580" i="1" s="1"/>
  <c r="I405" i="1"/>
  <c r="K405" i="1" s="1"/>
  <c r="I324" i="1"/>
  <c r="K324" i="1" s="1"/>
  <c r="I677" i="1"/>
  <c r="K677" i="1" s="1"/>
  <c r="I428" i="1"/>
  <c r="K428" i="1" s="1"/>
  <c r="I603" i="1"/>
  <c r="K603" i="1" s="1"/>
  <c r="I347" i="1"/>
  <c r="K347" i="1" s="1"/>
  <c r="W20" i="20"/>
  <c r="V43" i="20"/>
  <c r="V20" i="20"/>
  <c r="W43" i="20"/>
  <c r="W11" i="20"/>
  <c r="V34" i="20"/>
  <c r="V11" i="20"/>
  <c r="Q11" i="20" s="1"/>
  <c r="W34" i="20"/>
  <c r="S34" i="20"/>
  <c r="P34" i="20" s="1"/>
  <c r="Y34" i="20" s="1"/>
  <c r="S11" i="20"/>
  <c r="P11" i="20" s="1"/>
  <c r="Y11" i="20" s="1"/>
  <c r="I644" i="1"/>
  <c r="K644" i="1" s="1"/>
  <c r="I571" i="1"/>
  <c r="K571" i="1" s="1"/>
  <c r="I396" i="1"/>
  <c r="K396" i="1" s="1"/>
  <c r="I315" i="1"/>
  <c r="K315" i="1" s="1"/>
  <c r="I419" i="1"/>
  <c r="K419" i="1" s="1"/>
  <c r="I668" i="1"/>
  <c r="K668" i="1" s="1"/>
  <c r="I594" i="1"/>
  <c r="K594" i="1" s="1"/>
  <c r="I338" i="1"/>
  <c r="K338" i="1" s="1"/>
  <c r="S9" i="20"/>
  <c r="P9" i="20" s="1"/>
  <c r="Y9" i="20" s="1"/>
  <c r="S32" i="20"/>
  <c r="I313" i="1"/>
  <c r="K313" i="1" s="1"/>
  <c r="I394" i="1"/>
  <c r="K394" i="1" s="1"/>
  <c r="I569" i="1"/>
  <c r="K569" i="1" s="1"/>
  <c r="I642" i="1"/>
  <c r="K642" i="1" s="1"/>
  <c r="W32" i="20"/>
  <c r="W9" i="20"/>
  <c r="V9" i="20"/>
  <c r="Q9" i="20" s="1"/>
  <c r="V32" i="20"/>
  <c r="V48" i="20"/>
  <c r="V25" i="20"/>
  <c r="W48" i="20"/>
  <c r="W25" i="20"/>
  <c r="I658" i="1"/>
  <c r="K658" i="1" s="1"/>
  <c r="I585" i="1"/>
  <c r="K585" i="1" s="1"/>
  <c r="I682" i="1"/>
  <c r="K682" i="1" s="1"/>
  <c r="I608" i="1"/>
  <c r="K608" i="1" s="1"/>
  <c r="S45" i="20"/>
  <c r="P45" i="20" s="1"/>
  <c r="Y45" i="20" s="1"/>
  <c r="S22" i="20"/>
  <c r="P22" i="20" s="1"/>
  <c r="Y22" i="20" s="1"/>
  <c r="I655" i="1"/>
  <c r="K655" i="1" s="1"/>
  <c r="I407" i="1"/>
  <c r="K407" i="1" s="1"/>
  <c r="I326" i="1"/>
  <c r="K326" i="1" s="1"/>
  <c r="I582" i="1"/>
  <c r="K582" i="1" s="1"/>
  <c r="I430" i="1"/>
  <c r="K430" i="1" s="1"/>
  <c r="I605" i="1"/>
  <c r="K605" i="1" s="1"/>
  <c r="I349" i="1"/>
  <c r="K349" i="1" s="1"/>
  <c r="I679" i="1"/>
  <c r="K679" i="1" s="1"/>
  <c r="V45" i="20"/>
  <c r="V22" i="20"/>
  <c r="W22" i="20"/>
  <c r="W45" i="20"/>
  <c r="S46" i="20"/>
  <c r="P46" i="20" s="1"/>
  <c r="Y46" i="20" s="1"/>
  <c r="S23" i="20"/>
  <c r="P23" i="20" s="1"/>
  <c r="Y23" i="20" s="1"/>
  <c r="I656" i="1"/>
  <c r="K656" i="1" s="1"/>
  <c r="I583" i="1"/>
  <c r="K583" i="1" s="1"/>
  <c r="I408" i="1"/>
  <c r="K408" i="1" s="1"/>
  <c r="I327" i="1"/>
  <c r="K327" i="1" s="1"/>
  <c r="I680" i="1"/>
  <c r="K680" i="1" s="1"/>
  <c r="I431" i="1"/>
  <c r="K431" i="1" s="1"/>
  <c r="I606" i="1"/>
  <c r="K606" i="1" s="1"/>
  <c r="I350" i="1"/>
  <c r="K350" i="1" s="1"/>
  <c r="W46" i="20"/>
  <c r="W23" i="20"/>
  <c r="V23" i="20"/>
  <c r="Q23" i="20" s="1"/>
  <c r="V46" i="20"/>
  <c r="Q46" i="20" s="1"/>
  <c r="S44" i="20"/>
  <c r="P44" i="20" s="1"/>
  <c r="Y44" i="20" s="1"/>
  <c r="S21" i="20"/>
  <c r="P21" i="20" s="1"/>
  <c r="Y21" i="20" s="1"/>
  <c r="I429" i="1"/>
  <c r="K429" i="1" s="1"/>
  <c r="I604" i="1"/>
  <c r="K604" i="1" s="1"/>
  <c r="I678" i="1"/>
  <c r="K678" i="1" s="1"/>
  <c r="I348" i="1"/>
  <c r="K348" i="1" s="1"/>
  <c r="I581" i="1"/>
  <c r="K581" i="1" s="1"/>
  <c r="I406" i="1"/>
  <c r="K406" i="1" s="1"/>
  <c r="I654" i="1"/>
  <c r="K654" i="1" s="1"/>
  <c r="I325" i="1"/>
  <c r="K325" i="1" s="1"/>
  <c r="V21" i="20"/>
  <c r="V44" i="20"/>
  <c r="W21" i="20"/>
  <c r="W44" i="20"/>
  <c r="S47" i="20"/>
  <c r="P47" i="20" s="1"/>
  <c r="Y47" i="20" s="1"/>
  <c r="S24" i="20"/>
  <c r="P24" i="20" s="1"/>
  <c r="Y24" i="20" s="1"/>
  <c r="I657" i="1"/>
  <c r="K657" i="1" s="1"/>
  <c r="I409" i="1"/>
  <c r="K409" i="1" s="1"/>
  <c r="I328" i="1"/>
  <c r="K328" i="1" s="1"/>
  <c r="I584" i="1"/>
  <c r="K584" i="1" s="1"/>
  <c r="I681" i="1"/>
  <c r="K681" i="1" s="1"/>
  <c r="I351" i="1"/>
  <c r="K351" i="1" s="1"/>
  <c r="I607" i="1"/>
  <c r="K607" i="1" s="1"/>
  <c r="I432" i="1"/>
  <c r="K432" i="1" s="1"/>
  <c r="V24" i="20"/>
  <c r="V47" i="20"/>
  <c r="W24" i="20"/>
  <c r="W47" i="20"/>
  <c r="W38" i="20"/>
  <c r="W15" i="20"/>
  <c r="V15" i="20"/>
  <c r="V38" i="20"/>
  <c r="Q38" i="20" s="1"/>
  <c r="S15" i="20"/>
  <c r="P15" i="20" s="1"/>
  <c r="Y15" i="20" s="1"/>
  <c r="S38" i="20"/>
  <c r="P38" i="20" s="1"/>
  <c r="Y38" i="20" s="1"/>
  <c r="I648" i="1"/>
  <c r="K648" i="1" s="1"/>
  <c r="I319" i="1"/>
  <c r="K319" i="1" s="1"/>
  <c r="I575" i="1"/>
  <c r="K575" i="1" s="1"/>
  <c r="I400" i="1"/>
  <c r="K400" i="1" s="1"/>
  <c r="I423" i="1"/>
  <c r="K423" i="1" s="1"/>
  <c r="I672" i="1"/>
  <c r="K672" i="1" s="1"/>
  <c r="I342" i="1"/>
  <c r="K342" i="1" s="1"/>
  <c r="I598" i="1"/>
  <c r="K598" i="1" s="1"/>
  <c r="W41" i="20"/>
  <c r="W18" i="20"/>
  <c r="V18" i="20"/>
  <c r="V41" i="20"/>
  <c r="Q41" i="20" s="1"/>
  <c r="C106" i="22"/>
  <c r="E106" i="22" s="1"/>
  <c r="I651" i="1"/>
  <c r="K651" i="1" s="1"/>
  <c r="I578" i="1"/>
  <c r="K578" i="1" s="1"/>
  <c r="I403" i="1"/>
  <c r="K403" i="1" s="1"/>
  <c r="I322" i="1"/>
  <c r="K322" i="1" s="1"/>
  <c r="I675" i="1"/>
  <c r="K675" i="1" s="1"/>
  <c r="I426" i="1"/>
  <c r="K426" i="1" s="1"/>
  <c r="I601" i="1"/>
  <c r="K601" i="1" s="1"/>
  <c r="S18" i="20"/>
  <c r="P18" i="20" s="1"/>
  <c r="Y18" i="20" s="1"/>
  <c r="S41" i="20"/>
  <c r="P41" i="20" s="1"/>
  <c r="Y41" i="20" s="1"/>
  <c r="I345" i="1"/>
  <c r="K345" i="1" s="1"/>
  <c r="W27" i="20"/>
  <c r="V50" i="20"/>
  <c r="W50" i="20"/>
  <c r="V27" i="20"/>
  <c r="S33" i="20"/>
  <c r="P33" i="20" s="1"/>
  <c r="Y33" i="20" s="1"/>
  <c r="S10" i="20"/>
  <c r="P10" i="20" s="1"/>
  <c r="Y10" i="20" s="1"/>
  <c r="I643" i="1"/>
  <c r="K643" i="1" s="1"/>
  <c r="I570" i="1"/>
  <c r="K570" i="1" s="1"/>
  <c r="I395" i="1"/>
  <c r="K395" i="1" s="1"/>
  <c r="I314" i="1"/>
  <c r="K314" i="1" s="1"/>
  <c r="I418" i="1"/>
  <c r="K418" i="1" s="1"/>
  <c r="I667" i="1"/>
  <c r="K667" i="1" s="1"/>
  <c r="I593" i="1"/>
  <c r="K593" i="1" s="1"/>
  <c r="I337" i="1"/>
  <c r="K337" i="1" s="1"/>
  <c r="W10" i="20"/>
  <c r="V10" i="20"/>
  <c r="Q10" i="20" s="1"/>
  <c r="W33" i="20"/>
  <c r="V33" i="20"/>
  <c r="S35" i="20"/>
  <c r="P35" i="20" s="1"/>
  <c r="Y35" i="20" s="1"/>
  <c r="S12" i="20"/>
  <c r="P12" i="20" s="1"/>
  <c r="Y12" i="20" s="1"/>
  <c r="I645" i="1"/>
  <c r="K645" i="1" s="1"/>
  <c r="I572" i="1"/>
  <c r="K572" i="1" s="1"/>
  <c r="I316" i="1"/>
  <c r="K316" i="1" s="1"/>
  <c r="I397" i="1"/>
  <c r="K397" i="1" s="1"/>
  <c r="I420" i="1"/>
  <c r="K420" i="1" s="1"/>
  <c r="I339" i="1"/>
  <c r="K339" i="1" s="1"/>
  <c r="I669" i="1"/>
  <c r="K669" i="1" s="1"/>
  <c r="I595" i="1"/>
  <c r="K595" i="1" s="1"/>
  <c r="V12" i="20"/>
  <c r="W12" i="20"/>
  <c r="V35" i="20"/>
  <c r="W35" i="20"/>
  <c r="W40" i="20"/>
  <c r="W17" i="20"/>
  <c r="V40" i="20"/>
  <c r="Q40" i="20" s="1"/>
  <c r="V17" i="20"/>
  <c r="Q17" i="20" s="1"/>
  <c r="S17" i="20"/>
  <c r="P17" i="20" s="1"/>
  <c r="Y17" i="20" s="1"/>
  <c r="S40" i="20"/>
  <c r="P40" i="20" s="1"/>
  <c r="Y40" i="20" s="1"/>
  <c r="I577" i="1"/>
  <c r="K577" i="1" s="1"/>
  <c r="I650" i="1"/>
  <c r="K650" i="1" s="1"/>
  <c r="I321" i="1"/>
  <c r="K321" i="1" s="1"/>
  <c r="I402" i="1"/>
  <c r="K402" i="1" s="1"/>
  <c r="I674" i="1"/>
  <c r="K674" i="1" s="1"/>
  <c r="I344" i="1"/>
  <c r="K344" i="1" s="1"/>
  <c r="I425" i="1"/>
  <c r="K425" i="1" s="1"/>
  <c r="I600" i="1"/>
  <c r="K600" i="1" s="1"/>
  <c r="D529" i="27"/>
  <c r="E529" i="27"/>
  <c r="H253" i="1"/>
  <c r="J253" i="1" s="1"/>
  <c r="L269" i="1"/>
  <c r="N269" i="1" s="1"/>
  <c r="Q12" i="32"/>
  <c r="L253" i="1"/>
  <c r="N253" i="1" s="1"/>
  <c r="L513" i="1"/>
  <c r="L514" i="1" s="1"/>
  <c r="H269" i="1"/>
  <c r="J269" i="1" s="1"/>
  <c r="H502" i="1"/>
  <c r="H503" i="1" s="1"/>
  <c r="L502" i="1"/>
  <c r="L503" i="1" s="1"/>
  <c r="H513" i="1"/>
  <c r="H514" i="1" s="1"/>
  <c r="W19" i="20"/>
  <c r="W42" i="20"/>
  <c r="V19" i="20"/>
  <c r="V42" i="20"/>
  <c r="V49" i="20"/>
  <c r="V26" i="20"/>
  <c r="W49" i="20"/>
  <c r="W26" i="20"/>
  <c r="Q18" i="20" l="1"/>
  <c r="Q15" i="20"/>
  <c r="Q33" i="20"/>
  <c r="Q36" i="20"/>
  <c r="Q19" i="20"/>
  <c r="Q20" i="20"/>
  <c r="I329" i="1"/>
  <c r="K329" i="1" s="1"/>
  <c r="I433" i="1"/>
  <c r="K433" i="1" s="1"/>
  <c r="I410" i="1"/>
  <c r="K410" i="1" s="1"/>
  <c r="S25" i="20"/>
  <c r="P25" i="20" s="1"/>
  <c r="Y25" i="20" s="1"/>
  <c r="I352" i="1"/>
  <c r="K352" i="1" s="1"/>
  <c r="Q39" i="20"/>
  <c r="Q22" i="20"/>
  <c r="Q35" i="20"/>
  <c r="Q42" i="20"/>
  <c r="AB48" i="20"/>
  <c r="S48" i="20"/>
  <c r="P48" i="20" s="1"/>
  <c r="Y48" i="20" s="1"/>
  <c r="J308" i="1"/>
  <c r="I309" i="1"/>
  <c r="I298" i="1"/>
  <c r="J297" i="1"/>
  <c r="I287" i="1"/>
  <c r="J286" i="1"/>
  <c r="K558" i="1"/>
  <c r="K559" i="1" s="1"/>
  <c r="J559" i="1"/>
  <c r="I610" i="1" s="1"/>
  <c r="K610" i="1" s="1"/>
  <c r="I659" i="1"/>
  <c r="K659" i="1" s="1"/>
  <c r="I683" i="1"/>
  <c r="K683" i="1" s="1"/>
  <c r="I586" i="1"/>
  <c r="K586" i="1" s="1"/>
  <c r="I609" i="1"/>
  <c r="K609" i="1" s="1"/>
  <c r="J548" i="1"/>
  <c r="K547" i="1"/>
  <c r="K548" i="1" s="1"/>
  <c r="H1139" i="1"/>
  <c r="C92" i="31"/>
  <c r="H1155" i="1"/>
  <c r="C93" i="31"/>
  <c r="C94" i="31" s="1"/>
  <c r="C99" i="31"/>
  <c r="E127" i="31" s="1"/>
  <c r="D127" i="31"/>
  <c r="C81" i="31"/>
  <c r="H1088" i="1"/>
  <c r="H1083" i="1" s="1"/>
  <c r="H889" i="1"/>
  <c r="H891" i="1" s="1"/>
  <c r="H123" i="1" s="1"/>
  <c r="H1164" i="1"/>
  <c r="H1166" i="1" s="1"/>
  <c r="C57" i="31"/>
  <c r="C107" i="31" s="1"/>
  <c r="I417" i="1"/>
  <c r="I592" i="1"/>
  <c r="I336" i="1"/>
  <c r="I666" i="1"/>
  <c r="Q32" i="20"/>
  <c r="P32" i="20" s="1"/>
  <c r="Y32" i="20" s="1"/>
  <c r="I684" i="1"/>
  <c r="K684" i="1" s="1"/>
  <c r="S12" i="32"/>
  <c r="H935" i="1"/>
  <c r="Q14" i="20"/>
  <c r="Q37" i="20"/>
  <c r="Q16" i="20"/>
  <c r="Q34" i="20"/>
  <c r="Q48" i="20"/>
  <c r="Q43" i="20"/>
  <c r="Q25" i="20"/>
  <c r="Q47" i="20"/>
  <c r="Q21" i="20"/>
  <c r="Q44" i="20"/>
  <c r="Q24" i="20"/>
  <c r="Q12" i="20"/>
  <c r="F529" i="27"/>
  <c r="G529" i="27" s="1"/>
  <c r="Q45" i="20"/>
  <c r="K308" i="1" l="1"/>
  <c r="K309" i="1" s="1"/>
  <c r="J309" i="1"/>
  <c r="K297" i="1"/>
  <c r="K298" i="1" s="1"/>
  <c r="J298" i="1"/>
  <c r="I353" i="1"/>
  <c r="I434" i="1"/>
  <c r="K434" i="1" s="1"/>
  <c r="I411" i="1"/>
  <c r="K411" i="1" s="1"/>
  <c r="S26" i="20"/>
  <c r="P26" i="20" s="1"/>
  <c r="Y26" i="20" s="1"/>
  <c r="S49" i="20"/>
  <c r="P49" i="20" s="1"/>
  <c r="Y49" i="20" s="1"/>
  <c r="AB49" i="20"/>
  <c r="I330" i="1"/>
  <c r="K330" i="1" s="1"/>
  <c r="J287" i="1"/>
  <c r="K286" i="1"/>
  <c r="K287" i="1" s="1"/>
  <c r="I587" i="1"/>
  <c r="I660" i="1"/>
  <c r="C96" i="31"/>
  <c r="E126" i="31" s="1"/>
  <c r="H1163" i="1"/>
  <c r="H1168" i="1" s="1"/>
  <c r="D126" i="31"/>
  <c r="C83" i="31"/>
  <c r="C85" i="31"/>
  <c r="C86" i="31" s="1"/>
  <c r="C87" i="31" s="1"/>
  <c r="C110" i="31"/>
  <c r="C111" i="31" s="1"/>
  <c r="C112" i="31" s="1"/>
  <c r="C109" i="31"/>
  <c r="K417" i="1"/>
  <c r="K592" i="1"/>
  <c r="K336" i="1"/>
  <c r="K666" i="1"/>
  <c r="N996" i="1"/>
  <c r="T12" i="32"/>
  <c r="I996" i="1" s="1"/>
  <c r="L996" i="1" s="1"/>
  <c r="M996" i="1" s="1"/>
  <c r="M997" i="1" s="1"/>
  <c r="H999" i="1" s="1"/>
  <c r="H1000" i="1" s="1"/>
  <c r="D530" i="27"/>
  <c r="E530" i="27"/>
  <c r="Q26" i="20"/>
  <c r="Q49" i="20"/>
  <c r="Q50" i="20" l="1"/>
  <c r="P50" i="20" s="1"/>
  <c r="Y50" i="20" s="1"/>
  <c r="I354" i="1"/>
  <c r="I435" i="1"/>
  <c r="S50" i="20"/>
  <c r="Q27" i="20"/>
  <c r="I331" i="1"/>
  <c r="K331" i="1" s="1"/>
  <c r="I412" i="1"/>
  <c r="K412" i="1" s="1"/>
  <c r="S27" i="20"/>
  <c r="P27" i="20" s="1"/>
  <c r="Y27" i="20" s="1"/>
  <c r="AB50" i="20"/>
  <c r="C119" i="31"/>
  <c r="H1170" i="1"/>
  <c r="C89" i="31"/>
  <c r="E125" i="31" s="1"/>
  <c r="C133" i="31"/>
  <c r="D125" i="31"/>
  <c r="H1001" i="1"/>
  <c r="L32" i="1"/>
  <c r="K44" i="19" s="1"/>
  <c r="K2" i="1"/>
  <c r="K28" i="19"/>
  <c r="C114" i="31"/>
  <c r="F530" i="27"/>
  <c r="G530" i="27" s="1"/>
  <c r="K353" i="1"/>
  <c r="K587" i="1"/>
  <c r="J715" i="1"/>
  <c r="J716" i="1" s="1"/>
  <c r="J717" i="1" s="1"/>
  <c r="I719" i="1" s="1"/>
  <c r="K660" i="1"/>
  <c r="J724" i="1"/>
  <c r="J725" i="1" s="1"/>
  <c r="J726" i="1" s="1"/>
  <c r="I728" i="1" s="1"/>
  <c r="K354" i="1" l="1"/>
  <c r="J477" i="1"/>
  <c r="J478" i="1" s="1"/>
  <c r="J479" i="1" s="1"/>
  <c r="I481" i="1" s="1"/>
  <c r="J486" i="1"/>
  <c r="J487" i="1" s="1"/>
  <c r="J488" i="1" s="1"/>
  <c r="I490" i="1" s="1"/>
  <c r="K435" i="1"/>
  <c r="C130" i="31"/>
  <c r="C121" i="31"/>
  <c r="E130" i="31" s="1"/>
  <c r="M15" i="1"/>
  <c r="C134" i="31"/>
  <c r="C116" i="31"/>
  <c r="C129" i="31"/>
  <c r="E531" i="27"/>
  <c r="D531" i="27"/>
  <c r="F531" i="27" s="1"/>
  <c r="G531" i="27" s="1"/>
  <c r="M3" i="1" l="1"/>
  <c r="M11" i="19"/>
  <c r="E532" i="27"/>
  <c r="D532" i="27"/>
  <c r="F532" i="27" s="1"/>
  <c r="G532" i="27" s="1"/>
  <c r="E129" i="31"/>
  <c r="C135" i="31"/>
  <c r="L17" i="1" s="1"/>
  <c r="K13" i="19" s="1"/>
  <c r="D533" i="27" l="1"/>
  <c r="F533" i="27" s="1"/>
  <c r="G533" i="27" s="1"/>
  <c r="E533" i="27"/>
  <c r="D534" i="27" l="1"/>
  <c r="F534" i="27" s="1"/>
  <c r="G534" i="27" s="1"/>
  <c r="E534" i="27"/>
  <c r="E535" i="27" l="1"/>
  <c r="D535" i="27"/>
  <c r="F535" i="27" s="1"/>
  <c r="G535" i="27" s="1"/>
  <c r="E536" i="27" l="1"/>
  <c r="C511" i="27" s="1"/>
  <c r="D536" i="27"/>
  <c r="F536" i="27" l="1"/>
  <c r="C509" i="27" l="1"/>
  <c r="G536" i="27"/>
  <c r="C510" i="27" l="1"/>
  <c r="C512" i="27"/>
  <c r="C50" i="27" l="1"/>
  <c r="D94" i="27"/>
  <c r="D99" i="27"/>
  <c r="D107" i="27"/>
  <c r="D86" i="27"/>
  <c r="D91" i="27"/>
  <c r="D102" i="27"/>
  <c r="D111" i="27"/>
  <c r="D87" i="27"/>
  <c r="D96" i="27"/>
  <c r="D90" i="27"/>
  <c r="D93" i="27"/>
  <c r="D97" i="27"/>
  <c r="D101" i="27"/>
  <c r="D110" i="27"/>
  <c r="D112" i="27"/>
  <c r="D113" i="27"/>
  <c r="D114" i="27"/>
  <c r="D115" i="27"/>
  <c r="D116" i="27"/>
  <c r="D117" i="27"/>
  <c r="D118" i="27"/>
  <c r="D119" i="27"/>
  <c r="D120" i="27"/>
  <c r="D121" i="27"/>
  <c r="D122" i="27"/>
  <c r="D123" i="27"/>
  <c r="D88" i="27"/>
  <c r="D95" i="27"/>
  <c r="D100" i="27"/>
  <c r="D109" i="27"/>
  <c r="D89" i="27"/>
  <c r="D92" i="27"/>
  <c r="D98" i="27"/>
  <c r="D108" i="27"/>
  <c r="C501" i="27" l="1"/>
  <c r="D501" i="27" s="1"/>
  <c r="C500" i="27"/>
  <c r="D500" i="27" s="1"/>
  <c r="C499" i="27"/>
  <c r="D499" i="27" s="1"/>
  <c r="C498" i="27"/>
  <c r="D498" i="27" s="1"/>
  <c r="C497" i="27"/>
  <c r="D497" i="27" s="1"/>
  <c r="C496" i="27"/>
  <c r="D496" i="27" s="1"/>
  <c r="C495" i="27"/>
  <c r="D495" i="27" s="1"/>
  <c r="C494" i="27"/>
  <c r="D494" i="27" s="1"/>
  <c r="C493" i="27"/>
  <c r="D493" i="27" s="1"/>
  <c r="C492" i="27"/>
  <c r="D492" i="27" s="1"/>
  <c r="C491" i="27"/>
  <c r="D491" i="27" s="1"/>
  <c r="C490" i="27"/>
  <c r="D490" i="27" s="1"/>
  <c r="C489" i="27"/>
  <c r="D489" i="27" s="1"/>
  <c r="C488" i="27"/>
  <c r="D488" i="27" s="1"/>
  <c r="C487" i="27"/>
  <c r="D487" i="27" s="1"/>
  <c r="C486" i="27"/>
  <c r="D486" i="27" s="1"/>
  <c r="C485" i="27"/>
  <c r="D485" i="27" s="1"/>
  <c r="C484" i="27"/>
  <c r="D484" i="27" s="1"/>
  <c r="C483" i="27"/>
  <c r="D483" i="27" s="1"/>
  <c r="C482" i="27"/>
  <c r="D482" i="27" s="1"/>
  <c r="C481" i="27"/>
  <c r="D481" i="27" s="1"/>
  <c r="C480" i="27"/>
  <c r="D480" i="27" s="1"/>
  <c r="C479" i="27"/>
  <c r="D479" i="27" s="1"/>
  <c r="C478" i="27"/>
  <c r="D478" i="27" s="1"/>
  <c r="C477" i="27"/>
  <c r="D477" i="27" s="1"/>
  <c r="C476" i="27"/>
  <c r="D476" i="27" s="1"/>
  <c r="C475" i="27"/>
  <c r="D475" i="27" s="1"/>
  <c r="C474" i="27"/>
  <c r="D474" i="27" s="1"/>
  <c r="C473" i="27"/>
  <c r="D473" i="27" s="1"/>
  <c r="C472" i="27"/>
  <c r="D472" i="27" s="1"/>
  <c r="C471" i="27"/>
  <c r="D471" i="27" s="1"/>
  <c r="C470" i="27"/>
  <c r="D470" i="27" s="1"/>
  <c r="C469" i="27"/>
  <c r="D469" i="27" s="1"/>
  <c r="C468" i="27"/>
  <c r="D468" i="27" s="1"/>
  <c r="C467" i="27"/>
  <c r="D467" i="27" s="1"/>
  <c r="C466" i="27"/>
  <c r="D466" i="27" s="1"/>
  <c r="C465" i="27"/>
  <c r="D465" i="27" s="1"/>
  <c r="C464" i="27"/>
  <c r="D464" i="27" s="1"/>
  <c r="C463" i="27"/>
  <c r="D463" i="27" s="1"/>
  <c r="C462" i="27"/>
  <c r="D462" i="27" s="1"/>
  <c r="C461" i="27"/>
  <c r="D461" i="27" s="1"/>
  <c r="C460" i="27"/>
  <c r="D460" i="27" s="1"/>
  <c r="C459" i="27"/>
  <c r="D459" i="27" s="1"/>
  <c r="C458" i="27"/>
  <c r="D458" i="27" s="1"/>
  <c r="C457" i="27"/>
  <c r="D457" i="27" s="1"/>
  <c r="C456" i="27"/>
  <c r="D456" i="27" s="1"/>
  <c r="C455" i="27"/>
  <c r="D455" i="27" s="1"/>
  <c r="C454" i="27"/>
  <c r="D454" i="27" s="1"/>
  <c r="C453" i="27"/>
  <c r="D453" i="27" s="1"/>
  <c r="C452" i="27"/>
  <c r="D452" i="27" s="1"/>
  <c r="C451" i="27"/>
  <c r="D451" i="27" s="1"/>
  <c r="C450" i="27"/>
  <c r="D450" i="27" s="1"/>
  <c r="C449" i="27"/>
  <c r="D449" i="27" s="1"/>
  <c r="C448" i="27"/>
  <c r="D448" i="27" s="1"/>
  <c r="C447" i="27"/>
  <c r="D447" i="27" s="1"/>
  <c r="C446" i="27"/>
  <c r="D446" i="27" s="1"/>
  <c r="C445" i="27"/>
  <c r="D445" i="27" s="1"/>
  <c r="C444" i="27"/>
  <c r="D444" i="27" s="1"/>
  <c r="C443" i="27"/>
  <c r="D443" i="27" s="1"/>
  <c r="C442" i="27"/>
  <c r="D442" i="27" s="1"/>
  <c r="C441" i="27"/>
  <c r="D441" i="27" s="1"/>
  <c r="C440" i="27"/>
  <c r="D440" i="27" s="1"/>
  <c r="C439" i="27"/>
  <c r="D439" i="27" s="1"/>
  <c r="C438" i="27"/>
  <c r="D438" i="27" s="1"/>
  <c r="C437" i="27"/>
  <c r="D437" i="27" s="1"/>
  <c r="C436" i="27"/>
  <c r="D436" i="27" s="1"/>
  <c r="C435" i="27"/>
  <c r="D435" i="27" s="1"/>
  <c r="C434" i="27"/>
  <c r="D434" i="27" s="1"/>
  <c r="C433" i="27"/>
  <c r="D433" i="27" s="1"/>
  <c r="C432" i="27"/>
  <c r="D432" i="27" s="1"/>
  <c r="C431" i="27"/>
  <c r="D431" i="27" s="1"/>
  <c r="C430" i="27"/>
  <c r="D430" i="27" s="1"/>
  <c r="C429" i="27"/>
  <c r="D429" i="27" s="1"/>
  <c r="C428" i="27"/>
  <c r="D428" i="27" s="1"/>
  <c r="C427" i="27"/>
  <c r="D427" i="27" s="1"/>
  <c r="C426" i="27"/>
  <c r="D426" i="27" s="1"/>
  <c r="C425" i="27"/>
  <c r="D425" i="27" s="1"/>
  <c r="C424" i="27"/>
  <c r="D424" i="27" s="1"/>
  <c r="C423" i="27"/>
  <c r="D423" i="27" s="1"/>
  <c r="C422" i="27"/>
  <c r="D422" i="27" s="1"/>
  <c r="C421" i="27"/>
  <c r="D421" i="27" s="1"/>
  <c r="C420" i="27"/>
  <c r="D420" i="27" s="1"/>
  <c r="C419" i="27"/>
  <c r="D419" i="27" s="1"/>
  <c r="C418" i="27"/>
  <c r="D418" i="27" s="1"/>
  <c r="C417" i="27"/>
  <c r="D417" i="27" s="1"/>
  <c r="C416" i="27"/>
  <c r="D416" i="27" s="1"/>
  <c r="C415" i="27"/>
  <c r="D415" i="27" s="1"/>
  <c r="C414" i="27"/>
  <c r="D414" i="27" s="1"/>
  <c r="C413" i="27"/>
  <c r="D413" i="27" s="1"/>
  <c r="C412" i="27"/>
  <c r="D412" i="27" s="1"/>
  <c r="C411" i="27"/>
  <c r="D411" i="27" s="1"/>
  <c r="C410" i="27"/>
  <c r="D410" i="27" s="1"/>
  <c r="C409" i="27"/>
  <c r="D409" i="27" s="1"/>
  <c r="C408" i="27"/>
  <c r="D408" i="27" s="1"/>
  <c r="C407" i="27"/>
  <c r="D407" i="27" s="1"/>
  <c r="C406" i="27"/>
  <c r="D406" i="27" s="1"/>
  <c r="C405" i="27"/>
  <c r="D405" i="27" s="1"/>
  <c r="C404" i="27"/>
  <c r="D404" i="27" s="1"/>
  <c r="C403" i="27"/>
  <c r="D403" i="27" s="1"/>
  <c r="C402" i="27"/>
  <c r="D402" i="27" s="1"/>
  <c r="C401" i="27"/>
  <c r="D401" i="27" s="1"/>
  <c r="C400" i="27"/>
  <c r="D400" i="27" s="1"/>
  <c r="C399" i="27"/>
  <c r="D399" i="27" s="1"/>
  <c r="C398" i="27"/>
  <c r="D398" i="27" s="1"/>
  <c r="C397" i="27"/>
  <c r="D397" i="27" s="1"/>
  <c r="C396" i="27"/>
  <c r="D396" i="27" s="1"/>
  <c r="C395" i="27"/>
  <c r="D395" i="27" s="1"/>
  <c r="C394" i="27"/>
  <c r="D394" i="27" s="1"/>
  <c r="C393" i="27"/>
  <c r="D393" i="27" s="1"/>
  <c r="C392" i="27"/>
  <c r="D392" i="27" s="1"/>
  <c r="C391" i="27"/>
  <c r="D391" i="27" s="1"/>
  <c r="C390" i="27"/>
  <c r="D390" i="27" s="1"/>
  <c r="C389" i="27"/>
  <c r="D389" i="27" s="1"/>
  <c r="C388" i="27"/>
  <c r="D388" i="27" s="1"/>
  <c r="C387" i="27"/>
  <c r="D387" i="27" s="1"/>
  <c r="C386" i="27"/>
  <c r="D386" i="27" s="1"/>
  <c r="C385" i="27"/>
  <c r="D385" i="27" s="1"/>
  <c r="C384" i="27"/>
  <c r="D384" i="27" s="1"/>
  <c r="C383" i="27"/>
  <c r="D383" i="27" s="1"/>
  <c r="C382" i="27"/>
  <c r="D382" i="27" s="1"/>
  <c r="C381" i="27"/>
  <c r="D381" i="27" s="1"/>
  <c r="C57" i="27"/>
  <c r="H129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<sst xmlns="http://schemas.openxmlformats.org/spreadsheetml/2006/main" count="4752" uniqueCount="1775">
  <si>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</si>
  <si>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</si>
  <si>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</si>
  <si>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</si>
  <si>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</si>
  <si>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</si>
  <si>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</si>
  <si>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</si>
  <si>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</si>
  <si>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</si>
  <si>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</si>
  <si>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</si>
  <si>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</si>
  <si>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</si>
  <si>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</si>
  <si>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</si>
  <si>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</si>
  <si>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</si>
  <si>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</si>
  <si>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</si>
  <si>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</si>
  <si>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</si>
  <si>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</si>
  <si>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</si>
  <si>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</si>
  <si>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</si>
  <si>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</si>
  <si>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</si>
  <si>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</si>
  <si>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</si>
  <si>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</si>
  <si>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</si>
  <si>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</si>
  <si>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</si>
  <si>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</si>
  <si>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</si>
  <si>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</si>
  <si>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</si>
  <si>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</si>
  <si>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</si>
  <si>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</si>
  <si>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</si>
  <si>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</si>
  <si>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</si>
  <si>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</si>
  <si>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</si>
  <si>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</si>
  <si>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</si>
  <si>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</si>
  <si>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</si>
  <si>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</si>
  <si>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</si>
  <si>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</si>
  <si>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</si>
  <si>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</si>
  <si>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</si>
  <si>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</si>
  <si>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</si>
  <si>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</si>
  <si>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</si>
  <si>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</si>
  <si>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</si>
  <si>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</si>
  <si>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</si>
  <si>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</si>
  <si>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</si>
  <si>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</si>
  <si>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</si>
  <si>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</si>
  <si>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</si>
  <si>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</si>
  <si>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</si>
  <si>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</si>
  <si>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</si>
  <si>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</si>
  <si>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</si>
  <si>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</si>
  <si>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</si>
  <si>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</si>
  <si>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</si>
  <si>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</si>
  <si>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</si>
  <si>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</si>
  <si>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</si>
  <si>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</si>
  <si>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</si>
  <si>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</si>
  <si>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</si>
  <si>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</si>
  <si>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</si>
  <si>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</si>
  <si>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</si>
  <si>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</si>
  <si>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</si>
  <si>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</si>
  <si>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</si>
  <si>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</si>
  <si>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</si>
  <si>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</si>
  <si>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</si>
  <si>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</si>
  <si>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</si>
  <si>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</si>
  <si>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</si>
  <si>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</si>
  <si>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</si>
  <si>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</si>
  <si>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</si>
  <si>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</si>
  <si>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</si>
  <si>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</si>
  <si>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</si>
  <si>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</si>
  <si>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</si>
  <si>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</si>
  <si>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</si>
  <si>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</si>
  <si>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</si>
  <si>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</si>
  <si>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</si>
  <si>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</si>
  <si>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</si>
  <si>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</si>
  <si>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</si>
  <si>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</si>
  <si>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</si>
  <si>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</si>
  <si>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</si>
  <si>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</si>
  <si>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</si>
  <si>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</si>
  <si>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</si>
  <si>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</si>
  <si>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</si>
  <si>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</si>
  <si>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</si>
  <si>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</si>
  <si>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</si>
  <si>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</si>
  <si>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</si>
  <si>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</si>
  <si>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</si>
  <si>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</si>
  <si>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</si>
  <si>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</si>
  <si>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</si>
  <si>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</si>
  <si>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</si>
  <si>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</si>
  <si>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</si>
  <si>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</si>
  <si>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</si>
  <si>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</si>
  <si>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</si>
  <si>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</si>
  <si>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</si>
  <si>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</si>
  <si>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</si>
  <si>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</si>
  <si>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</si>
  <si>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</si>
  <si>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</si>
  <si>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</si>
  <si>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</si>
  <si>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</si>
  <si>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</si>
  <si>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</si>
  <si>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</si>
  <si>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</si>
  <si>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</si>
  <si>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</si>
  <si>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</si>
  <si>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</si>
  <si>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</si>
  <si>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</si>
  <si>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</si>
  <si>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</si>
  <si>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</si>
  <si>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</si>
  <si>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</si>
  <si>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</si>
  <si>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</si>
  <si>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</si>
  <si>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</si>
  <si>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</si>
  <si>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</si>
  <si>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</si>
  <si>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</si>
  <si>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</si>
  <si>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</si>
  <si>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</si>
  <si>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</si>
  <si>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</si>
  <si>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</si>
  <si>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</si>
  <si>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</si>
  <si>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</si>
  <si>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</si>
  <si>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</si>
  <si>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</si>
  <si>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</si>
  <si>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</si>
  <si>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</si>
  <si>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</si>
  <si>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</si>
  <si>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</si>
  <si>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</si>
  <si>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</si>
  <si>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</si>
  <si>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</si>
  <si>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</si>
  <si>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</si>
  <si>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</si>
  <si>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</si>
  <si>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</si>
  <si>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</si>
  <si>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</si>
  <si>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</si>
  <si>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</si>
  <si>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</si>
  <si>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</si>
  <si>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</si>
  <si>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</si>
  <si>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</si>
  <si>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</si>
  <si>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</si>
  <si>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</si>
  <si>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</si>
  <si>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</si>
  <si>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</si>
  <si>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</si>
  <si>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</si>
  <si>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</si>
  <si>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</si>
  <si>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</si>
  <si>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</si>
  <si>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</si>
  <si>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</si>
  <si>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</si>
  <si>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</si>
  <si>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</si>
  <si>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</si>
  <si>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</si>
  <si>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</si>
  <si>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</si>
  <si>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</si>
  <si>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</si>
  <si>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</si>
  <si>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</si>
  <si>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</si>
  <si>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</si>
  <si>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</si>
  <si>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</si>
  <si>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</si>
  <si>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</si>
  <si>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</si>
  <si>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</si>
  <si>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</si>
  <si>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</si>
  <si>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</si>
  <si>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</si>
  <si>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</si>
  <si>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</si>
  <si>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</si>
  <si>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</si>
  <si>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</si>
  <si>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</si>
  <si>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</si>
  <si>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</si>
  <si>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</si>
  <si>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</si>
  <si>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</si>
  <si>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</si>
  <si>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</si>
  <si>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</si>
  <si>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</si>
  <si>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</si>
  <si>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</si>
  <si>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</si>
  <si>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</si>
  <si>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</si>
  <si>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</si>
  <si>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</si>
  <si>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</si>
  <si>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</si>
  <si>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</si>
  <si>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</si>
  <si>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</si>
  <si>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</si>
  <si>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</si>
  <si>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</si>
  <si>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</si>
  <si>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</si>
  <si>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</si>
  <si>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</si>
  <si>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</si>
  <si>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</si>
  <si>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</si>
  <si>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</si>
  <si>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</si>
  <si>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</si>
  <si>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</si>
  <si>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</si>
  <si>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</si>
  <si>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</si>
  <si>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</si>
  <si>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</si>
  <si>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</si>
  <si>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</si>
  <si>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</si>
  <si>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</si>
  <si>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</si>
  <si>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</si>
  <si>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</si>
  <si>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</si>
  <si>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</si>
  <si>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</si>
  <si>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</si>
  <si>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</si>
  <si>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</si>
  <si>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</si>
  <si>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</si>
  <si>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</si>
  <si>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</si>
  <si>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</si>
  <si>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</si>
  <si>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</si>
  <si>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</si>
  <si>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</si>
  <si>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</si>
  <si>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</si>
  <si>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</si>
  <si>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</si>
  <si>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</si>
  <si>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</si>
  <si>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</si>
  <si>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</si>
  <si>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</si>
  <si>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</si>
  <si>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</si>
  <si>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</si>
  <si>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</si>
  <si>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</si>
  <si>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</si>
  <si>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</si>
  <si>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</si>
  <si>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</si>
  <si>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</si>
  <si>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</si>
  <si>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</si>
  <si>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</si>
  <si>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</si>
  <si>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</si>
  <si>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</si>
  <si>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</si>
  <si>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</si>
  <si>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</si>
  <si>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</si>
  <si>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</si>
  <si>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</si>
  <si>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</si>
  <si>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</si>
  <si>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</si>
  <si>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</si>
  <si>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</si>
  <si>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</si>
  <si>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</si>
  <si>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</si>
  <si>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</si>
  <si>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</si>
  <si>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</si>
  <si>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</si>
  <si>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</si>
  <si>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</si>
  <si>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</si>
  <si>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</si>
  <si>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</si>
  <si>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</si>
  <si>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</si>
  <si>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</si>
  <si>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</si>
  <si>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</si>
  <si>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</si>
  <si>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</si>
  <si>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</si>
  <si>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</si>
  <si>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</si>
  <si>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</si>
  <si>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</si>
  <si>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</si>
  <si>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</si>
  <si>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</si>
  <si>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</si>
  <si>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</si>
  <si>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</si>
  <si>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</si>
  <si>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</si>
  <si>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</si>
  <si>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</si>
  <si>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</si>
  <si>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</si>
  <si>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</si>
  <si>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</si>
  <si>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</si>
  <si>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</si>
  <si>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</si>
  <si>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</si>
  <si>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</si>
  <si>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</si>
  <si>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</si>
  <si>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</si>
  <si>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</si>
  <si>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</si>
  <si>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</si>
  <si>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</si>
  <si>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</si>
  <si>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</si>
  <si>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</si>
  <si>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</si>
  <si>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</si>
  <si>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</si>
  <si>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</si>
  <si>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</si>
  <si>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</si>
  <si>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</si>
  <si>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</si>
  <si>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</si>
  <si>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</si>
  <si>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</si>
  <si>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</si>
  <si>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</si>
  <si>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</si>
  <si>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</si>
  <si>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</si>
  <si>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</si>
  <si>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</si>
  <si>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</si>
  <si>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</si>
  <si>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</si>
  <si>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</si>
  <si>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</si>
  <si>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</si>
  <si>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</si>
  <si>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</si>
  <si>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</si>
  <si>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</si>
  <si>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</si>
  <si>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</si>
  <si>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</si>
  <si>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</si>
  <si>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</si>
  <si>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</si>
  <si>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</si>
  <si>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</si>
  <si>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</si>
  <si>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</si>
  <si>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</si>
  <si>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</si>
  <si>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</si>
  <si>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</si>
  <si>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</si>
  <si>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</si>
  <si>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</si>
  <si>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</si>
  <si>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</si>
  <si>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</si>
  <si>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</si>
  <si>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</si>
  <si>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</si>
  <si>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</si>
  <si>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</si>
  <si>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</si>
  <si>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</si>
  <si>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</si>
  <si>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</si>
  <si>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</si>
  <si>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</si>
  <si>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</si>
  <si>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</si>
  <si>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</si>
  <si>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</si>
  <si>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</si>
  <si>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</si>
  <si>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</si>
  <si>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</si>
  <si>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</si>
  <si>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</si>
  <si>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</si>
  <si>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</si>
  <si>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</si>
  <si>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</si>
  <si>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</si>
  <si>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</si>
  <si>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</si>
  <si>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</si>
  <si>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</si>
  <si>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</si>
  <si>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</si>
  <si>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</si>
  <si>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</si>
  <si>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</si>
  <si>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</si>
  <si>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</si>
  <si>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</si>
  <si>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</si>
  <si>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</si>
  <si>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</si>
  <si>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</si>
  <si>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</si>
  <si>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</si>
  <si>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</si>
  <si>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</si>
  <si>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</si>
  <si>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</si>
  <si>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</si>
  <si>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</si>
  <si>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</si>
  <si>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</si>
  <si>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</si>
  <si>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</si>
  <si>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</si>
  <si>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</si>
  <si>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</si>
  <si>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</si>
  <si>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</si>
  <si>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</si>
  <si>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</si>
  <si>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</si>
  <si>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</si>
  <si>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</si>
  <si>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</si>
  <si>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</si>
  <si>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</si>
  <si>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</si>
  <si>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</si>
  <si>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</si>
  <si>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</si>
  <si>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</si>
  <si>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</si>
  <si>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</si>
  <si>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</si>
  <si>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</si>
  <si>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</si>
  <si>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</si>
  <si>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</si>
  <si>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</si>
  <si>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</si>
  <si>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</si>
  <si>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</si>
  <si>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</si>
  <si>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</si>
  <si>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</si>
  <si>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</si>
  <si>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</si>
  <si>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</si>
  <si>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</si>
  <si>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</si>
  <si>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</si>
  <si>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</si>
  <si>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</si>
  <si>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</si>
  <si>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</si>
  <si>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</si>
  <si>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</si>
  <si>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</si>
  <si>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</si>
  <si>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</si>
  <si>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</si>
  <si>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</si>
  <si>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</si>
  <si>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</si>
  <si>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</si>
  <si>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</si>
  <si>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</si>
  <si>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</si>
  <si>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</si>
  <si>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</si>
  <si>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</si>
  <si>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</si>
  <si>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</si>
  <si>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</si>
  <si>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</si>
  <si>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</si>
  <si>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</si>
  <si>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</si>
  <si>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</si>
  <si>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</si>
  <si>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</si>
  <si>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</si>
  <si>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</si>
  <si>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</si>
  <si>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</si>
  <si>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</si>
  <si>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</si>
  <si>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</si>
  <si>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</si>
  <si>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</si>
  <si>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</si>
  <si>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</si>
  <si>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</si>
  <si>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</si>
  <si>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</si>
  <si>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</si>
  <si>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</si>
  <si>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</si>
  <si>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</si>
  <si>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</si>
  <si>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</si>
  <si>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</si>
  <si>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</si>
  <si>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</si>
  <si>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</si>
  <si>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</si>
  <si>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</si>
  <si>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</si>
  <si>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</si>
  <si>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</si>
  <si>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</si>
  <si>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</si>
  <si>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</si>
  <si>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</si>
  <si>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</si>
  <si>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</si>
  <si>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</si>
  <si>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</si>
  <si>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</si>
  <si>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</si>
  <si>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</si>
  <si>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</si>
  <si>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</si>
  <si>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</si>
  <si>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</si>
  <si>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</si>
  <si>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</si>
  <si>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</si>
  <si>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</si>
  <si>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</si>
  <si>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</si>
  <si>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</si>
  <si>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</si>
  <si>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</si>
  <si>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</si>
  <si>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</si>
  <si>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</si>
  <si>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</si>
  <si>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</si>
  <si>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</si>
  <si>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</si>
  <si>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</si>
  <si>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</si>
  <si>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</si>
  <si>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</si>
  <si>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</si>
  <si>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</si>
  <si>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</si>
  <si>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</si>
  <si>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</si>
  <si>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</si>
  <si>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</si>
  <si>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</si>
  <si>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</si>
  <si>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</si>
  <si>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</si>
  <si>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</si>
  <si>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</si>
  <si>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</si>
  <si>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</si>
  <si>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</si>
  <si>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</si>
  <si>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</si>
  <si>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</si>
  <si>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</si>
  <si>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</si>
  <si>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</si>
  <si>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</si>
  <si>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</si>
  <si>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</si>
  <si>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</si>
  <si>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</si>
  <si>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</si>
  <si>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</si>
  <si>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</si>
  <si>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</si>
  <si>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</si>
  <si>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</si>
  <si>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</si>
  <si>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</si>
  <si>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</si>
  <si>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</si>
  <si>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</si>
  <si>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</si>
  <si>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</si>
  <si>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</si>
  <si>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</si>
  <si>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</si>
  <si>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</si>
  <si>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</si>
  <si>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</si>
  <si>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</si>
  <si>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</si>
  <si>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</si>
  <si>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</si>
  <si>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</si>
  <si>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</si>
  <si>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</si>
  <si>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</si>
  <si>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</si>
  <si>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</si>
  <si>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</si>
  <si>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</si>
  <si>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</si>
  <si>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</si>
  <si>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</si>
  <si>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</si>
  <si>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</si>
  <si>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</si>
  <si>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</si>
  <si>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</si>
  <si>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</si>
  <si>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</si>
  <si>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</si>
  <si>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</si>
  <si>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</si>
  <si>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</si>
  <si>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</si>
  <si>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</si>
  <si>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</si>
  <si>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</si>
  <si>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</si>
  <si>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</si>
  <si>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</si>
  <si>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</si>
  <si>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</si>
  <si>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</si>
  <si>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</si>
  <si>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</si>
  <si>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</si>
  <si>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</si>
  <si>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</si>
  <si>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</si>
  <si>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</si>
  <si>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</si>
  <si>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</si>
  <si>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</si>
  <si>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</si>
  <si>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</si>
  <si>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</si>
  <si>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</si>
  <si>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</si>
  <si>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</si>
  <si>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</si>
  <si>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</si>
  <si>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</si>
  <si>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</si>
  <si>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</si>
  <si>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</si>
  <si>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</si>
  <si>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</si>
  <si>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</si>
  <si>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</si>
  <si>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</si>
  <si>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</si>
  <si>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</si>
  <si>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</si>
  <si>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</si>
  <si>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</si>
  <si>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</si>
  <si>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</si>
  <si>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</si>
  <si>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</si>
  <si>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</si>
  <si>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</si>
  <si>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</si>
  <si>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</si>
  <si>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</si>
  <si>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</si>
  <si>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</si>
  <si>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</si>
  <si>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</si>
  <si>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</si>
  <si>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</si>
  <si>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</si>
  <si>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</si>
  <si>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</si>
  <si>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</si>
  <si>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</si>
  <si>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</si>
  <si>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</si>
  <si>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</si>
  <si>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</si>
  <si>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</si>
  <si>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</si>
  <si>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</si>
  <si>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</si>
  <si>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</si>
  <si>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</si>
  <si>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</si>
  <si>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</si>
  <si>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</si>
  <si>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</si>
  <si>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</si>
  <si>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</si>
  <si>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</si>
  <si>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</si>
  <si>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</si>
  <si>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</si>
  <si>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</si>
  <si>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</si>
  <si>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</si>
  <si>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</si>
  <si>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</si>
  <si>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</si>
  <si>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</si>
  <si>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</si>
  <si>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</si>
  <si>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</si>
  <si>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</si>
  <si>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</si>
  <si>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</si>
  <si>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</si>
  <si>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</si>
  <si>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</si>
  <si>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</si>
  <si>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</si>
  <si>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</si>
  <si>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</si>
  <si>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</si>
  <si>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</si>
  <si>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</si>
  <si>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</si>
  <si>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</si>
  <si>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</si>
  <si>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</si>
  <si>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</si>
  <si>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</si>
  <si>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</si>
  <si>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</si>
  <si>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</si>
  <si>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</si>
  <si>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</si>
  <si>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</si>
  <si>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</si>
  <si>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</si>
  <si>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</si>
  <si>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</si>
  <si>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</si>
  <si>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</si>
  <si>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</si>
  <si>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</si>
  <si>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</si>
  <si>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</si>
  <si>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</si>
  <si>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</si>
  <si>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</si>
  <si>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</si>
  <si>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</si>
  <si>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</si>
  <si>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</si>
  <si>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</si>
  <si>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</si>
  <si>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</si>
  <si>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</si>
  <si>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</si>
  <si>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</si>
  <si>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</si>
  <si>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</si>
  <si>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</si>
  <si>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</si>
  <si>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</si>
  <si>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</si>
  <si>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</si>
  <si>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</si>
  <si>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</si>
  <si>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</si>
  <si>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</si>
  <si>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</si>
  <si>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</si>
  <si>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</si>
  <si>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</si>
  <si>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</si>
  <si>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</si>
  <si>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</si>
  <si>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</si>
  <si>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</si>
  <si>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</si>
  <si>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</si>
  <si>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</si>
  <si>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</si>
  <si>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</si>
  <si>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</si>
  <si>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</si>
  <si>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</si>
  <si>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</si>
  <si>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</si>
  <si>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</si>
  <si>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</si>
  <si>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</si>
  <si>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</si>
  <si>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</si>
  <si>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</si>
  <si>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</si>
  <si>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</si>
  <si>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</si>
  <si>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</si>
  <si>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</si>
  <si>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</si>
  <si>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</si>
  <si>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</si>
  <si>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</si>
  <si>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</si>
  <si>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</si>
  <si>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</si>
  <si>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</si>
  <si>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</si>
  <si>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</si>
  <si>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</si>
  <si>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</si>
  <si>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</si>
  <si>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</si>
  <si>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</si>
  <si>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</si>
  <si>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</si>
  <si>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</si>
  <si>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</si>
  <si>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</si>
  <si>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</si>
  <si>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</si>
  <si>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</si>
  <si>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</si>
  <si>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</si>
  <si>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</si>
  <si>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</si>
  <si>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</si>
  <si>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</si>
  <si>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</si>
  <si>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</si>
  <si>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</si>
  <si>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</si>
  <si>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</si>
  <si>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</si>
  <si>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</si>
  <si>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</si>
  <si>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</si>
  <si>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</si>
  <si>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</si>
  <si>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</si>
  <si>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</si>
  <si>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</si>
  <si>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</si>
  <si>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</si>
  <si>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</si>
  <si>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</si>
  <si>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</si>
  <si>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</si>
  <si>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</si>
  <si>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</si>
  <si>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</si>
  <si>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</si>
  <si>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</si>
  <si>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</si>
  <si>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</si>
  <si>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</si>
  <si>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</si>
  <si>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</si>
  <si>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</si>
  <si>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</si>
  <si>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</si>
  <si>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</si>
  <si>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</si>
  <si>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</si>
  <si>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</si>
  <si>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</si>
  <si>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</si>
  <si>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</si>
  <si>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</si>
  <si>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</si>
  <si>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</si>
  <si>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</si>
  <si>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</si>
  <si>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</si>
  <si>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</si>
  <si>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</si>
  <si>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</si>
  <si>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</si>
  <si>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</si>
  <si>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</si>
  <si>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</si>
  <si>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</si>
  <si>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</si>
  <si>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</si>
  <si>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</si>
  <si>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</si>
  <si>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</si>
  <si>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</si>
  <si>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</si>
  <si>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</si>
  <si>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</si>
  <si>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</si>
  <si>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</si>
  <si>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</si>
  <si>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</si>
  <si>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</si>
  <si>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</si>
  <si>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</si>
  <si>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</si>
  <si>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</si>
  <si>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</si>
  <si>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</si>
  <si>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</si>
  <si>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</si>
  <si>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</si>
  <si>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</si>
  <si>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</si>
  <si>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</si>
  <si>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</si>
  <si>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</si>
  <si>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</si>
  <si>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</si>
  <si>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</si>
  <si>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</si>
  <si>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</si>
  <si>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</si>
  <si>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</si>
  <si>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</si>
  <si>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</si>
  <si>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</si>
  <si>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</si>
  <si>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</si>
  <si>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</si>
  <si>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</si>
  <si>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</si>
  <si>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</si>
  <si>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</si>
  <si>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t>Majorador do módulo para avaliação de efeito dinâmico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</si>
  <si>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</si>
  <si>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</si>
  <si>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</si>
  <si>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</si>
  <si>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</si>
  <si>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</si>
  <si>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</si>
  <si>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</si>
  <si>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</si>
  <si>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</si>
  <si>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</si>
  <si>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</si>
  <si>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</si>
  <si>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</si>
  <si>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</si>
  <si>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</si>
  <si>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</si>
  <si>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</si>
  <si>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</si>
  <si>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</si>
  <si>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</si>
  <si>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t>*Produto de rigidez à flexão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</si>
  <si>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</si>
  <si>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</si>
  <si>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</si>
  <si>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</si>
  <si>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</si>
  <si>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</si>
  <si>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</si>
  <si>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</si>
  <si>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</si>
  <si>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</si>
  <si>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</si>
  <si>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</si>
  <si>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</si>
  <si>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</si>
  <si>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</si>
  <si>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</si>
  <si>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t>*Fck da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</si>
  <si>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</si>
  <si>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*Área de seção composta</t>
  </si>
  <si>
    <t>*Inércia de seção composta</t>
  </si>
  <si>
    <t>2.1</t>
  </si>
  <si>
    <t>RIGIDEZ DO ELEMENTO ISOLADO PRÉ-FABRICADO</t>
  </si>
  <si>
    <t>fn</t>
  </si>
  <si>
    <t>Hz</t>
  </si>
  <si>
    <t>*Frequência natural do elemento para todo o comprimento</t>
  </si>
  <si>
    <t>Ei</t>
  </si>
  <si>
    <t>kN.m²</t>
  </si>
  <si>
    <t>*Módulo de elasticidade pelo momento de inércia</t>
  </si>
  <si>
    <t>K</t>
  </si>
  <si>
    <t>*Rigidez Estática Central, correlaciona uma força aplicada no centro com o deslocamento no mesmo ponto (k=f/u)^3. Considerando bi-apoiada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</si>
  <si>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</si>
  <si>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</si>
  <si>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</si>
  <si>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</si>
  <si>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</si>
  <si>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*Frequência natural do elemento</t>
  </si>
  <si>
    <t>K limite</t>
  </si>
  <si>
    <t>*Valor limite</t>
  </si>
  <si>
    <t>Situação:</t>
  </si>
  <si>
    <t>2.3</t>
  </si>
  <si>
    <t>RIGIDEZ TOTAL DO PANO</t>
  </si>
  <si>
    <t xml:space="preserve">*Frequência natural do pano 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</si>
  <si>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</si>
  <si>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</si>
  <si>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</si>
  <si>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</si>
  <si>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</si>
  <si>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</si>
  <si>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</si>
  <si>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</si>
  <si>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</si>
  <si>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</si>
  <si>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</si>
  <si>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</si>
  <si>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</si>
  <si>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</si>
  <si>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</si>
  <si>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</si>
  <si>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</si>
  <si>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</si>
  <si>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</si>
  <si>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</si>
  <si>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3. Com todas as cargas</t>
  </si>
  <si>
    <t>5.</t>
  </si>
  <si>
    <t>SENSIBILIDADE DA FREQUÊNCIA NATURAL AO VÃO (L)</t>
  </si>
  <si>
    <t>*Cada tabela varia o vão L mantendo fixas as demais propriedades (Ecs, I, cargas), para ajuste de fn = a*L^b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</si>
  <si>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</si>
  <si>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</si>
  <si>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</si>
  <si>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</si>
  <si>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</si>
  <si>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</si>
  <si>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</si>
  <si>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</si>
  <si>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</si>
  <si>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</si>
  <si>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</si>
  <si>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</si>
  <si>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</si>
  <si>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</si>
  <si>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</si>
  <si>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</si>
  <si>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</si>
  <si>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</si>
  <si>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</si>
  <si>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</si>
  <si>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</si>
  <si>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</si>
  <si>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</si>
  <si>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</si>
  <si>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</si>
  <si>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</si>
  <si>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</si>
  <si>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</si>
  <si>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</si>
  <si>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</si>
  <si>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</si>
  <si>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</si>
  <si>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</si>
  <si>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</si>
  <si>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</si>
  <si>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</si>
  <si>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</si>
  <si>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</si>
  <si>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</si>
  <si>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</si>
  <si>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</si>
  <si>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</si>
  <si>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</si>
  <si>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</si>
  <si>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</si>
  <si>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</si>
  <si>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</si>
  <si>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</si>
  <si>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</si>
  <si>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</si>
  <si>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</si>
  <si>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</si>
  <si>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</si>
  <si>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</si>
  <si>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</si>
  <si>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</si>
  <si>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r>
      <t>A</t>
    </r>
    <r>
      <rPr>
        <vertAlign val="subscript"/>
        <sz val="11"/>
        <color theme="1"/>
        <rFont val="Calibri"/>
        <family val="2"/>
      </rPr>
      <t>capa</t>
    </r>
  </si>
  <si>
    <t>fck médio</t>
  </si>
  <si>
    <t>Bisseção determinística</t>
  </si>
  <si>
    <t>*Coeficiente de engastamento do apoio esquerdo</t>
  </si>
  <si>
    <t>*Coeficiente de engastamento do apoio direito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</si>
  <si>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</si>
  <si>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</si>
  <si>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</si>
  <si>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</si>
  <si>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</si>
  <si>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</si>
  <si>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</si>
  <si>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</si>
  <si>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</si>
  <si>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</si>
  <si>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</si>
  <si>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</si>
  <si>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</si>
  <si>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</si>
  <si>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</si>
  <si>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</si>
  <si>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</si>
  <si>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</si>
  <si>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</si>
  <si>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</si>
  <si>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</si>
  <si>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</si>
  <si>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</si>
  <si>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</si>
  <si>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</si>
  <si>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</si>
  <si>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*Multiplicador sobre a rigidez modal biapoiada = (u/π)²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</si>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</sst>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6" fontId="0" fillId="0" borderId="0" xfId="0" applyNumberFormat="1" applyAlignment="1">
      <alignment horizontal="center"/>
    </xf>
    <xf numFmtId="1" fontId="7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47" xfId="0" applyFont="1" applyFill="1" applyBorder="1" applyAlignment="1">
      <alignment horizontal="left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32" xfId="0" applyFont="1" applyBorder="1" applyAlignment="1">
      <alignment horizontal="center" wrapText="1"/>
    </xf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/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-124.23246048566665</c:v>
                </c:pt>
                <c:pt idx="2">
                  <c:v>-210.93553167821258</c:v>
                </c:pt>
                <c:pt idx="3">
                  <c:v>-260.10163546748163</c:v>
                </c:pt>
                <c:pt idx="4">
                  <c:v>-271.72357174881233</c:v>
                </c:pt>
                <c:pt idx="5">
                  <c:v>-245.79449514410743</c:v>
                </c:pt>
                <c:pt idx="6">
                  <c:v>-182.3078934222915</c:v>
                </c:pt>
                <c:pt idx="7">
                  <c:v>-81.257567476164354</c:v>
                </c:pt>
                <c:pt idx="8">
                  <c:v>57.362387273755758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-0.46750227169144759</c:v>
                </c:pt>
                <c:pt idx="2">
                  <c:v>-2.2921236478241513</c:v>
                </c:pt>
                <c:pt idx="3">
                  <c:v>-3.9021072099259264</c:v>
                </c:pt>
                <c:pt idx="4">
                  <c:v>-5.2974441298349726</c:v>
                </c:pt>
                <c:pt idx="5">
                  <c:v>-6.4781267608377773</c:v>
                </c:pt>
                <c:pt idx="6">
                  <c:v>-7.4441486357972728</c:v>
                </c:pt>
                <c:pt idx="7">
                  <c:v>-8.1955044655714584</c:v>
                </c:pt>
                <c:pt idx="8">
                  <c:v>-8.732190137721286</c:v>
                </c:pt>
                <c:pt idx="9">
                  <c:v>-9.0542027155066869</c:v>
                </c:pt>
                <c:pt idx="10">
                  <c:v>-9.1615404371700855</c:v>
                </c:pt>
                <c:pt idx="11">
                  <c:v>-9.0542027155066869</c:v>
                </c:pt>
                <c:pt idx="12">
                  <c:v>-8.7321901377212825</c:v>
                </c:pt>
                <c:pt idx="13">
                  <c:v>-8.1955044655714584</c:v>
                </c:pt>
                <c:pt idx="14">
                  <c:v>-7.444148635797271</c:v>
                </c:pt>
                <c:pt idx="15">
                  <c:v>-6.4781267608377755</c:v>
                </c:pt>
                <c:pt idx="16">
                  <c:v>-5.2974441298349717</c:v>
                </c:pt>
                <c:pt idx="17">
                  <c:v>-3.9021072099259251</c:v>
                </c:pt>
                <c:pt idx="18">
                  <c:v>-2.2921236478241465</c:v>
                </c:pt>
                <c:pt idx="19">
                  <c:v>-0.46750227169144898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12.943703399221596</c:v>
                </c:pt>
                <c:pt idx="1">
                  <c:v>10.764400055905419</c:v>
                </c:pt>
                <c:pt idx="2">
                  <c:v>6.3822292269591525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18.631296505119053</c:v>
                </c:pt>
                <c:pt idx="190">
                  <c:v>18.631296505119053</c:v>
                </c:pt>
                <c:pt idx="191">
                  <c:v>18.631296505119053</c:v>
                </c:pt>
                <c:pt idx="192">
                  <c:v>18.631296505119053</c:v>
                </c:pt>
                <c:pt idx="193">
                  <c:v>18.631296505119053</c:v>
                </c:pt>
                <c:pt idx="194">
                  <c:v>18.631296505119053</c:v>
                </c:pt>
                <c:pt idx="195">
                  <c:v>18.631296505119053</c:v>
                </c:pt>
                <c:pt idx="196">
                  <c:v>18.631296505119053</c:v>
                </c:pt>
                <c:pt idx="197">
                  <c:v>18.631296505119053</c:v>
                </c:pt>
                <c:pt idx="198">
                  <c:v>18.631296505119053</c:v>
                </c:pt>
                <c:pt idx="199">
                  <c:v>18.631296505119053</c:v>
                </c:pt>
                <c:pt idx="200">
                  <c:v>18.631296505119053</c:v>
                </c:pt>
                <c:pt idx="201">
                  <c:v>18.631296505119053</c:v>
                </c:pt>
                <c:pt idx="202">
                  <c:v>18.631296505119053</c:v>
                </c:pt>
                <c:pt idx="203">
                  <c:v>18.631296505119053</c:v>
                </c:pt>
                <c:pt idx="204">
                  <c:v>18.631296505119053</c:v>
                </c:pt>
                <c:pt idx="205">
                  <c:v>18.631296505119053</c:v>
                </c:pt>
                <c:pt idx="206">
                  <c:v>18.631296505119053</c:v>
                </c:pt>
                <c:pt idx="207">
                  <c:v>18.631296505119053</c:v>
                </c:pt>
                <c:pt idx="208">
                  <c:v>18.631296505119053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764" t="s">
        <v>1299</v>
      </c>
      <c r="D2" s="765"/>
      <c r="F2" s="766" t="s">
        <v>1300</v>
      </c>
      <c r="G2" s="767"/>
      <c r="I2" s="768"/>
      <c r="J2" s="768"/>
    </row>
    <row r="3" spans="3:10" ht="18" x14ac:dyDescent="0.35">
      <c r="C3" s="3" t="s">
        <v>1301</v>
      </c>
      <c r="D3" s="563">
        <f ca="1">Geometria!I73</f>
        <v>4.7349084484607982</v>
      </c>
      <c r="F3" s="564" t="s">
        <v>1302</v>
      </c>
      <c r="G3" s="565">
        <f>Geometria!K51</f>
        <v>1.3</v>
      </c>
      <c r="I3" s="1"/>
      <c r="J3" s="566"/>
    </row>
    <row r="4" spans="3:10" ht="18" x14ac:dyDescent="0.35">
      <c r="C4" s="3" t="s">
        <v>1303</v>
      </c>
      <c r="D4" s="563">
        <f ca="1">Geometria!I75+Geometria!I74</f>
        <v>2.7415631007067138</v>
      </c>
      <c r="F4" s="567" t="s">
        <v>1304</v>
      </c>
      <c r="G4" s="155">
        <f>Geometria!K52</f>
        <v>1.4</v>
      </c>
      <c r="I4" s="1"/>
      <c r="J4" s="566"/>
    </row>
    <row r="5" spans="3:10" ht="18" x14ac:dyDescent="0.35">
      <c r="C5" s="3" t="s">
        <v>1305</v>
      </c>
      <c r="D5" s="563">
        <f>Geometria!I76</f>
        <v>1.25</v>
      </c>
      <c r="F5" s="567" t="s">
        <v>1306</v>
      </c>
      <c r="G5" s="155">
        <f>G4</f>
        <v>1.4</v>
      </c>
      <c r="I5" s="1"/>
      <c r="J5" s="566"/>
    </row>
    <row r="6" spans="3:10" ht="18" x14ac:dyDescent="0.35">
      <c r="C6" s="3" t="s">
        <v>1307</v>
      </c>
      <c r="D6" s="563">
        <f>Geometria!I77</f>
        <v>0</v>
      </c>
      <c r="F6" s="567" t="s">
        <v>1308</v>
      </c>
      <c r="G6" s="155">
        <f>G5</f>
        <v>1.4</v>
      </c>
      <c r="I6" s="1"/>
      <c r="J6" s="566"/>
    </row>
    <row r="7" spans="3:10" ht="18" x14ac:dyDescent="0.35">
      <c r="C7" s="3" t="s">
        <v>1309</v>
      </c>
      <c r="D7" s="563"/>
      <c r="F7" s="567" t="s">
        <v>1310</v>
      </c>
      <c r="G7" s="155">
        <f>G3</f>
        <v>1.3</v>
      </c>
      <c r="I7" s="1"/>
      <c r="J7" s="566"/>
    </row>
    <row r="8" spans="3:10" ht="18" x14ac:dyDescent="0.35">
      <c r="C8" s="3" t="s">
        <v>1311</v>
      </c>
      <c r="D8" s="563">
        <f>Geometria!I78</f>
        <v>32.25</v>
      </c>
      <c r="F8" s="567" t="s">
        <v>1312</v>
      </c>
      <c r="G8" s="155">
        <f>G5</f>
        <v>1.4</v>
      </c>
      <c r="I8" s="1"/>
      <c r="J8" s="566"/>
    </row>
    <row r="9" spans="3:10" ht="18.75" thickBot="1" x14ac:dyDescent="0.4">
      <c r="C9" s="568" t="s">
        <v>1313</v>
      </c>
      <c r="D9" s="563">
        <v>0</v>
      </c>
      <c r="F9" s="567" t="s">
        <v>1314</v>
      </c>
      <c r="G9" s="155">
        <v>1.1000000000000001</v>
      </c>
      <c r="I9" s="1"/>
      <c r="J9" s="566"/>
    </row>
    <row r="10" spans="3:10" ht="18.75" thickBot="1" x14ac:dyDescent="0.4">
      <c r="C10" s="569" t="s">
        <v>1315</v>
      </c>
      <c r="D10" s="570">
        <f ca="1">SUM(D3:D9)</f>
        <v>40.976471549167513</v>
      </c>
      <c r="F10" s="571" t="s">
        <v>1316</v>
      </c>
      <c r="G10" s="167">
        <v>0.9</v>
      </c>
      <c r="I10" s="1"/>
      <c r="J10" s="566"/>
    </row>
    <row r="12" spans="3:10" x14ac:dyDescent="0.25">
      <c r="C12" s="533" t="s">
        <v>1317</v>
      </c>
    </row>
    <row r="14" spans="3:10" x14ac:dyDescent="0.25">
      <c r="C14" s="215" t="s">
        <v>72</v>
      </c>
      <c r="D14" s="572">
        <v>0.45</v>
      </c>
      <c r="F14" s="573" t="s">
        <v>1318</v>
      </c>
      <c r="G14" s="574">
        <f>[1]Entrada!K993</f>
        <v>0.56966490701150641</v>
      </c>
    </row>
    <row r="15" spans="3:10" ht="18" x14ac:dyDescent="0.25">
      <c r="C15" s="215" t="s">
        <v>1319</v>
      </c>
      <c r="D15" s="215">
        <f>Geometria!H59</f>
        <v>30</v>
      </c>
      <c r="F15" s="215" t="s">
        <v>3</v>
      </c>
      <c r="G15" s="575">
        <f>Geometria!H23</f>
        <v>30</v>
      </c>
    </row>
    <row r="16" spans="3:10" ht="18" x14ac:dyDescent="0.35">
      <c r="C16" s="1" t="s">
        <v>1320</v>
      </c>
      <c r="D16" s="576">
        <f>0.3*D15^(2/3)</f>
        <v>2.896468153816889</v>
      </c>
      <c r="F16" s="215" t="s">
        <v>1321</v>
      </c>
      <c r="G16" s="575">
        <f>0.5*G15</f>
        <v>15</v>
      </c>
    </row>
    <row r="17" spans="3:7" ht="18" x14ac:dyDescent="0.35">
      <c r="C17" s="1" t="s">
        <v>1322</v>
      </c>
      <c r="D17" s="576">
        <f>2.12*LN(1+0.1*(D15+8))</f>
        <v>3.3254657459773527</v>
      </c>
      <c r="F17" s="215" t="s">
        <v>1323</v>
      </c>
      <c r="G17" s="577">
        <f ca="1">(D3*G3+D4*G4+(D5+D6+D7)*G5+G6*(D8+D9))*(D30-2*G16)/200</f>
        <v>232.97916638173265</v>
      </c>
    </row>
    <row r="18" spans="3:7" ht="18" x14ac:dyDescent="0.35">
      <c r="C18" s="1" t="s">
        <v>1324</v>
      </c>
      <c r="D18" s="576">
        <f>IF(D15&lt;=50,D16,D17)</f>
        <v>2.896468153816889</v>
      </c>
      <c r="F18" s="215" t="s">
        <v>1325</v>
      </c>
      <c r="G18" s="575">
        <f>Geometria!H23+Geometria!H33-Geometria!N52</f>
        <v>31.5</v>
      </c>
    </row>
    <row r="19" spans="3:7" ht="18" x14ac:dyDescent="0.35">
      <c r="C19" s="1" t="s">
        <v>1326</v>
      </c>
      <c r="D19" s="576">
        <f>0.7*D18</f>
        <v>2.0275277076718221</v>
      </c>
      <c r="F19" s="215" t="s">
        <v>1327</v>
      </c>
      <c r="G19" s="575">
        <f>G18-('[1]ELU-Flexão'!E43*'[1]ELU-Flexão'!F51*0.5)</f>
        <v>27.989164111421026</v>
      </c>
    </row>
    <row r="20" spans="3:7" ht="18" x14ac:dyDescent="0.35">
      <c r="C20" s="1" t="s">
        <v>1328</v>
      </c>
      <c r="D20" s="576">
        <f>D19/G4</f>
        <v>1.4482340769084445</v>
      </c>
      <c r="F20" s="215" t="s">
        <v>1329</v>
      </c>
      <c r="G20" s="575">
        <f>'[1]Dados de Entrada'!C8</f>
        <v>121.2</v>
      </c>
    </row>
    <row r="21" spans="3:7" ht="18" x14ac:dyDescent="0.35">
      <c r="C21" s="1" t="s">
        <v>1328</v>
      </c>
      <c r="D21" s="578">
        <f>D20/10</f>
        <v>0.14482340769084445</v>
      </c>
      <c r="F21" s="579" t="s">
        <v>1330</v>
      </c>
      <c r="G21" s="580">
        <f ca="1">G14*G17/(G19*G20)</f>
        <v>3.91240680016244E-2</v>
      </c>
    </row>
    <row r="22" spans="3:7" ht="18" x14ac:dyDescent="0.25">
      <c r="C22" s="579" t="s">
        <v>1331</v>
      </c>
      <c r="D22" s="580">
        <f>D21*D14</f>
        <v>6.5170533460880004E-2</v>
      </c>
      <c r="F22" s="215" t="s">
        <v>1285</v>
      </c>
      <c r="G22" s="533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1332</v>
      </c>
      <c r="D24" s="572" t="s">
        <v>1333</v>
      </c>
    </row>
    <row r="26" spans="3:7" ht="17.25" x14ac:dyDescent="0.25">
      <c r="C26" s="581" t="s">
        <v>1334</v>
      </c>
    </row>
    <row r="27" spans="3:7" x14ac:dyDescent="0.25">
      <c r="C27" s="581"/>
    </row>
    <row r="28" spans="3:7" x14ac:dyDescent="0.25">
      <c r="C28" s="533" t="s">
        <v>1335</v>
      </c>
    </row>
    <row r="29" spans="3:7" x14ac:dyDescent="0.25">
      <c r="C29" s="581"/>
    </row>
    <row r="30" spans="3:7" x14ac:dyDescent="0.25">
      <c r="C30" s="215" t="s">
        <v>1336</v>
      </c>
      <c r="D30" s="575">
        <f>Geometria!H21</f>
        <v>849</v>
      </c>
    </row>
    <row r="31" spans="3:7" x14ac:dyDescent="0.25">
      <c r="C31" s="215" t="s">
        <v>1337</v>
      </c>
      <c r="D31" s="575">
        <v>0</v>
      </c>
    </row>
    <row r="32" spans="3:7" x14ac:dyDescent="0.25">
      <c r="C32" s="215" t="s">
        <v>3</v>
      </c>
      <c r="D32" s="575">
        <f>Geometria!H23</f>
        <v>30</v>
      </c>
    </row>
    <row r="33" spans="3:7" x14ac:dyDescent="0.25">
      <c r="C33" s="215" t="s">
        <v>1321</v>
      </c>
      <c r="D33" s="575">
        <f>0.5*D32</f>
        <v>15</v>
      </c>
    </row>
    <row r="34" spans="3:7" ht="15.75" thickBot="1" x14ac:dyDescent="0.3">
      <c r="C34" s="215" t="s">
        <v>1338</v>
      </c>
      <c r="D34" s="575">
        <f>D30-D31-2*D33</f>
        <v>819</v>
      </c>
    </row>
    <row r="35" spans="3:7" ht="18.75" thickBot="1" x14ac:dyDescent="0.3">
      <c r="C35" s="582" t="s">
        <v>1339</v>
      </c>
      <c r="D35" s="583">
        <f ca="1">(D34)*0.01*(G3*D3+G4*D4+G5*(D5+D6+D7)+G6*(D8+D9))*0.5</f>
        <v>232.97916638173263</v>
      </c>
    </row>
    <row r="36" spans="3:7" x14ac:dyDescent="0.25">
      <c r="D36" s="584"/>
    </row>
    <row r="37" spans="3:7" x14ac:dyDescent="0.25">
      <c r="C37" s="533" t="s">
        <v>1340</v>
      </c>
      <c r="D37" s="584"/>
    </row>
    <row r="38" spans="3:7" x14ac:dyDescent="0.25">
      <c r="D38" s="584"/>
    </row>
    <row r="39" spans="3:7" x14ac:dyDescent="0.25">
      <c r="C39" s="533" t="s">
        <v>1341</v>
      </c>
    </row>
    <row r="41" spans="3:7" x14ac:dyDescent="0.25">
      <c r="C41" s="215" t="s">
        <v>1342</v>
      </c>
      <c r="D41" s="575">
        <f>Geometria!H23-Geometria!N52</f>
        <v>26.5</v>
      </c>
      <c r="F41" s="585"/>
      <c r="G41" s="120"/>
    </row>
    <row r="42" spans="3:7" ht="18" x14ac:dyDescent="0.25">
      <c r="C42" s="215" t="s">
        <v>1343</v>
      </c>
      <c r="D42" s="586">
        <f>Geometria!H58</f>
        <v>50</v>
      </c>
    </row>
    <row r="43" spans="3:7" x14ac:dyDescent="0.25">
      <c r="C43" s="573" t="s">
        <v>1344</v>
      </c>
      <c r="D43" s="451">
        <f>IF(0.7-D42/200&lt;0.5,0.5,0.7-D42/200)</f>
        <v>0.5</v>
      </c>
    </row>
    <row r="44" spans="3:7" ht="18" x14ac:dyDescent="0.25">
      <c r="C44" s="573" t="s">
        <v>1345</v>
      </c>
      <c r="D44" s="586">
        <f>D42/G7</f>
        <v>38.46153846153846</v>
      </c>
    </row>
    <row r="45" spans="3:7" ht="18" x14ac:dyDescent="0.25">
      <c r="C45" s="573" t="s">
        <v>1346</v>
      </c>
      <c r="D45" s="575">
        <f>Geometria!H27</f>
        <v>31</v>
      </c>
    </row>
    <row r="46" spans="3:7" ht="18" x14ac:dyDescent="0.25">
      <c r="C46" s="215" t="s">
        <v>1347</v>
      </c>
      <c r="D46" s="584">
        <f>0.5*D43*(D44/10)*0.9*D41*D45</f>
        <v>710.91346153846155</v>
      </c>
    </row>
    <row r="47" spans="3:7" x14ac:dyDescent="0.25">
      <c r="C47" s="215" t="s">
        <v>1285</v>
      </c>
      <c r="D47" s="584" t="str">
        <f ca="1">IF(D46&gt;=D35,"Ok, Resiste!","Não Ok!""")</f>
        <v>Ok, Resiste!</v>
      </c>
    </row>
    <row r="49" spans="3:5" x14ac:dyDescent="0.25">
      <c r="C49" s="215" t="s">
        <v>1348</v>
      </c>
      <c r="D49" s="575">
        <f>G18</f>
        <v>31.5</v>
      </c>
    </row>
    <row r="50" spans="3:5" ht="18" x14ac:dyDescent="0.25">
      <c r="C50" s="215" t="s">
        <v>1343</v>
      </c>
      <c r="D50" s="586">
        <f>D42</f>
        <v>50</v>
      </c>
    </row>
    <row r="51" spans="3:5" x14ac:dyDescent="0.25">
      <c r="C51" s="573" t="s">
        <v>1344</v>
      </c>
      <c r="D51" s="451">
        <f>IF(0.7-D50/200&lt;0.5,0.5,0.7-D50/200)</f>
        <v>0.5</v>
      </c>
    </row>
    <row r="52" spans="3:5" ht="18" x14ac:dyDescent="0.25">
      <c r="C52" s="573" t="s">
        <v>1345</v>
      </c>
      <c r="D52" s="586">
        <f>D50/G7</f>
        <v>38.46153846153846</v>
      </c>
    </row>
    <row r="53" spans="3:5" ht="18" x14ac:dyDescent="0.25">
      <c r="C53" s="573" t="s">
        <v>1349</v>
      </c>
      <c r="D53" s="575">
        <f>D45</f>
        <v>31</v>
      </c>
    </row>
    <row r="54" spans="3:5" ht="18" x14ac:dyDescent="0.25">
      <c r="C54" s="587" t="s">
        <v>1350</v>
      </c>
      <c r="D54" s="588">
        <f>0.5*D51*(D52/10)*0.9*D49*D53</f>
        <v>845.04807692307691</v>
      </c>
      <c r="E54" s="587" t="str">
        <f ca="1">IF(D54&gt;=D35,"Ok, Resiste!","Não Ok!""")</f>
        <v>Ok, Resiste!</v>
      </c>
    </row>
    <row r="56" spans="3:5" x14ac:dyDescent="0.25">
      <c r="C56" s="533" t="s">
        <v>1351</v>
      </c>
    </row>
    <row r="58" spans="3:5" ht="18" x14ac:dyDescent="0.25">
      <c r="C58" s="215" t="s">
        <v>1352</v>
      </c>
      <c r="D58" s="575">
        <f>G18</f>
        <v>31.5</v>
      </c>
    </row>
    <row r="59" spans="3:5" ht="18" x14ac:dyDescent="0.25">
      <c r="C59" s="587" t="s">
        <v>1353</v>
      </c>
      <c r="D59" s="588">
        <f>0.5*D51*(D52/10)*0.9*D58*D53</f>
        <v>845.04807692307691</v>
      </c>
      <c r="E59" s="587" t="str">
        <f ca="1">IF(D59&gt;=D35,"Ok, Resiste!","Não Ok!""")</f>
        <v>Ok, Resiste!</v>
      </c>
    </row>
    <row r="61" spans="3:5" x14ac:dyDescent="0.25">
      <c r="C61" s="533" t="s">
        <v>1354</v>
      </c>
    </row>
    <row r="63" spans="3:5" x14ac:dyDescent="0.25">
      <c r="C63" s="215" t="s">
        <v>1355</v>
      </c>
      <c r="D63" s="572">
        <v>2</v>
      </c>
    </row>
    <row r="64" spans="3:5" x14ac:dyDescent="0.25">
      <c r="C64" s="215" t="s">
        <v>1356</v>
      </c>
      <c r="D64" s="589">
        <f>Geometria!H58</f>
        <v>50</v>
      </c>
    </row>
    <row r="65" spans="3:5" x14ac:dyDescent="0.25">
      <c r="C65" s="1" t="s">
        <v>1357</v>
      </c>
      <c r="D65" s="590" t="s">
        <v>1358</v>
      </c>
    </row>
    <row r="66" spans="3:5" ht="18" x14ac:dyDescent="0.25">
      <c r="C66" s="573" t="s">
        <v>1359</v>
      </c>
      <c r="D66" s="575">
        <f>D53</f>
        <v>31</v>
      </c>
    </row>
    <row r="67" spans="3:5" ht="18" x14ac:dyDescent="0.25">
      <c r="C67" s="573" t="s">
        <v>1360</v>
      </c>
      <c r="D67" s="575">
        <f>D108*VLOOKUP('[1]Dados de Entrada'!C3,'[1]Dados Lajes'!A4:O11,15,FALSE)</f>
        <v>25</v>
      </c>
    </row>
    <row r="68" spans="3:5" ht="16.5" x14ac:dyDescent="0.3">
      <c r="C68" s="591" t="s">
        <v>1361</v>
      </c>
      <c r="D68" s="1">
        <v>1.2</v>
      </c>
    </row>
    <row r="69" spans="3:5" ht="16.5" x14ac:dyDescent="0.25">
      <c r="C69" s="592" t="s">
        <v>1362</v>
      </c>
      <c r="D69" s="586">
        <f>D68*5600*SQRT(D64)</f>
        <v>47517.575695735999</v>
      </c>
    </row>
    <row r="70" spans="3:5" ht="16.5" x14ac:dyDescent="0.25">
      <c r="C70" s="592" t="s">
        <v>1363</v>
      </c>
      <c r="D70" s="586">
        <f>21500*D68*(D64/10+1.25)^(1/3)</f>
        <v>47524.006332460987</v>
      </c>
    </row>
    <row r="71" spans="3:5" ht="16.5" x14ac:dyDescent="0.25">
      <c r="C71" s="592" t="s">
        <v>1364</v>
      </c>
      <c r="D71" s="586">
        <f>IF(D64&gt;50,D70,D69)</f>
        <v>47517.575695735999</v>
      </c>
    </row>
    <row r="72" spans="3:5" ht="16.5" x14ac:dyDescent="0.25">
      <c r="C72" s="592" t="s">
        <v>1365</v>
      </c>
      <c r="D72" s="215">
        <f>IF(0.8+0.2*D64/80&gt;1,1,0.8+0.2*D64/80)</f>
        <v>0.92500000000000004</v>
      </c>
    </row>
    <row r="73" spans="3:5" ht="18" x14ac:dyDescent="0.25">
      <c r="C73" s="573" t="s">
        <v>1366</v>
      </c>
      <c r="D73" s="593">
        <f>D72*D71/10</f>
        <v>4395.3757518555803</v>
      </c>
    </row>
    <row r="74" spans="3:5" ht="18" x14ac:dyDescent="0.25">
      <c r="C74" s="573" t="s">
        <v>1367</v>
      </c>
      <c r="D74" s="593">
        <f>Geometria!H867*100</f>
        <v>3662.8131265463162</v>
      </c>
    </row>
    <row r="75" spans="3:5" ht="18" x14ac:dyDescent="0.25">
      <c r="C75" s="573" t="s">
        <v>1368</v>
      </c>
      <c r="D75" s="575">
        <f>D66+0.5*D67*D73/D74</f>
        <v>46</v>
      </c>
    </row>
    <row r="76" spans="3:5" ht="18" x14ac:dyDescent="0.25">
      <c r="C76" s="587" t="s">
        <v>1353</v>
      </c>
      <c r="D76" s="588">
        <f>0.5*D51*(D52/10)*0.9*D58*D75</f>
        <v>1253.9423076923076</v>
      </c>
      <c r="E76" s="587" t="str">
        <f>IF(D76&gt;=D52,"Ok, Resiste!","Não Ok!""")</f>
        <v>Ok, Resiste!</v>
      </c>
    </row>
    <row r="78" spans="3:5" x14ac:dyDescent="0.25">
      <c r="C78" s="533" t="s">
        <v>1369</v>
      </c>
    </row>
    <row r="80" spans="3:5" x14ac:dyDescent="0.25">
      <c r="C80" s="533" t="s">
        <v>1370</v>
      </c>
    </row>
    <row r="82" spans="2:12" x14ac:dyDescent="0.25">
      <c r="C82" s="215" t="s">
        <v>476</v>
      </c>
      <c r="D82" s="594">
        <v>0</v>
      </c>
    </row>
    <row r="83" spans="2:12" x14ac:dyDescent="0.25">
      <c r="C83" s="215" t="s">
        <v>220</v>
      </c>
      <c r="D83" s="595">
        <f>'[1]ELS-Tensões'!C28</f>
        <v>9.8699999999999992</v>
      </c>
    </row>
    <row r="84" spans="2:12" ht="18" x14ac:dyDescent="0.25">
      <c r="C84" s="215" t="s">
        <v>1371</v>
      </c>
      <c r="D84" s="596">
        <f>'[1]ELS-Tensões'!C39/10</f>
        <v>0.21924142287881931</v>
      </c>
    </row>
    <row r="85" spans="2:12" ht="18" x14ac:dyDescent="0.25">
      <c r="C85" s="573" t="s">
        <v>1346</v>
      </c>
      <c r="D85" s="575">
        <f>VLOOKUP('[1]Dados de Entrada'!C3,'[1]Dados Lajes'!A4:N11,14,FALSE)</f>
        <v>31</v>
      </c>
    </row>
    <row r="86" spans="2:12" x14ac:dyDescent="0.25">
      <c r="B86" s="419"/>
      <c r="C86" s="215" t="s">
        <v>1348</v>
      </c>
      <c r="D86" s="575">
        <f>IF(D24=[1]Auxílio!Z6,'[1]Dados de Entrada'!F59-'[1]ELS-Tensões'!C26,'[1]Dados de Entrada'!C56-'[1]ELS-Tensões'!C26)</f>
        <v>32</v>
      </c>
    </row>
    <row r="87" spans="2:12" ht="18" x14ac:dyDescent="0.25">
      <c r="C87" s="573" t="s">
        <v>1372</v>
      </c>
      <c r="D87" s="597">
        <f>(D82+D83)/(D85*D86)</f>
        <v>9.9495967741935476E-3</v>
      </c>
      <c r="J87" s="587"/>
      <c r="K87" s="587"/>
      <c r="L87" s="587"/>
    </row>
    <row r="88" spans="2:12" x14ac:dyDescent="0.25">
      <c r="C88" s="215" t="s">
        <v>1144</v>
      </c>
      <c r="D88" s="451">
        <f>IF((1.6-D86/100)&lt;1,1,1.6-D86/100)</f>
        <v>1.28</v>
      </c>
    </row>
    <row r="89" spans="2:12" ht="18" x14ac:dyDescent="0.25">
      <c r="C89" s="215" t="s">
        <v>1373</v>
      </c>
      <c r="D89" s="577">
        <f>0.25*D84*D88*(1.2+40*D87)*D85*D86</f>
        <v>111.21328113520138</v>
      </c>
    </row>
    <row r="91" spans="2:12" ht="18" x14ac:dyDescent="0.25">
      <c r="C91" s="215" t="s">
        <v>1374</v>
      </c>
      <c r="D91" s="595">
        <f>'[1]ELS-Tensões'!Y422/'[1]ELS-Tensões'!Y418</f>
        <v>9.8699999999999992</v>
      </c>
    </row>
    <row r="92" spans="2:12" ht="18" x14ac:dyDescent="0.25">
      <c r="C92" s="215" t="s">
        <v>1375</v>
      </c>
      <c r="D92" s="595">
        <f>'[1]ELS-Tensões'!C78</f>
        <v>0</v>
      </c>
    </row>
    <row r="93" spans="2:12" ht="18" x14ac:dyDescent="0.25">
      <c r="C93" s="215" t="s">
        <v>1376</v>
      </c>
      <c r="D93" s="596">
        <f>'[1]ELS-Tensões'!C11</f>
        <v>117.04000000000002</v>
      </c>
    </row>
    <row r="94" spans="2:12" ht="18" x14ac:dyDescent="0.25">
      <c r="C94" s="215" t="s">
        <v>1377</v>
      </c>
      <c r="D94" s="596">
        <f>'[1]ELS-Tensões'!G11</f>
        <v>91.218050000000019</v>
      </c>
    </row>
    <row r="95" spans="2:12" ht="18" x14ac:dyDescent="0.25">
      <c r="C95" s="215" t="s">
        <v>1378</v>
      </c>
      <c r="D95" s="598">
        <f>D93*D91</f>
        <v>1155.1848000000002</v>
      </c>
    </row>
    <row r="96" spans="2:12" ht="18" x14ac:dyDescent="0.25">
      <c r="C96" s="215" t="s">
        <v>1379</v>
      </c>
      <c r="D96" s="598">
        <f>D94*D92</f>
        <v>0</v>
      </c>
    </row>
    <row r="97" spans="3:5" x14ac:dyDescent="0.25">
      <c r="C97" s="215" t="s">
        <v>1380</v>
      </c>
      <c r="D97" s="599">
        <f>'[1]ELS-Tensões'!Y416</f>
        <v>0.21591394564517474</v>
      </c>
    </row>
    <row r="98" spans="3:5" x14ac:dyDescent="0.25">
      <c r="C98" s="215" t="s">
        <v>1381</v>
      </c>
      <c r="D98" s="599">
        <f>'[1]ELS-Tensões'!Y417</f>
        <v>6.362590091564968E-2</v>
      </c>
    </row>
    <row r="99" spans="3:5" ht="18" x14ac:dyDescent="0.25">
      <c r="C99" s="215" t="s">
        <v>1382</v>
      </c>
      <c r="D99" s="577">
        <f>D95*(1-D97)+D96*(1-D98)</f>
        <v>905.76429188266809</v>
      </c>
    </row>
    <row r="100" spans="3:5" ht="18" x14ac:dyDescent="0.25">
      <c r="C100" s="215" t="s">
        <v>296</v>
      </c>
      <c r="D100" s="595">
        <f>VLOOKUP('[1]Dados de Entrada'!C3,'[1]Dados Lajes'!A4:C11,3,FALSE)</f>
        <v>1811.6405999999999</v>
      </c>
    </row>
    <row r="101" spans="3:5" ht="18" x14ac:dyDescent="0.25">
      <c r="C101" s="573" t="s">
        <v>1383</v>
      </c>
      <c r="D101" s="596">
        <f>D99/D100</f>
        <v>0.49996908431102072</v>
      </c>
    </row>
    <row r="102" spans="3:5" ht="18" x14ac:dyDescent="0.25">
      <c r="C102" s="215" t="s">
        <v>1384</v>
      </c>
      <c r="D102" s="577">
        <f>0.15*D101*D85*D86</f>
        <v>74.395399745479878</v>
      </c>
    </row>
    <row r="104" spans="3:5" ht="18" x14ac:dyDescent="0.25">
      <c r="C104" s="587" t="s">
        <v>1385</v>
      </c>
      <c r="D104" s="600">
        <f>D102+D89</f>
        <v>185.60868088068128</v>
      </c>
      <c r="E104" s="587" t="str">
        <f ca="1">IF(D104&gt;=D35,"Ok!","Não Ok!")</f>
        <v>Não Ok!</v>
      </c>
    </row>
    <row r="106" spans="3:5" x14ac:dyDescent="0.25">
      <c r="C106" s="533" t="s">
        <v>1386</v>
      </c>
    </row>
    <row r="108" spans="3:5" x14ac:dyDescent="0.25">
      <c r="C108" s="215" t="s">
        <v>1355</v>
      </c>
      <c r="D108" s="572">
        <v>2</v>
      </c>
    </row>
    <row r="109" spans="3:5" ht="18" x14ac:dyDescent="0.25">
      <c r="C109" s="215" t="s">
        <v>1387</v>
      </c>
      <c r="D109" s="589">
        <v>50</v>
      </c>
    </row>
    <row r="110" spans="3:5" x14ac:dyDescent="0.25">
      <c r="C110" s="1" t="s">
        <v>1388</v>
      </c>
      <c r="D110" s="590" t="s">
        <v>1358</v>
      </c>
    </row>
    <row r="111" spans="3:5" ht="18" x14ac:dyDescent="0.25">
      <c r="C111" s="215" t="s">
        <v>1389</v>
      </c>
      <c r="D111" s="594">
        <v>0</v>
      </c>
    </row>
    <row r="112" spans="3:5" ht="18" x14ac:dyDescent="0.25">
      <c r="C112" s="215" t="s">
        <v>1390</v>
      </c>
      <c r="D112" s="595">
        <f>D83</f>
        <v>9.8699999999999992</v>
      </c>
    </row>
    <row r="113" spans="3:4" ht="18" x14ac:dyDescent="0.25">
      <c r="C113" s="215" t="s">
        <v>1371</v>
      </c>
      <c r="D113" s="596">
        <f>D84</f>
        <v>0.21924142287881931</v>
      </c>
    </row>
    <row r="114" spans="3:4" ht="18" x14ac:dyDescent="0.25">
      <c r="C114" s="573" t="s">
        <v>1359</v>
      </c>
      <c r="D114" s="575">
        <f>VLOOKUP('[1]Dados de Entrada'!C3,'[1]Dados Lajes'!A4:O11,14,FALSE)</f>
        <v>31</v>
      </c>
    </row>
    <row r="115" spans="3:4" ht="18" x14ac:dyDescent="0.25">
      <c r="C115" s="573" t="s">
        <v>1360</v>
      </c>
      <c r="D115" s="575">
        <f>D108*VLOOKUP('[1]Dados de Entrada'!C3,'[1]Dados Lajes'!A4:O11,15,FALSE)</f>
        <v>25</v>
      </c>
    </row>
    <row r="116" spans="3:4" ht="16.5" x14ac:dyDescent="0.3">
      <c r="C116" s="591" t="s">
        <v>1361</v>
      </c>
      <c r="D116" s="1">
        <f>VLOOKUP(D110,[1]Auxílio!N4:O9,2,FALSE)</f>
        <v>1.2</v>
      </c>
    </row>
    <row r="117" spans="3:4" ht="16.5" x14ac:dyDescent="0.25">
      <c r="C117" s="592" t="s">
        <v>1362</v>
      </c>
      <c r="D117" s="586">
        <f>D116*5600*SQRT(D109)</f>
        <v>47517.575695735999</v>
      </c>
    </row>
    <row r="118" spans="3:4" ht="16.5" x14ac:dyDescent="0.25">
      <c r="C118" s="592" t="s">
        <v>1363</v>
      </c>
      <c r="D118" s="586">
        <f>21500*D116*(D109/10+1.25)^(1/3)</f>
        <v>47524.006332460987</v>
      </c>
    </row>
    <row r="119" spans="3:4" ht="16.5" x14ac:dyDescent="0.25">
      <c r="C119" s="592" t="s">
        <v>1364</v>
      </c>
      <c r="D119" s="586">
        <f>IF(D109&gt;50,D118,D117)</f>
        <v>47517.575695735999</v>
      </c>
    </row>
    <row r="120" spans="3:4" ht="16.5" x14ac:dyDescent="0.25">
      <c r="C120" s="592" t="s">
        <v>1365</v>
      </c>
      <c r="D120" s="215">
        <f>IF(0.8+0.2*D109/80&gt;1,1,0.8+0.2*D109/80)</f>
        <v>0.92500000000000004</v>
      </c>
    </row>
    <row r="121" spans="3:4" ht="18" x14ac:dyDescent="0.25">
      <c r="C121" s="573" t="s">
        <v>1366</v>
      </c>
      <c r="D121" s="593">
        <f>D120*D119/10</f>
        <v>4395.3757518555803</v>
      </c>
    </row>
    <row r="122" spans="3:4" ht="18" x14ac:dyDescent="0.25">
      <c r="C122" s="573" t="s">
        <v>1367</v>
      </c>
      <c r="D122" s="593">
        <f>'[1]ELU-Flexão'!F9</f>
        <v>3662.8131265463162</v>
      </c>
    </row>
    <row r="123" spans="3:4" ht="18" x14ac:dyDescent="0.25">
      <c r="C123" s="573" t="s">
        <v>1368</v>
      </c>
      <c r="D123" s="575">
        <f>D114+0.5*D115*D121/D122</f>
        <v>46</v>
      </c>
    </row>
    <row r="124" spans="3:4" x14ac:dyDescent="0.25">
      <c r="C124" s="215" t="s">
        <v>1348</v>
      </c>
      <c r="D124" s="575">
        <f>D86</f>
        <v>32</v>
      </c>
    </row>
    <row r="125" spans="3:4" ht="18" x14ac:dyDescent="0.25">
      <c r="C125" s="573" t="s">
        <v>1391</v>
      </c>
      <c r="D125" s="601">
        <f>(D111+D112)/(D123*D124)</f>
        <v>6.7051630434782602E-3</v>
      </c>
    </row>
    <row r="126" spans="3:4" x14ac:dyDescent="0.25">
      <c r="C126" s="215" t="s">
        <v>1144</v>
      </c>
      <c r="D126" s="451">
        <f>IF((1.6-D124/100)&lt;1,1,1.6-D124/100)</f>
        <v>1.28</v>
      </c>
    </row>
    <row r="127" spans="3:4" ht="18" x14ac:dyDescent="0.25">
      <c r="C127" s="215" t="s">
        <v>1373</v>
      </c>
      <c r="D127" s="577">
        <f>0.25*D113*D126*(1.2+40*D125)*D123*D124</f>
        <v>151.62386020022538</v>
      </c>
    </row>
    <row r="129" spans="3:5" ht="18" x14ac:dyDescent="0.25">
      <c r="C129" s="215" t="s">
        <v>1382</v>
      </c>
      <c r="D129" s="577">
        <f>D99</f>
        <v>905.76429188266809</v>
      </c>
    </row>
    <row r="130" spans="3:5" ht="18" x14ac:dyDescent="0.25">
      <c r="C130" s="215" t="s">
        <v>1392</v>
      </c>
      <c r="D130" s="595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73" t="s">
        <v>1393</v>
      </c>
      <c r="D131" s="596">
        <f>D129/D130</f>
        <v>0.39032758380401078</v>
      </c>
    </row>
    <row r="132" spans="3:5" ht="18" x14ac:dyDescent="0.25">
      <c r="C132" s="215" t="s">
        <v>1394</v>
      </c>
      <c r="D132" s="577">
        <f>0.15*D131*D123*D124</f>
        <v>86.18433050392558</v>
      </c>
    </row>
    <row r="134" spans="3:5" ht="18" x14ac:dyDescent="0.25">
      <c r="C134" s="587" t="s">
        <v>1385</v>
      </c>
      <c r="D134" s="600">
        <f>D132+D127</f>
        <v>237.80819070415095</v>
      </c>
      <c r="E134" s="587" t="str">
        <f ca="1">IF(D134&gt;=D35,"Ok!","Não Ok!")</f>
        <v>Ok!</v>
      </c>
    </row>
    <row r="135" spans="3:5" x14ac:dyDescent="0.25">
      <c r="D135" s="577"/>
    </row>
    <row r="136" spans="3:5" x14ac:dyDescent="0.25">
      <c r="C136" s="533" t="s">
        <v>1395</v>
      </c>
      <c r="D136" s="577"/>
    </row>
    <row r="137" spans="3:5" x14ac:dyDescent="0.25">
      <c r="D137" s="577"/>
    </row>
    <row r="138" spans="3:5" x14ac:dyDescent="0.25">
      <c r="C138" s="215" t="s">
        <v>1355</v>
      </c>
      <c r="D138" s="572">
        <v>2</v>
      </c>
    </row>
    <row r="139" spans="3:5" ht="18" x14ac:dyDescent="0.25">
      <c r="C139" s="215" t="s">
        <v>1387</v>
      </c>
      <c r="D139" s="589">
        <v>50</v>
      </c>
    </row>
    <row r="140" spans="3:5" x14ac:dyDescent="0.25">
      <c r="C140" s="1" t="s">
        <v>1388</v>
      </c>
      <c r="D140" s="590" t="s">
        <v>1358</v>
      </c>
    </row>
    <row r="141" spans="3:5" ht="18" x14ac:dyDescent="0.25">
      <c r="C141" s="215" t="s">
        <v>1389</v>
      </c>
      <c r="D141" s="594">
        <v>0</v>
      </c>
    </row>
    <row r="142" spans="3:5" ht="18" x14ac:dyDescent="0.25">
      <c r="C142" s="215" t="s">
        <v>1390</v>
      </c>
      <c r="D142" s="595">
        <f>D112</f>
        <v>9.8699999999999992</v>
      </c>
    </row>
    <row r="143" spans="3:5" ht="18" x14ac:dyDescent="0.25">
      <c r="C143" s="215" t="s">
        <v>1371</v>
      </c>
      <c r="D143" s="596">
        <f>D113</f>
        <v>0.21924142287881931</v>
      </c>
    </row>
    <row r="144" spans="3:5" ht="18" x14ac:dyDescent="0.25">
      <c r="C144" s="573" t="s">
        <v>1359</v>
      </c>
      <c r="D144" s="575">
        <f>VLOOKUP('[1]Dados de Entrada'!C3,'[1]Dados Lajes'!A4:O11,14,FALSE)</f>
        <v>31</v>
      </c>
    </row>
    <row r="145" spans="3:4" ht="18" x14ac:dyDescent="0.25">
      <c r="C145" s="573" t="s">
        <v>1360</v>
      </c>
      <c r="D145" s="575">
        <f>D138*VLOOKUP('[1]Dados de Entrada'!C3,'[1]Dados Lajes'!A4:O11,15,FALSE)</f>
        <v>25</v>
      </c>
    </row>
    <row r="146" spans="3:4" ht="16.5" x14ac:dyDescent="0.3">
      <c r="C146" s="591" t="s">
        <v>1361</v>
      </c>
      <c r="D146" s="1">
        <f>VLOOKUP(D140,[1]Auxílio!N4:O9,2,FALSE)</f>
        <v>1.2</v>
      </c>
    </row>
    <row r="147" spans="3:4" ht="16.5" x14ac:dyDescent="0.25">
      <c r="C147" s="592" t="s">
        <v>1362</v>
      </c>
      <c r="D147" s="586">
        <f>D146*5600*SQRT(D139)</f>
        <v>47517.575695735999</v>
      </c>
    </row>
    <row r="148" spans="3:4" ht="16.5" x14ac:dyDescent="0.25">
      <c r="C148" s="592" t="s">
        <v>1363</v>
      </c>
      <c r="D148" s="586">
        <f>21500*D146*(D139/10+1.25)^(1/3)</f>
        <v>47524.006332460987</v>
      </c>
    </row>
    <row r="149" spans="3:4" ht="16.5" x14ac:dyDescent="0.25">
      <c r="C149" s="592" t="s">
        <v>1364</v>
      </c>
      <c r="D149" s="586">
        <f>IF(D139&gt;50,D148,D147)</f>
        <v>47517.575695735999</v>
      </c>
    </row>
    <row r="150" spans="3:4" ht="16.5" x14ac:dyDescent="0.25">
      <c r="C150" s="592" t="s">
        <v>1365</v>
      </c>
      <c r="D150" s="215">
        <f>IF(0.8+0.2*D139/80&gt;1,1,0.8+0.2*D139/80)</f>
        <v>0.92500000000000004</v>
      </c>
    </row>
    <row r="151" spans="3:4" ht="18" x14ac:dyDescent="0.25">
      <c r="C151" s="573" t="s">
        <v>1366</v>
      </c>
      <c r="D151" s="593">
        <f>D150*D149/10</f>
        <v>4395.3757518555803</v>
      </c>
    </row>
    <row r="152" spans="3:4" ht="18" x14ac:dyDescent="0.25">
      <c r="C152" s="573" t="s">
        <v>1367</v>
      </c>
      <c r="D152" s="593">
        <f>D122</f>
        <v>3662.8131265463162</v>
      </c>
    </row>
    <row r="153" spans="3:4" ht="18" x14ac:dyDescent="0.25">
      <c r="C153" s="573" t="s">
        <v>1368</v>
      </c>
      <c r="D153" s="575">
        <f>D144+0.5*D145*D151/D152</f>
        <v>46</v>
      </c>
    </row>
    <row r="154" spans="3:4" x14ac:dyDescent="0.25">
      <c r="C154" s="215" t="s">
        <v>1348</v>
      </c>
      <c r="D154" s="575">
        <f>D124</f>
        <v>32</v>
      </c>
    </row>
    <row r="155" spans="3:4" ht="18" x14ac:dyDescent="0.25">
      <c r="C155" s="573" t="s">
        <v>1391</v>
      </c>
      <c r="D155" s="601">
        <f>(D141+D142)/(D153*D154)</f>
        <v>6.7051630434782602E-3</v>
      </c>
    </row>
    <row r="156" spans="3:4" x14ac:dyDescent="0.25">
      <c r="C156" s="215" t="s">
        <v>1144</v>
      </c>
      <c r="D156" s="451">
        <f>IF((1.6-D154/100)&lt;1,1,1.6-D154/100)</f>
        <v>1.28</v>
      </c>
    </row>
    <row r="157" spans="3:4" ht="18" x14ac:dyDescent="0.25">
      <c r="C157" s="215" t="s">
        <v>1373</v>
      </c>
      <c r="D157" s="577">
        <f>0.25*D143*D156*(1.2+40*D155)*D153*D154</f>
        <v>151.62386020022538</v>
      </c>
    </row>
    <row r="159" spans="3:4" ht="18" x14ac:dyDescent="0.25">
      <c r="C159" s="215" t="s">
        <v>1382</v>
      </c>
      <c r="D159" s="577">
        <f>D129</f>
        <v>905.76429188266809</v>
      </c>
    </row>
    <row r="160" spans="3:4" ht="18" x14ac:dyDescent="0.25">
      <c r="C160" s="215" t="s">
        <v>1392</v>
      </c>
      <c r="D160" s="595">
        <f>D100</f>
        <v>1811.6405999999999</v>
      </c>
    </row>
    <row r="161" spans="3:5" ht="18" x14ac:dyDescent="0.25">
      <c r="C161" s="573" t="s">
        <v>1383</v>
      </c>
      <c r="D161" s="596">
        <f>D159/D160</f>
        <v>0.49996908431102072</v>
      </c>
    </row>
    <row r="162" spans="3:5" ht="18" x14ac:dyDescent="0.25">
      <c r="C162" s="215" t="s">
        <v>1384</v>
      </c>
      <c r="D162" s="577">
        <f>0.15*D161*D45*D154</f>
        <v>74.395399745479878</v>
      </c>
    </row>
    <row r="164" spans="3:5" ht="18" x14ac:dyDescent="0.25">
      <c r="C164" s="587" t="s">
        <v>1385</v>
      </c>
      <c r="D164" s="600">
        <f>D162+D157</f>
        <v>226.01925994570524</v>
      </c>
      <c r="E164" s="587" t="str">
        <f ca="1">IF(D164&gt;=D35,"Ok!","Não Ok!")</f>
        <v>Não Ok!</v>
      </c>
    </row>
    <row r="165" spans="3:5" x14ac:dyDescent="0.25">
      <c r="D165" s="577"/>
    </row>
    <row r="166" spans="3:5" x14ac:dyDescent="0.25">
      <c r="C166" s="533" t="s">
        <v>1396</v>
      </c>
    </row>
    <row r="168" spans="3:5" x14ac:dyDescent="0.25">
      <c r="C168" s="215" t="s">
        <v>1397</v>
      </c>
      <c r="D168" s="215">
        <f>D30-'[1]Dados de Entrada'!C5</f>
        <v>835</v>
      </c>
    </row>
    <row r="169" spans="3:5" x14ac:dyDescent="0.25">
      <c r="C169" s="215" t="s">
        <v>183</v>
      </c>
      <c r="D169" s="602">
        <f>D33</f>
        <v>15</v>
      </c>
    </row>
    <row r="170" spans="3:5" ht="18" x14ac:dyDescent="0.25">
      <c r="C170" s="215" t="s">
        <v>1398</v>
      </c>
      <c r="D170" s="603">
        <f ca="1">((D3*G3+D4*G4+(D5+D6+D7)*G5+G6*(D8+D9))*D168*D169/2-(D3*G3+D4*G4+(D5+D6+D7)*G5+G6*(D8+D9))*D169^2/2)/10000</f>
        <v>34.989545134252893</v>
      </c>
    </row>
    <row r="171" spans="3:5" x14ac:dyDescent="0.25">
      <c r="C171" s="215" t="s">
        <v>1348</v>
      </c>
      <c r="D171" s="575">
        <f>'[1]ELU-Flexão'!J43</f>
        <v>32</v>
      </c>
    </row>
    <row r="172" spans="3:5" ht="18" x14ac:dyDescent="0.25">
      <c r="C172" s="215" t="s">
        <v>1323</v>
      </c>
      <c r="D172" s="577">
        <f ca="1">(D3*G3+D4*G4+(D5+D6+D7)*G5+G6*(D8+D9))*(D168-2*D169)/200</f>
        <v>228.99661652905345</v>
      </c>
    </row>
    <row r="173" spans="3:5" ht="18" x14ac:dyDescent="0.25">
      <c r="C173" s="215" t="s">
        <v>1399</v>
      </c>
      <c r="D173" s="603">
        <f ca="1">D170+1.35*D171*D172/100</f>
        <v>133.916083474804</v>
      </c>
    </row>
    <row r="174" spans="3:5" ht="18" x14ac:dyDescent="0.25">
      <c r="C174" s="215" t="s">
        <v>1400</v>
      </c>
      <c r="D174" s="604">
        <f>D134</f>
        <v>237.80819070415095</v>
      </c>
    </row>
    <row r="175" spans="3:5" ht="18" x14ac:dyDescent="0.25">
      <c r="C175" s="215" t="s">
        <v>1390</v>
      </c>
      <c r="D175" s="594">
        <f>'[1]ELS-Tensões'!G287*'[1]ELS-Tensões'!C27</f>
        <v>9.8699999999999992</v>
      </c>
    </row>
    <row r="176" spans="3:5" ht="18" x14ac:dyDescent="0.25">
      <c r="C176" s="573" t="s">
        <v>1401</v>
      </c>
      <c r="D176" s="605">
        <f>'[1]ELU-Flexão'!E67</f>
        <v>156.957470760425</v>
      </c>
    </row>
    <row r="177" spans="3:4" x14ac:dyDescent="0.25">
      <c r="C177" s="215" t="s">
        <v>1348</v>
      </c>
      <c r="D177" s="602">
        <f>'[1]ELU-Flexão'!J43</f>
        <v>32</v>
      </c>
    </row>
    <row r="178" spans="3:4" ht="18" x14ac:dyDescent="0.25">
      <c r="C178" s="215" t="s">
        <v>1402</v>
      </c>
      <c r="D178" s="603">
        <f>D175*D176*0.9*D177/100</f>
        <v>446.1610280847537</v>
      </c>
    </row>
    <row r="180" spans="3:4" ht="18" x14ac:dyDescent="0.25">
      <c r="C180" s="579" t="s">
        <v>1403</v>
      </c>
      <c r="D180" s="606">
        <f ca="1">((D172/D174)^4+(D173/D178)^4)^(1/4)</f>
        <v>0.96521118427103614</v>
      </c>
    </row>
    <row r="181" spans="3:4" ht="18" x14ac:dyDescent="0.25">
      <c r="C181" s="579" t="s">
        <v>1404</v>
      </c>
      <c r="D181" s="607">
        <v>1</v>
      </c>
    </row>
    <row r="182" spans="3:4" x14ac:dyDescent="0.25">
      <c r="C182" s="587" t="s">
        <v>1285</v>
      </c>
      <c r="D182" s="587" t="str">
        <f ca="1">IF(D180&lt;=D181,"Ok!","Não Ok!")</f>
        <v>Ok!</v>
      </c>
    </row>
    <row r="184" spans="3:4" x14ac:dyDescent="0.25">
      <c r="C184" s="533" t="s">
        <v>1405</v>
      </c>
    </row>
    <row r="186" spans="3:4" x14ac:dyDescent="0.25">
      <c r="C186" s="533" t="s">
        <v>1406</v>
      </c>
    </row>
    <row r="188" spans="3:4" x14ac:dyDescent="0.25">
      <c r="C188" s="215" t="s">
        <v>1336</v>
      </c>
      <c r="D188" s="575">
        <f>D30</f>
        <v>849</v>
      </c>
    </row>
    <row r="189" spans="3:4" x14ac:dyDescent="0.25">
      <c r="C189" s="215" t="s">
        <v>3</v>
      </c>
      <c r="D189" s="575">
        <f>VLOOKUP('[1]Dados de Entrada'!C3,'[1]Dados Lajes'!A4:B11,2,FALSE)</f>
        <v>30</v>
      </c>
    </row>
    <row r="190" spans="3:4" x14ac:dyDescent="0.25">
      <c r="C190" s="215" t="s">
        <v>1337</v>
      </c>
      <c r="D190" s="575">
        <f>'[1]Dados de Entrada'!C5</f>
        <v>14</v>
      </c>
    </row>
    <row r="191" spans="3:4" ht="18" x14ac:dyDescent="0.25">
      <c r="C191" s="215" t="s">
        <v>1407</v>
      </c>
      <c r="D191" s="575">
        <f>VLOOKUP('[1]Dados de Entrada'!C3,'[1]Dados Lajes'!A4:AE11,31,FALSE)</f>
        <v>7.5</v>
      </c>
    </row>
    <row r="192" spans="3:4" ht="18" x14ac:dyDescent="0.25">
      <c r="C192" s="215" t="s">
        <v>1408</v>
      </c>
      <c r="D192" s="575">
        <f>D191/TAN(RADIANS(30))</f>
        <v>12.99038105676658</v>
      </c>
    </row>
    <row r="193" spans="3:4" ht="15.75" thickBot="1" x14ac:dyDescent="0.3">
      <c r="C193" s="215" t="s">
        <v>1338</v>
      </c>
      <c r="D193" s="575">
        <f>D188-D190-D192*2</f>
        <v>809.01923788646684</v>
      </c>
    </row>
    <row r="194" spans="3:4" ht="18.75" thickBot="1" x14ac:dyDescent="0.3">
      <c r="C194" s="582" t="s">
        <v>1339</v>
      </c>
      <c r="D194" s="583">
        <f ca="1">(D193)*0.01*(G3*D3+G4*D4+G5*(D5+D6+D7)+G6*(D8+D9))*0.5</f>
        <v>230.13996047566994</v>
      </c>
    </row>
    <row r="196" spans="3:4" x14ac:dyDescent="0.25">
      <c r="C196" s="533" t="s">
        <v>1409</v>
      </c>
    </row>
    <row r="197" spans="3:4" x14ac:dyDescent="0.25">
      <c r="C197" s="533"/>
    </row>
    <row r="198" spans="3:4" ht="18" x14ac:dyDescent="0.25">
      <c r="C198" s="215" t="s">
        <v>1410</v>
      </c>
      <c r="D198" s="584">
        <f ca="1">(D193)*0.01*(G3*D3+G4*D4)*0.5</f>
        <v>40.424949191293493</v>
      </c>
    </row>
    <row r="199" spans="3:4" ht="18" x14ac:dyDescent="0.25">
      <c r="C199" s="215" t="s">
        <v>1411</v>
      </c>
      <c r="D199" s="584">
        <f>(D193)*0.01*(G5*(D5+D6+D7)+G6*(D8+D9))*0.5</f>
        <v>189.71501128437646</v>
      </c>
    </row>
    <row r="200" spans="3:4" x14ac:dyDescent="0.25">
      <c r="C200" s="215" t="s">
        <v>109</v>
      </c>
      <c r="D200" s="595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8">
        <f>VLOOKUP('[1]Dados de Entrada'!C3,'[1]Dados Lajes'!A4:AC11,29,FALSE)</f>
        <v>9.8848000000000003</v>
      </c>
    </row>
    <row r="202" spans="3:4" x14ac:dyDescent="0.25">
      <c r="C202" s="215" t="s">
        <v>1412</v>
      </c>
      <c r="D202" s="609">
        <f>D200*D201</f>
        <v>8941.2058883200007</v>
      </c>
    </row>
    <row r="203" spans="3:4" x14ac:dyDescent="0.25">
      <c r="C203" s="215" t="s">
        <v>1058</v>
      </c>
      <c r="D203" s="610">
        <f>VLOOKUP('[1]Dados de Entrada'!C3,'[1]Dados Lajes'!A4:F11,6,FALSE)</f>
        <v>207551.86040000001</v>
      </c>
    </row>
    <row r="204" spans="3:4" x14ac:dyDescent="0.25">
      <c r="C204" s="215" t="s">
        <v>115</v>
      </c>
      <c r="D204" s="594">
        <v>1191.4762000000001</v>
      </c>
    </row>
    <row r="205" spans="3:4" x14ac:dyDescent="0.25">
      <c r="C205" s="215" t="s">
        <v>1413</v>
      </c>
      <c r="D205" s="611">
        <v>9.9438999999999993</v>
      </c>
    </row>
    <row r="206" spans="3:4" x14ac:dyDescent="0.25">
      <c r="C206" s="215" t="s">
        <v>1414</v>
      </c>
      <c r="D206" s="609">
        <f>D204*D205</f>
        <v>11847.920185179999</v>
      </c>
    </row>
    <row r="207" spans="3:4" x14ac:dyDescent="0.25">
      <c r="C207" s="215" t="s">
        <v>1415</v>
      </c>
      <c r="D207" s="612">
        <v>305315.92229999998</v>
      </c>
    </row>
    <row r="208" spans="3:4" ht="18" x14ac:dyDescent="0.25">
      <c r="C208" s="215" t="s">
        <v>1416</v>
      </c>
      <c r="D208" s="575">
        <f>VLOOKUP('[1]Dados de Entrada'!C3,'[1]Dados Lajes'!A4:N11,14,FALSE)</f>
        <v>31</v>
      </c>
    </row>
    <row r="209" spans="3:4" ht="18" x14ac:dyDescent="0.25">
      <c r="C209" s="613" t="s">
        <v>1417</v>
      </c>
      <c r="D209" s="614">
        <f ca="1">D198*D202/(D203*D208)+D199*D206/(D207*D208)</f>
        <v>0.29365991091322141</v>
      </c>
    </row>
    <row r="211" spans="3:4" ht="18" x14ac:dyDescent="0.25">
      <c r="C211" s="215" t="s">
        <v>1371</v>
      </c>
      <c r="D211" s="596">
        <f>D280</f>
        <v>0.21924142287881931</v>
      </c>
    </row>
    <row r="212" spans="3:4" ht="18" x14ac:dyDescent="0.25">
      <c r="C212" s="215" t="s">
        <v>1418</v>
      </c>
      <c r="D212" s="575">
        <f>D192+D190</f>
        <v>26.99038105676658</v>
      </c>
    </row>
    <row r="213" spans="3:4" ht="18" x14ac:dyDescent="0.25">
      <c r="C213" s="215" t="s">
        <v>1419</v>
      </c>
      <c r="D213" s="575">
        <f>'[1]ELS-Tensões'!C186</f>
        <v>71.084256617825332</v>
      </c>
    </row>
    <row r="214" spans="3:4" ht="18" x14ac:dyDescent="0.25">
      <c r="C214" s="215" t="s">
        <v>1420</v>
      </c>
      <c r="D214" s="575">
        <f>'[1]ELS-Tensões'!G186</f>
        <v>63.607909037953391</v>
      </c>
    </row>
    <row r="215" spans="3:4" ht="18" x14ac:dyDescent="0.25">
      <c r="C215" s="215" t="s">
        <v>1421</v>
      </c>
      <c r="D215" s="598">
        <f>D212/D213</f>
        <v>0.37969562236370608</v>
      </c>
    </row>
    <row r="216" spans="3:4" ht="18" x14ac:dyDescent="0.25">
      <c r="C216" s="215" t="s">
        <v>1422</v>
      </c>
      <c r="D216" s="598">
        <f>D212/D214</f>
        <v>0.42432429339348404</v>
      </c>
    </row>
    <row r="217" spans="3:4" ht="18" x14ac:dyDescent="0.25">
      <c r="C217" s="215" t="s">
        <v>1374</v>
      </c>
      <c r="D217" s="595">
        <f>D283</f>
        <v>9.870000000000001</v>
      </c>
    </row>
    <row r="218" spans="3:4" ht="18" x14ac:dyDescent="0.25">
      <c r="C218" s="215" t="s">
        <v>1375</v>
      </c>
      <c r="D218" s="595">
        <f>D284</f>
        <v>0</v>
      </c>
    </row>
    <row r="219" spans="3:4" ht="18" x14ac:dyDescent="0.25">
      <c r="C219" s="215" t="s">
        <v>1376</v>
      </c>
      <c r="D219" s="596">
        <f>D285</f>
        <v>117.04000000000002</v>
      </c>
    </row>
    <row r="220" spans="3:4" ht="18" x14ac:dyDescent="0.25">
      <c r="C220" s="215" t="s">
        <v>1377</v>
      </c>
      <c r="D220" s="596">
        <f>D286</f>
        <v>91.218050000000019</v>
      </c>
    </row>
    <row r="221" spans="3:4" ht="18" x14ac:dyDescent="0.25">
      <c r="C221" s="215" t="s">
        <v>1378</v>
      </c>
      <c r="D221" s="598">
        <f>D219*D217</f>
        <v>1155.1848000000002</v>
      </c>
    </row>
    <row r="222" spans="3:4" ht="18" x14ac:dyDescent="0.25">
      <c r="C222" s="215" t="s">
        <v>1379</v>
      </c>
      <c r="D222" s="598">
        <f>D220*D218</f>
        <v>0</v>
      </c>
    </row>
    <row r="223" spans="3:4" x14ac:dyDescent="0.25">
      <c r="C223" s="215" t="s">
        <v>1380</v>
      </c>
      <c r="D223" s="599">
        <f>'[1]ELS-Tensões'!Z416</f>
        <v>0.23184206258116258</v>
      </c>
    </row>
    <row r="224" spans="3:4" x14ac:dyDescent="0.25">
      <c r="C224" s="215" t="s">
        <v>1423</v>
      </c>
      <c r="D224" s="599">
        <f>'[1]ELS-Tensões'!Z417</f>
        <v>6.5607871413660312E-2</v>
      </c>
    </row>
    <row r="225" spans="3:5" ht="18" x14ac:dyDescent="0.25">
      <c r="C225" s="215" t="s">
        <v>296</v>
      </c>
      <c r="D225" s="595">
        <f>VLOOKUP('[1]Dados de Entrada'!C3,'[1]Dados Lajes'!A4:C11,3,FALSE)</f>
        <v>1811.6405999999999</v>
      </c>
    </row>
    <row r="226" spans="3:5" ht="18" x14ac:dyDescent="0.25">
      <c r="C226" s="573" t="s">
        <v>1424</v>
      </c>
      <c r="D226" s="596">
        <f>(D221*(1-D223)*D215+D222*(1-D224)*D216)/D225</f>
        <v>0.18597969596488781</v>
      </c>
    </row>
    <row r="227" spans="3:5" x14ac:dyDescent="0.25">
      <c r="C227" s="573"/>
      <c r="D227" s="596"/>
    </row>
    <row r="228" spans="3:5" x14ac:dyDescent="0.25">
      <c r="C228" s="533" t="s">
        <v>1425</v>
      </c>
    </row>
    <row r="230" spans="3:5" ht="18" x14ac:dyDescent="0.25">
      <c r="C230" s="615" t="s">
        <v>1426</v>
      </c>
      <c r="D230" s="596">
        <f>SQRT(D211^2+D226*D211)</f>
        <v>0.2980625012909901</v>
      </c>
      <c r="E230" s="587" t="str">
        <f ca="1">IF(D230&gt;=D209,"Ok!","Não Ok!")</f>
        <v>Ok!</v>
      </c>
    </row>
    <row r="231" spans="3:5" x14ac:dyDescent="0.25">
      <c r="C231" s="615"/>
      <c r="D231" s="596"/>
      <c r="E231" s="587"/>
    </row>
    <row r="232" spans="3:5" x14ac:dyDescent="0.25">
      <c r="C232" s="215" t="s">
        <v>1285</v>
      </c>
      <c r="D232" s="533" t="str">
        <f ca="1">IF(G21&lt;=D22,IF(D230&gt;=D209,"Pode-se considerar seção composta!","Considerar laje sem capa!"),"Considerar laje sem capa!")</f>
        <v>Pode-se considerar seção composta!</v>
      </c>
      <c r="E232" s="587"/>
    </row>
    <row r="234" spans="3:5" x14ac:dyDescent="0.25">
      <c r="C234" s="533" t="s">
        <v>1427</v>
      </c>
    </row>
    <row r="235" spans="3:5" x14ac:dyDescent="0.25">
      <c r="C235" s="533"/>
    </row>
    <row r="236" spans="3:5" ht="18" x14ac:dyDescent="0.25">
      <c r="C236" s="615" t="s">
        <v>1426</v>
      </c>
      <c r="D236" s="596">
        <f>SQRT(D211^2+0.9*D226*D211)</f>
        <v>0.29114224935390309</v>
      </c>
      <c r="E236" s="587" t="str">
        <f ca="1">IF(D236&gt;=D209,"Ok!","Não Ok!")</f>
        <v>Não Ok!</v>
      </c>
    </row>
    <row r="237" spans="3:5" x14ac:dyDescent="0.25">
      <c r="C237" s="615"/>
      <c r="D237" s="596"/>
      <c r="E237" s="587"/>
    </row>
    <row r="238" spans="3:5" x14ac:dyDescent="0.25">
      <c r="C238" s="215" t="s">
        <v>1285</v>
      </c>
      <c r="D238" s="533" t="str">
        <f ca="1">IF(G21&lt;=D22,IF(D236&gt;=D209,"Pode-se considerar seção composta!","Considerar laje sem capa!"),"Considerar laje sem capa!")</f>
        <v>Considerar laje sem capa!</v>
      </c>
      <c r="E238" s="587"/>
    </row>
    <row r="239" spans="3:5" x14ac:dyDescent="0.25">
      <c r="C239" s="533"/>
    </row>
    <row r="240" spans="3:5" x14ac:dyDescent="0.25">
      <c r="C240" s="420" t="s">
        <v>1332</v>
      </c>
      <c r="D240" s="572" t="s">
        <v>1333</v>
      </c>
    </row>
    <row r="242" spans="3:5" x14ac:dyDescent="0.25">
      <c r="C242" s="533" t="s">
        <v>1428</v>
      </c>
    </row>
    <row r="244" spans="3:5" x14ac:dyDescent="0.25">
      <c r="C244" s="533" t="s">
        <v>1429</v>
      </c>
    </row>
    <row r="245" spans="3:5" x14ac:dyDescent="0.25">
      <c r="C245" s="533"/>
    </row>
    <row r="246" spans="3:5" ht="18.75" x14ac:dyDescent="0.25">
      <c r="C246" s="573" t="s">
        <v>1430</v>
      </c>
      <c r="D246" s="215">
        <f>IF(0.5+D191/D189&lt;=1,0.5+D191/D189,1)</f>
        <v>0.75</v>
      </c>
    </row>
    <row r="247" spans="3:5" x14ac:dyDescent="0.25">
      <c r="C247" s="215" t="s">
        <v>1058</v>
      </c>
      <c r="D247" s="610">
        <f>VLOOKUP('[1]Dados de Entrada'!C3,'[1]Dados Lajes'!A4:F11,6,FALSE)</f>
        <v>207551.86040000001</v>
      </c>
    </row>
    <row r="248" spans="3:5" ht="18" x14ac:dyDescent="0.25">
      <c r="C248" s="215" t="s">
        <v>1416</v>
      </c>
      <c r="D248" s="575">
        <f>D276</f>
        <v>31</v>
      </c>
    </row>
    <row r="249" spans="3:5" x14ac:dyDescent="0.25">
      <c r="C249" s="215" t="s">
        <v>1412</v>
      </c>
      <c r="D249" s="609">
        <f>D202</f>
        <v>8941.2058883200007</v>
      </c>
    </row>
    <row r="251" spans="3:5" ht="18" x14ac:dyDescent="0.25">
      <c r="C251" s="215" t="s">
        <v>1431</v>
      </c>
      <c r="D251" s="584">
        <f>(D246*D247*D248/D249)*SQRT(D211^2+0.9*D226*D211)</f>
        <v>157.1298606467706</v>
      </c>
      <c r="E251" s="587" t="str">
        <f ca="1">IF(D251&gt;=$D$194,"Ok!","Não Ok!")</f>
        <v>Não Ok!</v>
      </c>
    </row>
    <row r="253" spans="3:5" x14ac:dyDescent="0.25">
      <c r="C253" s="533" t="s">
        <v>1432</v>
      </c>
    </row>
    <row r="255" spans="3:5" x14ac:dyDescent="0.25">
      <c r="C255" s="215" t="s">
        <v>1355</v>
      </c>
      <c r="D255" s="572">
        <v>2</v>
      </c>
    </row>
    <row r="256" spans="3:5" ht="18" x14ac:dyDescent="0.25">
      <c r="C256" s="215" t="s">
        <v>1433</v>
      </c>
      <c r="D256" s="378">
        <f>VLOOKUP('[1]Dados de Entrada'!C3,'[1]Dados Lajes'!A4:O11,15,FALSE)</f>
        <v>12.5</v>
      </c>
    </row>
    <row r="257" spans="3:11" ht="18" x14ac:dyDescent="0.25">
      <c r="C257" s="215" t="s">
        <v>1434</v>
      </c>
      <c r="D257" s="378">
        <f>VLOOKUP('[1]Dados de Entrada'!C3,'[1]Dados Lajes'!A4:AD11,30,FALSE)</f>
        <v>23</v>
      </c>
    </row>
    <row r="258" spans="3:11" ht="18" x14ac:dyDescent="0.25">
      <c r="C258" s="215" t="s">
        <v>1435</v>
      </c>
      <c r="D258" s="588">
        <f>D251+(2/3)*D255*D256*D257*D211</f>
        <v>241.17240608365131</v>
      </c>
      <c r="E258" s="587" t="str">
        <f ca="1">IF(D258&gt;=$D$194,"Ok!","Não Ok!")</f>
        <v>Ok!</v>
      </c>
    </row>
    <row r="260" spans="3:11" x14ac:dyDescent="0.25">
      <c r="C260" s="533" t="s">
        <v>1436</v>
      </c>
      <c r="J260" s="616"/>
      <c r="K260" s="451"/>
    </row>
    <row r="261" spans="3:11" x14ac:dyDescent="0.25">
      <c r="J261" s="617"/>
    </row>
    <row r="262" spans="3:11" ht="18" x14ac:dyDescent="0.25">
      <c r="C262" s="215" t="s">
        <v>1437</v>
      </c>
      <c r="D262" s="577">
        <f ca="1">D304</f>
        <v>40.424949191293493</v>
      </c>
      <c r="J262" s="617"/>
    </row>
    <row r="263" spans="3:11" x14ac:dyDescent="0.25">
      <c r="C263" s="215" t="s">
        <v>1415</v>
      </c>
      <c r="D263" s="610">
        <f>D207</f>
        <v>305315.92229999998</v>
      </c>
      <c r="J263" s="457"/>
    </row>
    <row r="264" spans="3:11" x14ac:dyDescent="0.25">
      <c r="C264" s="215" t="s">
        <v>1414</v>
      </c>
      <c r="D264" s="609">
        <f>D206</f>
        <v>11847.920185179999</v>
      </c>
      <c r="J264" s="378"/>
      <c r="K264" s="378"/>
    </row>
    <row r="265" spans="3:11" ht="18" x14ac:dyDescent="0.25">
      <c r="C265" s="215" t="s">
        <v>1438</v>
      </c>
      <c r="D265" s="588">
        <f ca="1">D251*D249*D263/(D264*D247)+D262*(1-D249*D263/(D264*D247))</f>
        <v>169.9834553834437</v>
      </c>
      <c r="E265" s="587" t="str">
        <f ca="1">IF(D265&gt;=$D$194,"Ok!","Não Ok!")</f>
        <v>Não Ok!</v>
      </c>
      <c r="K265" s="378"/>
    </row>
    <row r="267" spans="3:11" x14ac:dyDescent="0.25">
      <c r="C267" s="533" t="s">
        <v>1439</v>
      </c>
    </row>
    <row r="269" spans="3:11" ht="18" x14ac:dyDescent="0.25">
      <c r="C269" s="587" t="s">
        <v>1440</v>
      </c>
      <c r="D269" s="588">
        <f ca="1">D251+D258+D265-2*D251</f>
        <v>254.02600082032444</v>
      </c>
      <c r="E269" s="587" t="str">
        <f ca="1">IF(D269&gt;=$D$194,"Ok!","Não Ok!")</f>
        <v>Ok!</v>
      </c>
      <c r="G269" s="618"/>
    </row>
    <row r="271" spans="3:11" x14ac:dyDescent="0.25">
      <c r="C271" s="533" t="s">
        <v>1441</v>
      </c>
    </row>
    <row r="272" spans="3:11" x14ac:dyDescent="0.25">
      <c r="C272" s="533"/>
    </row>
    <row r="273" spans="2:4" x14ac:dyDescent="0.25">
      <c r="C273" s="533" t="s">
        <v>1442</v>
      </c>
    </row>
    <row r="275" spans="2:4" x14ac:dyDescent="0.25">
      <c r="C275" s="215" t="s">
        <v>1058</v>
      </c>
      <c r="D275" s="610">
        <f>VLOOKUP('[1]Dados de Entrada'!C3,'[1]Dados Lajes'!A4:F11,6,FALSE)</f>
        <v>207551.86040000001</v>
      </c>
    </row>
    <row r="276" spans="2:4" ht="18" x14ac:dyDescent="0.25">
      <c r="C276" s="215" t="s">
        <v>1416</v>
      </c>
      <c r="D276" s="575">
        <f>VLOOKUP('[1]Dados de Entrada'!C3,'[1]Dados Lajes'!A4:N11,14,FALSE)</f>
        <v>31</v>
      </c>
    </row>
    <row r="277" spans="2:4" x14ac:dyDescent="0.25">
      <c r="C277" s="215" t="s">
        <v>109</v>
      </c>
      <c r="D277" s="595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5">
        <f>VLOOKUP('[1]Dados de Entrada'!C3,'[1]Dados Lajes'!A4:AC11,29,FALSE)</f>
        <v>9.8848000000000003</v>
      </c>
    </row>
    <row r="279" spans="2:4" x14ac:dyDescent="0.25">
      <c r="B279" s="457"/>
      <c r="C279" s="215" t="s">
        <v>1412</v>
      </c>
      <c r="D279" s="609">
        <f>D278*D277</f>
        <v>8941.2058883200007</v>
      </c>
    </row>
    <row r="280" spans="2:4" ht="18" x14ac:dyDescent="0.25">
      <c r="C280" s="215" t="s">
        <v>1371</v>
      </c>
      <c r="D280" s="596">
        <f>D84</f>
        <v>0.21924142287881931</v>
      </c>
    </row>
    <row r="281" spans="2:4" ht="18" x14ac:dyDescent="0.25">
      <c r="C281" s="215" t="s">
        <v>1421</v>
      </c>
      <c r="D281" s="598">
        <f>D212/D213</f>
        <v>0.37969562236370608</v>
      </c>
    </row>
    <row r="282" spans="2:4" ht="18" x14ac:dyDescent="0.25">
      <c r="C282" s="215" t="s">
        <v>1422</v>
      </c>
      <c r="D282" s="598">
        <f>D212/D214</f>
        <v>0.42432429339348404</v>
      </c>
    </row>
    <row r="283" spans="2:4" ht="18" x14ac:dyDescent="0.25">
      <c r="C283" s="215" t="s">
        <v>1374</v>
      </c>
      <c r="D283" s="595">
        <f>'[1]ELS-Tensões'!O301/'[1]ELS-Tensões'!O297</f>
        <v>9.870000000000001</v>
      </c>
    </row>
    <row r="284" spans="2:4" ht="18" x14ac:dyDescent="0.25">
      <c r="C284" s="215" t="s">
        <v>1375</v>
      </c>
      <c r="D284" s="595">
        <f>'[1]ELS-Tensões'!C78</f>
        <v>0</v>
      </c>
    </row>
    <row r="285" spans="2:4" ht="18" x14ac:dyDescent="0.25">
      <c r="C285" s="215" t="s">
        <v>1376</v>
      </c>
      <c r="D285" s="596">
        <f>'[1]ELS-Tensões'!C11</f>
        <v>117.04000000000002</v>
      </c>
    </row>
    <row r="286" spans="2:4" ht="18" x14ac:dyDescent="0.25">
      <c r="C286" s="215" t="s">
        <v>1377</v>
      </c>
      <c r="D286" s="596">
        <f>'[1]ELS-Tensões'!G11</f>
        <v>91.218050000000019</v>
      </c>
    </row>
    <row r="287" spans="2:4" ht="18" x14ac:dyDescent="0.25">
      <c r="C287" s="215" t="s">
        <v>1378</v>
      </c>
      <c r="D287" s="598">
        <f>D285*D283</f>
        <v>1155.1848000000002</v>
      </c>
    </row>
    <row r="288" spans="2:4" ht="18" x14ac:dyDescent="0.25">
      <c r="C288" s="215" t="s">
        <v>1379</v>
      </c>
      <c r="D288" s="598">
        <f>D286*D284</f>
        <v>0</v>
      </c>
    </row>
    <row r="289" spans="3:5" x14ac:dyDescent="0.25">
      <c r="C289" s="215" t="s">
        <v>1380</v>
      </c>
      <c r="D289" s="599">
        <f>'[1]ELS-Tensões'!Z416</f>
        <v>0.23184206258116258</v>
      </c>
    </row>
    <row r="290" spans="3:5" x14ac:dyDescent="0.25">
      <c r="C290" s="215" t="s">
        <v>1423</v>
      </c>
      <c r="D290" s="599">
        <f>'[1]ELS-Tensões'!Z417</f>
        <v>6.5607871413660312E-2</v>
      </c>
    </row>
    <row r="291" spans="3:5" ht="18" x14ac:dyDescent="0.25">
      <c r="C291" s="215" t="s">
        <v>296</v>
      </c>
      <c r="D291" s="595">
        <f>VLOOKUP('[1]Dados de Entrada'!C3,'[1]Dados Lajes'!A4:C11,3,FALSE)</f>
        <v>1811.6405999999999</v>
      </c>
    </row>
    <row r="292" spans="3:5" ht="18" x14ac:dyDescent="0.25">
      <c r="C292" s="215" t="s">
        <v>1443</v>
      </c>
      <c r="D292" s="596">
        <f>(D287*(1-D289)*D281+D288*(1-D290)*D282)/D291</f>
        <v>0.18597969596488781</v>
      </c>
    </row>
    <row r="293" spans="3:5" ht="18" x14ac:dyDescent="0.25">
      <c r="C293" s="587" t="s">
        <v>1444</v>
      </c>
      <c r="D293" s="588">
        <f>(0.95*D275*D276/D279)*SQRT(D280^2+D292*D280)</f>
        <v>203.76199115048672</v>
      </c>
      <c r="E293" s="587" t="str">
        <f ca="1">IF(D293&gt;=$D$194,"Ok!","Não Ok!")</f>
        <v>Não Ok!</v>
      </c>
    </row>
    <row r="294" spans="3:5" x14ac:dyDescent="0.25">
      <c r="D294" s="584"/>
    </row>
    <row r="295" spans="3:5" x14ac:dyDescent="0.25">
      <c r="C295" s="533" t="s">
        <v>1445</v>
      </c>
      <c r="D295" s="584"/>
    </row>
    <row r="296" spans="3:5" x14ac:dyDescent="0.25">
      <c r="D296" s="584"/>
    </row>
    <row r="297" spans="3:5" x14ac:dyDescent="0.25">
      <c r="C297" s="215" t="s">
        <v>1355</v>
      </c>
      <c r="D297" s="572">
        <v>2</v>
      </c>
    </row>
    <row r="298" spans="3:5" ht="18" x14ac:dyDescent="0.25">
      <c r="C298" s="215" t="s">
        <v>1433</v>
      </c>
      <c r="D298" s="378">
        <f>VLOOKUP('[1]Dados de Entrada'!C3,'[1]Dados Lajes'!A4:O11,15,FALSE)</f>
        <v>12.5</v>
      </c>
    </row>
    <row r="299" spans="3:5" ht="18" x14ac:dyDescent="0.25">
      <c r="C299" s="215" t="s">
        <v>1434</v>
      </c>
      <c r="D299" s="378">
        <f>VLOOKUP('[1]Dados de Entrada'!C3,'[1]Dados Lajes'!A4:AD11,30,FALSE)</f>
        <v>23</v>
      </c>
    </row>
    <row r="300" spans="3:5" ht="18" x14ac:dyDescent="0.25">
      <c r="C300" s="587" t="s">
        <v>1446</v>
      </c>
      <c r="D300" s="588">
        <f>D293+(2/3)*D297*D298*D299*D280</f>
        <v>287.80453658736747</v>
      </c>
    </row>
    <row r="301" spans="3:5" x14ac:dyDescent="0.25">
      <c r="D301" s="584"/>
    </row>
    <row r="302" spans="3:5" x14ac:dyDescent="0.25">
      <c r="C302" s="533" t="s">
        <v>1447</v>
      </c>
      <c r="D302" s="584"/>
    </row>
    <row r="303" spans="3:5" x14ac:dyDescent="0.25">
      <c r="D303" s="584"/>
    </row>
    <row r="304" spans="3:5" ht="18" x14ac:dyDescent="0.25">
      <c r="C304" s="215" t="s">
        <v>1437</v>
      </c>
      <c r="D304" s="577">
        <f ca="1">(G3*D3+G4*D4)*D193*0.5/100</f>
        <v>40.424949191293493</v>
      </c>
    </row>
    <row r="305" spans="3:5" x14ac:dyDescent="0.25">
      <c r="C305" s="215" t="s">
        <v>1415</v>
      </c>
      <c r="D305" s="612">
        <v>0</v>
      </c>
    </row>
    <row r="306" spans="3:5" x14ac:dyDescent="0.25">
      <c r="C306" s="215" t="s">
        <v>115</v>
      </c>
      <c r="D306" s="612">
        <v>0</v>
      </c>
    </row>
    <row r="307" spans="3:5" x14ac:dyDescent="0.25">
      <c r="C307" s="215" t="s">
        <v>1413</v>
      </c>
      <c r="D307" s="612">
        <v>0</v>
      </c>
    </row>
    <row r="308" spans="3:5" x14ac:dyDescent="0.25">
      <c r="C308" s="215" t="s">
        <v>1414</v>
      </c>
      <c r="D308" s="609">
        <f>D307*D306</f>
        <v>0</v>
      </c>
    </row>
    <row r="309" spans="3:5" ht="18" x14ac:dyDescent="0.25">
      <c r="C309" s="587" t="s">
        <v>1448</v>
      </c>
      <c r="D309" s="588" t="e">
        <f ca="1">D293*D279*D305/(D308*D275)+D304*(1-D279*D305/(D308*D275))</f>
        <v>#DIV/0!</v>
      </c>
      <c r="E309" s="587" t="e">
        <f ca="1">IF(D309&gt;=$D$194,"Ok!","Não Ok!")</f>
        <v>#DIV/0!</v>
      </c>
    </row>
    <row r="310" spans="3:5" x14ac:dyDescent="0.25">
      <c r="D310" s="609"/>
    </row>
    <row r="311" spans="3:5" x14ac:dyDescent="0.25">
      <c r="C311" s="533" t="s">
        <v>1449</v>
      </c>
    </row>
    <row r="313" spans="3:5" ht="18" x14ac:dyDescent="0.25">
      <c r="C313" s="587" t="s">
        <v>1440</v>
      </c>
      <c r="D313" s="587" t="e">
        <f ca="1">D293+D300+D309-2*D293</f>
        <v>#DIV/0!</v>
      </c>
      <c r="E313" s="587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C1" zoomScale="85" zoomScaleNormal="85" zoomScaleSheetLayoutView="85" workbookViewId="0">
      <pane ySplit="3" topLeftCell="A4" activePane="bottomLeft" state="frozen"/>
      <selection pane="bottomLeft" activeCell="P1307" sqref="P1307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39" t="s">
        <v>759</v>
      </c>
      <c r="H1" s="742" t="b">
        <v>1</v>
      </c>
      <c r="I1" s="745" t="s">
        <v>689</v>
      </c>
      <c r="J1" s="746"/>
      <c r="K1" s="524">
        <f ca="1">L1000</f>
        <v>-1.3925148282972115</v>
      </c>
      <c r="L1" s="416" t="str">
        <f>IF(H23=20,"CALCULAR PELO MÉTODO ANTIGO","Método de cálculo")</f>
        <v>Método de cálculo</v>
      </c>
      <c r="M1" s="747" t="s">
        <v>964</v>
      </c>
      <c r="N1" s="748"/>
    </row>
    <row r="2" spans="7:36" x14ac:dyDescent="0.25">
      <c r="G2" s="740"/>
      <c r="H2" s="743"/>
      <c r="I2" s="749" t="s">
        <v>690</v>
      </c>
      <c r="J2" s="750"/>
      <c r="K2" s="405">
        <f ca="1">H1000</f>
        <v>-1.1052609009972132</v>
      </c>
      <c r="L2" s="406" t="s">
        <v>760</v>
      </c>
      <c r="M2" s="751">
        <f ca="1">M13</f>
        <v>231.43671910566431</v>
      </c>
      <c r="N2" s="752"/>
    </row>
    <row r="3" spans="7:36" ht="15.75" thickBot="1" x14ac:dyDescent="0.3">
      <c r="G3" s="741"/>
      <c r="H3" s="744"/>
      <c r="I3" s="753" t="s">
        <v>476</v>
      </c>
      <c r="J3" s="754"/>
      <c r="K3" s="408" t="str">
        <f>CONCATENATE(L24, " + ",L20)</f>
        <v>12Ø12,7mm + 4Ø9,5mm</v>
      </c>
      <c r="L3" s="407" t="s">
        <v>761</v>
      </c>
      <c r="M3" s="755">
        <f ca="1">M15</f>
        <v>264.96287440699467</v>
      </c>
      <c r="N3" s="756"/>
    </row>
    <row r="5" spans="7:36" x14ac:dyDescent="0.25">
      <c r="G5" s="646" t="s">
        <v>430</v>
      </c>
      <c r="H5" s="699"/>
      <c r="I5" s="646"/>
    </row>
    <row r="6" spans="7:36" x14ac:dyDescent="0.25">
      <c r="G6" s="124" t="s">
        <v>27</v>
      </c>
      <c r="H6" s="333">
        <v>2500</v>
      </c>
      <c r="I6" s="124" t="s">
        <v>21</v>
      </c>
      <c r="L6" s="634" t="str">
        <f ca="1">H857</f>
        <v>Domínio 3</v>
      </c>
      <c r="M6" s="689"/>
    </row>
    <row r="7" spans="7:36" x14ac:dyDescent="0.25">
      <c r="G7" s="115" t="s">
        <v>46</v>
      </c>
      <c r="H7" s="333"/>
      <c r="I7" s="115" t="s">
        <v>21</v>
      </c>
      <c r="L7" s="689"/>
      <c r="M7" s="689"/>
      <c r="O7" s="181"/>
    </row>
    <row r="8" spans="7:36" ht="15.75" thickBot="1" x14ac:dyDescent="0.3">
      <c r="G8" s="115" t="s">
        <v>22</v>
      </c>
      <c r="H8" s="333">
        <v>100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29" t="s">
        <v>704</v>
      </c>
      <c r="M9" s="631" t="str">
        <f>IF(L1="CALCULAR PELO MÉTODO ANTIGO","NBR 14861/2002",M1)</f>
        <v>NBR 14861/2022</v>
      </c>
    </row>
    <row r="10" spans="7:36" ht="14.25" customHeight="1" thickBot="1" x14ac:dyDescent="0.3">
      <c r="L10" s="630"/>
      <c r="M10" s="632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36" t="s">
        <v>688</v>
      </c>
      <c r="M11" s="631">
        <v>3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37"/>
      <c r="M12" s="632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58" t="s">
        <v>495</v>
      </c>
      <c r="M13" s="762">
        <f ca="1">IF(M9="NBR 14861/2022",'Cisalhamento 14861'!$C$132,((I73*K51)+(I74+I75+I76+I77+I78)*K52)*(H21/100)/2)</f>
        <v>231.43671910566431</v>
      </c>
    </row>
    <row r="14" spans="7:36" ht="14.25" customHeight="1" thickBot="1" x14ac:dyDescent="0.3">
      <c r="G14" s="119"/>
      <c r="H14" s="134"/>
      <c r="L14" s="759"/>
      <c r="M14" s="763"/>
    </row>
    <row r="15" spans="7:36" ht="14.25" customHeight="1" x14ac:dyDescent="0.25">
      <c r="G15" s="760" t="s">
        <v>355</v>
      </c>
      <c r="H15" s="760"/>
      <c r="I15" s="333" t="s">
        <v>732</v>
      </c>
      <c r="L15" s="758" t="s">
        <v>1464</v>
      </c>
      <c r="M15" s="762">
        <f ca="1">IF(M9="NBR 14861/2022",'Cisalhamento 14861'!$C$133,H1214)</f>
        <v>264.96287440699467</v>
      </c>
      <c r="N15" s="118"/>
    </row>
    <row r="16" spans="7:36" ht="14.25" customHeight="1" thickBot="1" x14ac:dyDescent="0.3">
      <c r="G16" s="761" t="s">
        <v>259</v>
      </c>
      <c r="H16" s="761"/>
      <c r="I16" s="333" t="s">
        <v>473</v>
      </c>
      <c r="L16" s="759"/>
      <c r="M16" s="763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38" t="s">
        <v>483</v>
      </c>
      <c r="H17" s="717"/>
      <c r="I17" s="333" t="s">
        <v>605</v>
      </c>
      <c r="L17" s="718" t="str">
        <f ca="1">IF(M9="NBR 14861/2022",IF('Cisalhamento 14861'!$C$135="Ok!","Cisalhamento Ok","Reprova no cisalhamento"),IF(M13&gt;M15,"Reprova no cisalhamento","Cisalhamento Ok"))</f>
        <v>Cisalhamento Ok</v>
      </c>
      <c r="M17" s="718"/>
      <c r="AC17"/>
      <c r="AD17" s="123" t="s">
        <v>417</v>
      </c>
      <c r="AH17"/>
      <c r="AI17"/>
      <c r="AJ17"/>
    </row>
    <row r="18" spans="5:43" ht="14.25" customHeight="1" x14ac:dyDescent="0.25">
      <c r="L18" s="719"/>
      <c r="M18" s="719"/>
      <c r="AC18"/>
      <c r="AD18" s="123"/>
      <c r="AH18"/>
      <c r="AI18"/>
      <c r="AJ18"/>
    </row>
    <row r="19" spans="5:43" ht="14.25" customHeight="1" x14ac:dyDescent="0.25">
      <c r="G19" s="638" t="s">
        <v>431</v>
      </c>
      <c r="H19" s="638"/>
      <c r="I19" s="638"/>
      <c r="L19" s="633" t="s">
        <v>474</v>
      </c>
      <c r="M19" s="633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689" t="str">
        <f>IF(SUM(J131,J133,J135,J137)&gt;0,(CONCATENATE(SUM(J131,J133,J135,J137),"Ø",H138,"mm")),)</f>
        <v>4Ø9,5mm</v>
      </c>
      <c r="M20" s="689"/>
      <c r="Y20"/>
      <c r="Z20"/>
      <c r="AA20"/>
      <c r="AJ20"/>
      <c r="AK20" s="671" t="s">
        <v>418</v>
      </c>
      <c r="AL20" s="686" t="s">
        <v>419</v>
      </c>
      <c r="AM20" s="687"/>
      <c r="AN20" s="688"/>
      <c r="AO20"/>
      <c r="AP20"/>
      <c r="AQ20"/>
    </row>
    <row r="21" spans="5:43" ht="14.25" customHeight="1" x14ac:dyDescent="0.25">
      <c r="G21" s="119" t="s">
        <v>2</v>
      </c>
      <c r="H21" s="336">
        <f>863-14</f>
        <v>849</v>
      </c>
      <c r="J21" s="231" t="s">
        <v>505</v>
      </c>
      <c r="L21" s="689"/>
      <c r="M21" s="689"/>
      <c r="Y21"/>
      <c r="Z21"/>
      <c r="AA21"/>
      <c r="AJ21"/>
      <c r="AK21" s="671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671" t="s">
        <v>420</v>
      </c>
      <c r="AL22" s="671"/>
      <c r="AM22" s="671"/>
      <c r="AN22" s="671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690" t="s">
        <v>476</v>
      </c>
      <c r="M23" s="691"/>
      <c r="Y23"/>
      <c r="Z23"/>
      <c r="AA23"/>
      <c r="AJ23"/>
      <c r="AK23" s="692" t="s">
        <v>421</v>
      </c>
      <c r="AL23" s="672">
        <v>0.5</v>
      </c>
      <c r="AM23" s="672">
        <v>0.4</v>
      </c>
      <c r="AN23" s="672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14.684076499090109</v>
      </c>
      <c r="I24" s="339">
        <f ca="1">IF(H1=TRUE,Homogeneização!L34,IF(I15="1 - Sim",'Propriedades geométricas LA '!M7,H24))</f>
        <v>18.314422445761497</v>
      </c>
      <c r="J24" s="232" t="s">
        <v>508</v>
      </c>
      <c r="L24" s="677" t="str">
        <f>CONCATENATE(SUM(J118,J120,J122,J124),"Ø",H121,"mm")</f>
        <v>12Ø12,7mm</v>
      </c>
      <c r="M24" s="678"/>
      <c r="Y24"/>
      <c r="Z24"/>
      <c r="AA24"/>
      <c r="AJ24"/>
      <c r="AK24" s="692"/>
      <c r="AL24" s="673"/>
      <c r="AM24" s="673"/>
      <c r="AN24" s="673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15.315923500909891</v>
      </c>
      <c r="I25" s="339">
        <f ca="1">IF(H1=TRUE,Homogeneização!L33,IF(I15="1 - Sim",'Propriedades geométricas LA '!M8,H25))</f>
        <v>16.685577554238503</v>
      </c>
      <c r="J25" s="232" t="s">
        <v>509</v>
      </c>
      <c r="L25" s="679"/>
      <c r="M25" s="680"/>
      <c r="Y25"/>
      <c r="Z25"/>
      <c r="AA25"/>
      <c r="AJ25"/>
      <c r="AK25" s="692"/>
      <c r="AL25" s="673"/>
      <c r="AM25" s="673"/>
      <c r="AN25" s="673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692"/>
      <c r="AL26" s="674"/>
      <c r="AM26" s="674"/>
      <c r="AN26" s="674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33" t="s">
        <v>689</v>
      </c>
      <c r="M27" s="633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681" t="s">
        <v>422</v>
      </c>
      <c r="AL27" s="672">
        <v>0.7</v>
      </c>
      <c r="AM27" s="672">
        <v>0.6</v>
      </c>
      <c r="AN27" s="672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34">
        <f ca="1">L1000</f>
        <v>-1.3925148282972115</v>
      </c>
      <c r="M28" s="634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682"/>
      <c r="AL28" s="674"/>
      <c r="AM28" s="674"/>
      <c r="AN28" s="674"/>
      <c r="AO28"/>
      <c r="AP28"/>
      <c r="AQ28"/>
    </row>
    <row r="29" spans="5:43" x14ac:dyDescent="0.25">
      <c r="G29" s="638" t="s">
        <v>356</v>
      </c>
      <c r="H29" s="665"/>
      <c r="I29" s="638"/>
      <c r="J29" s="232"/>
      <c r="K29" s="143"/>
      <c r="L29" s="634"/>
      <c r="M29" s="634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672" t="s">
        <v>423</v>
      </c>
      <c r="AL29" s="672">
        <v>0.8</v>
      </c>
      <c r="AM29" s="672">
        <v>0.7</v>
      </c>
      <c r="AN29" s="672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674"/>
      <c r="AL30" s="674"/>
      <c r="AM30" s="674"/>
      <c r="AN30" s="674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33" t="s">
        <v>690</v>
      </c>
      <c r="M31" s="633"/>
      <c r="P31" s="143"/>
      <c r="Y31"/>
      <c r="Z31"/>
      <c r="AA31"/>
      <c r="AD31"/>
      <c r="AE31"/>
      <c r="AF31"/>
      <c r="AG31"/>
      <c r="AH31"/>
      <c r="AI31"/>
      <c r="AJ31"/>
      <c r="AK31" s="686" t="s">
        <v>424</v>
      </c>
      <c r="AL31" s="687"/>
      <c r="AM31" s="687"/>
      <c r="AN31" s="688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34">
        <f ca="1">H1000</f>
        <v>-1.1052609009972132</v>
      </c>
      <c r="M32" s="634"/>
      <c r="P32" s="143"/>
      <c r="Q32" s="143"/>
      <c r="Y32"/>
      <c r="Z32"/>
      <c r="AA32"/>
      <c r="AD32"/>
      <c r="AE32"/>
      <c r="AF32"/>
      <c r="AG32"/>
      <c r="AH32"/>
      <c r="AI32"/>
      <c r="AJ32"/>
      <c r="AK32" s="672" t="s">
        <v>425</v>
      </c>
      <c r="AL32" s="683">
        <v>0.6</v>
      </c>
      <c r="AM32" s="683">
        <v>0.3</v>
      </c>
      <c r="AN32" s="683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34"/>
      <c r="M33" s="634"/>
      <c r="Q33" s="143"/>
      <c r="Y33"/>
      <c r="Z33"/>
      <c r="AA33"/>
      <c r="AD33"/>
      <c r="AE33"/>
      <c r="AF33"/>
      <c r="AG33"/>
      <c r="AH33"/>
      <c r="AI33"/>
      <c r="AJ33"/>
      <c r="AK33" s="674"/>
      <c r="AL33" s="684"/>
      <c r="AM33" s="684"/>
      <c r="AN33" s="684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686" t="s">
        <v>426</v>
      </c>
      <c r="AL34" s="687"/>
      <c r="AM34" s="687"/>
      <c r="AN34" s="688"/>
      <c r="AO34"/>
      <c r="AP34"/>
      <c r="AQ34"/>
    </row>
    <row r="35" spans="7:46" x14ac:dyDescent="0.25">
      <c r="G35" s="638" t="s">
        <v>358</v>
      </c>
      <c r="H35" s="643"/>
      <c r="I35" s="643"/>
      <c r="J35" s="232"/>
      <c r="Q35" s="143"/>
      <c r="Z35"/>
      <c r="AA35"/>
      <c r="AD35"/>
      <c r="AE35"/>
      <c r="AF35"/>
      <c r="AG35"/>
      <c r="AH35"/>
      <c r="AI35"/>
      <c r="AJ35"/>
      <c r="AK35" s="705" t="s">
        <v>427</v>
      </c>
      <c r="AL35" s="672">
        <v>0.6</v>
      </c>
      <c r="AM35" s="672">
        <v>0.5</v>
      </c>
      <c r="AN35" s="672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1893.9633793843193</v>
      </c>
      <c r="I36" s="248">
        <f ca="1">IF(H1=TRUE,Homogeneização!L30,IF(I15="1 - Sim",'Propriedades geométricas LA '!M6,H36))</f>
        <v>2344.4596862489434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06"/>
      <c r="AL36" s="674"/>
      <c r="AM36" s="674"/>
      <c r="AN36" s="674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219251.00942138446</v>
      </c>
      <c r="I37" s="340">
        <f ca="1">IF(H1=TRUE,Homogeneização!L36,IF(I15="1 - Sim",'Propriedades geométricas LA '!M9,H37))</f>
        <v>335689.31055165757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0.11684076499090108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0.12315923500909891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14315.232732022927</v>
      </c>
      <c r="I40" s="343">
        <f ca="1">IF(H1=TRUE,Homogeneização!L41,IF(I15="1 - Sim",'Propriedades geométricas LA '!M11,H40))</f>
        <v>20118.531076341744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14931.208607839262</v>
      </c>
      <c r="I41" s="343">
        <f ca="1">IF(H1=TRUE,Homogeneização!L42,IF(I15="1 - Sim",'Propriedades geométricas LA '!M10,H41))</f>
        <v>18329.232687834286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7.8835783048207775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7.5583471612193769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0.51473084886800513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35" t="s">
        <v>529</v>
      </c>
      <c r="H48" s="685"/>
      <c r="I48" s="685"/>
      <c r="J48" s="685"/>
      <c r="K48" s="685"/>
      <c r="L48" s="685"/>
      <c r="M48" s="685"/>
      <c r="N48" s="685"/>
    </row>
    <row r="49" spans="7:14" x14ac:dyDescent="0.25">
      <c r="K49" s="143"/>
    </row>
    <row r="50" spans="7:14" x14ac:dyDescent="0.25">
      <c r="G50" s="646" t="s">
        <v>428</v>
      </c>
      <c r="H50" s="646"/>
      <c r="J50" s="676" t="s">
        <v>429</v>
      </c>
      <c r="K50" s="676"/>
      <c r="M50" s="646" t="s">
        <v>357</v>
      </c>
      <c r="N50" s="646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35" t="s">
        <v>530</v>
      </c>
      <c r="H55" s="635"/>
      <c r="I55" s="635"/>
      <c r="J55" s="635"/>
      <c r="K55" s="635"/>
      <c r="L55" s="635"/>
      <c r="M55" s="635"/>
      <c r="N55" s="635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35" t="s">
        <v>545</v>
      </c>
      <c r="H65" s="635"/>
      <c r="I65" s="635"/>
      <c r="J65" s="635"/>
      <c r="K65" s="635"/>
      <c r="L65" s="635"/>
      <c r="M65" s="635"/>
      <c r="N65" s="635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35" t="s">
        <v>472</v>
      </c>
      <c r="H69" s="635"/>
      <c r="I69" s="635"/>
      <c r="J69" s="635"/>
      <c r="K69" s="635"/>
      <c r="L69" s="635"/>
      <c r="M69" s="635"/>
      <c r="N69" s="635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38" t="s">
        <v>18</v>
      </c>
      <c r="I72" s="638"/>
      <c r="J72" s="638"/>
      <c r="K72" s="638" t="s">
        <v>720</v>
      </c>
      <c r="L72" s="638"/>
      <c r="M72" s="638"/>
    </row>
    <row r="73" spans="3:25" x14ac:dyDescent="0.25">
      <c r="H73" s="119" t="s">
        <v>17</v>
      </c>
      <c r="I73" s="237">
        <f ca="1">(H36/100^2)*25+K73</f>
        <v>4.7349084484607982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0.55406310070671383</v>
      </c>
      <c r="J74" s="273" t="s">
        <v>47</v>
      </c>
      <c r="K74" s="266">
        <v>0</v>
      </c>
      <c r="L74" s="273" t="s">
        <v>47</v>
      </c>
      <c r="M74" s="231" t="s">
        <v>1277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1.25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32.25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40.976471549167513</v>
      </c>
    </row>
    <row r="80" spans="3:25" x14ac:dyDescent="0.25">
      <c r="I80" s="675" t="s">
        <v>28</v>
      </c>
      <c r="J80" s="675"/>
      <c r="K80" s="675"/>
      <c r="L80" s="675"/>
      <c r="M80" s="675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42.6615843069874</v>
      </c>
      <c r="K81" s="276" t="s">
        <v>33</v>
      </c>
      <c r="L81" s="126">
        <f t="shared" ref="L81:L86" ca="1" si="0">J81*100</f>
        <v>4266.1584306987397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4.9921154631562503</v>
      </c>
      <c r="K82" s="276" t="s">
        <v>33</v>
      </c>
      <c r="L82" s="126">
        <f t="shared" ca="1" si="0"/>
        <v>499.21154631562501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19.70940234375</v>
      </c>
      <c r="K83" s="276" t="s">
        <v>33</v>
      </c>
      <c r="L83" s="126">
        <f t="shared" si="0"/>
        <v>1970.940234375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11.262515625000001</v>
      </c>
      <c r="K84" s="276" t="s">
        <v>33</v>
      </c>
      <c r="L84" s="126">
        <f t="shared" si="0"/>
        <v>1126.2515625000001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290.57290312499998</v>
      </c>
      <c r="K86" s="277" t="s">
        <v>33</v>
      </c>
      <c r="L86" s="129">
        <f t="shared" si="0"/>
        <v>29057.290312499998</v>
      </c>
      <c r="M86" s="277" t="s">
        <v>35</v>
      </c>
    </row>
    <row r="87" spans="7:32" x14ac:dyDescent="0.25">
      <c r="J87" s="144">
        <f ca="1">SUM(J81:J86)</f>
        <v>369.19852086389363</v>
      </c>
    </row>
    <row r="90" spans="7:32" x14ac:dyDescent="0.25">
      <c r="G90" s="635" t="s">
        <v>56</v>
      </c>
      <c r="H90" s="635"/>
      <c r="I90" s="635"/>
      <c r="J90" s="635"/>
      <c r="K90" s="635"/>
      <c r="L90" s="635"/>
      <c r="M90" s="635"/>
      <c r="N90" s="635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44" t="s">
        <v>547</v>
      </c>
      <c r="I94" s="237">
        <f>(0.21*(H58*H58)^(1/3))</f>
        <v>2.8501384974246515</v>
      </c>
      <c r="J94" s="231" t="s">
        <v>50</v>
      </c>
      <c r="K94" s="693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44"/>
      <c r="I95" s="239">
        <f>I94*1000</f>
        <v>2850.1384974246516</v>
      </c>
      <c r="J95" s="231" t="s">
        <v>63</v>
      </c>
      <c r="K95" s="693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21" t="s">
        <v>497</v>
      </c>
      <c r="AR97" s="722"/>
      <c r="AS97" s="722"/>
      <c r="AT97" s="723"/>
      <c r="AU97" s="721" t="s">
        <v>498</v>
      </c>
      <c r="AV97" s="722"/>
      <c r="AW97" s="722"/>
      <c r="AX97" s="723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27</v>
      </c>
      <c r="AV98" s="219">
        <v>5.13</v>
      </c>
      <c r="AW98" s="219">
        <f t="shared" ref="AW98:AW107" si="2">IF(AU98=0,NA(),AU98)</f>
        <v>27</v>
      </c>
      <c r="AX98" s="225">
        <f>AV98</f>
        <v>5.13</v>
      </c>
    </row>
    <row r="99" spans="7:50" x14ac:dyDescent="0.25">
      <c r="G99" s="635" t="s">
        <v>440</v>
      </c>
      <c r="H99" s="635"/>
      <c r="I99" s="635"/>
      <c r="J99" s="635"/>
      <c r="K99" s="635"/>
      <c r="L99" s="635"/>
      <c r="M99" s="635"/>
      <c r="N99" s="635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 t="e">
        <f>IF(J137=0,0,(IF(AX99=0,,H23-L137)))</f>
        <v>#N/A</v>
      </c>
      <c r="AV99" s="219">
        <v>21.63</v>
      </c>
      <c r="AW99" s="219" t="e">
        <f t="shared" si="2"/>
        <v>#N/A</v>
      </c>
      <c r="AX99" s="225" t="e">
        <f>IF(J137=4,NA(),AR99)</f>
        <v>#N/A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27</v>
      </c>
      <c r="AV100" s="219">
        <v>37.880000000000003</v>
      </c>
      <c r="AW100" s="219">
        <f t="shared" si="2"/>
        <v>27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04" t="s">
        <v>550</v>
      </c>
      <c r="L101" s="643" t="s">
        <v>675</v>
      </c>
      <c r="M101" s="643"/>
      <c r="N101" s="643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0</v>
      </c>
      <c r="AR101" s="219">
        <v>52.45</v>
      </c>
      <c r="AS101" s="219" t="e">
        <f t="shared" si="1"/>
        <v>#N/A</v>
      </c>
      <c r="AT101" s="225" t="b">
        <f>IF(J124=8,(AR101+AR102)/2,IF(J124=4,NA(),IF(J124=10,AR101)))</f>
        <v>0</v>
      </c>
      <c r="AU101" s="224" t="e">
        <f>IF(AX101=FALSE,,H23-L124)</f>
        <v>#N/A</v>
      </c>
      <c r="AV101" s="219">
        <v>52.45</v>
      </c>
      <c r="AW101" s="219" t="e">
        <f t="shared" si="2"/>
        <v>#N/A</v>
      </c>
      <c r="AX101" s="225" t="e">
        <f>IF(J137=8,(AV101+AV102)/2,IF(J137=4,NA(),IF(J137=10,AV101)))</f>
        <v>#N/A</v>
      </c>
    </row>
    <row r="102" spans="7:50" x14ac:dyDescent="0.25">
      <c r="H102" s="380"/>
      <c r="I102" s="119"/>
      <c r="J102" s="231"/>
      <c r="K102" s="704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0</v>
      </c>
      <c r="AR102" s="219">
        <v>55.8</v>
      </c>
      <c r="AS102" s="219" t="e">
        <f t="shared" si="1"/>
        <v>#N/A</v>
      </c>
      <c r="AT102" s="225" t="b">
        <f>IF(J124=8,(AR101+AR102)/2,IF(J124=4,NA(),IF(J124=10,AR102)))</f>
        <v>0</v>
      </c>
      <c r="AU102" s="224" t="e">
        <f>IF(AX102=FALSE,,H23-L124)</f>
        <v>#N/A</v>
      </c>
      <c r="AV102" s="219">
        <v>55.8</v>
      </c>
      <c r="AW102" s="219" t="e">
        <f t="shared" si="2"/>
        <v>#N/A</v>
      </c>
      <c r="AX102" s="225" t="e">
        <f>IF(J137=8,(AV101+AV102)/2,IF(J137=4,NA(),IF(J137=10,AV102)))</f>
        <v>#N/A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04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0</v>
      </c>
      <c r="AR103" s="219">
        <v>68.7</v>
      </c>
      <c r="AS103" s="219" t="e">
        <f t="shared" si="1"/>
        <v>#N/A</v>
      </c>
      <c r="AT103" s="225" t="b">
        <f>IF(J124=8,(AR103+AR104)/2,IF(J124=4,NA(),IF(J124=10,AR104)))</f>
        <v>0</v>
      </c>
      <c r="AU103" s="224" t="e">
        <f>IF(AX103=FALSE,,H23-L137)</f>
        <v>#N/A</v>
      </c>
      <c r="AV103" s="219">
        <v>68.7</v>
      </c>
      <c r="AW103" s="219" t="e">
        <f t="shared" si="2"/>
        <v>#N/A</v>
      </c>
      <c r="AX103" s="225" t="e">
        <f>IF(J137=8,(AV103+AV104)/2,IF(J137=4,NA(),IF(J137=10,AV104)))</f>
        <v>#N/A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04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0</v>
      </c>
      <c r="AR104" s="219">
        <v>72.05</v>
      </c>
      <c r="AS104" s="219" t="e">
        <f t="shared" si="1"/>
        <v>#N/A</v>
      </c>
      <c r="AT104" s="225" t="b">
        <f>IF(J124=8,(AR103+AR104)/2,IF(J124=4,NA(),IF(J124=10,AR103)))</f>
        <v>0</v>
      </c>
      <c r="AU104" s="224" t="e">
        <f>IF(AX104=FALSE,,H23-L137)</f>
        <v>#N/A</v>
      </c>
      <c r="AV104" s="219">
        <v>72.05</v>
      </c>
      <c r="AW104" s="219" t="e">
        <f t="shared" si="2"/>
        <v>#N/A</v>
      </c>
      <c r="AX104" s="225" t="e">
        <f>IF(J137=8,(AV103+AV104)/2,IF(J137=4,NA(),IF(J137=10,AV103)))</f>
        <v>#N/A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04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27</v>
      </c>
      <c r="AV105" s="219">
        <v>86.63</v>
      </c>
      <c r="AW105" s="219">
        <f t="shared" si="2"/>
        <v>27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 t="e">
        <f>IF(J137=0,0,(IF(AX106=0,,H23-L137)))</f>
        <v>#N/A</v>
      </c>
      <c r="AV106" s="219">
        <v>102.88</v>
      </c>
      <c r="AW106" s="219" t="e">
        <f t="shared" si="2"/>
        <v>#N/A</v>
      </c>
      <c r="AX106" s="225" t="e">
        <f>IF(J137=4,NA(),AV106)</f>
        <v>#N/A</v>
      </c>
    </row>
    <row r="107" spans="7:50" ht="15.75" thickBot="1" x14ac:dyDescent="0.3">
      <c r="G107" s="635" t="s">
        <v>62</v>
      </c>
      <c r="H107" s="635"/>
      <c r="I107" s="635"/>
      <c r="J107" s="635"/>
      <c r="K107" s="635"/>
      <c r="L107" s="635"/>
      <c r="M107" s="635"/>
      <c r="N107" s="635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27</v>
      </c>
      <c r="AV107" s="227">
        <v>119.38</v>
      </c>
      <c r="AW107" s="227">
        <f t="shared" si="2"/>
        <v>27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57" t="s">
        <v>553</v>
      </c>
      <c r="L109" s="657"/>
      <c r="M109" s="657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43" t="s">
        <v>65</v>
      </c>
      <c r="H114" s="643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9.3058897391546846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694" t="s">
        <v>272</v>
      </c>
      <c r="K116" s="695"/>
      <c r="L116" s="695"/>
      <c r="M116" s="696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9.0529019154557773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10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12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11.843999999999999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12.258066896965698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12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02" t="s">
        <v>554</v>
      </c>
      <c r="K126" s="703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697" t="str">
        <f>G912</f>
        <v>€p (%)</v>
      </c>
      <c r="K127" s="698"/>
      <c r="L127" s="242">
        <f ca="1">H912</f>
        <v>4.5958770266123263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694" t="s">
        <v>273</v>
      </c>
      <c r="K129" s="695"/>
      <c r="L129" s="695"/>
      <c r="M129" s="696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693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693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3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-2.3378364405003342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-5</v>
      </c>
      <c r="H137" s="347">
        <v>9.5</v>
      </c>
      <c r="I137" s="231" t="s">
        <v>275</v>
      </c>
      <c r="J137" s="403">
        <v>4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4</v>
      </c>
      <c r="H138" s="347">
        <f>K137</f>
        <v>9.5</v>
      </c>
      <c r="I138" s="231" t="s">
        <v>274</v>
      </c>
      <c r="J138" s="700" t="str">
        <f>G917</f>
        <v>€p (%)</v>
      </c>
      <c r="K138" s="701"/>
      <c r="L138" s="348">
        <f ca="1">H917</f>
        <v>1.8370231134066042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2.2200000000000002</v>
      </c>
      <c r="J139" s="702" t="s">
        <v>554</v>
      </c>
      <c r="K139" s="703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35" t="s">
        <v>75</v>
      </c>
      <c r="H141" s="635"/>
      <c r="I141" s="635"/>
      <c r="J141" s="635"/>
      <c r="K141" s="635"/>
      <c r="L141" s="635"/>
      <c r="M141" s="635"/>
      <c r="N141" s="635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35" t="s">
        <v>81</v>
      </c>
      <c r="H147" s="635"/>
      <c r="I147" s="635"/>
      <c r="J147" s="635"/>
      <c r="K147" s="635"/>
      <c r="L147" s="635"/>
      <c r="M147" s="635"/>
      <c r="N147" s="635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69" t="s">
        <v>85</v>
      </c>
      <c r="H155" s="669"/>
      <c r="L155" s="669" t="s">
        <v>105</v>
      </c>
      <c r="M155" s="669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1893.9633793843193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2344.4596862489434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11.843999999999999</v>
      </c>
      <c r="I166" s="231" t="s">
        <v>14</v>
      </c>
      <c r="L166" s="209" t="s">
        <v>95</v>
      </c>
      <c r="M166" s="239">
        <f ca="1">H166*I194+H168*I195</f>
        <v>1375.3592794850445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11.684076499090109</v>
      </c>
      <c r="I167" s="231" t="s">
        <v>94</v>
      </c>
      <c r="L167" s="209" t="s">
        <v>97</v>
      </c>
      <c r="M167" s="239">
        <f ca="1">H166*I194*H167/100-H168*I195*H169/100</f>
        <v>135.18506357487277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2.2200000000000002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12.315923500909891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25511.159535044782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2298.2741814150249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668.7636890399607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6395.9313165908434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1472.9707768425089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145.95484776013598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44" t="s">
        <v>114</v>
      </c>
      <c r="M177" s="239">
        <f ca="1">(M176*(M170-M171-M172-M173))</f>
        <v>81560.677849722968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44"/>
      <c r="M178" s="237">
        <f ca="1">M177/100^2</f>
        <v>8.1560677849722971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13281.774828496062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1974.9246141326912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4319.7228288201468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2422.5593699791348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379.28945131214135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3627.4536423805857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44" t="s">
        <v>139</v>
      </c>
      <c r="M187" s="239">
        <f ca="1">M176*(M182+M183+M184+M185)</f>
        <v>54290.776253334363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8.0179632190353995</v>
      </c>
      <c r="I188" s="231" t="s">
        <v>61</v>
      </c>
      <c r="J188" s="119"/>
      <c r="L188" s="644"/>
      <c r="M188" s="237">
        <f ca="1">M187/100^2</f>
        <v>5.4290776253334361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1.1922256717159412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1465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1466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85.718017645760511</v>
      </c>
      <c r="J193" s="279" t="s">
        <v>61</v>
      </c>
      <c r="K193" s="249">
        <f ca="1">100-(I193*100)/I105</f>
        <v>26.76177576404605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107.14752205720066</v>
      </c>
      <c r="J194" s="279" t="s">
        <v>61</v>
      </c>
      <c r="K194" s="249">
        <f ca="1">100-(I194*100)/I105</f>
        <v>8.4522197050575585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47.884697405207142</v>
      </c>
      <c r="J195" s="279" t="s">
        <v>61</v>
      </c>
      <c r="K195" s="249">
        <f ca="1">100-(I195*100)/L105</f>
        <v>4.2306051895857166</v>
      </c>
      <c r="L195" s="115" t="s">
        <v>1467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35" t="s">
        <v>469</v>
      </c>
      <c r="H198" s="635"/>
      <c r="I198" s="635"/>
      <c r="J198" s="635"/>
      <c r="K198" s="635"/>
      <c r="L198" s="635"/>
      <c r="M198" s="635"/>
      <c r="N198" s="635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1468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1469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2.0923715461621515</v>
      </c>
      <c r="K201" s="139" t="s">
        <v>288</v>
      </c>
      <c r="L201" s="139" t="s">
        <v>288</v>
      </c>
      <c r="M201" s="176">
        <f ca="1">AVERAGE(J201,L201)</f>
        <v>2.0923715461621515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2.0923715461621515</v>
      </c>
      <c r="K202" s="137" t="s">
        <v>288</v>
      </c>
      <c r="L202" s="137" t="s">
        <v>288</v>
      </c>
      <c r="M202" s="179">
        <f ca="1">AVERAGE(J202,L202)</f>
        <v>2.0923715461621515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1.2005597609923147</v>
      </c>
      <c r="K203" s="137" t="s">
        <v>288</v>
      </c>
      <c r="L203" s="137" t="s">
        <v>288</v>
      </c>
      <c r="M203" s="179">
        <f ca="1">AVERAGE(J203,L203)</f>
        <v>1.2005597609923147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1.0191798743849789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1.8840574902082365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0.93649421397073662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1.4475811090319215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07" t="s">
        <v>293</v>
      </c>
      <c r="BF205" s="708"/>
      <c r="BG205" s="708"/>
      <c r="BH205" s="709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0.90219111853839873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1.3015898927491192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24" t="s">
        <v>276</v>
      </c>
      <c r="AQ206" s="725"/>
      <c r="AR206" s="725"/>
      <c r="AS206" s="726"/>
      <c r="AT206" s="726"/>
      <c r="AU206" s="726"/>
      <c r="AV206" s="726"/>
      <c r="AW206" s="726"/>
      <c r="AX206" s="726"/>
      <c r="AY206" s="726"/>
      <c r="AZ206" s="727"/>
      <c r="BA206" s="707" t="s">
        <v>292</v>
      </c>
      <c r="BB206" s="708"/>
      <c r="BC206" s="708"/>
      <c r="BD206" s="709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0.86510101983465471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1.2062173662230617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13" t="s">
        <v>277</v>
      </c>
      <c r="AQ207" s="671"/>
      <c r="AR207" s="686"/>
      <c r="AS207" s="711">
        <v>40</v>
      </c>
      <c r="AT207" s="712"/>
      <c r="AU207" s="711">
        <v>55</v>
      </c>
      <c r="AV207" s="712"/>
      <c r="AW207" s="711">
        <v>75</v>
      </c>
      <c r="AX207" s="712"/>
      <c r="AY207" s="711">
        <v>90</v>
      </c>
      <c r="AZ207" s="715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38.690645865978105</v>
      </c>
      <c r="BF207" s="153">
        <f ca="1">(2*M162)/M163</f>
        <v>38.690645865978105</v>
      </c>
      <c r="BG207" s="154">
        <f ca="1">(2*M162)/M163</f>
        <v>38.690645865978105</v>
      </c>
      <c r="BH207" s="155">
        <f ca="1">(2*M162)/M163</f>
        <v>38.690645865978105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0.86510101983465471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1.2062173662230617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13" t="s">
        <v>278</v>
      </c>
      <c r="AQ208" s="671"/>
      <c r="AR208" s="686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30.30341407014911</v>
      </c>
      <c r="BB208" s="153">
        <f ca="1">(2*M158)/M159</f>
        <v>30.30341407014911</v>
      </c>
      <c r="BC208" s="154">
        <f ca="1">(2*M158)/M159</f>
        <v>30.30341407014911</v>
      </c>
      <c r="BD208" s="155">
        <f ca="1">(2*M158)/M159</f>
        <v>30.30341407014911</v>
      </c>
      <c r="BE208" s="152">
        <f ca="1">((AX209-AU209)/(AX208-AW208))*(BE207-AU208)+AU209</f>
        <v>3.1991007800258209</v>
      </c>
      <c r="BF208" s="153">
        <f ca="1">((BH208-BH208)/(BH206-BG206))*(BF206-BG206)+BG208</f>
        <v>2.613093541340219</v>
      </c>
      <c r="BG208" s="154">
        <f ca="1">((AX209-AW209)/(AX208-AW208))*(BG207-AW208)+AW209</f>
        <v>2.613093541340219</v>
      </c>
      <c r="BH208" s="155">
        <f ca="1">((AZ209-AY209)/(AZ208-AY208))*(BH207-AY208)+AY209</f>
        <v>1.9532733853350548</v>
      </c>
    </row>
    <row r="209" spans="7:60" x14ac:dyDescent="0.25">
      <c r="G209" s="209" t="s">
        <v>1470</v>
      </c>
      <c r="H209" s="333">
        <v>70</v>
      </c>
      <c r="I209" s="115" t="s">
        <v>641</v>
      </c>
      <c r="K209" s="209" t="s">
        <v>1471</v>
      </c>
      <c r="L209" s="333">
        <v>20</v>
      </c>
      <c r="M209" s="115" t="s">
        <v>1472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13" t="s">
        <v>279</v>
      </c>
      <c r="AQ209" s="657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3.7454487889477632</v>
      </c>
      <c r="BB209" s="153">
        <f ca="1">((BD209-BC209)/(BD207-BC207))*(BB207-BC207)+BC209</f>
        <v>2.9378739907898028</v>
      </c>
      <c r="BC209" s="154">
        <f ca="1">((AX209-AW209)/(AX208-AW208))*(BC208-AW208)+AW209</f>
        <v>2.6969658592985088</v>
      </c>
      <c r="BD209" s="155">
        <f ca="1">((AZ209-AY209)/(AZ208-AY208))*(BD208-AY208)+AY209</f>
        <v>1.9742414648246271</v>
      </c>
      <c r="BE209" s="152">
        <f ca="1">((AV210-AU210)/(AV208-AU208))*(BE207-AU208)+AU210</f>
        <v>2.7598201560051643</v>
      </c>
      <c r="BF209" s="153">
        <f ca="1">((BH209-BG209)/(BH206-BG206))*(BF206-BG206)+BG209</f>
        <v>2.2909712324484612</v>
      </c>
      <c r="BG209" s="154">
        <f ca="1">((AX210-AW210)/(AX208-AW208))*(BG207-AW208)+AW210</f>
        <v>2.1065467706701098</v>
      </c>
      <c r="BH209" s="155">
        <f ca="1">((AZ210-AY210)/(AZ208-AY208))*(BH207-AY208)+AY210</f>
        <v>1.5532733853350549</v>
      </c>
    </row>
    <row r="210" spans="7:60" ht="15.75" thickBot="1" x14ac:dyDescent="0.3">
      <c r="G210" s="209" t="s">
        <v>1473</v>
      </c>
      <c r="H210" s="333">
        <v>4</v>
      </c>
      <c r="I210" s="115" t="s">
        <v>80</v>
      </c>
      <c r="K210" s="209" t="s">
        <v>1474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13"/>
      <c r="AQ210" s="657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2.8227243944738816</v>
      </c>
      <c r="BB210" s="153">
        <f ca="1">((BD210-BC210)/(BD207-BC207))*(BB207-BC207)+BC210</f>
        <v>2.3398967512574638</v>
      </c>
      <c r="BC210" s="154">
        <f ca="1">((AX210-AW210)/(AX208-AW208))*(BC208-AW208)+AW210</f>
        <v>2.1484829296492545</v>
      </c>
      <c r="BD210" s="155">
        <f ca="1">((AZ210-AY210)/(AZ208-AY208))*(BD208-AY208)+AY210</f>
        <v>1.5742414648246272</v>
      </c>
      <c r="BE210" s="164">
        <f ca="1">((AV211-AU211)/(AV208-AU208))*(BE207-AU208)+AU211</f>
        <v>2.4065467706701096</v>
      </c>
      <c r="BF210" s="165">
        <f ca="1">((BH210-BH210)/(BH206-BG206))*(BF206-BG206)+BG210</f>
        <v>1.8532733853350547</v>
      </c>
      <c r="BG210" s="166">
        <f ca="1">((AX211-AW211)/(AX208-AW208))*(BG207-AW208)+AW211</f>
        <v>1.8532733853350547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13"/>
      <c r="AQ211" s="657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2.4484829296492543</v>
      </c>
      <c r="BB211" s="165">
        <f ca="1">((BD211-BC211)/(BD207-BC207))*(BB207-BC207)+BC211</f>
        <v>2.0323219530995029</v>
      </c>
      <c r="BC211" s="166">
        <f ca="1">((AX211-AW211)/(AX208-AW208))*(BC208-AW208)+AW211</f>
        <v>1.8742414648246273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13" t="s">
        <v>280</v>
      </c>
      <c r="AQ212" s="657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-7.691008078966548</v>
      </c>
      <c r="I213" s="231" t="s">
        <v>61</v>
      </c>
      <c r="K213" s="209" t="s">
        <v>132</v>
      </c>
      <c r="L213" s="237">
        <f ca="1">1+H224</f>
        <v>1.0209975702296819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13"/>
      <c r="AQ213" s="657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1475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13"/>
      <c r="AQ214" s="657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13" t="s">
        <v>281</v>
      </c>
      <c r="AQ215" s="657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2.046185773081076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13"/>
      <c r="AQ216" s="657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2.1792849591429126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14"/>
      <c r="AQ217" s="716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0.56393432661684562</v>
      </c>
      <c r="I218" s="231"/>
      <c r="K218" s="209" t="s">
        <v>135</v>
      </c>
      <c r="L218" s="237">
        <f ca="1">1+(H169/100)^2*((H36/100^2)/(H37/100^4))</f>
        <v>2.3102794848396755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0.25202472318530073</v>
      </c>
      <c r="I219" s="231"/>
      <c r="K219" s="209" t="s">
        <v>136</v>
      </c>
      <c r="L219" s="271">
        <f ca="1">(H166+H168)/(H36)</f>
        <v>7.425697958622547E-3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2.0778656150474832</v>
      </c>
      <c r="I221" s="231"/>
      <c r="K221" s="124" t="s">
        <v>137</v>
      </c>
      <c r="L221" s="186">
        <f ca="1">(H213-M178-H227)/(L213+L216*M176*L217*L219)</f>
        <v>-15.229981524954145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-11.144235137075061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699" t="s">
        <v>471</v>
      </c>
      <c r="L223" s="699"/>
      <c r="M223" s="699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2.0997570229681874E-2</v>
      </c>
      <c r="I224" s="231"/>
      <c r="K224" s="119"/>
      <c r="L224" s="126" t="s">
        <v>120</v>
      </c>
      <c r="M224" s="693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10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2.2498376193324585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0.56393432661684562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0.83114624601899323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0.25202472318530073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35" t="s">
        <v>140</v>
      </c>
      <c r="H234" s="635"/>
      <c r="I234" s="635"/>
      <c r="J234" s="635"/>
      <c r="K234" s="635"/>
      <c r="L234" s="635"/>
      <c r="M234" s="635"/>
      <c r="N234" s="635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46"/>
      <c r="J235" s="646"/>
      <c r="K235" s="646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91.91754053224652</v>
      </c>
      <c r="K237" s="253">
        <f ca="1">100-(J237*100)/I105</f>
        <v>21.464849169304088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36.740462268132077</v>
      </c>
      <c r="K238" s="253">
        <f ca="1">100-(J238*100)/L105</f>
        <v>26.519075463735845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35" t="s">
        <v>202</v>
      </c>
      <c r="H240" s="635"/>
      <c r="I240" s="635"/>
      <c r="J240" s="635"/>
      <c r="K240" s="635"/>
      <c r="L240" s="635"/>
      <c r="M240" s="635"/>
      <c r="N240" s="635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1170.2351762991809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117.15585492159754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46" t="s">
        <v>144</v>
      </c>
      <c r="I245" s="646"/>
      <c r="J245" s="646"/>
      <c r="K245" s="646"/>
      <c r="L245" s="646"/>
      <c r="M245" s="646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35" t="s">
        <v>147</v>
      </c>
      <c r="H250" s="635"/>
      <c r="I250" s="635"/>
      <c r="J250" s="635"/>
      <c r="K250" s="635"/>
      <c r="L250" s="635"/>
      <c r="M250" s="635"/>
      <c r="N250" s="635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46" t="s">
        <v>149</v>
      </c>
      <c r="H252" s="646"/>
      <c r="I252" s="646"/>
      <c r="J252" s="646"/>
      <c r="K252" s="645" t="s">
        <v>155</v>
      </c>
      <c r="L252" s="646"/>
      <c r="M252" s="646"/>
      <c r="N252" s="646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-612.66854859374871</v>
      </c>
      <c r="I253" s="280" t="s">
        <v>63</v>
      </c>
      <c r="J253" s="361">
        <f ca="1">H253/1000</f>
        <v>-0.61266854859374875</v>
      </c>
      <c r="K253" s="117" t="s">
        <v>148</v>
      </c>
      <c r="L253" s="239">
        <f ca="1">L256+L257-L258-L259</f>
        <v>8899.1176153037522</v>
      </c>
      <c r="M253" s="280" t="s">
        <v>63</v>
      </c>
      <c r="N253" s="361">
        <f ca="1">L253/1000</f>
        <v>8.8991176153037514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6178.7634810531308</v>
      </c>
      <c r="K256" s="209" t="s">
        <v>150</v>
      </c>
      <c r="L256" s="239">
        <f ca="1">J242/(H36/100^2)</f>
        <v>6178.7634810531308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7846.374529928391</v>
      </c>
      <c r="K257" s="209" t="s">
        <v>151</v>
      </c>
      <c r="L257" s="239">
        <f ca="1">J243/(H41/100^3)</f>
        <v>7846.374529928391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4511.5639251417551</v>
      </c>
      <c r="J258" s="121"/>
      <c r="K258" s="209" t="s">
        <v>153</v>
      </c>
      <c r="L258" s="239">
        <f ca="1">(J81+J82+J83)/(H41/100^3)</f>
        <v>4511.5639251417551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614.45647053601442</v>
      </c>
      <c r="K259" s="209" t="s">
        <v>152</v>
      </c>
      <c r="L259" s="239">
        <f ca="1">(J84+J85)/(I41/100^3)</f>
        <v>614.45647053601442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9511.786163897501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35" t="s">
        <v>156</v>
      </c>
      <c r="H263" s="635"/>
      <c r="I263" s="635"/>
      <c r="J263" s="635"/>
      <c r="K263" s="635"/>
      <c r="L263" s="635"/>
      <c r="M263" s="635"/>
      <c r="N263" s="635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0.11685577554238502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2.8726805242920914E-2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699" t="s">
        <v>149</v>
      </c>
      <c r="H268" s="699"/>
      <c r="I268" s="699"/>
      <c r="J268" s="699"/>
      <c r="K268" s="645" t="s">
        <v>155</v>
      </c>
      <c r="L268" s="646"/>
      <c r="M268" s="646"/>
      <c r="N268" s="646"/>
    </row>
    <row r="269" spans="7:32" hidden="1" x14ac:dyDescent="0.25">
      <c r="G269" s="117" t="s">
        <v>148</v>
      </c>
      <c r="H269" s="239">
        <f ca="1">H271-H272+H273+H274+H275</f>
        <v>9161.5404371700861</v>
      </c>
      <c r="I269" s="117" t="s">
        <v>63</v>
      </c>
      <c r="J269" s="361">
        <f ca="1">H269/1000</f>
        <v>9.1615404371700855</v>
      </c>
      <c r="K269" s="117" t="s">
        <v>148</v>
      </c>
      <c r="L269" s="239">
        <f ca="1">L271-L272+L273+L274</f>
        <v>3092.513951255396</v>
      </c>
      <c r="M269" s="117" t="s">
        <v>63</v>
      </c>
      <c r="N269" s="361">
        <f ca="1">L269/1000</f>
        <v>3.0925139512553961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6178.7634810531308</v>
      </c>
      <c r="K271" s="209" t="s">
        <v>150</v>
      </c>
      <c r="L271" s="239">
        <f ca="1">J242/(H36/100^2)</f>
        <v>6178.7634810531308</v>
      </c>
    </row>
    <row r="272" spans="7:32" hidden="1" x14ac:dyDescent="0.25">
      <c r="G272" s="209" t="s">
        <v>160</v>
      </c>
      <c r="H272" s="239">
        <f ca="1">J243/(H40/100^3)</f>
        <v>8183.9993183989191</v>
      </c>
      <c r="K272" s="209" t="s">
        <v>160</v>
      </c>
      <c r="L272" s="239">
        <f ca="1">J243/(H40/100^3)</f>
        <v>8183.9993183989191</v>
      </c>
    </row>
    <row r="273" spans="7:17" hidden="1" x14ac:dyDescent="0.25">
      <c r="G273" s="209" t="s">
        <v>161</v>
      </c>
      <c r="H273" s="239">
        <f ca="1">(J81+J82+J83)/(H40/100^3)</f>
        <v>4705.6938140588918</v>
      </c>
      <c r="J273" s="121"/>
      <c r="K273" s="209" t="s">
        <v>161</v>
      </c>
      <c r="L273" s="239">
        <f ca="1">(J81+J82+J83)/(H40/100^3)</f>
        <v>4705.6938140588918</v>
      </c>
    </row>
    <row r="274" spans="7:17" hidden="1" x14ac:dyDescent="0.25">
      <c r="G274" s="209" t="s">
        <v>162</v>
      </c>
      <c r="H274" s="239">
        <f ca="1">(J84+J85)/(H266)</f>
        <v>392.05597454229263</v>
      </c>
      <c r="K274" s="209" t="s">
        <v>162</v>
      </c>
      <c r="L274" s="239">
        <f ca="1">(J84+J85)/(H266)</f>
        <v>392.05597454229263</v>
      </c>
    </row>
    <row r="275" spans="7:17" hidden="1" x14ac:dyDescent="0.25">
      <c r="G275" s="209" t="s">
        <v>163</v>
      </c>
      <c r="H275" s="239">
        <f ca="1">(H52*J86)/(H266)</f>
        <v>6069.0264859146891</v>
      </c>
    </row>
    <row r="276" spans="7:17" hidden="1" x14ac:dyDescent="0.25"/>
    <row r="277" spans="7:17" x14ac:dyDescent="0.25">
      <c r="G277" s="635" t="s">
        <v>757</v>
      </c>
      <c r="H277" s="635"/>
      <c r="I277" s="635"/>
      <c r="J277" s="635"/>
      <c r="K277" s="635"/>
      <c r="L277" s="635"/>
      <c r="M277" s="635"/>
      <c r="N277" s="635"/>
    </row>
    <row r="278" spans="7:17" x14ac:dyDescent="0.25">
      <c r="G278" s="645" t="s">
        <v>205</v>
      </c>
      <c r="H278" s="646"/>
      <c r="I278" s="646"/>
      <c r="J278" s="646"/>
      <c r="K278" s="646"/>
      <c r="L278" s="646"/>
      <c r="M278" s="646"/>
      <c r="N278" s="647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0.42449999999999999</v>
      </c>
      <c r="I280" s="204">
        <f>(($H$21/100)/20)+$H$280</f>
        <v>0.84899999999999998</v>
      </c>
      <c r="J280" s="204">
        <f>(($H$21/100)/20)+$I$280</f>
        <v>1.2734999999999999</v>
      </c>
      <c r="K280" s="204">
        <f>(($H$21/100)/20)+$J$280</f>
        <v>1.698</v>
      </c>
      <c r="L280" s="204">
        <f>(($H$21/100)/20)+$K$280</f>
        <v>2.1225000000000001</v>
      </c>
      <c r="M280" s="204">
        <f>(($H$21/100)/20)+$L$280</f>
        <v>2.5470000000000002</v>
      </c>
      <c r="N280" s="204">
        <f>(($H$21/100)/20)+$M$280</f>
        <v>2.9715000000000003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12.798989401639792</v>
      </c>
      <c r="I281" s="144">
        <f t="shared" ca="1" si="3"/>
        <v>24.250716761001712</v>
      </c>
      <c r="J281" s="144">
        <f t="shared" ca="1" si="3"/>
        <v>34.355182078085754</v>
      </c>
      <c r="K281" s="144">
        <f t="shared" ca="1" si="3"/>
        <v>43.112385352891934</v>
      </c>
      <c r="L281" s="144">
        <f t="shared" ca="1" si="3"/>
        <v>50.522326585420231</v>
      </c>
      <c r="M281" s="144">
        <f t="shared" ca="1" si="3"/>
        <v>56.585005775670666</v>
      </c>
      <c r="N281" s="144">
        <f t="shared" ca="1" si="3"/>
        <v>61.300422923643218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43"/>
    </row>
    <row r="283" spans="7:17" x14ac:dyDescent="0.25">
      <c r="G283" s="204">
        <f>(($H$21/100)/20)+$N$280</f>
        <v>3.3960000000000004</v>
      </c>
      <c r="H283" s="204">
        <f>(($H$21/100)/20)+$G$283</f>
        <v>3.8205000000000005</v>
      </c>
      <c r="I283" s="204">
        <f>(($H$21/100)/20)+$H$283</f>
        <v>4.2450000000000001</v>
      </c>
      <c r="J283" s="204">
        <f>(($H$21/100)/20)+$I$283</f>
        <v>4.6695000000000002</v>
      </c>
      <c r="K283" s="204">
        <f>(($H$21/100)/20)+$J$283</f>
        <v>5.0940000000000003</v>
      </c>
      <c r="L283" s="204">
        <f>(($H$21/100)/20)+$K$283</f>
        <v>5.5185000000000004</v>
      </c>
      <c r="M283" s="204">
        <f>(($H$21/100)/20)+$L$283</f>
        <v>5.9430000000000005</v>
      </c>
      <c r="N283" s="204">
        <f>(($H$21/100)/20)+$M$283</f>
        <v>6.3675000000000006</v>
      </c>
      <c r="Q283" s="643"/>
    </row>
    <row r="284" spans="7:17" x14ac:dyDescent="0.25">
      <c r="G284" s="144">
        <f t="shared" ref="G284:N284" ca="1" si="4">(($I$73+$I$74+$I$75)*($H$21/100)*G283/2)-(($I$73+$I$74+$I$75)*G283^2/2)</f>
        <v>64.668578029337908</v>
      </c>
      <c r="H284" s="144">
        <f t="shared" ca="1" si="4"/>
        <v>66.689471092754701</v>
      </c>
      <c r="I284" s="144">
        <f t="shared" ca="1" si="4"/>
        <v>67.363102113893646</v>
      </c>
      <c r="J284" s="144">
        <f t="shared" ca="1" si="4"/>
        <v>66.689471092754701</v>
      </c>
      <c r="K284" s="144">
        <f t="shared" ca="1" si="4"/>
        <v>64.668578029337894</v>
      </c>
      <c r="L284" s="144">
        <f t="shared" ca="1" si="4"/>
        <v>61.300422923643211</v>
      </c>
      <c r="M284" s="144">
        <f t="shared" ca="1" si="4"/>
        <v>56.585005775670652</v>
      </c>
      <c r="N284" s="144">
        <f t="shared" ca="1" si="4"/>
        <v>50.522326585420217</v>
      </c>
      <c r="Q284" s="643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6.7920000000000007</v>
      </c>
      <c r="H286" s="204">
        <f>(($H$21/100)/20)+$G$286</f>
        <v>7.2165000000000008</v>
      </c>
      <c r="I286" s="204">
        <f>(($H$21/100)/20)+$H$286</f>
        <v>7.6410000000000009</v>
      </c>
      <c r="J286" s="204">
        <f>(($H$21/100)/20)+$I$286</f>
        <v>8.0655000000000001</v>
      </c>
      <c r="K286" s="204">
        <f>(($H$21/100)/20)+$J$286</f>
        <v>8.49</v>
      </c>
    </row>
    <row r="287" spans="7:17" x14ac:dyDescent="0.25">
      <c r="G287" s="144">
        <f ca="1">(($I$73+$I$74+$I$75)*($H$21/100)*G286/2)-(($I$73+$I$74+$I$75)*G286^2/2)</f>
        <v>43.11238535289192</v>
      </c>
      <c r="H287" s="144">
        <f ca="1">(($I$73+$I$74+$I$75)*($H$21/100)*H286/2)-(($I$73+$I$74+$I$75)*H286^2/2)</f>
        <v>34.355182078085733</v>
      </c>
      <c r="I287" s="144">
        <f ca="1">(($I$73+$I$74+$I$75)*($H$21/100)*I286/2)-(($I$73+$I$74+$I$75)*I286^2/2)</f>
        <v>24.250716761001684</v>
      </c>
      <c r="J287" s="144">
        <f ca="1">(($I$73+$I$74+$I$75)*($H$21/100)*J286/2)-(($I$73+$I$74+$I$75)*J286^2/2)</f>
        <v>12.798989401639801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45" t="s">
        <v>204</v>
      </c>
      <c r="H289" s="646"/>
      <c r="I289" s="646"/>
      <c r="J289" s="646"/>
      <c r="K289" s="646"/>
      <c r="L289" s="646"/>
      <c r="M289" s="646"/>
      <c r="N289" s="647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0.42449999999999999</v>
      </c>
      <c r="I291" s="204">
        <f t="shared" ref="I291:N291" si="5">(($H$21/100)/20)+H291</f>
        <v>0.84899999999999998</v>
      </c>
      <c r="J291" s="204">
        <f t="shared" si="5"/>
        <v>1.2734999999999999</v>
      </c>
      <c r="K291" s="204">
        <f t="shared" si="5"/>
        <v>1.698</v>
      </c>
      <c r="L291" s="204">
        <f t="shared" si="5"/>
        <v>2.1225000000000001</v>
      </c>
      <c r="M291" s="204">
        <f t="shared" si="5"/>
        <v>2.5470000000000002</v>
      </c>
      <c r="N291" s="204">
        <f t="shared" si="5"/>
        <v>2.9715000000000003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2.13987796875</v>
      </c>
      <c r="I292" s="144">
        <f t="shared" si="6"/>
        <v>4.054505625</v>
      </c>
      <c r="J292" s="144">
        <f t="shared" si="6"/>
        <v>5.7438829687500004</v>
      </c>
      <c r="K292" s="144">
        <f t="shared" si="6"/>
        <v>7.2080100000000007</v>
      </c>
      <c r="L292" s="144">
        <f t="shared" si="6"/>
        <v>8.446886718750001</v>
      </c>
      <c r="M292" s="144">
        <f t="shared" si="6"/>
        <v>9.4605131250000003</v>
      </c>
      <c r="N292" s="144">
        <f t="shared" si="6"/>
        <v>10.248889218750001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3.3960000000000004</v>
      </c>
      <c r="H294" s="204">
        <f t="shared" ref="H294:N294" si="7">(($H$21/100)/20)+G294</f>
        <v>3.8205000000000005</v>
      </c>
      <c r="I294" s="204">
        <f>(($H$21/100)/20)+H294</f>
        <v>4.2450000000000001</v>
      </c>
      <c r="J294" s="204">
        <f t="shared" si="7"/>
        <v>4.6695000000000002</v>
      </c>
      <c r="K294" s="204">
        <f t="shared" si="7"/>
        <v>5.0940000000000003</v>
      </c>
      <c r="L294" s="204">
        <f t="shared" si="7"/>
        <v>5.5185000000000004</v>
      </c>
      <c r="M294" s="204">
        <f t="shared" si="7"/>
        <v>5.9430000000000005</v>
      </c>
      <c r="N294" s="204">
        <f t="shared" si="7"/>
        <v>6.3675000000000006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10.812015000000002</v>
      </c>
      <c r="H295" s="144">
        <f t="shared" si="8"/>
        <v>11.149890468750002</v>
      </c>
      <c r="I295" s="144">
        <f t="shared" si="8"/>
        <v>11.262515625000001</v>
      </c>
      <c r="J295" s="144">
        <f t="shared" si="8"/>
        <v>11.14989046875</v>
      </c>
      <c r="K295" s="144">
        <f t="shared" si="8"/>
        <v>10.812014999999999</v>
      </c>
      <c r="L295" s="144">
        <f t="shared" si="8"/>
        <v>10.248889218750001</v>
      </c>
      <c r="M295" s="144">
        <f t="shared" si="8"/>
        <v>9.4605131249999985</v>
      </c>
      <c r="N295" s="144">
        <f t="shared" si="8"/>
        <v>8.4468867187499974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6.7920000000000007</v>
      </c>
      <c r="H297" s="204">
        <f>(($H$21/100)/20)+G297</f>
        <v>7.2165000000000008</v>
      </c>
      <c r="I297" s="204">
        <f>(($H$21/100)/20)+H297</f>
        <v>7.6410000000000009</v>
      </c>
      <c r="J297" s="204">
        <f>(($H$21/100)/20)+I297</f>
        <v>8.0655000000000001</v>
      </c>
      <c r="K297" s="204">
        <f>(($H$21/100)/20)+J297</f>
        <v>8.49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7.2080100000000016</v>
      </c>
      <c r="H298" s="144">
        <f>(($I$76+$I$77)*($H$21/100)*H297/2)-(($I$76+$I$77)*H297^2/2)</f>
        <v>5.7438829687499933</v>
      </c>
      <c r="I298" s="144">
        <f>(($I$76+$I$77)*($H$21/100)*I297/2)-(($I$76+$I$77)*I297^2/2)</f>
        <v>4.0545056249999973</v>
      </c>
      <c r="J298" s="144">
        <f>(($I$76+$I$77)*($H$21/100)*J297/2)-(($I$76+$I$77)*J297^2/2)</f>
        <v>2.1398779687500067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45" t="s">
        <v>203</v>
      </c>
      <c r="H300" s="646"/>
      <c r="I300" s="646"/>
      <c r="J300" s="646"/>
      <c r="K300" s="646"/>
      <c r="L300" s="646"/>
      <c r="M300" s="646"/>
      <c r="N300" s="647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0.42449999999999999</v>
      </c>
      <c r="I302" s="204">
        <f t="shared" ref="I302:N302" si="9">(($H$21/100)/20)+H302</f>
        <v>0.84899999999999998</v>
      </c>
      <c r="J302" s="204">
        <f t="shared" si="9"/>
        <v>1.2734999999999999</v>
      </c>
      <c r="K302" s="204">
        <f t="shared" si="9"/>
        <v>1.698</v>
      </c>
      <c r="L302" s="204">
        <f t="shared" si="9"/>
        <v>2.1225000000000001</v>
      </c>
      <c r="M302" s="204">
        <f t="shared" si="9"/>
        <v>2.5470000000000002</v>
      </c>
      <c r="N302" s="204">
        <f t="shared" si="9"/>
        <v>2.9715000000000003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55.208851593750005</v>
      </c>
      <c r="I303" s="144">
        <f t="shared" si="10"/>
        <v>104.606245125</v>
      </c>
      <c r="J303" s="144">
        <f t="shared" si="10"/>
        <v>148.19218059374998</v>
      </c>
      <c r="K303" s="144">
        <f t="shared" si="10"/>
        <v>185.96665800000002</v>
      </c>
      <c r="L303" s="144">
        <f t="shared" si="10"/>
        <v>217.92967734375003</v>
      </c>
      <c r="M303" s="144">
        <f t="shared" si="10"/>
        <v>244.081238625</v>
      </c>
      <c r="N303" s="144">
        <f t="shared" si="10"/>
        <v>264.42134184375004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3.3960000000000004</v>
      </c>
      <c r="H305" s="204">
        <f t="shared" ref="H305:N305" si="11">(($H$21/100)/20)+G305</f>
        <v>3.8205000000000005</v>
      </c>
      <c r="I305" s="204">
        <f t="shared" si="11"/>
        <v>4.2450000000000001</v>
      </c>
      <c r="J305" s="204">
        <f t="shared" si="11"/>
        <v>4.6695000000000002</v>
      </c>
      <c r="K305" s="204">
        <f t="shared" si="11"/>
        <v>5.0940000000000003</v>
      </c>
      <c r="L305" s="204">
        <f t="shared" si="11"/>
        <v>5.5185000000000004</v>
      </c>
      <c r="M305" s="204">
        <f t="shared" si="11"/>
        <v>5.9430000000000005</v>
      </c>
      <c r="N305" s="204">
        <f t="shared" si="11"/>
        <v>6.3675000000000006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278.94998700000008</v>
      </c>
      <c r="H306" s="144">
        <f t="shared" si="12"/>
        <v>287.66717409374996</v>
      </c>
      <c r="I306" s="144">
        <f t="shared" si="12"/>
        <v>290.5729031250001</v>
      </c>
      <c r="J306" s="144">
        <f t="shared" si="12"/>
        <v>287.66717409374996</v>
      </c>
      <c r="K306" s="144">
        <f t="shared" si="12"/>
        <v>278.94998699999996</v>
      </c>
      <c r="L306" s="144">
        <f t="shared" si="12"/>
        <v>264.42134184374999</v>
      </c>
      <c r="M306" s="144">
        <f t="shared" si="12"/>
        <v>244.08123862499997</v>
      </c>
      <c r="N306" s="144">
        <f t="shared" si="12"/>
        <v>217.92967734374997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6.7920000000000007</v>
      </c>
      <c r="H308" s="204">
        <f>(($H$21/100)/20)+G308</f>
        <v>7.2165000000000008</v>
      </c>
      <c r="I308" s="204">
        <f>(($H$21/100)/20)+H308</f>
        <v>7.6410000000000009</v>
      </c>
      <c r="J308" s="204">
        <f>(($H$21/100)/20)+I308</f>
        <v>8.0655000000000001</v>
      </c>
      <c r="K308" s="204">
        <f>(($H$21/100)/20)+J308</f>
        <v>8.49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185.96665800000005</v>
      </c>
      <c r="H309" s="144">
        <f>(($I$78)*($H$21/100)*H308/2)-(($I$78)*H308^2/2)</f>
        <v>148.19218059374998</v>
      </c>
      <c r="I309" s="144">
        <f>(($I$78)*($H$21/100)*I308/2)-(($I$78)*I308^2/2)</f>
        <v>104.60624512499987</v>
      </c>
      <c r="J309" s="144">
        <f>(($I$78)*($H$21/100)*J308/2)-(($I$78)*J308^2/2)</f>
        <v>55.208851593750069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38" t="s">
        <v>199</v>
      </c>
      <c r="I311" s="638"/>
      <c r="J311" s="638"/>
      <c r="K311" s="638"/>
      <c r="L311" s="638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43" t="s">
        <v>180</v>
      </c>
      <c r="Q312" s="643"/>
      <c r="R312" s="643"/>
      <c r="S312" s="643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-992.76756636298035</v>
      </c>
      <c r="J313" s="231" t="s">
        <v>63</v>
      </c>
      <c r="K313" s="353">
        <f t="shared" ref="K313:K322" ca="1" si="13">I313/1000</f>
        <v>-0.99276756636298036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-3287.3631535175814</v>
      </c>
      <c r="J314" s="231" t="s">
        <v>63</v>
      </c>
      <c r="K314" s="354">
        <f t="shared" ca="1" si="13"/>
        <v>-3.2873631535175813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-5312.0298429916184</v>
      </c>
      <c r="J315" s="231" t="s">
        <v>63</v>
      </c>
      <c r="K315" s="354">
        <f t="shared" ca="1" si="13"/>
        <v>-5.3120298429916186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-7066.7588066232929</v>
      </c>
      <c r="J316" s="231" t="s">
        <v>63</v>
      </c>
      <c r="K316" s="354">
        <f t="shared" ca="1" si="13"/>
        <v>-7.0667588066232927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-8551.5423976990896</v>
      </c>
      <c r="J317" s="231" t="s">
        <v>63</v>
      </c>
      <c r="K317" s="354">
        <f t="shared" ca="1" si="13"/>
        <v>-8.5515423976990892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-9766.374149081943</v>
      </c>
      <c r="J318" s="231" t="s">
        <v>63</v>
      </c>
      <c r="K318" s="354">
        <f t="shared" ca="1" si="13"/>
        <v>-9.7663741490819422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-10711.248771629853</v>
      </c>
      <c r="J319" s="231" t="s">
        <v>63</v>
      </c>
      <c r="K319" s="354">
        <f t="shared" ca="1" si="13"/>
        <v>-10.711248771629853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-11386.162152903764</v>
      </c>
      <c r="J320" s="231" t="s">
        <v>63</v>
      </c>
      <c r="K320" s="354">
        <f t="shared" ca="1" si="13"/>
        <v>-11.386162152903763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-11791.111356163618</v>
      </c>
      <c r="J321" s="231" t="s">
        <v>63</v>
      </c>
      <c r="K321" s="354">
        <f t="shared" ca="1" si="13"/>
        <v>-11.791111356163617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-11926.094619651838</v>
      </c>
      <c r="J322" s="231" t="s">
        <v>63</v>
      </c>
      <c r="K322" s="354">
        <f t="shared" ca="1" si="13"/>
        <v>-11.926094619651838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-11791.111356163618</v>
      </c>
      <c r="J323" s="231" t="str">
        <f>J322</f>
        <v>kN/m²</v>
      </c>
      <c r="K323" s="354">
        <f t="shared" ref="K323:K332" ca="1" si="15">I323/1000</f>
        <v>-11.791111356163617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-11386.162152903762</v>
      </c>
      <c r="J324" s="231" t="str">
        <f t="shared" ref="J324:J331" si="16">J323</f>
        <v>kN/m²</v>
      </c>
      <c r="K324" s="354">
        <f t="shared" ca="1" si="15"/>
        <v>-11.386162152903761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-10711.248771629851</v>
      </c>
      <c r="J325" s="231" t="str">
        <f t="shared" si="16"/>
        <v>kN/m²</v>
      </c>
      <c r="K325" s="354">
        <f t="shared" ca="1" si="15"/>
        <v>-10.711248771629851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-9766.3741490819411</v>
      </c>
      <c r="J326" s="231" t="str">
        <f t="shared" si="16"/>
        <v>kN/m²</v>
      </c>
      <c r="K326" s="354">
        <f t="shared" ca="1" si="15"/>
        <v>-9.7663741490819405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-8551.5423976990878</v>
      </c>
      <c r="J327" s="231" t="str">
        <f t="shared" si="16"/>
        <v>kN/m²</v>
      </c>
      <c r="K327" s="354">
        <f t="shared" ca="1" si="15"/>
        <v>-8.5515423976990874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-7066.7588066232938</v>
      </c>
      <c r="J328" s="231" t="str">
        <f t="shared" si="16"/>
        <v>kN/m²</v>
      </c>
      <c r="K328" s="354">
        <f t="shared" ca="1" si="15"/>
        <v>-7.0667588066232936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-5312.0298429916165</v>
      </c>
      <c r="J329" s="231" t="str">
        <f t="shared" si="16"/>
        <v>kN/m²</v>
      </c>
      <c r="K329" s="354">
        <f t="shared" ca="1" si="15"/>
        <v>-5.3120298429916168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-3287.3631535175746</v>
      </c>
      <c r="J330" s="231" t="str">
        <f t="shared" si="16"/>
        <v>kN/m²</v>
      </c>
      <c r="K330" s="354">
        <f t="shared" ca="1" si="15"/>
        <v>-3.2873631535175747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-992.76756636298228</v>
      </c>
      <c r="J331" s="231" t="str">
        <f t="shared" si="16"/>
        <v>kN/m²</v>
      </c>
      <c r="K331" s="355">
        <f t="shared" ca="1" si="15"/>
        <v>-0.99276756636298225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38" t="s">
        <v>197</v>
      </c>
      <c r="I334" s="638"/>
      <c r="J334" s="638"/>
      <c r="K334" s="638"/>
      <c r="L334" s="638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-5692.8363580896557</v>
      </c>
      <c r="J336" s="231" t="s">
        <v>63</v>
      </c>
      <c r="K336" s="353">
        <f t="shared" ref="K336:K345" ca="1" si="17">I336/1000</f>
        <v>-5.6928363580896555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-8033.1986595407852</v>
      </c>
      <c r="J337" s="231" t="s">
        <v>63</v>
      </c>
      <c r="K337" s="354">
        <f t="shared" ca="1" si="17"/>
        <v>-8.0331986595407852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-6006.9872213250665</v>
      </c>
      <c r="J338" s="231" t="s">
        <v>63</v>
      </c>
      <c r="K338" s="354">
        <f t="shared" ca="1" si="17"/>
        <v>-6.0069872213250664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-4250.8562195832565</v>
      </c>
      <c r="J339" s="231" t="s">
        <v>63</v>
      </c>
      <c r="K339" s="354">
        <f t="shared" ca="1" si="17"/>
        <v>-4.2508562195832562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-2764.8404252459495</v>
      </c>
      <c r="J340" s="231" t="s">
        <v>63</v>
      </c>
      <c r="K340" s="354">
        <f t="shared" ca="1" si="17"/>
        <v>-2.7648404252459495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-1548.969245505391</v>
      </c>
      <c r="J341" s="231" t="s">
        <v>63</v>
      </c>
      <c r="K341" s="354">
        <f t="shared" ca="1" si="17"/>
        <v>-1.5489692455053909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-603.2667310062152</v>
      </c>
      <c r="J342" s="231" t="s">
        <v>63</v>
      </c>
      <c r="K342" s="354">
        <f t="shared" ca="1" si="17"/>
        <v>-0.6032667310062152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72.248418278993995</v>
      </c>
      <c r="J343" s="231" t="s">
        <v>63</v>
      </c>
      <c r="K343" s="354">
        <f ca="1">I343/1000</f>
        <v>7.2248418278993989E-2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477.56284848458017</v>
      </c>
      <c r="J344" s="231" t="s">
        <v>63</v>
      </c>
      <c r="K344" s="354">
        <f t="shared" ca="1" si="17"/>
        <v>0.47756284848458019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612.66854859375417</v>
      </c>
      <c r="J345" s="231" t="s">
        <v>63</v>
      </c>
      <c r="K345" s="354">
        <f t="shared" ca="1" si="17"/>
        <v>0.61266854859375419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477.56284848458017</v>
      </c>
      <c r="J346" s="231" t="s">
        <v>63</v>
      </c>
      <c r="K346" s="354">
        <f t="shared" ref="K346:K355" ca="1" si="19">I346/1000</f>
        <v>0.47756284848458019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72.2484182789849</v>
      </c>
      <c r="J347" s="231" t="s">
        <v>63</v>
      </c>
      <c r="K347" s="354">
        <f t="shared" ca="1" si="19"/>
        <v>7.2248418278984899E-2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-603.26673100621701</v>
      </c>
      <c r="J348" s="231" t="s">
        <v>63</v>
      </c>
      <c r="K348" s="354">
        <f t="shared" ca="1" si="19"/>
        <v>-0.60326673100621697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-1548.9692455053955</v>
      </c>
      <c r="J349" s="231" t="s">
        <v>63</v>
      </c>
      <c r="K349" s="354">
        <f t="shared" ca="1" si="19"/>
        <v>-1.5489692455053956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-2764.8404252459513</v>
      </c>
      <c r="J350" s="231" t="s">
        <v>63</v>
      </c>
      <c r="K350" s="354">
        <f t="shared" ca="1" si="19"/>
        <v>-2.7648404252459513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-4250.8562195832574</v>
      </c>
      <c r="J351" s="231" t="s">
        <v>63</v>
      </c>
      <c r="K351" s="354">
        <f t="shared" ca="1" si="19"/>
        <v>-4.2508562195832571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-6006.9872213250683</v>
      </c>
      <c r="J352" s="231" t="s">
        <v>63</v>
      </c>
      <c r="K352" s="354">
        <f t="shared" ca="1" si="19"/>
        <v>-6.0069872213250681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-8033.1986595407916</v>
      </c>
      <c r="J353" s="231" t="s">
        <v>63</v>
      </c>
      <c r="K353" s="354">
        <f t="shared" ca="1" si="19"/>
        <v>-8.0331986595407923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-5692.8363580896557</v>
      </c>
      <c r="J354" s="231" t="s">
        <v>63</v>
      </c>
      <c r="K354" s="355">
        <f t="shared" ca="1" si="19"/>
        <v>-5.6928363580896555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38" t="s">
        <v>200</v>
      </c>
      <c r="I392" s="638"/>
      <c r="J392" s="638"/>
      <c r="K392" s="638"/>
      <c r="L392" s="638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685.61276063234357</v>
      </c>
      <c r="J394" s="231" t="s">
        <v>63</v>
      </c>
      <c r="K394" s="353">
        <f t="shared" ref="K394:K403" ca="1" si="20">I394/1000</f>
        <v>0.68561276063234355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-107.27411289486284</v>
      </c>
      <c r="J395" s="231" t="s">
        <v>63</v>
      </c>
      <c r="K395" s="354">
        <f t="shared" ca="1" si="20"/>
        <v>-0.10727411289486284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-806.90370210943513</v>
      </c>
      <c r="J396" s="231" t="s">
        <v>63</v>
      </c>
      <c r="K396" s="354">
        <f t="shared" ca="1" si="20"/>
        <v>-0.80690370210943518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-1413.2671788495713</v>
      </c>
      <c r="J397" s="231" t="s">
        <v>63</v>
      </c>
      <c r="K397" s="354">
        <f t="shared" ca="1" si="20"/>
        <v>-1.4132671788495714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-1926.3568964017597</v>
      </c>
      <c r="J398" s="231" t="s">
        <v>63</v>
      </c>
      <c r="K398" s="354">
        <f t="shared" ca="1" si="20"/>
        <v>-1.9263568964017597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-2346.1663876289331</v>
      </c>
      <c r="J399" s="231" t="s">
        <v>63</v>
      </c>
      <c r="K399" s="354">
        <f t="shared" ca="1" si="20"/>
        <v>-2.3461663876289331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-2672.6903633890915</v>
      </c>
      <c r="J400" s="231" t="s">
        <v>63</v>
      </c>
      <c r="K400" s="354">
        <f t="shared" ca="1" si="20"/>
        <v>-2.6726903633890915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-2905.9247112431804</v>
      </c>
      <c r="J401" s="231" t="s">
        <v>63</v>
      </c>
      <c r="K401" s="354">
        <f t="shared" ca="1" si="20"/>
        <v>-2.9059247112431805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-3045.8664944511429</v>
      </c>
      <c r="J402" s="231" t="s">
        <v>63</v>
      </c>
      <c r="K402" s="354">
        <f t="shared" ca="1" si="20"/>
        <v>-3.0458664944511429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-3092.5139512553951</v>
      </c>
      <c r="J403" s="231" t="s">
        <v>63</v>
      </c>
      <c r="K403" s="354">
        <f t="shared" ca="1" si="20"/>
        <v>-3.0925139512553952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-3045.8664944511429</v>
      </c>
      <c r="J404" s="231" t="s">
        <v>63</v>
      </c>
      <c r="K404" s="354">
        <f t="shared" ref="K404:K412" ca="1" si="22">I404/1000</f>
        <v>-3.0458664944511429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-2905.9247112431794</v>
      </c>
      <c r="J405" s="231" t="s">
        <v>63</v>
      </c>
      <c r="K405" s="354">
        <f t="shared" ca="1" si="22"/>
        <v>-2.9059247112431796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-2672.6903633890906</v>
      </c>
      <c r="J406" s="231" t="s">
        <v>63</v>
      </c>
      <c r="K406" s="354">
        <f t="shared" ca="1" si="22"/>
        <v>-2.6726903633890906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-2346.1663876289322</v>
      </c>
      <c r="J407" s="231" t="s">
        <v>63</v>
      </c>
      <c r="K407" s="354">
        <f t="shared" ca="1" si="22"/>
        <v>-2.3461663876289323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-1926.3568964017586</v>
      </c>
      <c r="J408" s="231" t="s">
        <v>63</v>
      </c>
      <c r="K408" s="354">
        <f t="shared" ca="1" si="22"/>
        <v>-1.9263568964017586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-1413.2671788495704</v>
      </c>
      <c r="J409" s="231" t="s">
        <v>63</v>
      </c>
      <c r="K409" s="354">
        <f t="shared" ca="1" si="22"/>
        <v>-1.4132671788495705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-806.90370210943354</v>
      </c>
      <c r="J410" s="231" t="s">
        <v>63</v>
      </c>
      <c r="K410" s="354">
        <f t="shared" ca="1" si="22"/>
        <v>-0.80690370210943352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-107.27411289486068</v>
      </c>
      <c r="J411" s="231" t="s">
        <v>63</v>
      </c>
      <c r="K411" s="354">
        <f t="shared" ca="1" si="22"/>
        <v>-0.10727411289486068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685.61276063234357</v>
      </c>
      <c r="J412" s="231" t="s">
        <v>63</v>
      </c>
      <c r="K412" s="355">
        <f t="shared" ca="1" si="22"/>
        <v>0.68561276063234355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38" t="s">
        <v>198</v>
      </c>
      <c r="I415" s="638"/>
      <c r="J415" s="638"/>
      <c r="K415" s="638"/>
      <c r="L415" s="638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-7500.0757292301814</v>
      </c>
      <c r="J417" s="231" t="s">
        <v>63</v>
      </c>
      <c r="K417" s="353">
        <f t="shared" ref="K417:K426" ca="1" si="23">I417/1000</f>
        <v>-7.5000757292301818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-11457.441678543886</v>
      </c>
      <c r="J418" s="231" t="s">
        <v>63</v>
      </c>
      <c r="K418" s="354">
        <f t="shared" ca="1" si="23"/>
        <v>-11.457441678543885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-10857.998164912791</v>
      </c>
      <c r="J419" s="231" t="s">
        <v>63</v>
      </c>
      <c r="K419" s="354">
        <f t="shared" ca="1" si="23"/>
        <v>-10.857998164912791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-10338.399364477658</v>
      </c>
      <c r="J420" s="231" t="s">
        <v>63</v>
      </c>
      <c r="K420" s="354">
        <f t="shared" ca="1" si="23"/>
        <v>-10.338399364477658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-9898.6800481690771</v>
      </c>
      <c r="J421" s="231" t="s">
        <v>63</v>
      </c>
      <c r="K421" s="354">
        <f t="shared" ca="1" si="23"/>
        <v>-9.8986800481690764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-9538.8696231792928</v>
      </c>
      <c r="J422" s="231" t="s">
        <v>63</v>
      </c>
      <c r="K422" s="354">
        <f t="shared" ca="1" si="23"/>
        <v>-9.5388696231792931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-9258.9921401529427</v>
      </c>
      <c r="J423" s="231" t="s">
        <v>63</v>
      </c>
      <c r="K423" s="354">
        <f t="shared" ca="1" si="23"/>
        <v>-9.2589921401529427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-9059.0662990626115</v>
      </c>
      <c r="J424" s="231" t="s">
        <v>63</v>
      </c>
      <c r="K424" s="354">
        <f t="shared" ca="1" si="23"/>
        <v>-9.0590662990626107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-8939.1054537739456</v>
      </c>
      <c r="J425" s="231" t="s">
        <v>63</v>
      </c>
      <c r="K425" s="354">
        <f t="shared" ca="1" si="23"/>
        <v>-8.9391054537739461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0.11685577554238502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-8899.1176153037522</v>
      </c>
      <c r="J426" s="231" t="s">
        <v>63</v>
      </c>
      <c r="K426" s="354">
        <f t="shared" ca="1" si="23"/>
        <v>-8.8991176153037514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-8939.1054537739456</v>
      </c>
      <c r="J427" s="231" t="s">
        <v>63</v>
      </c>
      <c r="K427" s="354">
        <f t="shared" ref="K427:K436" ca="1" si="25">I427/1000</f>
        <v>-8.9391054537739461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-9059.066299062617</v>
      </c>
      <c r="J428" s="231" t="s">
        <v>63</v>
      </c>
      <c r="K428" s="354">
        <f t="shared" ca="1" si="25"/>
        <v>-9.0590662990626178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-9258.9921401529427</v>
      </c>
      <c r="J429" s="231" t="s">
        <v>63</v>
      </c>
      <c r="K429" s="354">
        <f t="shared" ca="1" si="25"/>
        <v>-9.2589921401529427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-9538.8696231792965</v>
      </c>
      <c r="J430" s="231" t="s">
        <v>63</v>
      </c>
      <c r="K430" s="354">
        <f t="shared" ca="1" si="25"/>
        <v>-9.5388696231792967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-9898.6800481690771</v>
      </c>
      <c r="J431" s="231" t="s">
        <v>63</v>
      </c>
      <c r="K431" s="354">
        <f t="shared" ca="1" si="25"/>
        <v>-9.8986800481690764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-10338.39936447766</v>
      </c>
      <c r="J432" s="231" t="s">
        <v>63</v>
      </c>
      <c r="K432" s="354">
        <f t="shared" ca="1" si="25"/>
        <v>-10.33839936447766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-10857.998164912793</v>
      </c>
      <c r="J433" s="231" t="s">
        <v>63</v>
      </c>
      <c r="K433" s="354">
        <f t="shared" ca="1" si="25"/>
        <v>-10.857998164912793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-11457.441678543888</v>
      </c>
      <c r="J434" s="231" t="s">
        <v>63</v>
      </c>
      <c r="K434" s="354">
        <f t="shared" ca="1" si="25"/>
        <v>-11.457441678543889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-7500.0757292301832</v>
      </c>
      <c r="J435" s="231" t="s">
        <v>63</v>
      </c>
      <c r="K435" s="355">
        <f t="shared" ca="1" si="25"/>
        <v>-7.5000757292301836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70" t="s">
        <v>149</v>
      </c>
      <c r="J475" s="670"/>
      <c r="K475" s="670"/>
      <c r="L475" s="670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1.4658588100906238E-2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14.121202408499785</v>
      </c>
      <c r="K478" s="231" t="s">
        <v>96</v>
      </c>
      <c r="L478" s="656" t="str">
        <f>IF($I$16="1 - Retângular","Ok",IF((#REF!/100)&lt;J477,"OBS: Valor da linha neutra é MAIOR que hf1 - armadura ativa necessita verificação","Ok"))</f>
        <v>Ok</v>
      </c>
      <c r="M478" s="656"/>
      <c r="N478" s="656"/>
    </row>
    <row r="479" spans="9:14" hidden="1" x14ac:dyDescent="0.25">
      <c r="I479" s="121" t="s">
        <v>185</v>
      </c>
      <c r="J479" s="237">
        <f ca="1">J478/((250/1.15)/10)</f>
        <v>0.64957531079099007</v>
      </c>
      <c r="K479" s="231" t="s">
        <v>14</v>
      </c>
      <c r="L479" s="656"/>
      <c r="M479" s="656"/>
      <c r="N479" s="656"/>
    </row>
    <row r="480" spans="9:14" hidden="1" x14ac:dyDescent="0.25">
      <c r="J480" s="121"/>
      <c r="L480" s="656"/>
      <c r="M480" s="656"/>
      <c r="N480" s="656"/>
    </row>
    <row r="481" spans="7:14" hidden="1" x14ac:dyDescent="0.25">
      <c r="I481" s="117">
        <f ca="1">ROUNDUP(J479/VLOOKUP(K481,$M$836:$N$843,2),0)</f>
        <v>1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70" t="s">
        <v>155</v>
      </c>
      <c r="J484" s="670"/>
      <c r="K484" s="670"/>
      <c r="L484" s="670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56" t="str">
        <f>IF($I$16="1 - Retângular","Ok",IF((#REF!/100)&lt;J486,"OBS: Valor da linha neutra é MAIOR que hf1 - armadura ativa necessita verificação","Ok"))</f>
        <v>Ok</v>
      </c>
      <c r="M487" s="656"/>
      <c r="N487" s="656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56"/>
      <c r="M488" s="656"/>
      <c r="N488" s="656"/>
    </row>
    <row r="489" spans="7:14" hidden="1" x14ac:dyDescent="0.25">
      <c r="J489" s="121"/>
      <c r="L489" s="656"/>
      <c r="M489" s="656"/>
      <c r="N489" s="656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35" t="s">
        <v>165</v>
      </c>
      <c r="H494" s="635"/>
      <c r="I494" s="635"/>
      <c r="J494" s="635"/>
      <c r="K494" s="635"/>
      <c r="L494" s="635"/>
      <c r="M494" s="635"/>
      <c r="N494" s="635"/>
    </row>
    <row r="495" spans="7:14" hidden="1" x14ac:dyDescent="0.25">
      <c r="H495" s="638" t="s">
        <v>166</v>
      </c>
      <c r="I495" s="638"/>
      <c r="J495" s="638"/>
      <c r="K495" s="638"/>
      <c r="L495" s="638"/>
      <c r="M495" s="638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69" t="s">
        <v>147</v>
      </c>
      <c r="H500" s="669"/>
      <c r="I500" s="669"/>
      <c r="J500" s="123"/>
      <c r="K500" s="669" t="s">
        <v>156</v>
      </c>
      <c r="L500" s="669"/>
      <c r="M500" s="669"/>
      <c r="N500" s="669"/>
    </row>
    <row r="501" spans="7:14" hidden="1" x14ac:dyDescent="0.25">
      <c r="G501" s="669" t="s">
        <v>149</v>
      </c>
      <c r="H501" s="669"/>
      <c r="I501" s="669"/>
      <c r="J501" s="123"/>
      <c r="K501" s="669" t="s">
        <v>149</v>
      </c>
      <c r="L501" s="669"/>
      <c r="M501" s="669"/>
      <c r="N501" s="669"/>
    </row>
    <row r="502" spans="7:14" hidden="1" x14ac:dyDescent="0.25">
      <c r="G502" s="644" t="s">
        <v>148</v>
      </c>
      <c r="H502" s="239">
        <f ca="1">H505+H506-H507-H508-H509</f>
        <v>3320.0418738600001</v>
      </c>
      <c r="I502" s="231" t="s">
        <v>63</v>
      </c>
      <c r="K502" s="644" t="s">
        <v>148</v>
      </c>
      <c r="L502" s="239">
        <f ca="1">L505-L506+L507+L508+L509</f>
        <v>7138.5316085318555</v>
      </c>
      <c r="M502" s="231" t="s">
        <v>63</v>
      </c>
    </row>
    <row r="503" spans="7:14" hidden="1" x14ac:dyDescent="0.25">
      <c r="G503" s="644"/>
      <c r="H503" s="237">
        <f ca="1">H502/1000</f>
        <v>3.3200418738600002</v>
      </c>
      <c r="I503" s="281" t="s">
        <v>50</v>
      </c>
      <c r="K503" s="644"/>
      <c r="L503" s="237">
        <f ca="1">L502/1000</f>
        <v>7.1385316085318555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6178.7634810531308</v>
      </c>
      <c r="K505" s="209" t="s">
        <v>150</v>
      </c>
      <c r="L505" s="239">
        <f ca="1">(J242/(H36/100^2))</f>
        <v>6178.7634810531308</v>
      </c>
    </row>
    <row r="506" spans="7:14" hidden="1" x14ac:dyDescent="0.25">
      <c r="G506" s="209" t="s">
        <v>151</v>
      </c>
      <c r="H506" s="239">
        <f ca="1">(J243/(H40/100^3))</f>
        <v>8183.9993183989191</v>
      </c>
      <c r="K506" s="209" t="s">
        <v>160</v>
      </c>
      <c r="L506" s="239">
        <f ca="1">(J243/(H40/100^3))</f>
        <v>8183.9993183989191</v>
      </c>
    </row>
    <row r="507" spans="7:14" hidden="1" x14ac:dyDescent="0.25">
      <c r="G507" s="209" t="s">
        <v>153</v>
      </c>
      <c r="H507" s="239">
        <f ca="1">((J81+J82+J83)/(H40/100^3))</f>
        <v>4705.6938140588918</v>
      </c>
      <c r="K507" s="209" t="s">
        <v>161</v>
      </c>
      <c r="L507" s="239">
        <f ca="1">((J81+J82+J83)/(H40/100^3))</f>
        <v>4705.6938140588918</v>
      </c>
    </row>
    <row r="508" spans="7:14" hidden="1" x14ac:dyDescent="0.25">
      <c r="G508" s="209" t="s">
        <v>152</v>
      </c>
      <c r="H508" s="239">
        <f ca="1">((J84+J85)/(I40/100^3))</f>
        <v>559.80804872201043</v>
      </c>
      <c r="K508" s="209" t="s">
        <v>162</v>
      </c>
      <c r="L508" s="239">
        <f ca="1">((J84+J85)/(H266))</f>
        <v>392.05597454229263</v>
      </c>
    </row>
    <row r="509" spans="7:14" hidden="1" x14ac:dyDescent="0.25">
      <c r="G509" s="209" t="s">
        <v>201</v>
      </c>
      <c r="H509" s="239">
        <f ca="1">((H53*J86)/(I40/100^3))</f>
        <v>5777.2190628111475</v>
      </c>
      <c r="K509" s="209" t="s">
        <v>163</v>
      </c>
      <c r="L509" s="239">
        <f ca="1">((H53*J86)/(H266))</f>
        <v>4046.0176572764599</v>
      </c>
    </row>
    <row r="510" spans="7:14" hidden="1" x14ac:dyDescent="0.25"/>
    <row r="511" spans="7:14" hidden="1" x14ac:dyDescent="0.25"/>
    <row r="512" spans="7:14" hidden="1" x14ac:dyDescent="0.25">
      <c r="G512" s="669" t="s">
        <v>155</v>
      </c>
      <c r="H512" s="669"/>
      <c r="I512" s="669"/>
      <c r="J512" s="123"/>
      <c r="K512" s="669" t="s">
        <v>155</v>
      </c>
      <c r="L512" s="669"/>
      <c r="M512" s="669"/>
      <c r="N512" s="123"/>
    </row>
    <row r="513" spans="7:14" hidden="1" x14ac:dyDescent="0.25">
      <c r="G513" s="693" t="s">
        <v>148</v>
      </c>
      <c r="H513" s="239">
        <f ca="1">H516+H517-H518-H519</f>
        <v>9097.2609366711476</v>
      </c>
      <c r="I513" s="231" t="s">
        <v>63</v>
      </c>
      <c r="K513" s="644" t="s">
        <v>148</v>
      </c>
      <c r="L513" s="239">
        <f ca="1">L516-L517+L518+L519</f>
        <v>3092.513951255396</v>
      </c>
      <c r="M513" s="231" t="s">
        <v>63</v>
      </c>
    </row>
    <row r="514" spans="7:14" hidden="1" x14ac:dyDescent="0.25">
      <c r="G514" s="693"/>
      <c r="H514" s="237">
        <f ca="1">H513/1000</f>
        <v>9.0972609366711481</v>
      </c>
      <c r="I514" s="281" t="s">
        <v>50</v>
      </c>
      <c r="K514" s="644"/>
      <c r="L514" s="237">
        <f ca="1">L513/1000</f>
        <v>3.0925139512553961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6178.7634810531308</v>
      </c>
      <c r="K516" s="209" t="s">
        <v>150</v>
      </c>
      <c r="L516" s="239">
        <f ca="1">(J242/(H36/100^2))</f>
        <v>6178.7634810531308</v>
      </c>
    </row>
    <row r="517" spans="7:14" hidden="1" x14ac:dyDescent="0.25">
      <c r="G517" s="209" t="s">
        <v>151</v>
      </c>
      <c r="H517" s="239">
        <f ca="1">J243/(H40/100^3)</f>
        <v>8183.9993183989191</v>
      </c>
      <c r="K517" s="209" t="s">
        <v>160</v>
      </c>
      <c r="L517" s="239">
        <f ca="1">(J243/(H40/100^3))</f>
        <v>8183.9993183989191</v>
      </c>
    </row>
    <row r="518" spans="7:14" hidden="1" x14ac:dyDescent="0.25">
      <c r="G518" s="209" t="s">
        <v>153</v>
      </c>
      <c r="H518" s="239">
        <f ca="1">(J81+J82+J83)/(H40/100^3)</f>
        <v>4705.6938140588918</v>
      </c>
      <c r="K518" s="209" t="s">
        <v>161</v>
      </c>
      <c r="L518" s="239">
        <f ca="1">((J81+J82+J83)/(H40/100^3))</f>
        <v>4705.6938140588918</v>
      </c>
    </row>
    <row r="519" spans="7:14" hidden="1" x14ac:dyDescent="0.25">
      <c r="G519" s="209" t="s">
        <v>152</v>
      </c>
      <c r="H519" s="239">
        <f ca="1">(J84+J85)/(I40/100^3)</f>
        <v>559.80804872201043</v>
      </c>
      <c r="K519" s="209" t="s">
        <v>162</v>
      </c>
      <c r="L519" s="239">
        <f ca="1">((J84+J85)/(H266))</f>
        <v>392.05597454229263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45" t="s">
        <v>194</v>
      </c>
      <c r="H528" s="646"/>
      <c r="I528" s="646"/>
      <c r="J528" s="646"/>
      <c r="K528" s="646"/>
      <c r="L528" s="646"/>
      <c r="M528" s="646"/>
      <c r="N528" s="647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0.42449999999999999</v>
      </c>
      <c r="I530" s="204">
        <f>(($H$21/100)/20)+$H$530</f>
        <v>0.84899999999999998</v>
      </c>
      <c r="J530" s="204">
        <f>(($H$21/100)/20)+$I$530</f>
        <v>1.2734999999999999</v>
      </c>
      <c r="K530" s="204">
        <f>(($H$21/100)/20)+$J$530</f>
        <v>1.698</v>
      </c>
      <c r="L530" s="204">
        <f>(($H$21/100)/20)+$K$530</f>
        <v>2.1225000000000001</v>
      </c>
      <c r="M530" s="204">
        <f>(($H$21/100)/20)+$L$530</f>
        <v>2.5470000000000002</v>
      </c>
      <c r="N530" s="204">
        <f>(($H$21/100)/20)+$M$530</f>
        <v>2.9715000000000003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12.798989401639792</v>
      </c>
      <c r="I531" s="144">
        <f ca="1">(($I$73+$I$74+$I$75)*($H$21/100)*$I$530/2)-(($I$73+$I$74+$I$75)*$I$530^2/2)</f>
        <v>24.250716761001712</v>
      </c>
      <c r="J531" s="144">
        <f ca="1">(($I$73+$I$74+$I$75)*($H$21/100)*$J$530/2)-(($I$73+$I$74+$I$75)*$J$530^2/2)</f>
        <v>34.355182078085754</v>
      </c>
      <c r="K531" s="144">
        <f ca="1">(($I$73+$I$74+$I$75)*($H$21/100)*$K$530/2)-(($I$73+$I$74+$I$75)*$K$530^2/2)</f>
        <v>43.112385352891934</v>
      </c>
      <c r="L531" s="144">
        <f ca="1">(($I$73+$I$74+$I$75)*($H$21/100)*$L$530/2)-(($I$73+$I$74+$I$75)*$L$530^2/2)</f>
        <v>50.522326585420231</v>
      </c>
      <c r="M531" s="144">
        <f ca="1">(($I$73+$I$74+$I$75)*($H$21/100)*$M$530/2)-(($I$73+$I$74+$I$75)*$M$530^2/2)</f>
        <v>56.585005775670666</v>
      </c>
      <c r="N531" s="144">
        <f ca="1">(($I$73+$I$74+$I$75)*($H$21/100)*$N$530/2)-(($I$73+$I$74+$I$75)*$N$530^2/2)</f>
        <v>61.300422923643218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3.3960000000000004</v>
      </c>
      <c r="H533" s="204">
        <f>(($H$21/100)/20)+$G$533</f>
        <v>3.8205000000000005</v>
      </c>
      <c r="I533" s="204">
        <f>(($H$21/100)/20)+$H$533</f>
        <v>4.2450000000000001</v>
      </c>
      <c r="J533" s="204">
        <f>(($H$21/100)/20)+$I$533</f>
        <v>4.6695000000000002</v>
      </c>
      <c r="K533" s="204">
        <f>(($H$21/100)/20)+$J$533</f>
        <v>5.0940000000000003</v>
      </c>
      <c r="L533" s="204">
        <f>(($H$21/100)/20)+$K$533</f>
        <v>5.5185000000000004</v>
      </c>
      <c r="M533" s="204">
        <f>(($H$21/100)/20)+$L$533</f>
        <v>5.9430000000000005</v>
      </c>
      <c r="N533" s="204">
        <f>(($H$21/100)/20)+$M$533</f>
        <v>6.3675000000000006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64.668578029337908</v>
      </c>
      <c r="H534" s="144">
        <f ca="1">(($I$73+$I$74+$I$75)*($H$21/100)*$H$533/2)-(($I$73+$I$74+$I$75)*$H$533^2/2)</f>
        <v>66.689471092754701</v>
      </c>
      <c r="I534" s="144">
        <f t="shared" ref="I534:N534" ca="1" si="26">(($I$73+$I$74+$I$75)*($H$21/100)*I533/2)-(($I$73+$I$74+$I$75)*I533^2/2)</f>
        <v>67.363102113893646</v>
      </c>
      <c r="J534" s="144">
        <f t="shared" ca="1" si="26"/>
        <v>66.689471092754701</v>
      </c>
      <c r="K534" s="144">
        <f t="shared" ca="1" si="26"/>
        <v>64.668578029337894</v>
      </c>
      <c r="L534" s="144">
        <f t="shared" ca="1" si="26"/>
        <v>61.300422923643211</v>
      </c>
      <c r="M534" s="144">
        <f t="shared" ca="1" si="26"/>
        <v>56.585005775670652</v>
      </c>
      <c r="N534" s="144">
        <f t="shared" ca="1" si="26"/>
        <v>50.522326585420217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6.7920000000000007</v>
      </c>
      <c r="H536" s="204">
        <f>(($H$21/100)/20)+$G$536</f>
        <v>7.2165000000000008</v>
      </c>
      <c r="I536" s="204">
        <f>(($H$21/100)/20)+$H$536</f>
        <v>7.6410000000000009</v>
      </c>
      <c r="J536" s="204">
        <f>(($H$21/100)/20)+$I$536</f>
        <v>8.0655000000000001</v>
      </c>
      <c r="K536" s="204">
        <f>(($H$21/100)/20)+$J$536</f>
        <v>8.49</v>
      </c>
    </row>
    <row r="537" spans="7:27" x14ac:dyDescent="0.25">
      <c r="G537" s="144">
        <f ca="1">(($I$73+$I$74+$I$75)*($H$21/100)*G536/2)-(($I$73+$I$74+$I$75)*G536^2/2)</f>
        <v>43.11238535289192</v>
      </c>
      <c r="H537" s="144">
        <f ca="1">(($I$73+$I$74+$I$75)*($H$21/100)*H536/2)-(($I$73+$I$74+$I$75)*H536^2/2)</f>
        <v>34.355182078085733</v>
      </c>
      <c r="I537" s="144">
        <f ca="1">(($I$73+$I$74+$I$75)*($H$21/100)*I536/2)-(($I$73+$I$74+$I$75)*I536^2/2)</f>
        <v>24.250716761001684</v>
      </c>
      <c r="J537" s="144">
        <f ca="1">(($I$73+$I$74+$I$75)*($H$21/100)*J536/2)-(($I$73+$I$74+$I$75)*J536^2/2)</f>
        <v>12.798989401639801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45" t="s">
        <v>195</v>
      </c>
      <c r="H539" s="646"/>
      <c r="I539" s="646"/>
      <c r="J539" s="646"/>
      <c r="K539" s="646"/>
      <c r="L539" s="646"/>
      <c r="M539" s="646"/>
      <c r="N539" s="647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0.42449999999999999</v>
      </c>
      <c r="I541" s="204">
        <f>(($H$21/100)/20)+$H$541</f>
        <v>0.84899999999999998</v>
      </c>
      <c r="J541" s="204">
        <f>(($H$21/100)/20)+$I$541</f>
        <v>1.2734999999999999</v>
      </c>
      <c r="K541" s="204">
        <f>(($H$21/100)/20)+$J$541</f>
        <v>1.698</v>
      </c>
      <c r="L541" s="204">
        <f>(($H$21/100)/20)+$K$541</f>
        <v>2.1225000000000001</v>
      </c>
      <c r="M541" s="204">
        <f>(($H$21/100)/20)+$L$541</f>
        <v>2.5470000000000002</v>
      </c>
      <c r="N541" s="204">
        <f>(($H$21/100)/20)+$M$541</f>
        <v>2.9715000000000003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2.13987796875</v>
      </c>
      <c r="I542" s="144">
        <f>(($I$76+$I$77)*($H$21/100)*$I$541/2)-(($I$76+$I$77)*$I$541^2/2)</f>
        <v>4.054505625</v>
      </c>
      <c r="J542" s="144">
        <f>(($I$76+$I$77)*($H$21/100)*$J$541/2)-(($I$76+$I$77)*$J$541^2/2)</f>
        <v>5.7438829687500004</v>
      </c>
      <c r="K542" s="144">
        <f>(($I$76+$I$77)*($H$21/100)*$K$541/2)-(($I$76+$I$77)*$K$541^2/2)</f>
        <v>7.2080100000000007</v>
      </c>
      <c r="L542" s="144">
        <f>(($I$76+$I$77)*($H$21/100)*$L$541/2)-(($I$76+$I$77)*$L$541^2/2)</f>
        <v>8.446886718750001</v>
      </c>
      <c r="M542" s="144">
        <f>(($I$76+$I$77)*($H$21/100)*$M$541/2)-(($I$76+$I$77)*$M$541^2/2)</f>
        <v>9.4605131250000003</v>
      </c>
      <c r="N542" s="144">
        <f>(($I$76+$I$77)*($H$21/100)*$N$541/2)-(($I$76+$I$77)*$N$541^2/2)</f>
        <v>10.248889218750001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3.3960000000000004</v>
      </c>
      <c r="H544" s="204">
        <f>(($H$21/100)/20)+$G$544</f>
        <v>3.8205000000000005</v>
      </c>
      <c r="I544" s="204">
        <f>(($H$21/100)/20)+$H$544</f>
        <v>4.2450000000000001</v>
      </c>
      <c r="J544" s="204">
        <f>(($H$21/100)/20)+$I$544</f>
        <v>4.6695000000000002</v>
      </c>
      <c r="K544" s="204">
        <f>(($H$21/100)/20)+$J$544</f>
        <v>5.0940000000000003</v>
      </c>
      <c r="L544" s="204">
        <f>(($H$21/100)/20)+$K$544</f>
        <v>5.5185000000000004</v>
      </c>
      <c r="M544" s="204">
        <f>(($H$21/100)/20)+$L$544</f>
        <v>5.9430000000000005</v>
      </c>
      <c r="N544" s="204">
        <f>(($H$21/100)/20)+$M$544</f>
        <v>6.3675000000000006</v>
      </c>
      <c r="Q544" s="144"/>
    </row>
    <row r="545" spans="7:27" x14ac:dyDescent="0.25">
      <c r="G545" s="144">
        <f>(($I$76+$I$77)*($H$21/100)*$G$544/2)-(($I$76+$I$77)*$G$544^2/2)</f>
        <v>10.812015000000002</v>
      </c>
      <c r="H545" s="144">
        <f>(($I$76+$I$77)*($H$21/100)*$H$544/2)-(($I$76+$I$77)*$H$544^2/2)</f>
        <v>11.149890468750002</v>
      </c>
      <c r="I545" s="144">
        <f t="shared" ref="I545:N545" si="27">(($I$76+$I$77)*($H$21/100)*I544/2)-(($I$76+$I$77)*I544^2/2)</f>
        <v>11.262515625000001</v>
      </c>
      <c r="J545" s="144">
        <f t="shared" si="27"/>
        <v>11.14989046875</v>
      </c>
      <c r="K545" s="144">
        <f t="shared" si="27"/>
        <v>10.812014999999999</v>
      </c>
      <c r="L545" s="144">
        <f t="shared" si="27"/>
        <v>10.248889218750001</v>
      </c>
      <c r="M545" s="144">
        <f t="shared" si="27"/>
        <v>9.4605131249999985</v>
      </c>
      <c r="N545" s="144">
        <f t="shared" si="27"/>
        <v>8.4468867187499974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6.7920000000000007</v>
      </c>
      <c r="H547" s="204">
        <f>(($H$21/100)/20)+$G$547</f>
        <v>7.2165000000000008</v>
      </c>
      <c r="I547" s="204">
        <f>(($H$21/100)/20)+$H$547</f>
        <v>7.6410000000000009</v>
      </c>
      <c r="J547" s="204">
        <f>(($H$21/100)/20)+$I$547</f>
        <v>8.0655000000000001</v>
      </c>
      <c r="K547" s="204">
        <f>(($H$21/100)/20)+$J$547</f>
        <v>8.49</v>
      </c>
      <c r="Q547" s="144"/>
      <c r="R547" s="144"/>
    </row>
    <row r="548" spans="7:27" x14ac:dyDescent="0.25">
      <c r="G548" s="144">
        <f>(($I$76+$I$77)*($H$21/100)*G547/2)-(($I$76+$I$77)*G547^2/2)</f>
        <v>7.2080100000000016</v>
      </c>
      <c r="H548" s="144">
        <f>(($I$76+$I$77)*($H$21/100)*H547/2)-(($I$76+$I$77)*H547^2/2)</f>
        <v>5.7438829687499933</v>
      </c>
      <c r="I548" s="144">
        <f>(($I$76+$I$77)*($H$21/100)*I547/2)-(($I$76+$I$77)*I547^2/2)</f>
        <v>4.0545056249999973</v>
      </c>
      <c r="J548" s="144">
        <f>(($I$76+$I$77)*($H$21/100)*J547/2)-(($I$76+$I$77)*J547^2/2)</f>
        <v>2.1398779687500067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45" t="s">
        <v>196</v>
      </c>
      <c r="H550" s="646"/>
      <c r="I550" s="646"/>
      <c r="J550" s="646"/>
      <c r="K550" s="646"/>
      <c r="L550" s="646"/>
      <c r="M550" s="646"/>
      <c r="N550" s="647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0.42449999999999999</v>
      </c>
      <c r="I552" s="204">
        <f>(($H$21/100)/20)+$H$552</f>
        <v>0.84899999999999998</v>
      </c>
      <c r="J552" s="204">
        <f>(($H$21/100)/20)+$I$552</f>
        <v>1.2734999999999999</v>
      </c>
      <c r="K552" s="204">
        <f>(($H$21/100)/20)+$J$552</f>
        <v>1.698</v>
      </c>
      <c r="L552" s="204">
        <f>(($H$21/100)/20)+$K$552</f>
        <v>2.1225000000000001</v>
      </c>
      <c r="M552" s="204">
        <f>(($H$21/100)/20)+$L$552</f>
        <v>2.5470000000000002</v>
      </c>
      <c r="N552" s="204">
        <f>(($H$21/100)/20)+$M$552</f>
        <v>2.9715000000000003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55.208851593750005</v>
      </c>
      <c r="I553" s="144">
        <f>(($I$78)*($H$21/100)*$I$552/2)-(($I$78)*$I$552^2/2)</f>
        <v>104.606245125</v>
      </c>
      <c r="J553" s="144">
        <f>(($I$78)*($H$21/100)*$J$552/2)-(($I$78)*$J$552^2/2)</f>
        <v>148.19218059374998</v>
      </c>
      <c r="K553" s="144">
        <f>(($I$78)*($H$21/100)*$K$552/2)-(($I$78)*$K$552^2/2)</f>
        <v>185.96665800000002</v>
      </c>
      <c r="L553" s="144">
        <f>(($I$78)*($H$21/100)*$L$552/2)-(($I$78)*$L$552^2/2)</f>
        <v>217.92967734375003</v>
      </c>
      <c r="M553" s="144">
        <f>(($I$78)*($H$21/100)*$M$552/2)-(($I$78)*$M$552^2/2)</f>
        <v>244.081238625</v>
      </c>
      <c r="N553" s="144">
        <f>(($I$78)*($H$21/100)*$N$552/2)-(($I$78)*$N$552^2/2)</f>
        <v>264.42134184375004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3.3960000000000004</v>
      </c>
      <c r="H555" s="204">
        <f>(($H$21/100)/20)+$G$555</f>
        <v>3.8205000000000005</v>
      </c>
      <c r="I555" s="204">
        <f>(($H$21/100)/20)+$H$555</f>
        <v>4.2450000000000001</v>
      </c>
      <c r="J555" s="204">
        <f>(($H$21/100)/20)+$I$555</f>
        <v>4.6695000000000002</v>
      </c>
      <c r="K555" s="204">
        <f>(($H$21/100)/20)+$J$555</f>
        <v>5.0940000000000003</v>
      </c>
      <c r="L555" s="204">
        <f>(($H$21/100)/20)+$K$555</f>
        <v>5.5185000000000004</v>
      </c>
      <c r="M555" s="204">
        <f>(($H$21/100)/20)+$L$555</f>
        <v>5.9430000000000005</v>
      </c>
      <c r="N555" s="204">
        <f>(($H$21/100)/20)+$M$555</f>
        <v>6.3675000000000006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278.94998700000008</v>
      </c>
      <c r="H556" s="144">
        <f>(($I$78)*($H$21/100)*$H$555/2)-(($I$78)*$H$555^2/2)</f>
        <v>287.66717409374996</v>
      </c>
      <c r="I556" s="144">
        <f t="shared" ref="I556:N556" si="28">(($I$78)*($H$21/100)*I555/2)-(($I$78)*I555^2/2)</f>
        <v>290.5729031250001</v>
      </c>
      <c r="J556" s="144">
        <f t="shared" si="28"/>
        <v>287.66717409374996</v>
      </c>
      <c r="K556" s="144">
        <f t="shared" si="28"/>
        <v>278.94998699999996</v>
      </c>
      <c r="L556" s="144">
        <f t="shared" si="28"/>
        <v>264.42134184374999</v>
      </c>
      <c r="M556" s="144">
        <f t="shared" si="28"/>
        <v>244.08123862499997</v>
      </c>
      <c r="N556" s="144">
        <f t="shared" si="28"/>
        <v>217.92967734374997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6.7920000000000007</v>
      </c>
      <c r="H558" s="204">
        <f>(($H$21/100)/20)+$G$558</f>
        <v>7.2165000000000008</v>
      </c>
      <c r="I558" s="204">
        <f>(($H$21/100)/20)+$H$558</f>
        <v>7.6410000000000009</v>
      </c>
      <c r="J558" s="204">
        <f>(($H$21/100)/20)+$I$558</f>
        <v>8.0655000000000001</v>
      </c>
      <c r="K558" s="204">
        <f>(($H$21/100)/20)+$J$558</f>
        <v>8.49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185.96665800000005</v>
      </c>
      <c r="H559" s="144">
        <f>(($I$78)*($H$21/100)*H558/2)-(($I$78)*H558^2/2)</f>
        <v>148.19218059374998</v>
      </c>
      <c r="I559" s="144">
        <f>(($I$78)*($H$21/100)*I558/2)-(($I$78)*I558^2/2)</f>
        <v>104.60624512499987</v>
      </c>
      <c r="J559" s="144">
        <f>(($I$78)*($H$21/100)*J558/2)-(($I$78)*J558^2/2)</f>
        <v>55.208851593750069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639.21097508534365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117.15585492159754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35" t="s">
        <v>149</v>
      </c>
      <c r="H565" s="635"/>
      <c r="I565" s="635"/>
      <c r="J565" s="635"/>
      <c r="K565" s="635"/>
      <c r="L565" s="635"/>
      <c r="M565" s="635"/>
      <c r="N565" s="635"/>
    </row>
    <row r="567" spans="7:17" x14ac:dyDescent="0.25">
      <c r="H567" s="638" t="s">
        <v>199</v>
      </c>
      <c r="I567" s="638"/>
      <c r="J567" s="638"/>
      <c r="K567" s="638"/>
      <c r="L567" s="638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-200.66841988774388</v>
      </c>
      <c r="J569" s="231" t="s">
        <v>63</v>
      </c>
      <c r="K569" s="353">
        <f t="shared" ref="K569:K578" ca="1" si="29">I569/1000</f>
        <v>-0.20066841988774389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-1786.5437180908175</v>
      </c>
      <c r="J570" s="231" t="s">
        <v>63</v>
      </c>
      <c r="K570" s="354">
        <f t="shared" ca="1" si="29"/>
        <v>-1.7865437180908175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-3185.8689761370379</v>
      </c>
      <c r="J571" s="231" t="s">
        <v>63</v>
      </c>
      <c r="K571" s="354">
        <f t="shared" ca="1" si="29"/>
        <v>-3.185868976137038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-4398.6353658646021</v>
      </c>
      <c r="J572" s="231" t="s">
        <v>63</v>
      </c>
      <c r="K572" s="354">
        <f t="shared" ca="1" si="29"/>
        <v>-4.3986353658646022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-5424.8352405599999</v>
      </c>
      <c r="J573" s="231" t="s">
        <v>63</v>
      </c>
      <c r="K573" s="354">
        <f t="shared" ca="1" si="29"/>
        <v>-5.4248352405600002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-6264.462133086161</v>
      </c>
      <c r="J574" s="231" t="s">
        <v>63</v>
      </c>
      <c r="K574" s="354">
        <f t="shared" ca="1" si="29"/>
        <v>-6.2644621330861607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-6917.510754301089</v>
      </c>
      <c r="J575" s="231" t="s">
        <v>63</v>
      </c>
      <c r="K575" s="354">
        <f t="shared" ca="1" si="29"/>
        <v>-6.9175107543010892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-7383.9769917657277</v>
      </c>
      <c r="J576" s="231" t="s">
        <v>63</v>
      </c>
      <c r="K576" s="354">
        <f t="shared" ca="1" si="29"/>
        <v>-7.3839769917657279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-7663.8579087400176</v>
      </c>
      <c r="J577" s="231" t="s">
        <v>63</v>
      </c>
      <c r="K577" s="354">
        <f t="shared" ca="1" si="29"/>
        <v>-7.6638579087400176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-7757.151743466382</v>
      </c>
      <c r="J578" s="231" t="s">
        <v>63</v>
      </c>
      <c r="K578" s="354">
        <f t="shared" ca="1" si="29"/>
        <v>-7.7571517434663821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-7663.8579087400176</v>
      </c>
      <c r="J579" s="231" t="s">
        <v>63</v>
      </c>
      <c r="K579" s="354">
        <f t="shared" ref="K579:K588" ca="1" si="31">I579/1000</f>
        <v>-7.6638579087400176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-7383.9769917657259</v>
      </c>
      <c r="J580" s="231" t="s">
        <v>63</v>
      </c>
      <c r="K580" s="354">
        <f t="shared" ca="1" si="31"/>
        <v>-7.3839769917657261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-6917.5107543010872</v>
      </c>
      <c r="J581" s="231" t="s">
        <v>63</v>
      </c>
      <c r="K581" s="354">
        <f t="shared" ca="1" si="31"/>
        <v>-6.9175107543010874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-6264.4621330861592</v>
      </c>
      <c r="J582" s="231" t="s">
        <v>63</v>
      </c>
      <c r="K582" s="354">
        <f t="shared" ca="1" si="31"/>
        <v>-6.264462133086159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-5424.8352405599971</v>
      </c>
      <c r="J583" s="231" t="s">
        <v>63</v>
      </c>
      <c r="K583" s="354">
        <f t="shared" ca="1" si="31"/>
        <v>-5.4248352405599976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-4398.6353658646021</v>
      </c>
      <c r="J584" s="231" t="s">
        <v>63</v>
      </c>
      <c r="K584" s="354">
        <f t="shared" ca="1" si="31"/>
        <v>-4.3986353658646022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-3185.868976137036</v>
      </c>
      <c r="J585" s="231" t="s">
        <v>63</v>
      </c>
      <c r="K585" s="354">
        <f t="shared" ca="1" si="31"/>
        <v>-3.1858689761370362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-1786.5437180908134</v>
      </c>
      <c r="J586" s="231" t="s">
        <v>63</v>
      </c>
      <c r="K586" s="354">
        <f t="shared" ca="1" si="31"/>
        <v>-1.7865437180908135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-200.66841988774479</v>
      </c>
      <c r="J587" s="231" t="s">
        <v>63</v>
      </c>
      <c r="K587" s="355">
        <f t="shared" ca="1" si="31"/>
        <v>-0.20066841988774478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38" t="s">
        <v>197</v>
      </c>
      <c r="I590" s="638"/>
      <c r="J590" s="638"/>
      <c r="K590" s="638"/>
      <c r="L590" s="638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-6295.2494818031646</v>
      </c>
      <c r="J592" s="231" t="s">
        <v>63</v>
      </c>
      <c r="K592" s="353">
        <f ca="1">I592/1000</f>
        <v>-6.2952494818031646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-9174.6129992084861</v>
      </c>
      <c r="J593" s="231" t="s">
        <v>63</v>
      </c>
      <c r="K593" s="354">
        <f ca="1">I593/1000</f>
        <v>-9.1746129992084864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-7623.9908691876408</v>
      </c>
      <c r="J594" s="231" t="s">
        <v>63</v>
      </c>
      <c r="K594" s="354">
        <f t="shared" ref="K594:K611" ca="1" si="33">I594/1000</f>
        <v>-7.623990869187641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-6280.0372678813892</v>
      </c>
      <c r="J595" s="231" t="s">
        <v>63</v>
      </c>
      <c r="K595" s="354">
        <f t="shared" ca="1" si="33"/>
        <v>-6.2800372678813892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-5142.7869662203248</v>
      </c>
      <c r="J596" s="231" t="s">
        <v>63</v>
      </c>
      <c r="K596" s="354">
        <f t="shared" ca="1" si="33"/>
        <v>-5.1427869662203252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-4212.269371396691</v>
      </c>
      <c r="J597" s="231" t="s">
        <v>63</v>
      </c>
      <c r="K597" s="354">
        <f t="shared" ca="1" si="33"/>
        <v>-4.2122693713966912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-3488.5085340551232</v>
      </c>
      <c r="J598" s="231" t="s">
        <v>63</v>
      </c>
      <c r="K598" s="354">
        <f t="shared" ca="1" si="33"/>
        <v>-3.4885085340551232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-2971.5231541682078</v>
      </c>
      <c r="J599" s="231" t="s">
        <v>63</v>
      </c>
      <c r="K599" s="354">
        <f t="shared" ca="1" si="33"/>
        <v>-2.9715231541682079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-2661.3265856015942</v>
      </c>
      <c r="J600" s="231" t="s">
        <v>63</v>
      </c>
      <c r="K600" s="354">
        <f t="shared" ca="1" si="33"/>
        <v>-2.6613265856015942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-2557.9268393720813</v>
      </c>
      <c r="J601" s="231" t="s">
        <v>63</v>
      </c>
      <c r="K601" s="354">
        <f t="shared" ca="1" si="33"/>
        <v>-2.5579268393720813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-2661.3265856015942</v>
      </c>
      <c r="J602" s="231" t="s">
        <v>63</v>
      </c>
      <c r="K602" s="354">
        <f t="shared" ca="1" si="33"/>
        <v>-2.6613265856015942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-2971.523154168216</v>
      </c>
      <c r="J603" s="231" t="s">
        <v>63</v>
      </c>
      <c r="K603" s="354">
        <f t="shared" ca="1" si="33"/>
        <v>-2.9715231541682159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-3488.508534055125</v>
      </c>
      <c r="J604" s="231" t="s">
        <v>63</v>
      </c>
      <c r="K604" s="354">
        <f t="shared" ca="1" si="33"/>
        <v>-3.488508534055125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-4212.2693713966955</v>
      </c>
      <c r="J605" s="231" t="s">
        <v>63</v>
      </c>
      <c r="K605" s="354">
        <f t="shared" ca="1" si="33"/>
        <v>-4.2122693713966957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-5142.7869662203266</v>
      </c>
      <c r="J606" s="231" t="s">
        <v>63</v>
      </c>
      <c r="K606" s="354">
        <f t="shared" ca="1" si="33"/>
        <v>-5.1427869662203269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-6280.037267881391</v>
      </c>
      <c r="J607" s="231" t="s">
        <v>63</v>
      </c>
      <c r="K607" s="354">
        <f t="shared" ca="1" si="33"/>
        <v>-6.2800372678813909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-7623.9908691876426</v>
      </c>
      <c r="J608" s="231" t="s">
        <v>63</v>
      </c>
      <c r="K608" s="354">
        <f t="shared" ca="1" si="33"/>
        <v>-7.6239908691876428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-9174.6129992084898</v>
      </c>
      <c r="J609" s="231" t="s">
        <v>63</v>
      </c>
      <c r="K609" s="354">
        <f t="shared" ca="1" si="33"/>
        <v>-9.1746129992084899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-6295.2494818031646</v>
      </c>
      <c r="J610" s="231" t="s">
        <v>63</v>
      </c>
      <c r="K610" s="355">
        <f t="shared" ca="1" si="33"/>
        <v>-6.2952494818031646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35" t="s">
        <v>149</v>
      </c>
      <c r="H638" s="635"/>
      <c r="I638" s="635"/>
      <c r="J638" s="635"/>
      <c r="K638" s="635"/>
      <c r="L638" s="635"/>
      <c r="M638" s="635"/>
      <c r="N638" s="635"/>
    </row>
    <row r="639" spans="7:17" x14ac:dyDescent="0.25">
      <c r="L639" s="144"/>
      <c r="M639" s="144"/>
      <c r="N639" s="144"/>
    </row>
    <row r="640" spans="7:17" x14ac:dyDescent="0.25">
      <c r="H640" s="638" t="s">
        <v>200</v>
      </c>
      <c r="I640" s="638"/>
      <c r="J640" s="638"/>
      <c r="K640" s="638"/>
      <c r="L640" s="638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685.61276063234357</v>
      </c>
      <c r="J642" s="231" t="s">
        <v>63</v>
      </c>
      <c r="K642" s="353">
        <f t="shared" ref="K642:K651" ca="1" si="34">I642/1000</f>
        <v>0.68561276063234355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-107.27411289486284</v>
      </c>
      <c r="J643" s="231" t="s">
        <v>63</v>
      </c>
      <c r="K643" s="354">
        <f t="shared" ca="1" si="34"/>
        <v>-0.10727411289486284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-806.90370210943513</v>
      </c>
      <c r="J644" s="231" t="s">
        <v>63</v>
      </c>
      <c r="K644" s="354">
        <f t="shared" ca="1" si="34"/>
        <v>-0.80690370210943518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-1413.2671788495713</v>
      </c>
      <c r="J645" s="231" t="s">
        <v>63</v>
      </c>
      <c r="K645" s="354">
        <f t="shared" ca="1" si="34"/>
        <v>-1.4132671788495714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-1926.3568964017597</v>
      </c>
      <c r="J646" s="231" t="s">
        <v>63</v>
      </c>
      <c r="K646" s="354">
        <f t="shared" ca="1" si="34"/>
        <v>-1.9263568964017597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-2346.1663876289331</v>
      </c>
      <c r="J647" s="231" t="s">
        <v>63</v>
      </c>
      <c r="K647" s="354">
        <f t="shared" ca="1" si="34"/>
        <v>-2.3461663876289331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-2672.6903633890915</v>
      </c>
      <c r="J648" s="231" t="s">
        <v>63</v>
      </c>
      <c r="K648" s="354">
        <f t="shared" ca="1" si="34"/>
        <v>-2.6726903633890915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-2905.9247112431804</v>
      </c>
      <c r="J649" s="231" t="s">
        <v>63</v>
      </c>
      <c r="K649" s="354">
        <f t="shared" ca="1" si="34"/>
        <v>-2.9059247112431805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-3045.8664944511429</v>
      </c>
      <c r="J650" s="231" t="s">
        <v>63</v>
      </c>
      <c r="K650" s="354">
        <f t="shared" ca="1" si="34"/>
        <v>-3.0458664944511429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-3092.5139512553951</v>
      </c>
      <c r="J651" s="231" t="s">
        <v>63</v>
      </c>
      <c r="K651" s="354">
        <f t="shared" ca="1" si="34"/>
        <v>-3.0925139512553952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-3045.8664944511429</v>
      </c>
      <c r="J652" s="231" t="s">
        <v>63</v>
      </c>
      <c r="K652" s="354">
        <f t="shared" ref="K652:K661" ca="1" si="36">I652/1000</f>
        <v>-3.0458664944511429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-2905.9247112431794</v>
      </c>
      <c r="J653" s="231" t="s">
        <v>63</v>
      </c>
      <c r="K653" s="354">
        <f t="shared" ca="1" si="36"/>
        <v>-2.9059247112431796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-2672.6903633890906</v>
      </c>
      <c r="J654" s="231" t="s">
        <v>63</v>
      </c>
      <c r="K654" s="354">
        <f t="shared" ca="1" si="36"/>
        <v>-2.6726903633890906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-2346.1663876289322</v>
      </c>
      <c r="J655" s="231" t="s">
        <v>63</v>
      </c>
      <c r="K655" s="354">
        <f t="shared" ca="1" si="36"/>
        <v>-2.3461663876289323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-1926.3568964017586</v>
      </c>
      <c r="J656" s="231" t="s">
        <v>63</v>
      </c>
      <c r="K656" s="354">
        <f t="shared" ca="1" si="36"/>
        <v>-1.9263568964017586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-1413.2671788495704</v>
      </c>
      <c r="J657" s="231" t="s">
        <v>63</v>
      </c>
      <c r="K657" s="354">
        <f t="shared" ca="1" si="36"/>
        <v>-1.4132671788495705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-806.90370210943354</v>
      </c>
      <c r="J658" s="231" t="s">
        <v>63</v>
      </c>
      <c r="K658" s="354">
        <f t="shared" ca="1" si="36"/>
        <v>-0.80690370210943352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-107.27411289486068</v>
      </c>
      <c r="J659" s="231" t="s">
        <v>63</v>
      </c>
      <c r="K659" s="354">
        <f t="shared" ca="1" si="36"/>
        <v>-0.10727411289486068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685.61276063234357</v>
      </c>
      <c r="J660" s="231" t="s">
        <v>63</v>
      </c>
      <c r="K660" s="355">
        <f t="shared" ca="1" si="36"/>
        <v>0.68561276063234355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38" t="s">
        <v>198</v>
      </c>
      <c r="I664" s="638"/>
      <c r="J664" s="638"/>
      <c r="K664" s="638"/>
      <c r="L664" s="638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-7500.0757292301814</v>
      </c>
      <c r="J666" s="231" t="s">
        <v>63</v>
      </c>
      <c r="K666" s="353">
        <f t="shared" ref="K666:K675" ca="1" si="37">I666/1000</f>
        <v>-7.5000757292301818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-11457.441678543886</v>
      </c>
      <c r="J667" s="231" t="s">
        <v>63</v>
      </c>
      <c r="K667" s="354">
        <f t="shared" ca="1" si="37"/>
        <v>-11.457441678543885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-10857.998164912791</v>
      </c>
      <c r="J668" s="231" t="s">
        <v>63</v>
      </c>
      <c r="K668" s="354">
        <f t="shared" ca="1" si="37"/>
        <v>-10.857998164912791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-10338.399364477658</v>
      </c>
      <c r="J669" s="231" t="s">
        <v>63</v>
      </c>
      <c r="K669" s="354">
        <f t="shared" ca="1" si="37"/>
        <v>-10.338399364477658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-9898.6800481690771</v>
      </c>
      <c r="J670" s="231" t="s">
        <v>63</v>
      </c>
      <c r="K670" s="354">
        <f t="shared" ca="1" si="37"/>
        <v>-9.8986800481690764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-9538.8696231792928</v>
      </c>
      <c r="J671" s="231" t="s">
        <v>63</v>
      </c>
      <c r="K671" s="354">
        <f t="shared" ca="1" si="37"/>
        <v>-9.5388696231792931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-9258.9921401529427</v>
      </c>
      <c r="J672" s="231" t="s">
        <v>63</v>
      </c>
      <c r="K672" s="354">
        <f t="shared" ca="1" si="37"/>
        <v>-9.2589921401529427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-9059.0662990626115</v>
      </c>
      <c r="J673" s="231" t="s">
        <v>63</v>
      </c>
      <c r="K673" s="354">
        <f t="shared" ca="1" si="37"/>
        <v>-9.0590662990626107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-8939.1054537739456</v>
      </c>
      <c r="J674" s="231" t="s">
        <v>63</v>
      </c>
      <c r="K674" s="354">
        <f t="shared" ca="1" si="37"/>
        <v>-8.9391054537739461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-8899.1176153037522</v>
      </c>
      <c r="J675" s="231" t="s">
        <v>63</v>
      </c>
      <c r="K675" s="354">
        <f t="shared" ca="1" si="37"/>
        <v>-8.8991176153037514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-8939.1054537739456</v>
      </c>
      <c r="J676" s="231" t="s">
        <v>63</v>
      </c>
      <c r="K676" s="354">
        <f t="shared" ref="K676:K685" ca="1" si="39">I676/1000</f>
        <v>-8.9391054537739461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-9059.066299062617</v>
      </c>
      <c r="J677" s="231" t="s">
        <v>63</v>
      </c>
      <c r="K677" s="354">
        <f t="shared" ca="1" si="39"/>
        <v>-9.0590662990626178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-9258.9921401529427</v>
      </c>
      <c r="J678" s="231" t="s">
        <v>63</v>
      </c>
      <c r="K678" s="354">
        <f t="shared" ca="1" si="39"/>
        <v>-9.2589921401529427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-9538.8696231792965</v>
      </c>
      <c r="J679" s="231" t="s">
        <v>63</v>
      </c>
      <c r="K679" s="354">
        <f t="shared" ca="1" si="39"/>
        <v>-9.5388696231792967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-9898.6800481690771</v>
      </c>
      <c r="J680" s="231" t="s">
        <v>63</v>
      </c>
      <c r="K680" s="354">
        <f t="shared" ca="1" si="39"/>
        <v>-9.8986800481690764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-10338.39936447766</v>
      </c>
      <c r="J681" s="231" t="s">
        <v>63</v>
      </c>
      <c r="K681" s="354">
        <f t="shared" ca="1" si="39"/>
        <v>-10.33839936447766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-10857.998164912793</v>
      </c>
      <c r="J682" s="231" t="s">
        <v>63</v>
      </c>
      <c r="K682" s="354">
        <f t="shared" ca="1" si="39"/>
        <v>-10.857998164912793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-11457.441678543888</v>
      </c>
      <c r="J683" s="231" t="s">
        <v>63</v>
      </c>
      <c r="K683" s="354">
        <f t="shared" ca="1" si="39"/>
        <v>-11.457441678543889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-7500.0757292301832</v>
      </c>
      <c r="J684" s="231" t="s">
        <v>63</v>
      </c>
      <c r="K684" s="355">
        <f t="shared" ca="1" si="39"/>
        <v>-7.5000757292301836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70" t="s">
        <v>149</v>
      </c>
      <c r="J713" s="670"/>
      <c r="K713" s="670"/>
      <c r="L713" s="670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56" t="str">
        <f>IF($I$16="1 - Retângular","Ok",IF((#REF!/100)&lt;J715,"OBS: Valor da linha neutra é MAIOR que hf1 - armadura ativa necessita verificação","Ok"))</f>
        <v>Ok</v>
      </c>
      <c r="M716" s="656"/>
      <c r="N716" s="656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56"/>
      <c r="M717" s="656"/>
      <c r="N717" s="656"/>
    </row>
    <row r="718" spans="9:17" hidden="1" x14ac:dyDescent="0.25">
      <c r="J718" s="121"/>
      <c r="K718" s="231"/>
      <c r="L718" s="656"/>
      <c r="M718" s="656"/>
      <c r="N718" s="656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70" t="s">
        <v>155</v>
      </c>
      <c r="J722" s="670"/>
      <c r="K722" s="670"/>
      <c r="L722" s="670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56" t="str">
        <f>IF($I$16="1 - Retângular","Ok",IF((#REF!/100)&lt;J724,"OBS: Valor da linha neutra é MAIOR que hf1 - armadura ativa necessita verificação","Ok"))</f>
        <v>Ok</v>
      </c>
      <c r="M725" s="656"/>
      <c r="N725" s="656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56"/>
      <c r="M726" s="656"/>
      <c r="N726" s="656"/>
    </row>
    <row r="727" spans="7:17" hidden="1" x14ac:dyDescent="0.25">
      <c r="J727" s="121"/>
      <c r="L727" s="656"/>
      <c r="M727" s="656"/>
      <c r="N727" s="656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43" t="s">
        <v>166</v>
      </c>
      <c r="H730" s="643"/>
      <c r="I730" s="643"/>
      <c r="L730" s="144"/>
      <c r="M730" s="144"/>
      <c r="N730" s="144"/>
      <c r="O730" s="144"/>
      <c r="P730" s="144"/>
      <c r="Q730" s="144"/>
    </row>
    <row r="731" spans="7:17" hidden="1" x14ac:dyDescent="0.25">
      <c r="G731" s="644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44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44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44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35" t="s">
        <v>441</v>
      </c>
      <c r="H736" s="635"/>
      <c r="I736" s="635"/>
      <c r="J736" s="635"/>
      <c r="K736" s="635"/>
      <c r="L736" s="635"/>
      <c r="M736" s="635"/>
      <c r="N736" s="635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45" t="s">
        <v>167</v>
      </c>
      <c r="H738" s="646"/>
      <c r="I738" s="646"/>
      <c r="J738" s="646"/>
      <c r="K738" s="646"/>
      <c r="L738" s="646"/>
      <c r="M738" s="646"/>
      <c r="N738" s="647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0.42449999999999999</v>
      </c>
      <c r="I740" s="119">
        <f>(($H$21/100)/20)+$H$740</f>
        <v>0.84899999999999998</v>
      </c>
      <c r="J740" s="119">
        <f>(($H$21/100)/20)+$I$740</f>
        <v>1.2734999999999999</v>
      </c>
      <c r="K740" s="119">
        <f>(($H$21/100)/20)+$J$740</f>
        <v>1.698</v>
      </c>
      <c r="L740" s="119">
        <f>(($H$21/100)/20)+$K$740</f>
        <v>2.1225000000000001</v>
      </c>
      <c r="M740" s="119">
        <f>(($H$21/100)/20)+$L$740</f>
        <v>2.5470000000000002</v>
      </c>
      <c r="N740" s="119">
        <f>(($H$21/100)/20)+$M$740</f>
        <v>2.9715000000000003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8.1057010183276059</v>
      </c>
      <c r="I741" s="144">
        <f t="shared" ca="1" si="41"/>
        <v>15.358170350515463</v>
      </c>
      <c r="J741" s="144">
        <f t="shared" ca="1" si="41"/>
        <v>21.757407996563568</v>
      </c>
      <c r="K741" s="144">
        <f t="shared" ca="1" si="41"/>
        <v>27.303413956471935</v>
      </c>
      <c r="L741" s="144">
        <f t="shared" ca="1" si="41"/>
        <v>31.996188230240548</v>
      </c>
      <c r="M741" s="144">
        <f t="shared" ca="1" si="41"/>
        <v>35.835730817869418</v>
      </c>
      <c r="N741" s="144">
        <f t="shared" ca="1" si="41"/>
        <v>38.822041719358531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3.3960000000000004</v>
      </c>
      <c r="H743" s="119">
        <f>(($H$21/100)/20)+$G$743</f>
        <v>3.8205000000000005</v>
      </c>
      <c r="I743" s="119">
        <f>(($H$21/100)/20)+$H$743</f>
        <v>4.2450000000000001</v>
      </c>
      <c r="J743" s="119">
        <f>(($H$21/100)/20)+$I$743</f>
        <v>4.6695000000000002</v>
      </c>
      <c r="K743" s="119">
        <f>(($H$21/100)/20)+$J$743</f>
        <v>5.0940000000000003</v>
      </c>
      <c r="L743" s="119">
        <f>(($H$21/100)/20)+$K$743</f>
        <v>5.5185000000000004</v>
      </c>
      <c r="M743" s="119">
        <f>(($H$21/100)/20)+$L$743</f>
        <v>5.9430000000000005</v>
      </c>
      <c r="N743" s="119">
        <f>(($H$21/100)/20)+$M$743</f>
        <v>6.3675000000000006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40.955120934707907</v>
      </c>
      <c r="H744" s="144">
        <f t="shared" ca="1" si="42"/>
        <v>42.234968463917525</v>
      </c>
      <c r="I744" s="144">
        <f t="shared" ca="1" si="42"/>
        <v>42.6615843069874</v>
      </c>
      <c r="J744" s="144">
        <f t="shared" ca="1" si="42"/>
        <v>42.234968463917518</v>
      </c>
      <c r="K744" s="144">
        <f t="shared" ca="1" si="42"/>
        <v>40.955120934707907</v>
      </c>
      <c r="L744" s="144">
        <f t="shared" ca="1" si="42"/>
        <v>38.822041719358523</v>
      </c>
      <c r="M744" s="144">
        <f t="shared" ca="1" si="42"/>
        <v>35.835730817869404</v>
      </c>
      <c r="N744" s="144">
        <f t="shared" ca="1" si="42"/>
        <v>31.996188230240548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6.7920000000000007</v>
      </c>
      <c r="H746" s="119">
        <f>(($H$21/100)/20)+$G$746</f>
        <v>7.2165000000000008</v>
      </c>
      <c r="I746" s="119">
        <f>(($H$21/100)/20)+$H$746</f>
        <v>7.6410000000000009</v>
      </c>
      <c r="J746" s="119">
        <f>(($H$21/100)/20)+$I$746</f>
        <v>8.0655000000000001</v>
      </c>
      <c r="K746" s="119">
        <f>(($H$21/100)/20)+$J$746</f>
        <v>8.49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27.303413956471942</v>
      </c>
      <c r="H747" s="144">
        <f ca="1">($I$73*($H$21/100)*H746/2)-($I$73*H746^2/2)</f>
        <v>21.757407996563572</v>
      </c>
      <c r="I747" s="144">
        <f ca="1">($I$73*($H$21/100)*I746/2)-($I$73*I746^2/2)</f>
        <v>15.358170350515451</v>
      </c>
      <c r="J747" s="144">
        <f ca="1">($I$73*($H$21/100)*J746/2)-($I$73*J746^2/2)</f>
        <v>8.1057010183276361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1121.5482292359472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1375.3592794850445</v>
      </c>
      <c r="I749" s="231" t="s">
        <v>96</v>
      </c>
      <c r="J749" s="239">
        <f ca="1">-H749/(H36/100^2)-(H750/(H40/100^3))</f>
        <v>-16705.246579571634</v>
      </c>
      <c r="K749" s="375">
        <f ca="1">J749/1000</f>
        <v>-16.705246579571636</v>
      </c>
      <c r="L749" s="144"/>
      <c r="M749" s="144">
        <f ca="1">M748/H36</f>
        <v>0.59216996560964918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135.18506357487277</v>
      </c>
      <c r="I750" s="231" t="s">
        <v>96</v>
      </c>
      <c r="J750" s="239">
        <f ca="1">-H749/(H36/100^2)+(H750/(H40/100^3))</f>
        <v>2181.6365197811465</v>
      </c>
      <c r="K750" s="375">
        <f ca="1">J750/1000</f>
        <v>2.1816365197811467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38" t="s">
        <v>181</v>
      </c>
      <c r="I753" s="638"/>
      <c r="J753" s="638"/>
      <c r="K753" s="638"/>
      <c r="L753" s="638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1541.3437977838282</v>
      </c>
      <c r="J755" s="231" t="s">
        <v>63</v>
      </c>
      <c r="K755" s="353">
        <f t="shared" ref="K755:K763" ca="1" si="43">I755/1000</f>
        <v>1.5413437977838282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1050.2620031995739</v>
      </c>
      <c r="J756" s="231" t="s">
        <v>63</v>
      </c>
      <c r="K756" s="354">
        <f t="shared" ca="1" si="43"/>
        <v>1.050262003199574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616.95453738993479</v>
      </c>
      <c r="J757" s="231" t="s">
        <v>63</v>
      </c>
      <c r="K757" s="354">
        <f t="shared" ca="1" si="43"/>
        <v>0.61695453738993478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241.42140035491593</v>
      </c>
      <c r="J758" s="231" t="s">
        <v>63</v>
      </c>
      <c r="K758" s="354">
        <f t="shared" ca="1" si="43"/>
        <v>0.24142140035491594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-76.337407905484724</v>
      </c>
      <c r="J759" s="231" t="s">
        <v>63</v>
      </c>
      <c r="K759" s="354">
        <f t="shared" ca="1" si="43"/>
        <v>-7.6337407905484725E-2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-336.3218873912665</v>
      </c>
      <c r="J760" s="231" t="s">
        <v>63</v>
      </c>
      <c r="K760" s="354">
        <f t="shared" ca="1" si="43"/>
        <v>-0.33632188739126651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-538.53203810242849</v>
      </c>
      <c r="J761" s="231" t="s">
        <v>63</v>
      </c>
      <c r="K761" s="354">
        <f t="shared" ca="1" si="43"/>
        <v>-0.53853203810242845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-682.96786003897705</v>
      </c>
      <c r="J762" s="231" t="s">
        <v>63</v>
      </c>
      <c r="K762" s="354">
        <f t="shared" ca="1" si="43"/>
        <v>-0.68296786003897703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-769.62935320090492</v>
      </c>
      <c r="J763" s="231" t="s">
        <v>63</v>
      </c>
      <c r="K763" s="354">
        <f t="shared" ca="1" si="43"/>
        <v>-0.76962935320090486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-798.51651758821299</v>
      </c>
      <c r="J764" s="231" t="s">
        <v>63</v>
      </c>
      <c r="K764" s="354">
        <f ca="1">I764/1000</f>
        <v>-0.79851651758821296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-769.62935320090446</v>
      </c>
      <c r="J765" s="231" t="s">
        <v>63</v>
      </c>
      <c r="K765" s="354">
        <f t="shared" ref="K765:K774" ca="1" si="45">I765/1000</f>
        <v>-0.76962935320090442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-682.96786003897705</v>
      </c>
      <c r="J766" s="231" t="s">
        <v>63</v>
      </c>
      <c r="K766" s="354">
        <f t="shared" ca="1" si="45"/>
        <v>-0.68296786003897703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-538.53203810242803</v>
      </c>
      <c r="J767" s="231" t="s">
        <v>63</v>
      </c>
      <c r="K767" s="354">
        <f t="shared" ca="1" si="45"/>
        <v>-0.538532038102428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-336.32188739126559</v>
      </c>
      <c r="J768" s="231" t="s">
        <v>63</v>
      </c>
      <c r="K768" s="354">
        <f t="shared" ca="1" si="45"/>
        <v>-0.33632188739126562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-76.337407905484724</v>
      </c>
      <c r="J769" s="231" t="s">
        <v>63</v>
      </c>
      <c r="K769" s="354">
        <f t="shared" ca="1" si="45"/>
        <v>-7.6337407905484725E-2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241.42140035491548</v>
      </c>
      <c r="J770" s="231" t="s">
        <v>63</v>
      </c>
      <c r="K770" s="354">
        <f t="shared" ca="1" si="45"/>
        <v>0.24142140035491547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616.95453738993456</v>
      </c>
      <c r="J771" s="231" t="s">
        <v>63</v>
      </c>
      <c r="K771" s="354">
        <f t="shared" ca="1" si="45"/>
        <v>0.61695453738993455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1050.2620031995748</v>
      </c>
      <c r="J772" s="231" t="s">
        <v>63</v>
      </c>
      <c r="K772" s="354">
        <f t="shared" ca="1" si="45"/>
        <v>1.0502620031995749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1541.3437977838262</v>
      </c>
      <c r="J773" s="231" t="s">
        <v>63</v>
      </c>
      <c r="K773" s="355">
        <f t="shared" ca="1" si="45"/>
        <v>1.5413437977838262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38" t="s">
        <v>168</v>
      </c>
      <c r="I776" s="638"/>
      <c r="J776" s="638"/>
      <c r="K776" s="638"/>
      <c r="L776" s="638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-9907.8173719043843</v>
      </c>
      <c r="J778" s="231" t="s">
        <v>63</v>
      </c>
      <c r="K778" s="353">
        <f t="shared" ref="K778:K787" ca="1" si="46">I778/1000</f>
        <v>-9.9078173719043843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-15144.628673423013</v>
      </c>
      <c r="J779" s="231" t="s">
        <v>63</v>
      </c>
      <c r="K779" s="354">
        <f t="shared" ca="1" si="46"/>
        <v>-15.144628673423012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-14749.431811240236</v>
      </c>
      <c r="J780" s="231" t="s">
        <v>63</v>
      </c>
      <c r="K780" s="354">
        <f t="shared" ca="1" si="46"/>
        <v>-14.749431811240235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-14406.927864015164</v>
      </c>
      <c r="J781" s="231" t="s">
        <v>63</v>
      </c>
      <c r="K781" s="354">
        <f t="shared" ca="1" si="46"/>
        <v>-14.406927864015165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-14117.116831747795</v>
      </c>
      <c r="J782" s="231" t="s">
        <v>63</v>
      </c>
      <c r="K782" s="354">
        <f t="shared" ca="1" si="46"/>
        <v>-14.117116831747795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-13879.998714438127</v>
      </c>
      <c r="J783" s="231" t="s">
        <v>63</v>
      </c>
      <c r="K783" s="354">
        <f t="shared" ca="1" si="46"/>
        <v>-13.879998714438127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-13695.57351208617</v>
      </c>
      <c r="J784" s="231" t="s">
        <v>63</v>
      </c>
      <c r="K784" s="354">
        <f t="shared" ca="1" si="46"/>
        <v>-13.69557351208617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-13563.841224691907</v>
      </c>
      <c r="J785" s="231" t="s">
        <v>63</v>
      </c>
      <c r="K785" s="354">
        <f t="shared" ca="1" si="46"/>
        <v>-13.563841224691908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-13484.801852255354</v>
      </c>
      <c r="J786" s="231" t="s">
        <v>63</v>
      </c>
      <c r="K786" s="354">
        <f t="shared" ca="1" si="46"/>
        <v>-13.484801852255353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-13458.455394776503</v>
      </c>
      <c r="J787" s="231" t="s">
        <v>63</v>
      </c>
      <c r="K787" s="354">
        <f t="shared" ca="1" si="46"/>
        <v>-13.458455394776504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-13484.801852255354</v>
      </c>
      <c r="J788" s="231" t="s">
        <v>63</v>
      </c>
      <c r="K788" s="354">
        <f t="shared" ref="K788:K797" ca="1" si="48">I788/1000</f>
        <v>-13.484801852255353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-13563.841224691907</v>
      </c>
      <c r="J789" s="231" t="s">
        <v>63</v>
      </c>
      <c r="K789" s="354">
        <f t="shared" ca="1" si="48"/>
        <v>-13.563841224691908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-13695.57351208617</v>
      </c>
      <c r="J790" s="231" t="s">
        <v>63</v>
      </c>
      <c r="K790" s="354">
        <f t="shared" ca="1" si="48"/>
        <v>-13.69557351208617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-13879.998714438127</v>
      </c>
      <c r="J791" s="231" t="s">
        <v>63</v>
      </c>
      <c r="K791" s="354">
        <f t="shared" ca="1" si="48"/>
        <v>-13.879998714438127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-14117.116831747795</v>
      </c>
      <c r="J792" s="231" t="s">
        <v>63</v>
      </c>
      <c r="K792" s="354">
        <f t="shared" ca="1" si="48"/>
        <v>-14.117116831747795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-14406.927864015164</v>
      </c>
      <c r="J793" s="231" t="s">
        <v>63</v>
      </c>
      <c r="K793" s="354">
        <f t="shared" ca="1" si="48"/>
        <v>-14.406927864015165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-14749.431811240236</v>
      </c>
      <c r="J794" s="231" t="s">
        <v>63</v>
      </c>
      <c r="K794" s="354">
        <f t="shared" ca="1" si="48"/>
        <v>-14.749431811240235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-15144.628673423013</v>
      </c>
      <c r="J795" s="231" t="s">
        <v>63</v>
      </c>
      <c r="K795" s="354">
        <f t="shared" ca="1" si="48"/>
        <v>-15.144628673423012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-9907.8173719043825</v>
      </c>
      <c r="J796" s="231" t="s">
        <v>63</v>
      </c>
      <c r="K796" s="355">
        <f t="shared" ca="1" si="48"/>
        <v>-9.9078173719043825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43" t="s">
        <v>180</v>
      </c>
      <c r="H821" s="643"/>
      <c r="I821" s="643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2.7712088110720966E-2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26.696159458186706</v>
      </c>
      <c r="K830" s="231" t="s">
        <v>96</v>
      </c>
      <c r="L830" s="656" t="str">
        <f>IF($I$16="1 - Retângular","Ok",IF((#REF!/100)&lt;J829,"OBS: Valor da linha neutra é MAIOR que hf1 - armadura ativa necessita verificação","Ok"))</f>
        <v>Ok</v>
      </c>
      <c r="M830" s="656"/>
      <c r="N830" s="656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1.2280233350765883</v>
      </c>
      <c r="K831" s="231" t="s">
        <v>14</v>
      </c>
      <c r="L831" s="656"/>
      <c r="M831" s="656"/>
      <c r="N831" s="656"/>
      <c r="T831" s="118"/>
    </row>
    <row r="832" spans="7:20" ht="15.75" hidden="1" customHeight="1" x14ac:dyDescent="0.25">
      <c r="J832" s="121"/>
      <c r="L832" s="656"/>
      <c r="M832" s="656"/>
      <c r="N832" s="656"/>
      <c r="T832" s="118"/>
    </row>
    <row r="833" spans="8:20" ht="15.75" hidden="1" customHeight="1" x14ac:dyDescent="0.25">
      <c r="I833" s="209">
        <f ca="1">ROUNDUP(J831/VLOOKUP(K833,$M$836:$N$843,2),0)</f>
        <v>2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62" t="s">
        <v>188</v>
      </c>
      <c r="J836" s="662"/>
      <c r="K836" s="662"/>
      <c r="L836" s="662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63"/>
      <c r="J837" s="663"/>
      <c r="K837" s="663"/>
      <c r="L837" s="663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64"/>
      <c r="J838" s="664"/>
      <c r="K838" s="664"/>
      <c r="L838" s="664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65" t="s">
        <v>189</v>
      </c>
      <c r="J839" s="665"/>
      <c r="K839" s="665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43" t="s">
        <v>190</v>
      </c>
      <c r="J840" s="643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43">
        <v>25</v>
      </c>
      <c r="J841" s="643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43">
        <v>16</v>
      </c>
      <c r="J842" s="643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43">
        <v>12.5</v>
      </c>
      <c r="J843" s="643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43">
        <v>8</v>
      </c>
      <c r="J844" s="643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20">
        <v>6</v>
      </c>
      <c r="J845" s="720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512.11255923243675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0.18670770388682589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0.6088489849333778</v>
      </c>
      <c r="I854" s="284" t="str">
        <f ca="1">IF(H855&gt;=H854,"Armadura simples","Armadura dupla")</f>
        <v>Armadura dupla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0.31424463738496922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0.87346799096827576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7.5726116337867335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67" t="str">
        <f ca="1">IF(H854&lt;H852,"Domínio 2",IF(AND(H854&gt;H852,H854&lt;H853),"Domínio 3",IF(H854&gt;H853,"Domínio 4")))</f>
        <v>Domínio 3</v>
      </c>
      <c r="K857" s="666" t="s">
        <v>183</v>
      </c>
      <c r="L857" s="259">
        <f ca="1">((H23+H30+H33-H144)/100)*L854</f>
        <v>0.19483167517868091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68"/>
      <c r="K858" s="666"/>
      <c r="L858" s="240">
        <f ca="1">L857*100</f>
        <v>19.48316751786809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35" t="s">
        <v>560</v>
      </c>
      <c r="H860" s="635"/>
      <c r="I860" s="635"/>
      <c r="J860" s="635"/>
      <c r="K860" s="635"/>
      <c r="L860" s="635"/>
      <c r="M860" s="635"/>
      <c r="N860" s="635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43" t="s">
        <v>561</v>
      </c>
      <c r="H862" s="643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43" t="s">
        <v>571</v>
      </c>
      <c r="H870" s="643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43" t="s">
        <v>573</v>
      </c>
      <c r="H878" s="643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12.16848866039906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12.258066896965698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12.258066896965698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52" t="s">
        <v>503</v>
      </c>
      <c r="J894" s="652"/>
      <c r="K894" s="652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57" t="s">
        <v>499</v>
      </c>
      <c r="J895" s="657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57"/>
      <c r="J896" s="657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58">
        <f ca="1">H888</f>
        <v>12.16848866039906</v>
      </c>
      <c r="J897" s="658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149.46739546415964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35" t="s">
        <v>574</v>
      </c>
      <c r="H907" s="635"/>
      <c r="I907" s="635"/>
      <c r="J907" s="635"/>
      <c r="K907" s="635"/>
      <c r="L907" s="635"/>
      <c r="M907" s="635"/>
      <c r="N907" s="635"/>
    </row>
    <row r="908" spans="7:35" hidden="1" x14ac:dyDescent="0.25"/>
    <row r="909" spans="7:35" hidden="1" x14ac:dyDescent="0.25">
      <c r="G909" s="643" t="s">
        <v>466</v>
      </c>
      <c r="H909" s="643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919.17540532246517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4.5958770266123263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43" t="s">
        <v>433</v>
      </c>
      <c r="H914" s="643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367.4046226813208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1.8370231134066042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35" t="s">
        <v>442</v>
      </c>
      <c r="H920" s="635"/>
      <c r="I920" s="635"/>
      <c r="J920" s="635"/>
      <c r="K920" s="635"/>
      <c r="L920" s="635"/>
      <c r="M920" s="635"/>
      <c r="N920" s="635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1375.3592794850445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161.36970916761246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305.91979383805995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42.6615843069874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1170.2351762991809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117.15585492159754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306.43098600342387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369.19852086389363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35" t="s">
        <v>232</v>
      </c>
      <c r="H943" s="635"/>
      <c r="I943" s="635"/>
      <c r="J943" s="635"/>
      <c r="K943" s="635"/>
      <c r="L943" s="635"/>
      <c r="M943" s="635"/>
      <c r="N943" s="635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69" t="s">
        <v>235</v>
      </c>
      <c r="I945" s="669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1476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1477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40" t="s">
        <v>262</v>
      </c>
      <c r="I951" s="264">
        <f ca="1">(5*I73*(H21/100)^4)/(384*(H37/100^4)*I947)</f>
        <v>4.9687725235061852E-3</v>
      </c>
      <c r="J951" s="231" t="s">
        <v>83</v>
      </c>
      <c r="K951" s="640" t="s">
        <v>233</v>
      </c>
      <c r="L951" s="264">
        <f ca="1">(5*I74*(H21/100)^4)/(384*(H37/100^4)*L949)</f>
        <v>4.8881458520698916E-4</v>
      </c>
      <c r="M951" s="231" t="s">
        <v>83</v>
      </c>
    </row>
    <row r="952" spans="8:14" hidden="1" x14ac:dyDescent="0.25">
      <c r="H952" s="641"/>
      <c r="I952" s="265">
        <f ca="1">I951*100</f>
        <v>0.49687725235061853</v>
      </c>
      <c r="J952" s="231" t="s">
        <v>80</v>
      </c>
      <c r="K952" s="641"/>
      <c r="L952" s="266">
        <f ca="1">L951*100</f>
        <v>4.8881458520698917E-2</v>
      </c>
      <c r="M952" s="231" t="s">
        <v>80</v>
      </c>
    </row>
    <row r="953" spans="8:14" hidden="1" x14ac:dyDescent="0.25">
      <c r="H953" s="642"/>
      <c r="I953" s="265">
        <f ca="1">I952*10</f>
        <v>4.9687725235061855</v>
      </c>
      <c r="J953" s="231" t="s">
        <v>187</v>
      </c>
      <c r="K953" s="642"/>
      <c r="L953" s="266">
        <f ca="1">L952*10</f>
        <v>0.48881458520698917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69" t="s">
        <v>242</v>
      </c>
      <c r="I958" s="669"/>
      <c r="K958" s="669" t="s">
        <v>243</v>
      </c>
      <c r="L958" s="669"/>
    </row>
    <row r="959" spans="8:14" hidden="1" x14ac:dyDescent="0.25"/>
    <row r="960" spans="8:14" hidden="1" x14ac:dyDescent="0.25">
      <c r="H960" s="115" t="s">
        <v>1478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40" t="s">
        <v>241</v>
      </c>
      <c r="I962" s="264">
        <f ca="1">(5*I75*(H21/100)^4)/(384*(H37/100^4)*I960)</f>
        <v>1.8427280181291005E-3</v>
      </c>
      <c r="J962" s="231" t="s">
        <v>83</v>
      </c>
      <c r="K962" s="640" t="s">
        <v>244</v>
      </c>
      <c r="L962" s="264">
        <f ca="1">(5*I76*(H21/100)^4)/(384*(I37/100^4)*L960)</f>
        <v>6.8774474383542881E-4</v>
      </c>
      <c r="M962" s="231" t="s">
        <v>83</v>
      </c>
    </row>
    <row r="963" spans="8:13" hidden="1" x14ac:dyDescent="0.25">
      <c r="H963" s="641"/>
      <c r="I963" s="266">
        <f ca="1">I962*100</f>
        <v>0.18427280181291006</v>
      </c>
      <c r="J963" s="231" t="s">
        <v>80</v>
      </c>
      <c r="K963" s="641"/>
      <c r="L963" s="266">
        <f ca="1">L962*100</f>
        <v>6.877447438354288E-2</v>
      </c>
      <c r="M963" s="231" t="s">
        <v>80</v>
      </c>
    </row>
    <row r="964" spans="8:13" hidden="1" x14ac:dyDescent="0.25">
      <c r="H964" s="642"/>
      <c r="I964" s="266">
        <f ca="1">I963*10</f>
        <v>1.8427280181291006</v>
      </c>
      <c r="J964" s="231" t="s">
        <v>187</v>
      </c>
      <c r="K964" s="642"/>
      <c r="L964" s="266">
        <f ca="1">L963*10</f>
        <v>0.68774474383542883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69" t="s">
        <v>245</v>
      </c>
      <c r="I968" s="669"/>
      <c r="K968" s="669" t="s">
        <v>247</v>
      </c>
      <c r="L968" s="669"/>
    </row>
    <row r="969" spans="8:13" hidden="1" x14ac:dyDescent="0.25"/>
    <row r="970" spans="8:13" hidden="1" x14ac:dyDescent="0.25">
      <c r="H970" s="640" t="s">
        <v>246</v>
      </c>
      <c r="I970" s="264">
        <f ca="1">(5*I77*(H21/100)^4)/(384*(I37/100^4)*L960)</f>
        <v>0</v>
      </c>
      <c r="J970" s="231" t="s">
        <v>83</v>
      </c>
      <c r="K970" s="640" t="s">
        <v>263</v>
      </c>
      <c r="L970" s="264">
        <f ca="1">(5*I78*H53*(H21/100)^4)/(384*(I37/100^4)*L960)</f>
        <v>7.0975257563816244E-3</v>
      </c>
      <c r="M970" s="231" t="s">
        <v>83</v>
      </c>
    </row>
    <row r="971" spans="8:13" hidden="1" x14ac:dyDescent="0.25">
      <c r="H971" s="641"/>
      <c r="I971" s="266">
        <f ca="1">I970*100</f>
        <v>0</v>
      </c>
      <c r="J971" s="231" t="s">
        <v>80</v>
      </c>
      <c r="K971" s="641"/>
      <c r="L971" s="266">
        <f ca="1">L970*100</f>
        <v>0.70975257563816241</v>
      </c>
      <c r="M971" s="231" t="s">
        <v>80</v>
      </c>
    </row>
    <row r="972" spans="8:13" hidden="1" x14ac:dyDescent="0.25">
      <c r="H972" s="642"/>
      <c r="I972" s="266">
        <f ca="1">I971*10</f>
        <v>0</v>
      </c>
      <c r="J972" s="231" t="s">
        <v>187</v>
      </c>
      <c r="K972" s="642"/>
      <c r="L972" s="266">
        <f ca="1">L971*10</f>
        <v>7.0975257563816241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1479</v>
      </c>
      <c r="I978" s="237">
        <f ca="1">I194</f>
        <v>107.14752205720066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1375.3592794850445</v>
      </c>
      <c r="J980" s="231" t="s">
        <v>96</v>
      </c>
      <c r="K980" s="115" t="s">
        <v>95</v>
      </c>
      <c r="L980" s="258">
        <f ca="1">H166*J237+H168*J238</f>
        <v>1170.2351762991809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135.18506357487277</v>
      </c>
      <c r="J981" s="231" t="s">
        <v>96</v>
      </c>
      <c r="K981" s="115" t="s">
        <v>97</v>
      </c>
      <c r="L981" s="239">
        <f ca="1">H166*J237*H167/100-H168*J238*H169/100</f>
        <v>117.15585492159754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40" t="s">
        <v>248</v>
      </c>
      <c r="I983" s="264">
        <f ca="1">(I981*(H21/100)^2)/(8*(I947)*(H37/100^4))</f>
        <v>1.8893920806478302E-2</v>
      </c>
      <c r="J983" s="231" t="s">
        <v>83</v>
      </c>
      <c r="K983" s="640" t="s">
        <v>249</v>
      </c>
      <c r="L983" s="264">
        <f ca="1">((I981-L981)*(H21/100)^2)/(8*L960*(H37/100^4))</f>
        <v>2.0227662321148647E-3</v>
      </c>
      <c r="M983" s="279" t="s">
        <v>83</v>
      </c>
    </row>
    <row r="984" spans="7:14" hidden="1" x14ac:dyDescent="0.25">
      <c r="H984" s="641"/>
      <c r="I984" s="266">
        <f ca="1">I983*100</f>
        <v>1.8893920806478302</v>
      </c>
      <c r="J984" s="231" t="s">
        <v>80</v>
      </c>
      <c r="K984" s="641"/>
      <c r="L984" s="266">
        <f ca="1">L983*100</f>
        <v>0.20227662321148648</v>
      </c>
      <c r="M984" s="231" t="s">
        <v>80</v>
      </c>
    </row>
    <row r="985" spans="7:14" hidden="1" x14ac:dyDescent="0.25">
      <c r="H985" s="642"/>
      <c r="I985" s="266">
        <f ca="1">I984*10</f>
        <v>18.893920806478302</v>
      </c>
      <c r="J985" s="231" t="s">
        <v>187</v>
      </c>
      <c r="K985" s="642"/>
      <c r="L985" s="266">
        <f ca="1">L984*10</f>
        <v>2.0227662321148649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1480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-18.893920806478302</v>
      </c>
      <c r="J990" s="187">
        <f t="shared" ref="J990:J997" ca="1" si="50">M201</f>
        <v>2.0923715461621515</v>
      </c>
      <c r="K990" s="187">
        <f ca="1">J990+1</f>
        <v>3.0923715461621515</v>
      </c>
      <c r="L990" s="120">
        <f ca="1">K990*I990</f>
        <v>-58.427023097394553</v>
      </c>
      <c r="M990" s="120">
        <f ca="1">L990</f>
        <v>-58.427023097394553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4.9687725235061855</v>
      </c>
      <c r="J991" s="187">
        <f t="shared" ca="1" si="50"/>
        <v>2.0923715461621515</v>
      </c>
      <c r="K991" s="187">
        <f t="shared" ref="K991:K997" ca="1" si="51">J991+1</f>
        <v>3.0923715461621515</v>
      </c>
      <c r="L991" s="120">
        <f t="shared" ref="L991:L997" ca="1" si="52">K991*I991</f>
        <v>15.365290771042838</v>
      </c>
      <c r="M991" s="120">
        <f t="shared" ref="M991:M997" ca="1" si="53">M990+L991</f>
        <v>-43.061732326351716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0.48881458520698917</v>
      </c>
      <c r="J992" s="187">
        <f t="shared" ca="1" si="50"/>
        <v>1.2005597609923147</v>
      </c>
      <c r="K992" s="187">
        <f t="shared" ca="1" si="51"/>
        <v>2.2005597609923147</v>
      </c>
      <c r="L992" s="120">
        <f t="shared" ca="1" si="52"/>
        <v>1.0756657067926496</v>
      </c>
      <c r="M992" s="120">
        <f t="shared" ca="1" si="53"/>
        <v>-41.986066619559068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1.8427280181291006</v>
      </c>
      <c r="J993" s="187">
        <f t="shared" ca="1" si="50"/>
        <v>1.8840574902082365</v>
      </c>
      <c r="K993" s="187">
        <f t="shared" ca="1" si="51"/>
        <v>2.8840574902082365</v>
      </c>
      <c r="L993" s="120">
        <f t="shared" ca="1" si="52"/>
        <v>5.3145335431018115</v>
      </c>
      <c r="M993" s="120">
        <f t="shared" ca="1" si="53"/>
        <v>-36.671533076457258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0.68774474383542883</v>
      </c>
      <c r="J994" s="187">
        <f ca="1">M206</f>
        <v>1.3015898927491192</v>
      </c>
      <c r="K994" s="187">
        <f t="shared" ca="1" si="51"/>
        <v>2.301589892749119</v>
      </c>
      <c r="L994" s="120">
        <f t="shared" ca="1" si="52"/>
        <v>1.5829063512029549</v>
      </c>
      <c r="M994" s="120">
        <f t="shared" ca="1" si="53"/>
        <v>-35.088626725254301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1.4475811090319215</v>
      </c>
      <c r="K995" s="187">
        <f t="shared" ca="1" si="51"/>
        <v>2.4475811090319217</v>
      </c>
      <c r="L995" s="120">
        <f ca="1">K995*I995</f>
        <v>0</v>
      </c>
      <c r="M995" s="120">
        <f t="shared" ca="1" si="53"/>
        <v>-35.088626725254301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8.8719071954770303</v>
      </c>
      <c r="J996" s="187">
        <f t="shared" ca="1" si="50"/>
        <v>1.2062173662230617</v>
      </c>
      <c r="K996" s="187">
        <f t="shared" ca="1" si="51"/>
        <v>2.2062173662230617</v>
      </c>
      <c r="L996" s="120">
        <f t="shared" ca="1" si="52"/>
        <v>19.573355726180765</v>
      </c>
      <c r="M996" s="120">
        <f t="shared" ca="1" si="53"/>
        <v>-15.515270999073536</v>
      </c>
      <c r="N996" s="120" t="str">
        <f ca="1">'Estádio - Flechas'!$S$12</f>
        <v>Estádio II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2.0227662321148649</v>
      </c>
      <c r="J997" s="198">
        <f t="shared" ca="1" si="50"/>
        <v>1.2062173662230617</v>
      </c>
      <c r="K997" s="198">
        <f t="shared" ca="1" si="51"/>
        <v>2.2062173662230617</v>
      </c>
      <c r="L997" s="188">
        <f t="shared" ca="1" si="52"/>
        <v>4.4626619891014041</v>
      </c>
      <c r="M997" s="188">
        <f t="shared" ca="1" si="53"/>
        <v>-11.052609009972132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59" t="s">
        <v>353</v>
      </c>
      <c r="H999" s="186">
        <f ca="1">M997</f>
        <v>-11.052609009972132</v>
      </c>
      <c r="I999" s="279" t="s">
        <v>187</v>
      </c>
      <c r="K999" s="659" t="s">
        <v>504</v>
      </c>
      <c r="L999" s="186">
        <f ca="1">L1000*10</f>
        <v>-13.925148282972115</v>
      </c>
      <c r="M999" s="279" t="s">
        <v>187</v>
      </c>
    </row>
    <row r="1000" spans="7:18" x14ac:dyDescent="0.25">
      <c r="G1000" s="660"/>
      <c r="H1000" s="120">
        <f ca="1">H999/10</f>
        <v>-1.1052609009972132</v>
      </c>
      <c r="I1000" s="231" t="s">
        <v>80</v>
      </c>
      <c r="K1000" s="660"/>
      <c r="L1000" s="120">
        <f ca="1">(-I984+I952)</f>
        <v>-1.3925148282972115</v>
      </c>
      <c r="M1000" s="231" t="s">
        <v>80</v>
      </c>
    </row>
    <row r="1001" spans="7:18" x14ac:dyDescent="0.25">
      <c r="G1001" s="661"/>
      <c r="H1001" s="198">
        <f ca="1">H1000/100</f>
        <v>-1.1052609009972132E-2</v>
      </c>
      <c r="I1001" s="275" t="s">
        <v>83</v>
      </c>
      <c r="K1001" s="661"/>
      <c r="L1001" s="198">
        <f ca="1">L1000/100</f>
        <v>-1.3925148282972115E-2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59" t="s">
        <v>354</v>
      </c>
      <c r="H1004" s="237">
        <f>H1005*10</f>
        <v>33.96</v>
      </c>
      <c r="I1004" s="279" t="s">
        <v>187</v>
      </c>
    </row>
    <row r="1005" spans="7:18" x14ac:dyDescent="0.25">
      <c r="G1005" s="660"/>
      <c r="H1005" s="237">
        <f>H21/250</f>
        <v>3.3959999999999999</v>
      </c>
      <c r="I1005" s="231" t="s">
        <v>80</v>
      </c>
    </row>
    <row r="1006" spans="7:18" x14ac:dyDescent="0.25">
      <c r="G1006" s="661"/>
      <c r="H1006" s="246">
        <f>H1005/100</f>
        <v>3.3959999999999997E-2</v>
      </c>
      <c r="I1006" s="275" t="s">
        <v>83</v>
      </c>
    </row>
    <row r="1008" spans="7:18" x14ac:dyDescent="0.25">
      <c r="G1008" s="209" t="s">
        <v>1481</v>
      </c>
      <c r="H1008" s="333">
        <v>0.8</v>
      </c>
      <c r="I1008" s="115" t="s">
        <v>1173</v>
      </c>
      <c r="J1008" s="235" t="s">
        <v>1482</v>
      </c>
    </row>
    <row r="1010" spans="7:14" x14ac:dyDescent="0.25">
      <c r="G1010" s="635" t="s">
        <v>488</v>
      </c>
      <c r="H1010" s="635"/>
      <c r="I1010" s="635"/>
      <c r="J1010" s="635"/>
      <c r="K1010" s="635"/>
      <c r="L1010" s="635"/>
      <c r="M1010" s="635"/>
      <c r="N1010" s="635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44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44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21.036042181742957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62.925914102431136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44" t="s">
        <v>520</v>
      </c>
      <c r="H1025" s="237">
        <f ca="1">I194</f>
        <v>107.14752205720066</v>
      </c>
      <c r="I1025" s="231" t="s">
        <v>61</v>
      </c>
      <c r="J1025" s="231"/>
    </row>
    <row r="1026" spans="7:19" x14ac:dyDescent="0.25">
      <c r="G1026" s="644"/>
      <c r="H1026" s="237">
        <f ca="1">H1025*10</f>
        <v>1071.4752205720065</v>
      </c>
      <c r="I1026" s="231" t="s">
        <v>60</v>
      </c>
      <c r="J1026" s="231"/>
    </row>
    <row r="1027" spans="7:19" x14ac:dyDescent="0.25">
      <c r="G1027" s="644" t="s">
        <v>730</v>
      </c>
      <c r="H1027" s="237">
        <f ca="1">I195</f>
        <v>47.884697405207142</v>
      </c>
      <c r="I1027" s="231" t="s">
        <v>61</v>
      </c>
      <c r="J1027" s="231"/>
    </row>
    <row r="1028" spans="7:19" x14ac:dyDescent="0.25">
      <c r="G1028" s="644"/>
      <c r="H1028" s="237">
        <f ca="1">H1027*10</f>
        <v>478.8469740520714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39" t="s">
        <v>493</v>
      </c>
      <c r="H1030" s="639"/>
      <c r="I1030" s="639"/>
      <c r="J1030" s="223">
        <f ca="1">MAX(H1019)</f>
        <v>21.036042181742957</v>
      </c>
      <c r="K1030" s="115" t="s">
        <v>494</v>
      </c>
    </row>
    <row r="1031" spans="7:19" ht="15.75" thickBot="1" x14ac:dyDescent="0.3">
      <c r="J1031" s="223">
        <f ca="1">MAX(H1020)</f>
        <v>62.925914102431136</v>
      </c>
    </row>
    <row r="1032" spans="7:19" x14ac:dyDescent="0.25">
      <c r="J1032" s="119" t="s">
        <v>722</v>
      </c>
    </row>
    <row r="1034" spans="7:19" x14ac:dyDescent="0.25">
      <c r="G1034" s="635" t="s">
        <v>665</v>
      </c>
      <c r="H1034" s="635"/>
      <c r="I1034" s="635"/>
      <c r="J1034" s="635"/>
      <c r="K1034" s="635"/>
      <c r="L1034" s="635"/>
      <c r="M1034" s="635"/>
      <c r="N1034" s="635"/>
      <c r="P1034" s="648" t="s">
        <v>679</v>
      </c>
      <c r="Q1034" s="648"/>
      <c r="R1034" s="648"/>
      <c r="S1034" s="648"/>
    </row>
    <row r="1035" spans="7:19" x14ac:dyDescent="0.25">
      <c r="P1035" s="648"/>
      <c r="Q1035" s="648"/>
      <c r="R1035" s="648"/>
      <c r="S1035" s="648"/>
    </row>
    <row r="1036" spans="7:19" x14ac:dyDescent="0.25">
      <c r="G1036" s="209" t="s">
        <v>597</v>
      </c>
      <c r="H1036" s="240">
        <v>35</v>
      </c>
      <c r="I1036" s="231" t="s">
        <v>598</v>
      </c>
      <c r="L1036" s="652" t="s">
        <v>496</v>
      </c>
      <c r="M1036" s="652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3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1483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1298.7382</v>
      </c>
      <c r="U1043" s="270">
        <f>IF(H1041=Q1036,Q1038,IF(H1041=2,Q1042,IF(H1041=3,Q1046,IF(H1041=4,Q1050))))</f>
        <v>7.44</v>
      </c>
    </row>
    <row r="1044" spans="7:21" x14ac:dyDescent="0.25">
      <c r="G1044" s="209" t="s">
        <v>1484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1449.8887</v>
      </c>
      <c r="U1044" s="270">
        <f>IF(H1041=Q1036,Q1039,IF(H1041=2,Q1043,IF(H1041=3,Q1047,IF(H1041=4,Q1051))))</f>
        <v>8.5399999999999991</v>
      </c>
    </row>
    <row r="1045" spans="7:21" x14ac:dyDescent="0.25">
      <c r="G1045" s="209" t="s">
        <v>1485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1486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0.75511096922917365</v>
      </c>
      <c r="I1047" s="231">
        <f ca="1">1.2*H1019/100</f>
        <v>0.25243250618091545</v>
      </c>
      <c r="J1047" s="231" t="s">
        <v>1487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0.32725137175256847</v>
      </c>
      <c r="I1048" s="231">
        <f ca="1">MIN(1,(H1038/100)/I1047)</f>
        <v>0.97891949117106547</v>
      </c>
      <c r="J1048" s="231" t="s">
        <v>1488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1489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1490</v>
      </c>
      <c r="H1052" s="239">
        <f ca="1">J237</f>
        <v>91.91754053224652</v>
      </c>
      <c r="I1052" s="239">
        <f ca="1">J238</f>
        <v>36.740462268132077</v>
      </c>
      <c r="J1052" s="231" t="s">
        <v>1491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2165.6928780127018</v>
      </c>
      <c r="I1053" s="115" t="s">
        <v>63</v>
      </c>
      <c r="J1053" s="231" t="s">
        <v>1492</v>
      </c>
    </row>
    <row r="1054" spans="7:21" x14ac:dyDescent="0.25">
      <c r="P1054" s="648" t="s">
        <v>678</v>
      </c>
      <c r="Q1054" s="648"/>
      <c r="R1054" s="648"/>
      <c r="S1054" s="648"/>
    </row>
    <row r="1055" spans="7:21" x14ac:dyDescent="0.25">
      <c r="G1055" s="635" t="s">
        <v>666</v>
      </c>
      <c r="H1055" s="635"/>
      <c r="I1055" s="635"/>
      <c r="J1055" s="635"/>
      <c r="K1055" s="635"/>
      <c r="L1055" s="635"/>
      <c r="M1055" s="635"/>
      <c r="N1055" s="635"/>
      <c r="P1055" s="648"/>
      <c r="Q1055" s="648"/>
      <c r="R1055" s="648"/>
      <c r="S1055" s="648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51" t="s">
        <v>1493</v>
      </c>
      <c r="H1061" s="651"/>
      <c r="O1061" s="209">
        <v>25</v>
      </c>
      <c r="P1061" s="237">
        <f ca="1">$I$37+$P$1091</f>
        <v>341041.71475165756</v>
      </c>
    </row>
    <row r="1062" spans="7:19" x14ac:dyDescent="0.25">
      <c r="G1062" s="629" t="s">
        <v>495</v>
      </c>
      <c r="H1062" s="653">
        <f ca="1">'Cisalhamento 14861'!$C$67</f>
        <v>231.43671910566431</v>
      </c>
      <c r="O1062" s="209">
        <v>30</v>
      </c>
      <c r="P1062" s="237">
        <f ca="1">$I$37+$P$1092</f>
        <v>344929.64535165759</v>
      </c>
    </row>
    <row r="1063" spans="7:19" ht="15.75" thickBot="1" x14ac:dyDescent="0.3">
      <c r="G1063" s="630"/>
      <c r="H1063" s="654"/>
    </row>
    <row r="1064" spans="7:19" x14ac:dyDescent="0.25">
      <c r="G1064" s="629" t="s">
        <v>484</v>
      </c>
      <c r="H1064" s="653">
        <f ca="1">0.95*((H1051/100^4)*(H27/100))/H1042*SQRT(H1043^2+H1053*H1043)</f>
        <v>211.24631856036527</v>
      </c>
      <c r="P1064" s="209" t="s">
        <v>660</v>
      </c>
      <c r="Q1064" s="119">
        <v>2</v>
      </c>
    </row>
    <row r="1065" spans="7:19" ht="15.75" thickBot="1" x14ac:dyDescent="0.3">
      <c r="G1065" s="630" t="s">
        <v>1285</v>
      </c>
      <c r="H1065" s="654"/>
      <c r="I1065" s="209" t="str">
        <f ca="1">IF(H1062&gt;H1064,"Não Ok!","Ok!")</f>
        <v>Não 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346394.11895165755</v>
      </c>
    </row>
    <row r="1067" spans="7:19" x14ac:dyDescent="0.25">
      <c r="O1067" s="209">
        <v>30</v>
      </c>
      <c r="P1067" s="237">
        <f ca="1">$I$37+$P$1092*2</f>
        <v>354169.9801516576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351746.52315165754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351746.52315165754</v>
      </c>
    </row>
    <row r="1071" spans="7:19" x14ac:dyDescent="0.25">
      <c r="G1071" s="635" t="s">
        <v>710</v>
      </c>
      <c r="H1071" s="635"/>
      <c r="I1071" s="635"/>
      <c r="J1071" s="635"/>
      <c r="K1071" s="635"/>
      <c r="L1071" s="635"/>
      <c r="M1071" s="635"/>
      <c r="N1071" s="635"/>
      <c r="O1071" s="209">
        <v>30</v>
      </c>
      <c r="P1071" s="237">
        <f ca="1">$I$37+$P$1092*3</f>
        <v>363410.31495165755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363410.31495165755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29" t="s">
        <v>495</v>
      </c>
      <c r="K1073" s="653">
        <f ca="1">'Cisalhamento 14861'!$C$67</f>
        <v>231.43671910566431</v>
      </c>
      <c r="O1073" s="209" t="s">
        <v>487</v>
      </c>
      <c r="P1073" s="154" t="s">
        <v>671</v>
      </c>
    </row>
    <row r="1074" spans="7:17" ht="15.75" thickBot="1" x14ac:dyDescent="0.3">
      <c r="J1074" s="630"/>
      <c r="K1074" s="654"/>
      <c r="O1074" s="209">
        <v>25</v>
      </c>
      <c r="P1074" s="237">
        <f ca="1">$I$37+$P$1091*4</f>
        <v>357098.92735165759</v>
      </c>
    </row>
    <row r="1075" spans="7:17" x14ac:dyDescent="0.25">
      <c r="J1075" s="629" t="s">
        <v>484</v>
      </c>
      <c r="K1075" s="653">
        <f ca="1">H1049*((H1051/100^4)*(H27/100))/H1042*SQRT(H1043^2+0.9*H1053*H1043)</f>
        <v>162.57683825577382</v>
      </c>
      <c r="O1075" s="209">
        <v>30</v>
      </c>
      <c r="P1075" s="237">
        <f ca="1">$I$37+$P$1092*4</f>
        <v>372650.64975165756</v>
      </c>
    </row>
    <row r="1076" spans="7:17" ht="15.75" thickBot="1" x14ac:dyDescent="0.3">
      <c r="J1076" s="630" t="s">
        <v>1285</v>
      </c>
      <c r="K1076" s="654"/>
      <c r="L1076" s="209" t="str">
        <f ca="1">IF(K1073&gt;K1075,"Não Ok!","Ok!")</f>
        <v>Não 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1286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362451.33155165758</v>
      </c>
    </row>
    <row r="1080" spans="7:17" x14ac:dyDescent="0.25">
      <c r="G1080" t="s">
        <v>1287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381890.98455165757</v>
      </c>
    </row>
    <row r="1081" spans="7:17" x14ac:dyDescent="0.25">
      <c r="G1081" t="s">
        <v>630</v>
      </c>
      <c r="H1081">
        <f ca="1">IF(LEFT(I17,1)="1",H1062,K1073)</f>
        <v>231.43671910566431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1288</v>
      </c>
      <c r="H1082">
        <f ca="1">IF(LEFT(I17,1)="1",H1064,K1075)</f>
        <v>162.57683825577382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1289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367803.73575165757</v>
      </c>
    </row>
    <row r="1084" spans="7:17" x14ac:dyDescent="0.25">
      <c r="O1084" s="209">
        <v>30</v>
      </c>
      <c r="P1084" s="237">
        <f ca="1">$I$37+$P$1092*6</f>
        <v>391131.31935165758</v>
      </c>
    </row>
    <row r="1085" spans="7:17" x14ac:dyDescent="0.25">
      <c r="G1085" t="s">
        <v>1494</v>
      </c>
      <c r="K1085" s="643" t="s">
        <v>1450</v>
      </c>
      <c r="L1085" s="643"/>
      <c r="P1085" s="209" t="s">
        <v>660</v>
      </c>
      <c r="Q1085" s="119">
        <v>7</v>
      </c>
    </row>
    <row r="1086" spans="7:17" x14ac:dyDescent="0.25">
      <c r="G1086" t="s">
        <v>1290</v>
      </c>
      <c r="H1086">
        <f>M11</f>
        <v>3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1291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373156.13995165756</v>
      </c>
    </row>
    <row r="1088" spans="7:17" x14ac:dyDescent="0.25">
      <c r="G1088" s="619" t="s">
        <v>1292</v>
      </c>
      <c r="H1088" s="620">
        <f ca="1">H1082+(2/3)*H1086*H1143*H1043</f>
        <v>273.95148107821404</v>
      </c>
      <c r="K1088">
        <v>30</v>
      </c>
      <c r="L1088">
        <v>23</v>
      </c>
      <c r="O1088" s="209">
        <v>30</v>
      </c>
      <c r="P1088" s="237">
        <f ca="1">$I$37+$P$1092*7</f>
        <v>400371.6541516576</v>
      </c>
    </row>
    <row r="1090" spans="7:17" x14ac:dyDescent="0.25">
      <c r="P1090" s="150" t="s">
        <v>676</v>
      </c>
    </row>
    <row r="1091" spans="7:17" x14ac:dyDescent="0.25">
      <c r="G1091" s="635" t="s">
        <v>919</v>
      </c>
      <c r="H1091" s="635"/>
      <c r="I1091" s="635"/>
      <c r="J1091" s="635"/>
      <c r="K1091" s="635"/>
      <c r="L1091" s="635"/>
      <c r="M1091" s="635"/>
      <c r="N1091" s="635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1495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0.4975</v>
      </c>
      <c r="I1097" s="115" t="s">
        <v>83</v>
      </c>
      <c r="J1097" s="115" t="s">
        <v>1496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1497</v>
      </c>
      <c r="H1100" s="118">
        <f>0.5*H1098*H1093*1000*0.9*H1095*H1097</f>
        <v>1377.6923076923078</v>
      </c>
      <c r="I1100" s="115" t="s">
        <v>96</v>
      </c>
    </row>
    <row r="1102" spans="7:17" x14ac:dyDescent="0.25">
      <c r="G1102" s="655" t="s">
        <v>920</v>
      </c>
      <c r="H1102" s="655"/>
      <c r="I1102" s="655"/>
      <c r="J1102" s="655"/>
      <c r="K1102" s="655"/>
      <c r="L1102" s="655"/>
      <c r="M1102" s="655"/>
      <c r="N1102" s="655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0.18939633793843194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11.843999999999999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2.2200000000000002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107.14752205720066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1498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1499</v>
      </c>
      <c r="H1112" s="118">
        <f ca="1">J242</f>
        <v>1170.2351762991809</v>
      </c>
      <c r="I1112" s="115" t="s">
        <v>96</v>
      </c>
      <c r="J1112" s="115" t="s">
        <v>1500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5811.2609130666815</v>
      </c>
      <c r="I1113" s="115" t="s">
        <v>922</v>
      </c>
      <c r="J1113" s="115" t="s">
        <v>1501</v>
      </c>
    </row>
    <row r="1114" spans="7:10" x14ac:dyDescent="0.25">
      <c r="G1114" s="115" t="s">
        <v>939</v>
      </c>
      <c r="H1114" s="413">
        <f>H166/10000</f>
        <v>1.1843999999999999E-3</v>
      </c>
      <c r="I1114" s="115" t="s">
        <v>924</v>
      </c>
      <c r="J1114" s="115" t="s">
        <v>1502</v>
      </c>
    </row>
    <row r="1115" spans="7:10" x14ac:dyDescent="0.25">
      <c r="G1115" s="115" t="s">
        <v>940</v>
      </c>
      <c r="H1115" s="118">
        <f>MIN(0.02,H1114/(H1110*H1094))</f>
        <v>1.41505376344086E-2</v>
      </c>
      <c r="J1115" s="115" t="s">
        <v>1503</v>
      </c>
    </row>
    <row r="1116" spans="7:10" x14ac:dyDescent="0.25">
      <c r="G1116" s="115" t="s">
        <v>615</v>
      </c>
      <c r="H1116" s="118">
        <f>0.25*H1109*H1111*(1.2+(40*H1115))*H1110*H1094</f>
        <v>84.950851059652152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72.96038076355218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157.91123182320433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42.422701780330918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55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55"/>
      <c r="I1122" s="655"/>
      <c r="J1122" s="655"/>
      <c r="K1122" s="655"/>
      <c r="L1122" s="655"/>
      <c r="M1122" s="655"/>
      <c r="N1122" s="655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11.843999999999999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2.2200000000000002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1504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1170.2351762991809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5811.2609130666815</v>
      </c>
      <c r="I1132" s="115" t="s">
        <v>922</v>
      </c>
      <c r="J1132" s="115" t="s">
        <v>1501</v>
      </c>
    </row>
    <row r="1133" spans="7:14" x14ac:dyDescent="0.25">
      <c r="G1133" s="115" t="s">
        <v>939</v>
      </c>
      <c r="H1133" s="141">
        <f>H166/10000</f>
        <v>1.1843999999999999E-3</v>
      </c>
      <c r="I1133" s="115" t="s">
        <v>924</v>
      </c>
      <c r="J1133" s="115" t="s">
        <v>1502</v>
      </c>
    </row>
    <row r="1134" spans="7:14" x14ac:dyDescent="0.25">
      <c r="G1134" s="115" t="s">
        <v>940</v>
      </c>
      <c r="H1134" s="118">
        <f>MIN(0.02,H1133/(H1129*H1095))</f>
        <v>1.1939516129032258E-2</v>
      </c>
      <c r="J1134" s="115" t="s">
        <v>1503</v>
      </c>
    </row>
    <row r="1135" spans="7:14" x14ac:dyDescent="0.25">
      <c r="G1135" s="115" t="s">
        <v>615</v>
      </c>
      <c r="H1135" s="118">
        <f>0.25*H1128*H1130*(1.2+(40*H1134))*H1129*H1095</f>
        <v>116.75289801536513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86.471562386432211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203.22446040179733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227.57427729595372</v>
      </c>
      <c r="I1138" s="115" t="s">
        <v>96</v>
      </c>
      <c r="J1138" s="115" t="s">
        <v>1505</v>
      </c>
    </row>
    <row r="1139" spans="7:14" x14ac:dyDescent="0.25">
      <c r="G1139" s="411" t="s">
        <v>948</v>
      </c>
      <c r="H1139" s="411" t="str">
        <f ca="1">IF(H1138&gt;H1137,"Não Ok!","Ok!")</f>
        <v>Não Ok!</v>
      </c>
    </row>
    <row r="1141" spans="7:14" x14ac:dyDescent="0.25">
      <c r="G1141" s="655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55"/>
      <c r="I1141" s="655"/>
      <c r="J1141" s="655"/>
      <c r="K1141" s="655"/>
      <c r="L1141" s="655"/>
      <c r="M1141" s="655"/>
      <c r="N1141" s="655"/>
    </row>
    <row r="1142" spans="7:14" x14ac:dyDescent="0.25">
      <c r="G1142" s="414" t="s">
        <v>953</v>
      </c>
      <c r="H1142" s="118">
        <f>M11</f>
        <v>3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1506</v>
      </c>
      <c r="H1145" s="118">
        <f>'Cisalhamento 14861'!$C$45</f>
        <v>1</v>
      </c>
      <c r="J1145" s="115" t="s">
        <v>1507</v>
      </c>
    </row>
    <row r="1146" spans="7:14" x14ac:dyDescent="0.25">
      <c r="G1146" s="115" t="s">
        <v>959</v>
      </c>
      <c r="H1146" s="118">
        <f ca="1">H1124+H1142*H1143</f>
        <v>0.25743633999999982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0.4975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4091.1537923094443</v>
      </c>
      <c r="I1148" s="115" t="s">
        <v>922</v>
      </c>
      <c r="J1148" s="115" t="s">
        <v>1508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7.4396984924623112E-3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167.26612184664515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97.696752560349523</v>
      </c>
      <c r="I1152" s="115" t="s">
        <v>96</v>
      </c>
      <c r="J1152" s="115" t="s">
        <v>1509</v>
      </c>
    </row>
    <row r="1153" spans="7:10" x14ac:dyDescent="0.25">
      <c r="G1153" s="411" t="s">
        <v>944</v>
      </c>
      <c r="H1153" s="415">
        <f ca="1">H1151+H1152</f>
        <v>264.96287440699467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227.57427729595372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1279</v>
      </c>
    </row>
    <row r="1159" spans="7:10" x14ac:dyDescent="0.25">
      <c r="G1159" t="s">
        <v>1510</v>
      </c>
      <c r="H1159">
        <f>'Cisalhamento 14861'!$C$70/100</f>
        <v>0.245</v>
      </c>
      <c r="I1159" t="s">
        <v>83</v>
      </c>
      <c r="J1159" t="s">
        <v>1511</v>
      </c>
    </row>
    <row r="1160" spans="7:10" x14ac:dyDescent="0.25">
      <c r="G1160" t="s">
        <v>1280</v>
      </c>
      <c r="H1160">
        <f ca="1">(I73*K51)+(I74+I75+I76+I77+I78)*K52</f>
        <v>56.89356932398843</v>
      </c>
      <c r="I1160" t="s">
        <v>47</v>
      </c>
      <c r="J1160" t="s">
        <v>1293</v>
      </c>
    </row>
    <row r="1161" spans="7:10" x14ac:dyDescent="0.25">
      <c r="G1161" t="s">
        <v>1281</v>
      </c>
      <c r="H1161">
        <f ca="1">H1160*H1159*((H21/100)-H1159)/2</f>
        <v>57.463216186844868</v>
      </c>
      <c r="I1161" t="s">
        <v>33</v>
      </c>
      <c r="J1161" t="s">
        <v>1294</v>
      </c>
    </row>
    <row r="1162" spans="7:10" x14ac:dyDescent="0.25">
      <c r="G1162" t="s">
        <v>1282</v>
      </c>
      <c r="H1162">
        <f ca="1">H1160*((H21/100)/2-H1159)</f>
        <v>227.57427729595372</v>
      </c>
      <c r="I1162" t="s">
        <v>96</v>
      </c>
      <c r="J1162" t="s">
        <v>1295</v>
      </c>
    </row>
    <row r="1163" spans="7:10" x14ac:dyDescent="0.25">
      <c r="G1163" t="s">
        <v>944</v>
      </c>
      <c r="H1163">
        <f ca="1">'Cisalhamento 14861'!$C$94</f>
        <v>264.96287440699467</v>
      </c>
      <c r="I1163" t="s">
        <v>96</v>
      </c>
      <c r="J1163" t="s">
        <v>1512</v>
      </c>
    </row>
    <row r="1164" spans="7:10" x14ac:dyDescent="0.25">
      <c r="G1164" t="s">
        <v>1513</v>
      </c>
      <c r="H1164">
        <f ca="1">H166*K897</f>
        <v>1770.2918318775066</v>
      </c>
      <c r="I1164" t="s">
        <v>96</v>
      </c>
      <c r="J1164" t="s">
        <v>1514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1296</v>
      </c>
    </row>
    <row r="1166" spans="7:10" x14ac:dyDescent="0.25">
      <c r="G1166" t="s">
        <v>1283</v>
      </c>
      <c r="H1166">
        <f ca="1">H1164*0.9*H1165</f>
        <v>509.84404758072191</v>
      </c>
      <c r="I1166" t="s">
        <v>33</v>
      </c>
      <c r="J1166" t="s">
        <v>1515</v>
      </c>
    </row>
    <row r="1167" spans="7:10" x14ac:dyDescent="0.25">
      <c r="G1167" t="s">
        <v>1516</v>
      </c>
      <c r="H1167">
        <f ca="1">H1161+1.35*H1165*H1162</f>
        <v>155.77530397869688</v>
      </c>
      <c r="I1167" t="s">
        <v>33</v>
      </c>
      <c r="J1167" t="s">
        <v>1517</v>
      </c>
    </row>
    <row r="1168" spans="7:10" x14ac:dyDescent="0.25">
      <c r="G1168" t="s">
        <v>1518</v>
      </c>
      <c r="H1168">
        <f ca="1">((H1162/H1163)^4+(H1167/H1166)^4)^(0.25)</f>
        <v>0.86230923979571994</v>
      </c>
      <c r="J1168" t="s">
        <v>1519</v>
      </c>
    </row>
    <row r="1169" spans="7:14" x14ac:dyDescent="0.25">
      <c r="G1169" t="s">
        <v>1284</v>
      </c>
      <c r="H1169">
        <f>1</f>
        <v>1</v>
      </c>
      <c r="J1169" t="s">
        <v>1297</v>
      </c>
    </row>
    <row r="1170" spans="7:14" x14ac:dyDescent="0.25">
      <c r="G1170" s="411" t="s">
        <v>948</v>
      </c>
      <c r="H1170" s="562" t="str">
        <f ca="1">IF(M9&lt;&gt;"NBR 14861/2022","Não se aplica",IF(H1168&lt;=H1169,"Ok!","Não Ok!"))</f>
        <v>Ok!</v>
      </c>
      <c r="J1170" t="s">
        <v>1298</v>
      </c>
    </row>
    <row r="1172" spans="7:14" x14ac:dyDescent="0.25">
      <c r="G1172" s="635" t="s">
        <v>625</v>
      </c>
      <c r="H1172" s="635"/>
      <c r="I1172" s="635"/>
      <c r="J1172" s="635"/>
      <c r="K1172" s="635"/>
      <c r="L1172" s="635"/>
      <c r="M1172" s="635"/>
      <c r="N1172" s="635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12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165.31194221833167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231.43671910566431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28" t="s">
        <v>613</v>
      </c>
      <c r="H1187" s="628"/>
      <c r="I1187" s="628"/>
      <c r="J1187" s="628"/>
      <c r="K1187" s="628"/>
      <c r="L1187" s="628"/>
      <c r="M1187" s="628"/>
      <c r="N1187" s="628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1.1939516129032258E-2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108.41340529998192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887.18192640000007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4898.8510568746551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72.894903726294871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181.30830902627679</v>
      </c>
      <c r="J1199" s="649" t="str">
        <f ca="1">IF(H1199&lt;H1183,"NÃO OK! NECESSÁRIO PREENCHIMENTO DE ALVÉOLOS","OK!!")</f>
        <v>NÃO OK! NECESSÁRIO PREENCHIMENTO DE ALVÉOLOS</v>
      </c>
      <c r="K1199" s="649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28" t="s">
        <v>614</v>
      </c>
      <c r="H1201" s="628"/>
      <c r="I1201" s="628"/>
      <c r="J1201" s="628"/>
      <c r="K1201" s="628"/>
      <c r="L1201" s="628"/>
      <c r="M1201" s="628"/>
      <c r="N1201" s="628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3</v>
      </c>
      <c r="J1203" s="231" t="s">
        <v>632</v>
      </c>
      <c r="K1203" s="288"/>
      <c r="L1203" s="650" t="s">
        <v>669</v>
      </c>
      <c r="M1203" s="650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0.4975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1520</v>
      </c>
    </row>
    <row r="1207" spans="7:14" x14ac:dyDescent="0.25">
      <c r="G1207" s="302" t="s">
        <v>620</v>
      </c>
      <c r="H1207" s="308">
        <f>(H1181*H1179/10000)/(H1206*H1191)</f>
        <v>7.4396984924623112E-3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155.31854171474191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0.25729999999999997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3448.0447975126317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82.339309764601637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3.048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237.65785147934355</v>
      </c>
      <c r="J1214" s="649" t="str">
        <f ca="1">IF(H1214&lt;H1183,"NÃO OK! NECESSÁRIO PREENCHECHIMENTO DE MAIS ALVÉOLOS","OK!!")</f>
        <v>OK!!</v>
      </c>
      <c r="K1214" s="649"/>
    </row>
    <row r="1216" spans="7:14" x14ac:dyDescent="0.25">
      <c r="G1216" s="628" t="s">
        <v>733</v>
      </c>
      <c r="H1216" s="628"/>
      <c r="I1216" s="628"/>
      <c r="J1216" s="628"/>
      <c r="K1216" s="628"/>
      <c r="L1216" s="628"/>
      <c r="M1216" s="628"/>
      <c r="N1216" s="628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Engastado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10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0.21</v>
      </c>
      <c r="J1228" s="235" t="s">
        <v>1026</v>
      </c>
    </row>
    <row r="1229" spans="7:18" x14ac:dyDescent="0.25">
      <c r="G1229" s="470" t="s">
        <v>1027</v>
      </c>
      <c r="H1229" s="480">
        <v>10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3.875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8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6.2406664997954042</v>
      </c>
      <c r="J1232" s="235" t="s">
        <v>1025</v>
      </c>
      <c r="P1232" s="730" t="s">
        <v>758</v>
      </c>
      <c r="Q1232" s="731"/>
      <c r="R1232" s="732"/>
    </row>
    <row r="1233" spans="7:18" ht="15" customHeight="1" x14ac:dyDescent="0.25">
      <c r="G1233" s="470"/>
      <c r="H1233" s="235"/>
      <c r="J1233" s="235"/>
      <c r="P1233" s="733"/>
      <c r="Q1233" s="734"/>
      <c r="R1233" s="735"/>
    </row>
    <row r="1234" spans="7:18" x14ac:dyDescent="0.25">
      <c r="G1234" s="470" t="s">
        <v>1136</v>
      </c>
      <c r="H1234" s="525">
        <f>((I78+I76+I77)*(H21/100)^2)/12</f>
        <v>201.22361250000003</v>
      </c>
      <c r="I1234" s="231" t="s">
        <v>33</v>
      </c>
      <c r="J1234" s="235" t="s">
        <v>1137</v>
      </c>
      <c r="P1234" s="733"/>
      <c r="Q1234" s="734"/>
      <c r="R1234" s="735"/>
    </row>
    <row r="1235" spans="7:18" x14ac:dyDescent="0.25">
      <c r="G1235" s="470" t="s">
        <v>1138</v>
      </c>
      <c r="H1235" s="525">
        <f>((ABS(MIN(G1255:N1255,G1258))/(H22/100))*8)/(H21/100)^2</f>
        <v>24.126365795724464</v>
      </c>
      <c r="I1235" s="231" t="s">
        <v>63</v>
      </c>
      <c r="J1235" s="235" t="s">
        <v>1139</v>
      </c>
      <c r="P1235" s="733"/>
      <c r="Q1235" s="734"/>
      <c r="R1235" s="735"/>
    </row>
    <row r="1236" spans="7:18" x14ac:dyDescent="0.25">
      <c r="P1236" s="733"/>
      <c r="Q1236" s="734"/>
      <c r="R1236" s="735"/>
    </row>
    <row r="1237" spans="7:18" x14ac:dyDescent="0.25">
      <c r="G1237" s="470" t="s">
        <v>264</v>
      </c>
      <c r="H1237" s="525">
        <f>H1234/((H22/100)*((H23+H33-N52)/100)^2*(H59*1000)/K52)</f>
        <v>7.5710236331569661E-2</v>
      </c>
      <c r="I1237" s="231"/>
      <c r="J1237" s="235"/>
      <c r="P1237" s="733"/>
      <c r="Q1237" s="734"/>
      <c r="R1237" s="735"/>
    </row>
    <row r="1238" spans="7:18" x14ac:dyDescent="0.25">
      <c r="G1238" s="470" t="s">
        <v>211</v>
      </c>
      <c r="H1238" s="525">
        <f>_xlfn.XLOOKUP(H1237,'Armadura Negativo LE'!F47:F97,'Armadura Negativo LE'!H47:H97,,1)</f>
        <v>0.95199999999999996</v>
      </c>
      <c r="I1238" s="231"/>
      <c r="P1238" s="733"/>
      <c r="Q1238" s="734"/>
      <c r="R1238" s="735"/>
    </row>
    <row r="1239" spans="7:18" x14ac:dyDescent="0.25">
      <c r="G1239" s="470" t="s">
        <v>476</v>
      </c>
      <c r="H1239" s="525">
        <f>H1234/(H1238*(H23+H33-N52)/100*(H57/10)/1.15)</f>
        <v>15.433316951780714</v>
      </c>
      <c r="I1239" s="231" t="s">
        <v>14</v>
      </c>
      <c r="J1239" s="231" t="s">
        <v>1140</v>
      </c>
      <c r="P1239" s="733"/>
      <c r="Q1239" s="734"/>
      <c r="R1239" s="735"/>
    </row>
    <row r="1240" spans="7:18" x14ac:dyDescent="0.25">
      <c r="G1240" s="470" t="s">
        <v>1141</v>
      </c>
      <c r="H1240" s="525">
        <f>ROUNDUP(H1239/(3.14*(H1223/20)^2),0)</f>
        <v>20</v>
      </c>
      <c r="I1240" s="231" t="s">
        <v>183</v>
      </c>
      <c r="J1240" s="115" t="s">
        <v>1153</v>
      </c>
      <c r="P1240" s="733"/>
      <c r="Q1240" s="734"/>
      <c r="R1240" s="735"/>
    </row>
    <row r="1241" spans="7:18" x14ac:dyDescent="0.25">
      <c r="G1241" s="470" t="s">
        <v>186</v>
      </c>
      <c r="H1241" s="480">
        <f>H1223</f>
        <v>10</v>
      </c>
      <c r="I1241" s="231"/>
      <c r="J1241" s="115" t="s">
        <v>1154</v>
      </c>
      <c r="P1241" s="733"/>
      <c r="Q1241" s="734"/>
      <c r="R1241" s="735"/>
    </row>
    <row r="1242" spans="7:18" x14ac:dyDescent="0.25">
      <c r="G1242" s="470" t="s">
        <v>1145</v>
      </c>
      <c r="H1242" s="525">
        <f>(3.14*(H1241/20)^2)*H1240</f>
        <v>15.700000000000001</v>
      </c>
      <c r="I1242" s="231" t="s">
        <v>14</v>
      </c>
      <c r="J1242" s="115" t="s">
        <v>1152</v>
      </c>
      <c r="P1242" s="733"/>
      <c r="Q1242" s="734"/>
      <c r="R1242" s="735"/>
    </row>
    <row r="1243" spans="7:18" x14ac:dyDescent="0.25">
      <c r="G1243" s="470" t="s">
        <v>1146</v>
      </c>
      <c r="H1243" s="525">
        <v>210</v>
      </c>
      <c r="I1243" s="231" t="s">
        <v>1147</v>
      </c>
      <c r="J1243" s="115" t="s">
        <v>1155</v>
      </c>
      <c r="P1243" s="733"/>
      <c r="Q1243" s="734"/>
      <c r="R1243" s="735"/>
    </row>
    <row r="1244" spans="7:18" x14ac:dyDescent="0.25">
      <c r="G1244" s="470" t="s">
        <v>1142</v>
      </c>
      <c r="H1244" s="525">
        <f>25*H1241/10+H26</f>
        <v>39</v>
      </c>
      <c r="I1244" s="231" t="s">
        <v>14</v>
      </c>
      <c r="P1244" s="733"/>
      <c r="Q1244" s="734"/>
      <c r="R1244" s="735"/>
    </row>
    <row r="1245" spans="7:18" x14ac:dyDescent="0.25">
      <c r="G1245" s="470" t="s">
        <v>1144</v>
      </c>
      <c r="H1245" s="525">
        <v>75</v>
      </c>
      <c r="P1245" s="733"/>
      <c r="Q1245" s="734"/>
      <c r="R1245" s="735"/>
    </row>
    <row r="1246" spans="7:18" x14ac:dyDescent="0.25">
      <c r="G1246" s="470" t="s">
        <v>1143</v>
      </c>
      <c r="H1246" s="525">
        <f>H1245*(H1242*H1243*((H23+H33-N52)/100)^2)/(H1244/100)</f>
        <v>62912.466346153851</v>
      </c>
      <c r="I1246" s="231" t="s">
        <v>14</v>
      </c>
      <c r="P1246" s="733"/>
      <c r="Q1246" s="734"/>
      <c r="R1246" s="735"/>
    </row>
    <row r="1247" spans="7:18" x14ac:dyDescent="0.25">
      <c r="G1247" s="470" t="s">
        <v>1149</v>
      </c>
      <c r="H1247" s="525">
        <v>0.25</v>
      </c>
      <c r="J1247" s="115" t="s">
        <v>1156</v>
      </c>
      <c r="P1247" s="733"/>
      <c r="Q1247" s="734"/>
      <c r="R1247" s="735"/>
    </row>
    <row r="1248" spans="7:18" x14ac:dyDescent="0.25">
      <c r="G1248" s="470" t="s">
        <v>1148</v>
      </c>
      <c r="H1248" s="525">
        <f ca="1">(1+3*(H883*1000000*I37/100^4*H1247)/(H1246*(H21/100)))^-1</f>
        <v>0.8877005634835029</v>
      </c>
      <c r="I1248" s="231" t="s">
        <v>14</v>
      </c>
      <c r="J1248" s="115" t="s">
        <v>1157</v>
      </c>
      <c r="P1248" s="733"/>
      <c r="Q1248" s="734"/>
      <c r="R1248" s="735"/>
    </row>
    <row r="1249" spans="7:18" x14ac:dyDescent="0.25">
      <c r="G1249" s="470" t="s">
        <v>1150</v>
      </c>
      <c r="H1249" s="525">
        <f ca="1">(3*H1248)/(2+H1248)</f>
        <v>0.92222224289001231</v>
      </c>
      <c r="I1249" s="526" t="str">
        <f ca="1">IF(H1249&gt;0.85,"Reduzir alfa R","Ok")</f>
        <v>Reduzir alfa R</v>
      </c>
      <c r="J1249" s="231" t="s">
        <v>1151</v>
      </c>
      <c r="P1249" s="733"/>
      <c r="Q1249" s="734"/>
      <c r="R1249" s="735"/>
    </row>
    <row r="1250" spans="7:18" x14ac:dyDescent="0.25">
      <c r="G1250" s="470" t="s">
        <v>1158</v>
      </c>
      <c r="H1250" s="525">
        <f>(2*0.85)/(3-0.85)</f>
        <v>0.79069767441860461</v>
      </c>
      <c r="I1250" s="231" t="s">
        <v>14</v>
      </c>
      <c r="J1250" s="115" t="s">
        <v>1159</v>
      </c>
      <c r="P1250" s="733"/>
      <c r="Q1250" s="734"/>
      <c r="R1250" s="735"/>
    </row>
    <row r="1251" spans="7:18" x14ac:dyDescent="0.25">
      <c r="P1251" s="733"/>
      <c r="Q1251" s="734"/>
      <c r="R1251" s="735"/>
    </row>
    <row r="1252" spans="7:18" x14ac:dyDescent="0.25">
      <c r="G1252" s="645" t="s">
        <v>734</v>
      </c>
      <c r="H1252" s="646"/>
      <c r="I1252" s="646"/>
      <c r="J1252" s="646"/>
      <c r="K1252" s="646"/>
      <c r="L1252" s="646"/>
      <c r="M1252" s="646"/>
      <c r="N1252" s="646"/>
      <c r="P1252" s="733"/>
      <c r="Q1252" s="734"/>
      <c r="R1252" s="735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33"/>
      <c r="Q1253" s="734"/>
      <c r="R1253" s="735"/>
    </row>
    <row r="1254" spans="7:18" x14ac:dyDescent="0.25">
      <c r="G1254" s="119">
        <f>(($H$21/100)/20)-$H$280</f>
        <v>0</v>
      </c>
      <c r="H1254" s="119">
        <f>($H$21/100)/8</f>
        <v>1.06125</v>
      </c>
      <c r="I1254" s="119">
        <f t="shared" ref="I1254:N1254" si="54">(($H$21/100)/8)+H1254</f>
        <v>2.1225000000000001</v>
      </c>
      <c r="J1254" s="119">
        <f t="shared" si="54"/>
        <v>3.1837499999999999</v>
      </c>
      <c r="K1254" s="119">
        <f t="shared" si="54"/>
        <v>4.2450000000000001</v>
      </c>
      <c r="L1254" s="119">
        <f t="shared" si="54"/>
        <v>5.3062500000000004</v>
      </c>
      <c r="M1254" s="119">
        <f t="shared" si="54"/>
        <v>6.3675000000000006</v>
      </c>
      <c r="N1254" s="119">
        <f t="shared" si="54"/>
        <v>7.4287500000000009</v>
      </c>
      <c r="P1254" s="733"/>
      <c r="Q1254" s="734"/>
      <c r="R1254" s="735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-124.23246048566665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-210.93553167821258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-260.10163546748163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-271.72357174881233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-245.79449514410743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-182.3078934222915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-81.257567476164354</v>
      </c>
      <c r="P1255" s="733"/>
      <c r="Q1255" s="734"/>
      <c r="R1255" s="735"/>
    </row>
    <row r="1256" spans="7:18" x14ac:dyDescent="0.25">
      <c r="G1256" s="211" t="s">
        <v>451</v>
      </c>
      <c r="H1256" s="118"/>
      <c r="P1256" s="733"/>
      <c r="Q1256" s="734"/>
      <c r="R1256" s="735"/>
    </row>
    <row r="1257" spans="7:18" x14ac:dyDescent="0.25">
      <c r="G1257" s="119">
        <f>(($H$21/100)/8)+N1254</f>
        <v>8.49</v>
      </c>
      <c r="P1257" s="733"/>
      <c r="Q1257" s="734"/>
      <c r="R1257" s="735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57.362387273755758</v>
      </c>
      <c r="P1258" s="733"/>
      <c r="Q1258" s="734"/>
      <c r="R1258" s="735"/>
    </row>
    <row r="1259" spans="7:18" x14ac:dyDescent="0.25">
      <c r="P1259" s="733"/>
      <c r="Q1259" s="734"/>
      <c r="R1259" s="735"/>
    </row>
    <row r="1260" spans="7:18" x14ac:dyDescent="0.25">
      <c r="P1260" s="733"/>
      <c r="Q1260" s="734"/>
      <c r="R1260" s="735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33"/>
      <c r="Q1261" s="734"/>
      <c r="R1261" s="735"/>
    </row>
    <row r="1262" spans="7:18" x14ac:dyDescent="0.25">
      <c r="G1262" s="144">
        <v>0</v>
      </c>
      <c r="P1262" s="733"/>
      <c r="Q1262" s="734"/>
      <c r="R1262" s="735"/>
    </row>
    <row r="1263" spans="7:18" x14ac:dyDescent="0.25">
      <c r="P1263" s="733"/>
      <c r="Q1263" s="734"/>
      <c r="R1263" s="735"/>
    </row>
    <row r="1264" spans="7:18" x14ac:dyDescent="0.25">
      <c r="P1264" s="733"/>
      <c r="Q1264" s="734"/>
      <c r="R1264" s="735"/>
    </row>
    <row r="1265" spans="7:18" x14ac:dyDescent="0.25">
      <c r="P1265" s="733"/>
      <c r="Q1265" s="734"/>
      <c r="R1265" s="735"/>
    </row>
    <row r="1266" spans="7:18" ht="15.75" thickBot="1" x14ac:dyDescent="0.3">
      <c r="P1266" s="736"/>
      <c r="Q1266" s="737"/>
      <c r="R1266" s="738"/>
    </row>
    <row r="1267" spans="7:18" x14ac:dyDescent="0.25">
      <c r="G1267" s="628" t="s">
        <v>737</v>
      </c>
      <c r="H1267" s="628"/>
      <c r="I1267" s="628"/>
      <c r="J1267" s="628"/>
      <c r="K1267" s="628"/>
      <c r="L1267" s="628"/>
      <c r="M1267" s="628"/>
      <c r="N1267" s="628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0.63566815946269428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1170.2351762991809</v>
      </c>
      <c r="I1276" s="379"/>
    </row>
    <row r="1277" spans="7:18" x14ac:dyDescent="0.25">
      <c r="G1277" s="389" t="s">
        <v>664</v>
      </c>
      <c r="H1277" s="385">
        <f ca="1">(H1276/(H36))*H1272</f>
        <v>0.39276432097563535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-137.59778482130474</v>
      </c>
      <c r="I1284" s="757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57"/>
    </row>
    <row r="1288" spans="7:14" x14ac:dyDescent="0.25">
      <c r="G1288" s="728" t="s">
        <v>1031</v>
      </c>
      <c r="H1288" s="729"/>
      <c r="I1288" s="729"/>
      <c r="J1288" s="729"/>
      <c r="K1288" s="729"/>
      <c r="L1288" s="729"/>
      <c r="M1288" s="729"/>
      <c r="N1288" s="729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1.3</v>
      </c>
      <c r="I1290" s="235" t="s">
        <v>1033</v>
      </c>
      <c r="J1290"/>
      <c r="K1290"/>
      <c r="L1290"/>
      <c r="M1290"/>
      <c r="N1290"/>
    </row>
    <row r="1291" spans="7:14" ht="18" x14ac:dyDescent="0.25">
      <c r="G1291" s="482" t="s">
        <v>1034</v>
      </c>
      <c r="H1291" s="471">
        <v>0.4</v>
      </c>
      <c r="I1291" s="235" t="s">
        <v>1035</v>
      </c>
      <c r="J1291"/>
      <c r="K1291"/>
      <c r="L1291"/>
      <c r="M1291"/>
      <c r="N1291"/>
    </row>
    <row r="1292" spans="7:14" ht="18" x14ac:dyDescent="0.35">
      <c r="G1292" s="483" t="s">
        <v>1036</v>
      </c>
      <c r="H1292" s="484">
        <f ca="1">Frequência!C23</f>
        <v>10.23289602480099</v>
      </c>
      <c r="I1292" s="235" t="s">
        <v>1037</v>
      </c>
      <c r="J1292"/>
      <c r="K1292"/>
      <c r="L1292"/>
      <c r="M1292"/>
      <c r="N1292"/>
    </row>
    <row r="1293" spans="7:14" ht="18" x14ac:dyDescent="0.35">
      <c r="G1293" s="483" t="s">
        <v>1038</v>
      </c>
      <c r="H1293" s="485">
        <f ca="1">Frequência!C25</f>
        <v>13102.008143617713</v>
      </c>
      <c r="I1293" s="377" t="s">
        <v>1039</v>
      </c>
      <c r="J1293"/>
      <c r="K1293"/>
      <c r="L1293"/>
      <c r="M1293"/>
      <c r="N1293"/>
    </row>
    <row r="1294" spans="7:14" ht="18" x14ac:dyDescent="0.35">
      <c r="G1294" s="483" t="s">
        <v>1040</v>
      </c>
      <c r="H1294" s="484">
        <f ca="1">Frequência!C29</f>
        <v>11.52290720031678</v>
      </c>
      <c r="I1294" s="235" t="s">
        <v>1041</v>
      </c>
      <c r="J1294"/>
      <c r="K1294"/>
      <c r="L1294"/>
      <c r="M1294"/>
      <c r="N1294"/>
    </row>
    <row r="1295" spans="7:14" ht="18" x14ac:dyDescent="0.35">
      <c r="G1295" s="483" t="s">
        <v>1042</v>
      </c>
      <c r="H1295" s="485">
        <f ca="1">Frequência!C31</f>
        <v>18064.046796827326</v>
      </c>
      <c r="I1295" s="377" t="s">
        <v>1039</v>
      </c>
      <c r="J1295"/>
      <c r="K1295"/>
      <c r="L1295"/>
      <c r="M1295"/>
      <c r="N1295"/>
    </row>
    <row r="1296" spans="7:14" ht="18" x14ac:dyDescent="0.35">
      <c r="G1296" s="483" t="s">
        <v>1043</v>
      </c>
      <c r="H1296" s="484">
        <f ca="1">Frequência!C50</f>
        <v>6.3137993504561365</v>
      </c>
      <c r="I1296" s="235" t="s">
        <v>1041</v>
      </c>
      <c r="J1296"/>
      <c r="K1296"/>
      <c r="L1296"/>
      <c r="M1296"/>
      <c r="N1296"/>
    </row>
    <row r="1297" spans="7:14" x14ac:dyDescent="0.25">
      <c r="G1297" s="362"/>
      <c r="H1297"/>
      <c r="I1297"/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disablePrompts="1"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C7" sqref="C7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35" t="s">
        <v>1521</v>
      </c>
      <c r="C1" s="635"/>
      <c r="D1" s="635"/>
      <c r="E1" s="635"/>
    </row>
    <row r="2" spans="2:5" x14ac:dyDescent="0.25">
      <c r="B2" s="231" t="s">
        <v>1522</v>
      </c>
    </row>
    <row r="4" spans="2:5" x14ac:dyDescent="0.25">
      <c r="B4" s="635" t="s">
        <v>1523</v>
      </c>
      <c r="C4" s="635"/>
      <c r="D4" s="635"/>
      <c r="E4" s="635"/>
    </row>
    <row r="5" spans="2:5" x14ac:dyDescent="0.25">
      <c r="B5" s="209" t="s">
        <v>1524</v>
      </c>
      <c r="C5" s="237">
        <v>1.3</v>
      </c>
      <c r="D5" s="231" t="s">
        <v>1525</v>
      </c>
      <c r="E5" s="115" t="s">
        <v>1526</v>
      </c>
    </row>
    <row r="6" spans="2:5" x14ac:dyDescent="0.25">
      <c r="B6" s="209" t="s">
        <v>1527</v>
      </c>
      <c r="C6" s="237">
        <v>1.4</v>
      </c>
      <c r="D6" s="231" t="s">
        <v>1525</v>
      </c>
      <c r="E6" s="115" t="s">
        <v>1528</v>
      </c>
    </row>
    <row r="7" spans="2:5" x14ac:dyDescent="0.25">
      <c r="B7" s="209" t="s">
        <v>1529</v>
      </c>
      <c r="C7" s="240" t="s">
        <v>1530</v>
      </c>
      <c r="E7" s="115" t="s">
        <v>1531</v>
      </c>
    </row>
    <row r="8" spans="2:5" x14ac:dyDescent="0.25">
      <c r="B8" s="209" t="s">
        <v>1532</v>
      </c>
      <c r="C8" s="237">
        <f>Geometria!H58</f>
        <v>50</v>
      </c>
      <c r="D8" s="231" t="s">
        <v>60</v>
      </c>
      <c r="E8" s="115" t="s">
        <v>1533</v>
      </c>
    </row>
    <row r="9" spans="2:5" x14ac:dyDescent="0.25">
      <c r="B9" s="209" t="s">
        <v>1534</v>
      </c>
      <c r="C9" s="237">
        <f>Geometria!H864</f>
        <v>1</v>
      </c>
      <c r="D9" s="231" t="s">
        <v>1525</v>
      </c>
      <c r="E9" s="115" t="s">
        <v>1535</v>
      </c>
    </row>
    <row r="10" spans="2:5" x14ac:dyDescent="0.25">
      <c r="B10" s="209" t="s">
        <v>1536</v>
      </c>
      <c r="C10" s="237">
        <v>0.45</v>
      </c>
      <c r="D10" s="231" t="s">
        <v>1525</v>
      </c>
      <c r="E10" s="115" t="s">
        <v>1537</v>
      </c>
    </row>
    <row r="11" spans="2:5" x14ac:dyDescent="0.25">
      <c r="B11" s="209" t="s">
        <v>1538</v>
      </c>
      <c r="C11" s="237">
        <v>0.9</v>
      </c>
      <c r="D11" s="231" t="s">
        <v>1525</v>
      </c>
      <c r="E11" s="115" t="s">
        <v>1539</v>
      </c>
    </row>
    <row r="12" spans="2:5" x14ac:dyDescent="0.25">
      <c r="B12" s="635" t="s">
        <v>1540</v>
      </c>
      <c r="C12" s="635"/>
      <c r="D12" s="635"/>
      <c r="E12" s="635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1541</v>
      </c>
    </row>
    <row r="14" spans="2:5" x14ac:dyDescent="0.25">
      <c r="B14" s="209" t="s">
        <v>1542</v>
      </c>
      <c r="C14" s="118" t="str">
        <f>IF(Geometria!I15="1 - Sim","Sim","Não")</f>
        <v>Sim</v>
      </c>
      <c r="E14" s="115" t="s">
        <v>1543</v>
      </c>
    </row>
    <row r="15" spans="2:5" x14ac:dyDescent="0.25">
      <c r="B15" s="209" t="s">
        <v>1544</v>
      </c>
      <c r="C15" s="118">
        <f>IF(C14="Sim",Geometria!H33,0)</f>
        <v>5</v>
      </c>
      <c r="D15" s="231" t="s">
        <v>80</v>
      </c>
      <c r="E15" s="115" t="s">
        <v>1545</v>
      </c>
    </row>
    <row r="16" spans="2:5" x14ac:dyDescent="0.25">
      <c r="B16" s="209" t="s">
        <v>1546</v>
      </c>
      <c r="C16" s="118">
        <f>Geometria!H144</f>
        <v>3</v>
      </c>
      <c r="D16" s="231" t="s">
        <v>80</v>
      </c>
      <c r="E16" s="115" t="s">
        <v>1547</v>
      </c>
    </row>
    <row r="17" spans="2:5" x14ac:dyDescent="0.25">
      <c r="B17" s="209" t="s">
        <v>1342</v>
      </c>
      <c r="C17" s="118">
        <f>C13-C16</f>
        <v>27</v>
      </c>
      <c r="D17" s="231" t="s">
        <v>80</v>
      </c>
      <c r="E17" s="115" t="s">
        <v>1548</v>
      </c>
    </row>
    <row r="18" spans="2:5" x14ac:dyDescent="0.25">
      <c r="B18" s="209" t="s">
        <v>1549</v>
      </c>
      <c r="C18" s="118">
        <f>C13+C15-C16</f>
        <v>32</v>
      </c>
      <c r="D18" s="231" t="s">
        <v>80</v>
      </c>
      <c r="E18" s="115" t="s">
        <v>1550</v>
      </c>
    </row>
    <row r="19" spans="2:5" x14ac:dyDescent="0.25">
      <c r="B19" s="209" t="s">
        <v>1551</v>
      </c>
      <c r="C19" s="118">
        <f>Geometria!H27</f>
        <v>31</v>
      </c>
      <c r="D19" s="231" t="s">
        <v>80</v>
      </c>
      <c r="E19" s="115" t="s">
        <v>1552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1553</v>
      </c>
    </row>
    <row r="21" spans="2:5" x14ac:dyDescent="0.25">
      <c r="B21" s="209" t="s">
        <v>1554</v>
      </c>
      <c r="C21" s="118">
        <f ca="1">'Propriedades geométricas VI'!M7</f>
        <v>15.039572187067964</v>
      </c>
      <c r="D21" s="231" t="s">
        <v>80</v>
      </c>
      <c r="E21" s="115" t="s">
        <v>1555</v>
      </c>
    </row>
    <row r="22" spans="2:5" x14ac:dyDescent="0.25">
      <c r="B22" s="209" t="s">
        <v>1058</v>
      </c>
      <c r="C22" s="118">
        <f ca="1">'Propriedades geométricas VI'!M9</f>
        <v>207686.80635513959</v>
      </c>
      <c r="D22" s="231" t="s">
        <v>1556</v>
      </c>
      <c r="E22" s="115" t="s">
        <v>1557</v>
      </c>
    </row>
    <row r="23" spans="2:5" x14ac:dyDescent="0.25">
      <c r="B23" s="209" t="s">
        <v>1558</v>
      </c>
      <c r="C23" s="118">
        <f>COUNT('Propriedades geométricas VI'!$B$6:$B$400)</f>
        <v>253</v>
      </c>
      <c r="D23" s="231" t="s">
        <v>1525</v>
      </c>
      <c r="E23" s="115" t="s">
        <v>1559</v>
      </c>
    </row>
    <row r="24" spans="2:5" x14ac:dyDescent="0.25">
      <c r="B24" s="209" t="s">
        <v>1560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1561</v>
      </c>
    </row>
    <row r="25" spans="2:5" x14ac:dyDescent="0.25">
      <c r="B25" s="209" t="s">
        <v>1562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1563</v>
      </c>
    </row>
    <row r="26" spans="2:5" x14ac:dyDescent="0.25">
      <c r="B26" s="209" t="s">
        <v>1564</v>
      </c>
      <c r="C26" s="118">
        <f ca="1">C25/C24-C21</f>
        <v>9.835057390704943</v>
      </c>
      <c r="D26" s="231" t="s">
        <v>80</v>
      </c>
      <c r="E26" s="115" t="s">
        <v>1565</v>
      </c>
    </row>
    <row r="27" spans="2:5" x14ac:dyDescent="0.25">
      <c r="B27" s="209" t="s">
        <v>1412</v>
      </c>
      <c r="C27" s="118">
        <f ca="1">C24*C26</f>
        <v>8949.8408764292944</v>
      </c>
      <c r="D27" s="231" t="s">
        <v>775</v>
      </c>
      <c r="E27" s="115" t="s">
        <v>1566</v>
      </c>
    </row>
    <row r="28" spans="2:5" x14ac:dyDescent="0.25">
      <c r="B28" s="209" t="s">
        <v>1415</v>
      </c>
      <c r="C28" s="118">
        <f ca="1">IF(C14="Sim",'Propriedades geométricas LA '!M9,C22)</f>
        <v>322323.47812366148</v>
      </c>
      <c r="D28" s="231" t="s">
        <v>1556</v>
      </c>
      <c r="E28" s="115" t="s">
        <v>1567</v>
      </c>
    </row>
    <row r="29" spans="2:5" x14ac:dyDescent="0.25">
      <c r="B29" s="209" t="s">
        <v>1414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1568</v>
      </c>
    </row>
    <row r="30" spans="2:5" x14ac:dyDescent="0.25">
      <c r="B30" s="209" t="s">
        <v>1569</v>
      </c>
      <c r="C30" s="118">
        <f>Geometria!M11</f>
        <v>3</v>
      </c>
      <c r="D30" s="231" t="s">
        <v>1525</v>
      </c>
      <c r="E30" s="115" t="s">
        <v>1570</v>
      </c>
    </row>
    <row r="31" spans="2:5" x14ac:dyDescent="0.25">
      <c r="B31" s="209" t="s">
        <v>1571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1572</v>
      </c>
      <c r="C32" s="118">
        <f>VLOOKUP(Geometria!H23,Geometria!L1204:M1206,2,FALSE)*10000</f>
        <v>254</v>
      </c>
      <c r="D32" s="231" t="s">
        <v>14</v>
      </c>
      <c r="E32" s="115" t="s">
        <v>1573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1574</v>
      </c>
    </row>
    <row r="35" spans="2:5" x14ac:dyDescent="0.25">
      <c r="B35" s="635" t="s">
        <v>1575</v>
      </c>
      <c r="C35" s="635"/>
      <c r="D35" s="635"/>
      <c r="E35" s="635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1576</v>
      </c>
    </row>
    <row r="37" spans="2:5" x14ac:dyDescent="0.25">
      <c r="B37" s="209" t="s">
        <v>1577</v>
      </c>
      <c r="C37" s="118">
        <f>IF(C36&lt;=50,0.21*C36^(2/3),0.7*2.12*LN(1+0.11*C36))</f>
        <v>2.8501384974246515</v>
      </c>
      <c r="D37" s="231" t="s">
        <v>60</v>
      </c>
      <c r="E37" s="115" t="s">
        <v>1578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1579</v>
      </c>
    </row>
    <row r="39" spans="2:5" x14ac:dyDescent="0.25">
      <c r="B39" s="209" t="s">
        <v>1580</v>
      </c>
      <c r="C39" s="118">
        <f>C36/C5/10</f>
        <v>3.8461538461538458</v>
      </c>
      <c r="D39" s="231" t="s">
        <v>61</v>
      </c>
      <c r="E39" s="115" t="s">
        <v>1581</v>
      </c>
    </row>
    <row r="40" spans="2:5" x14ac:dyDescent="0.25">
      <c r="B40" s="209" t="s">
        <v>1582</v>
      </c>
      <c r="C40" s="118">
        <f>Geometria!H59</f>
        <v>30</v>
      </c>
      <c r="D40" s="231" t="s">
        <v>60</v>
      </c>
      <c r="E40" s="115" t="s">
        <v>1583</v>
      </c>
    </row>
    <row r="41" spans="2:5" x14ac:dyDescent="0.25">
      <c r="B41" s="209" t="s">
        <v>1584</v>
      </c>
      <c r="C41" s="413">
        <f>IF(C40&lt;=50,0.21*C40^(2/3),0.7*2.12*LN(1+0.11*C40))/C6/10</f>
        <v>0.14482340769084445</v>
      </c>
      <c r="D41" s="231" t="s">
        <v>61</v>
      </c>
      <c r="E41" s="115" t="s">
        <v>1585</v>
      </c>
    </row>
    <row r="42" spans="2:5" x14ac:dyDescent="0.25">
      <c r="B42" s="209" t="s">
        <v>1586</v>
      </c>
      <c r="C42" s="118">
        <f>C40/C6/10</f>
        <v>2.1428571428571432</v>
      </c>
      <c r="D42" s="231" t="s">
        <v>61</v>
      </c>
      <c r="E42" s="115" t="s">
        <v>1587</v>
      </c>
    </row>
    <row r="43" spans="2:5" x14ac:dyDescent="0.25">
      <c r="B43" s="209" t="s">
        <v>1588</v>
      </c>
      <c r="C43" s="118">
        <f>Geometria!H867*100</f>
        <v>3662.8131265463162</v>
      </c>
      <c r="D43" s="231" t="s">
        <v>61</v>
      </c>
      <c r="E43" s="115" t="s">
        <v>1589</v>
      </c>
    </row>
    <row r="44" spans="2:5" x14ac:dyDescent="0.25">
      <c r="B44" s="209" t="s">
        <v>1590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1591</v>
      </c>
    </row>
    <row r="45" spans="2:5" x14ac:dyDescent="0.25">
      <c r="B45" s="209" t="s">
        <v>1592</v>
      </c>
      <c r="C45" s="118">
        <f>C44/C43</f>
        <v>1</v>
      </c>
      <c r="D45" s="231" t="s">
        <v>1525</v>
      </c>
      <c r="E45" s="115" t="s">
        <v>1593</v>
      </c>
    </row>
    <row r="47" spans="2:5" x14ac:dyDescent="0.25">
      <c r="B47" s="635" t="s">
        <v>1594</v>
      </c>
      <c r="C47" s="635"/>
      <c r="D47" s="635"/>
      <c r="E47" s="635"/>
    </row>
    <row r="48" spans="2:5" x14ac:dyDescent="0.25">
      <c r="B48" s="209" t="s">
        <v>1595</v>
      </c>
      <c r="C48" s="118">
        <f>Geometria!H166</f>
        <v>11.843999999999999</v>
      </c>
      <c r="D48" s="231" t="s">
        <v>14</v>
      </c>
    </row>
    <row r="49" spans="2:5" x14ac:dyDescent="0.25">
      <c r="B49" s="209" t="s">
        <v>1596</v>
      </c>
      <c r="C49" s="118">
        <f>Geometria!H168</f>
        <v>2.2200000000000002</v>
      </c>
      <c r="D49" s="231" t="s">
        <v>14</v>
      </c>
    </row>
    <row r="50" spans="2:5" x14ac:dyDescent="0.25">
      <c r="B50" s="209" t="s">
        <v>1597</v>
      </c>
      <c r="C50" s="118">
        <f ca="1">Geometria!J237</f>
        <v>91.91754053224652</v>
      </c>
      <c r="D50" s="231" t="s">
        <v>61</v>
      </c>
      <c r="E50" s="115" t="s">
        <v>1598</v>
      </c>
    </row>
    <row r="51" spans="2:5" x14ac:dyDescent="0.25">
      <c r="B51" s="209" t="s">
        <v>1599</v>
      </c>
      <c r="C51" s="118">
        <f ca="1">Geometria!J238</f>
        <v>36.740462268132077</v>
      </c>
      <c r="D51" s="231" t="s">
        <v>61</v>
      </c>
      <c r="E51" s="115" t="s">
        <v>1598</v>
      </c>
    </row>
    <row r="52" spans="2:5" x14ac:dyDescent="0.25">
      <c r="B52" s="209" t="s">
        <v>1600</v>
      </c>
      <c r="C52" s="118">
        <f ca="1">C48*C50+C49*C51</f>
        <v>1170.2351762991809</v>
      </c>
      <c r="D52" s="231" t="s">
        <v>96</v>
      </c>
    </row>
    <row r="53" spans="2:5" x14ac:dyDescent="0.25">
      <c r="B53" s="209" t="s">
        <v>587</v>
      </c>
      <c r="C53" s="118">
        <f ca="1">Geometria!H1020</f>
        <v>62.925914102431136</v>
      </c>
      <c r="D53" s="231" t="s">
        <v>80</v>
      </c>
      <c r="E53" s="115" t="s">
        <v>1601</v>
      </c>
    </row>
    <row r="54" spans="2:5" x14ac:dyDescent="0.25">
      <c r="B54" s="209" t="s">
        <v>1602</v>
      </c>
      <c r="C54" s="118">
        <f ca="1">Geometria!H1019</f>
        <v>21.036042181742957</v>
      </c>
      <c r="D54" s="231" t="s">
        <v>80</v>
      </c>
      <c r="E54" s="115" t="s">
        <v>1601</v>
      </c>
    </row>
    <row r="55" spans="2:5" x14ac:dyDescent="0.25">
      <c r="B55" s="209" t="s">
        <v>1603</v>
      </c>
      <c r="C55" s="118">
        <f ca="1">1.2*C53</f>
        <v>75.511096922917361</v>
      </c>
      <c r="D55" s="231" t="s">
        <v>80</v>
      </c>
      <c r="E55" s="115" t="s">
        <v>1604</v>
      </c>
    </row>
    <row r="56" spans="2:5" x14ac:dyDescent="0.25">
      <c r="B56" s="209" t="s">
        <v>1605</v>
      </c>
      <c r="C56" s="118">
        <f ca="1">1.2*C54</f>
        <v>25.243250618091547</v>
      </c>
      <c r="D56" s="231" t="s">
        <v>80</v>
      </c>
    </row>
    <row r="57" spans="2:5" x14ac:dyDescent="0.25">
      <c r="B57" s="209" t="s">
        <v>1606</v>
      </c>
      <c r="C57" s="118">
        <f ca="1">Geometria!K897</f>
        <v>149.46739546415964</v>
      </c>
      <c r="D57" s="231" t="s">
        <v>61</v>
      </c>
      <c r="E57" s="115" t="s">
        <v>1607</v>
      </c>
    </row>
    <row r="59" spans="2:5" x14ac:dyDescent="0.25">
      <c r="B59" s="635" t="s">
        <v>1608</v>
      </c>
      <c r="C59" s="635"/>
      <c r="D59" s="635"/>
      <c r="E59" s="635"/>
    </row>
    <row r="60" spans="2:5" x14ac:dyDescent="0.25">
      <c r="B60" s="209" t="s">
        <v>1068</v>
      </c>
      <c r="C60" s="118">
        <f>Geometria!H21</f>
        <v>849</v>
      </c>
      <c r="D60" s="231" t="s">
        <v>80</v>
      </c>
      <c r="E60" s="115" t="s">
        <v>1609</v>
      </c>
    </row>
    <row r="61" spans="2:5" x14ac:dyDescent="0.25">
      <c r="B61" s="209" t="s">
        <v>1337</v>
      </c>
      <c r="C61" s="118">
        <f>Geometria!H26</f>
        <v>14</v>
      </c>
      <c r="D61" s="231" t="s">
        <v>80</v>
      </c>
      <c r="E61" s="115" t="s">
        <v>1610</v>
      </c>
    </row>
    <row r="62" spans="2:5" x14ac:dyDescent="0.25">
      <c r="B62" s="209" t="s">
        <v>1611</v>
      </c>
      <c r="C62" s="118">
        <f ca="1">Geometria!I73*Geometria!K51+(Geometria!I74+Geometria!I75+Geometria!I76+Geometria!I77+Geometria!I78)*Geometria!K52</f>
        <v>56.89356932398843</v>
      </c>
      <c r="D62" s="231" t="s">
        <v>47</v>
      </c>
      <c r="E62" s="115" t="s">
        <v>1612</v>
      </c>
    </row>
    <row r="63" spans="2:5" x14ac:dyDescent="0.25">
      <c r="B63" s="209" t="s">
        <v>1613</v>
      </c>
      <c r="C63" s="118">
        <f ca="1">Geometria!I73*Geometria!K51+(Geometria!I74+Geometria!I75)*Geometria!K52</f>
        <v>9.9935693239884369</v>
      </c>
      <c r="D63" s="231" t="s">
        <v>47</v>
      </c>
      <c r="E63" s="115" t="s">
        <v>1614</v>
      </c>
    </row>
    <row r="64" spans="2:5" x14ac:dyDescent="0.25">
      <c r="B64" s="209" t="s">
        <v>1615</v>
      </c>
      <c r="C64" s="118">
        <f>Geometria!H1037</f>
        <v>10.711110050565861</v>
      </c>
      <c r="D64" s="231" t="s">
        <v>80</v>
      </c>
      <c r="E64" s="115" t="s">
        <v>1616</v>
      </c>
    </row>
    <row r="65" spans="2:5" x14ac:dyDescent="0.25">
      <c r="B65" s="209" t="s">
        <v>1617</v>
      </c>
      <c r="C65" s="118">
        <f>Geometria!H1038</f>
        <v>24.711110050565861</v>
      </c>
      <c r="D65" s="231" t="s">
        <v>80</v>
      </c>
      <c r="E65" s="115" t="s">
        <v>1618</v>
      </c>
    </row>
    <row r="66" spans="2:5" x14ac:dyDescent="0.25">
      <c r="B66" s="209" t="s">
        <v>1619</v>
      </c>
      <c r="C66" s="118">
        <f>C61/2+C64</f>
        <v>17.711110050565861</v>
      </c>
      <c r="D66" s="231" t="s">
        <v>80</v>
      </c>
      <c r="E66" s="115" t="s">
        <v>1620</v>
      </c>
    </row>
    <row r="67" spans="2:5" x14ac:dyDescent="0.25">
      <c r="B67" s="209" t="s">
        <v>1621</v>
      </c>
      <c r="C67" s="118">
        <f ca="1">C62*(C60/2-C66)/100</f>
        <v>231.43671910566431</v>
      </c>
      <c r="D67" s="231" t="s">
        <v>96</v>
      </c>
      <c r="E67" s="115" t="s">
        <v>1622</v>
      </c>
    </row>
    <row r="68" spans="2:5" x14ac:dyDescent="0.25">
      <c r="B68" s="209" t="s">
        <v>1623</v>
      </c>
      <c r="C68" s="118">
        <f ca="1">C63*(C60/2-C66)/100</f>
        <v>40.652729719379728</v>
      </c>
      <c r="D68" s="231" t="s">
        <v>96</v>
      </c>
      <c r="E68" s="115" t="s">
        <v>1624</v>
      </c>
    </row>
    <row r="69" spans="2:5" x14ac:dyDescent="0.25">
      <c r="B69" s="209" t="s">
        <v>1625</v>
      </c>
      <c r="C69" s="118">
        <f>0.5*(C13+C15)</f>
        <v>17.5</v>
      </c>
      <c r="D69" s="231" t="s">
        <v>80</v>
      </c>
      <c r="E69" s="115" t="s">
        <v>1626</v>
      </c>
    </row>
    <row r="70" spans="2:5" x14ac:dyDescent="0.25">
      <c r="B70" s="209" t="s">
        <v>1627</v>
      </c>
      <c r="C70" s="118">
        <f>C61/2+C69</f>
        <v>24.5</v>
      </c>
      <c r="D70" s="231" t="s">
        <v>80</v>
      </c>
      <c r="E70" s="115" t="s">
        <v>1628</v>
      </c>
    </row>
    <row r="71" spans="2:5" x14ac:dyDescent="0.25">
      <c r="B71" s="209" t="s">
        <v>1629</v>
      </c>
      <c r="C71" s="118">
        <f ca="1">C62*(C60/2-C70)/100</f>
        <v>227.57427729595372</v>
      </c>
      <c r="D71" s="231" t="s">
        <v>96</v>
      </c>
      <c r="E71" s="115" t="s">
        <v>1630</v>
      </c>
    </row>
    <row r="72" spans="2:5" x14ac:dyDescent="0.25">
      <c r="B72" s="209" t="s">
        <v>1631</v>
      </c>
      <c r="C72" s="118">
        <f ca="1">C62*C70*(C60-C70)/2/10000</f>
        <v>57.463216186844861</v>
      </c>
      <c r="D72" s="231" t="s">
        <v>1632</v>
      </c>
      <c r="E72" s="115" t="s">
        <v>1633</v>
      </c>
    </row>
    <row r="73" spans="2:5" x14ac:dyDescent="0.25">
      <c r="B73" s="209" t="s">
        <v>1634</v>
      </c>
      <c r="C73" s="118">
        <f ca="1">C62*C60/200</f>
        <v>241.51320178033089</v>
      </c>
      <c r="D73" s="231" t="s">
        <v>96</v>
      </c>
      <c r="E73" s="115" t="s">
        <v>1635</v>
      </c>
    </row>
    <row r="75" spans="2:5" x14ac:dyDescent="0.25">
      <c r="B75" s="635" t="s">
        <v>1636</v>
      </c>
      <c r="C75" s="635"/>
      <c r="D75" s="635"/>
      <c r="E75" s="635"/>
    </row>
    <row r="76" spans="2:5" x14ac:dyDescent="0.25">
      <c r="B76" s="209" t="s">
        <v>1637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1638</v>
      </c>
      <c r="C77" s="413">
        <f ca="1">Geometria!H1048</f>
        <v>0.32725137175256847</v>
      </c>
      <c r="D77" s="231" t="s">
        <v>1525</v>
      </c>
      <c r="E77" s="115" t="s">
        <v>1639</v>
      </c>
    </row>
    <row r="78" spans="2:5" x14ac:dyDescent="0.25">
      <c r="B78" s="209" t="s">
        <v>1640</v>
      </c>
      <c r="C78" s="413">
        <f ca="1">Geometria!I1048</f>
        <v>0.97891949117106547</v>
      </c>
      <c r="D78" s="231" t="s">
        <v>1525</v>
      </c>
      <c r="E78" s="115" t="s">
        <v>1641</v>
      </c>
    </row>
    <row r="79" spans="2:5" x14ac:dyDescent="0.25">
      <c r="B79" s="209" t="s">
        <v>1642</v>
      </c>
      <c r="C79" s="413">
        <f ca="1">Geometria!H1053/10000</f>
        <v>0.21656928780127019</v>
      </c>
      <c r="D79" s="231" t="s">
        <v>61</v>
      </c>
      <c r="E79" s="115" t="s">
        <v>1643</v>
      </c>
    </row>
    <row r="80" spans="2:5" x14ac:dyDescent="0.25">
      <c r="B80" s="209" t="s">
        <v>1644</v>
      </c>
      <c r="C80" s="118">
        <f>Geometria!H1049</f>
        <v>0.75</v>
      </c>
      <c r="D80" s="231" t="s">
        <v>1525</v>
      </c>
      <c r="E80" s="115" t="s">
        <v>1645</v>
      </c>
    </row>
    <row r="81" spans="2:5" x14ac:dyDescent="0.25">
      <c r="B81" s="209" t="s">
        <v>1646</v>
      </c>
      <c r="C81" s="118">
        <f ca="1">Geometria!H1082</f>
        <v>162.57683825577382</v>
      </c>
      <c r="D81" s="231" t="s">
        <v>96</v>
      </c>
      <c r="E81" s="115" t="s">
        <v>1647</v>
      </c>
    </row>
    <row r="82" spans="2:5" x14ac:dyDescent="0.25">
      <c r="B82" s="209" t="s">
        <v>1648</v>
      </c>
      <c r="C82" s="118">
        <f>(2/3)*C30*C32*C38</f>
        <v>111.37464282244024</v>
      </c>
      <c r="D82" s="231" t="s">
        <v>96</v>
      </c>
      <c r="E82" s="115" t="s">
        <v>1649</v>
      </c>
    </row>
    <row r="83" spans="2:5" x14ac:dyDescent="0.25">
      <c r="B83" s="209" t="s">
        <v>1650</v>
      </c>
      <c r="C83" s="118">
        <f ca="1">C81+C82</f>
        <v>273.95148107821404</v>
      </c>
      <c r="D83" s="231" t="s">
        <v>96</v>
      </c>
      <c r="E83" s="115" t="s">
        <v>1651</v>
      </c>
    </row>
    <row r="84" spans="2:5" x14ac:dyDescent="0.25">
      <c r="B84" s="209" t="s">
        <v>1652</v>
      </c>
      <c r="C84" s="413">
        <f ca="1">C27*C28/(C29*C22)</f>
        <v>1.1163384347804703</v>
      </c>
      <c r="D84" s="231" t="s">
        <v>1525</v>
      </c>
      <c r="E84" s="115" t="s">
        <v>1653</v>
      </c>
    </row>
    <row r="85" spans="2:5" x14ac:dyDescent="0.25">
      <c r="B85" s="209" t="s">
        <v>1654</v>
      </c>
      <c r="C85" s="118">
        <f ca="1">C81*C84+C68*(1-C84)</f>
        <v>176.76129820490209</v>
      </c>
      <c r="D85" s="231" t="s">
        <v>96</v>
      </c>
      <c r="E85" s="115" t="s">
        <v>1655</v>
      </c>
    </row>
    <row r="86" spans="2:5" x14ac:dyDescent="0.25">
      <c r="B86" s="209" t="s">
        <v>1656</v>
      </c>
      <c r="C86" s="118">
        <f ca="1">C85+C82</f>
        <v>288.13594102734231</v>
      </c>
      <c r="D86" s="231" t="s">
        <v>96</v>
      </c>
      <c r="E86" s="115" t="s">
        <v>1657</v>
      </c>
    </row>
    <row r="87" spans="2:5" x14ac:dyDescent="0.25">
      <c r="B87" s="209" t="s">
        <v>1658</v>
      </c>
      <c r="C87" s="415">
        <f ca="1">IF(C14="Sim",IF(C30&gt;0,C86,C85),IF(C30&gt;0,C83,C81))</f>
        <v>288.13594102734231</v>
      </c>
      <c r="D87" s="231" t="s">
        <v>96</v>
      </c>
      <c r="E87" s="115" t="s">
        <v>1659</v>
      </c>
    </row>
    <row r="88" spans="2:5" x14ac:dyDescent="0.25">
      <c r="B88" s="209" t="s">
        <v>1621</v>
      </c>
      <c r="C88" s="415">
        <f ca="1">C67</f>
        <v>231.43671910566431</v>
      </c>
      <c r="D88" s="231" t="s">
        <v>96</v>
      </c>
    </row>
    <row r="89" spans="2:5" x14ac:dyDescent="0.25">
      <c r="B89" s="411" t="s">
        <v>1285</v>
      </c>
      <c r="C89" s="411" t="str">
        <f ca="1">IF(C88&lt;=C87,"Ok!","Não Ok!")</f>
        <v>Ok!</v>
      </c>
    </row>
    <row r="91" spans="2:5" x14ac:dyDescent="0.25">
      <c r="B91" s="635" t="s">
        <v>1660</v>
      </c>
      <c r="C91" s="635"/>
      <c r="D91" s="635"/>
      <c r="E91" s="635"/>
    </row>
    <row r="92" spans="2:5" x14ac:dyDescent="0.25">
      <c r="B92" s="209" t="s">
        <v>1661</v>
      </c>
      <c r="C92" s="118">
        <f ca="1">Geometria!H1137</f>
        <v>203.22446040179733</v>
      </c>
      <c r="D92" s="231" t="s">
        <v>96</v>
      </c>
      <c r="E92" s="115" t="s">
        <v>1662</v>
      </c>
    </row>
    <row r="93" spans="2:5" x14ac:dyDescent="0.25">
      <c r="B93" s="209" t="s">
        <v>1663</v>
      </c>
      <c r="C93" s="118">
        <f ca="1">Geometria!H1153</f>
        <v>264.96287440699467</v>
      </c>
      <c r="D93" s="231" t="s">
        <v>96</v>
      </c>
      <c r="E93" s="115" t="s">
        <v>1664</v>
      </c>
    </row>
    <row r="94" spans="2:5" x14ac:dyDescent="0.25">
      <c r="B94" s="209" t="s">
        <v>1665</v>
      </c>
      <c r="C94" s="415">
        <f ca="1">IF(C30&gt;0,C93,C92)</f>
        <v>264.96287440699467</v>
      </c>
      <c r="D94" s="231" t="s">
        <v>96</v>
      </c>
      <c r="E94" s="115" t="s">
        <v>1659</v>
      </c>
    </row>
    <row r="95" spans="2:5" x14ac:dyDescent="0.25">
      <c r="B95" s="209" t="s">
        <v>1629</v>
      </c>
      <c r="C95" s="415">
        <f ca="1">C71</f>
        <v>227.57427729595372</v>
      </c>
      <c r="D95" s="231" t="s">
        <v>96</v>
      </c>
    </row>
    <row r="96" spans="2:5" x14ac:dyDescent="0.25">
      <c r="B96" s="411" t="s">
        <v>1285</v>
      </c>
      <c r="C96" s="411" t="str">
        <f ca="1">IF(C95&lt;=C94,"Ok!","Não Ok!")</f>
        <v>Ok!</v>
      </c>
    </row>
    <row r="97" spans="2:5" x14ac:dyDescent="0.25">
      <c r="B97" s="209" t="s">
        <v>1666</v>
      </c>
      <c r="C97" s="118">
        <f ca="1">Geometria!H1118</f>
        <v>157.91123182320433</v>
      </c>
      <c r="D97" s="231" t="s">
        <v>96</v>
      </c>
      <c r="E97" s="115" t="s">
        <v>1667</v>
      </c>
    </row>
    <row r="98" spans="2:5" x14ac:dyDescent="0.25">
      <c r="B98" s="209" t="s">
        <v>1668</v>
      </c>
      <c r="C98" s="118">
        <f ca="1">Geometria!H1119</f>
        <v>42.422701780330918</v>
      </c>
      <c r="D98" s="231" t="s">
        <v>96</v>
      </c>
      <c r="E98" s="115" t="s">
        <v>1669</v>
      </c>
    </row>
    <row r="99" spans="2:5" x14ac:dyDescent="0.25">
      <c r="B99" s="411" t="s">
        <v>1285</v>
      </c>
      <c r="C99" s="411" t="str">
        <f ca="1">IF(C98&lt;=C97,"Ok!","Não Ok!")</f>
        <v>Ok!</v>
      </c>
    </row>
    <row r="101" spans="2:5" x14ac:dyDescent="0.25">
      <c r="B101" s="635" t="s">
        <v>1670</v>
      </c>
      <c r="C101" s="635"/>
      <c r="D101" s="635"/>
      <c r="E101" s="635"/>
    </row>
    <row r="102" spans="2:5" x14ac:dyDescent="0.25">
      <c r="B102" s="209" t="s">
        <v>1671</v>
      </c>
      <c r="C102" s="415">
        <f>IF(C30&gt;0,Geometria!H1100,Geometria!H1099)</f>
        <v>1377.6923076923078</v>
      </c>
      <c r="D102" s="231" t="s">
        <v>96</v>
      </c>
      <c r="E102" s="115" t="s">
        <v>1672</v>
      </c>
    </row>
    <row r="103" spans="2:5" x14ac:dyDescent="0.25">
      <c r="B103" s="209" t="s">
        <v>1673</v>
      </c>
      <c r="C103" s="415">
        <f ca="1">C67</f>
        <v>231.43671910566431</v>
      </c>
      <c r="D103" s="231" t="s">
        <v>96</v>
      </c>
      <c r="E103" s="115" t="s">
        <v>1674</v>
      </c>
    </row>
    <row r="104" spans="2:5" x14ac:dyDescent="0.25">
      <c r="B104" s="411" t="s">
        <v>1285</v>
      </c>
      <c r="C104" s="411" t="str">
        <f ca="1">IF(C103&lt;=C102,"Ok!","Não Ok!")</f>
        <v>Ok!</v>
      </c>
    </row>
    <row r="106" spans="2:5" x14ac:dyDescent="0.25">
      <c r="B106" s="635" t="s">
        <v>1675</v>
      </c>
      <c r="C106" s="635"/>
      <c r="D106" s="635"/>
      <c r="E106" s="635"/>
    </row>
    <row r="107" spans="2:5" x14ac:dyDescent="0.25">
      <c r="B107" s="209" t="s">
        <v>1676</v>
      </c>
      <c r="C107" s="118">
        <f ca="1">C48*C57</f>
        <v>1770.2918318775066</v>
      </c>
      <c r="D107" s="231" t="s">
        <v>96</v>
      </c>
      <c r="E107" s="115" t="s">
        <v>1677</v>
      </c>
    </row>
    <row r="108" spans="2:5" x14ac:dyDescent="0.25">
      <c r="B108" s="209" t="s">
        <v>1678</v>
      </c>
      <c r="C108" s="118">
        <f>0.85*C42*Geometria!H31*C15</f>
        <v>1103.694642857143</v>
      </c>
      <c r="D108" s="231" t="s">
        <v>96</v>
      </c>
      <c r="E108" s="115" t="s">
        <v>1679</v>
      </c>
    </row>
    <row r="109" spans="2:5" x14ac:dyDescent="0.25">
      <c r="B109" s="209" t="s">
        <v>1318</v>
      </c>
      <c r="C109" s="413">
        <f ca="1">IF(C14="Sim",MIN(1,C108/C107),0)</f>
        <v>0.62345350240169439</v>
      </c>
      <c r="D109" s="231" t="s">
        <v>1525</v>
      </c>
      <c r="E109" s="115" t="s">
        <v>1680</v>
      </c>
    </row>
    <row r="110" spans="2:5" x14ac:dyDescent="0.25">
      <c r="B110" s="209" t="s">
        <v>1681</v>
      </c>
      <c r="C110" s="118">
        <f ca="1">IF(C107&lt;=C108,C107/(0.85*C42*Geometria!H31),C15+(C107-C108)/(0.85*C39*Geometria!H31))</f>
        <v>6.6824846657440631</v>
      </c>
      <c r="D110" s="231" t="s">
        <v>80</v>
      </c>
      <c r="E110" s="115" t="s">
        <v>1682</v>
      </c>
    </row>
    <row r="111" spans="2:5" x14ac:dyDescent="0.25">
      <c r="B111" s="209" t="s">
        <v>1683</v>
      </c>
      <c r="C111" s="118">
        <f ca="1">IF(C107&lt;=C108,C110/2,(C108*C15/2+(C107-C108)*(C15+C110)/2)/C107)</f>
        <v>3.7581330980701555</v>
      </c>
      <c r="D111" s="231" t="s">
        <v>80</v>
      </c>
      <c r="E111" s="115" t="s">
        <v>1684</v>
      </c>
    </row>
    <row r="112" spans="2:5" x14ac:dyDescent="0.25">
      <c r="B112" s="209" t="s">
        <v>1327</v>
      </c>
      <c r="C112" s="118">
        <f ca="1">C18-C111</f>
        <v>28.241866901929846</v>
      </c>
      <c r="D112" s="231" t="s">
        <v>80</v>
      </c>
      <c r="E112" s="115" t="s">
        <v>1685</v>
      </c>
    </row>
    <row r="113" spans="2:5" x14ac:dyDescent="0.25">
      <c r="B113" s="209" t="s">
        <v>1329</v>
      </c>
      <c r="C113" s="118">
        <f>Geometria!H31</f>
        <v>121.19</v>
      </c>
      <c r="D113" s="231" t="s">
        <v>80</v>
      </c>
      <c r="E113" s="115" t="s">
        <v>1686</v>
      </c>
    </row>
    <row r="114" spans="2:5" x14ac:dyDescent="0.25">
      <c r="B114" s="209" t="s">
        <v>1687</v>
      </c>
      <c r="C114" s="415">
        <f ca="1">10*C109*C71/(C112*C113)</f>
        <v>0.41454058298185698</v>
      </c>
      <c r="D114" s="231" t="s">
        <v>60</v>
      </c>
      <c r="E114" s="115" t="s">
        <v>1688</v>
      </c>
    </row>
    <row r="115" spans="2:5" x14ac:dyDescent="0.25">
      <c r="B115" s="209" t="s">
        <v>1689</v>
      </c>
      <c r="C115" s="415">
        <f>10*C10*C41</f>
        <v>0.65170533460879998</v>
      </c>
      <c r="D115" s="231" t="s">
        <v>60</v>
      </c>
      <c r="E115" s="115" t="s">
        <v>1690</v>
      </c>
    </row>
    <row r="116" spans="2:5" x14ac:dyDescent="0.25">
      <c r="B116" s="411" t="s">
        <v>1285</v>
      </c>
      <c r="C116" s="411" t="str">
        <f ca="1">IF(C14&lt;&gt;"Sim","Não se aplica",IF(C114&lt;=C115,"Ok!","Não Ok!"))</f>
        <v>Ok!</v>
      </c>
    </row>
    <row r="118" spans="2:5" x14ac:dyDescent="0.25">
      <c r="B118" s="635" t="s">
        <v>1691</v>
      </c>
      <c r="C118" s="635"/>
      <c r="D118" s="635"/>
      <c r="E118" s="635"/>
    </row>
    <row r="119" spans="2:5" x14ac:dyDescent="0.25">
      <c r="B119" s="209" t="s">
        <v>1692</v>
      </c>
      <c r="C119" s="415">
        <f ca="1">Geometria!H1168</f>
        <v>0.86230923979571994</v>
      </c>
      <c r="D119" s="231" t="s">
        <v>1525</v>
      </c>
      <c r="E119" s="115" t="s">
        <v>1693</v>
      </c>
    </row>
    <row r="120" spans="2:5" x14ac:dyDescent="0.25">
      <c r="B120" s="209" t="s">
        <v>1694</v>
      </c>
      <c r="C120" s="118">
        <v>1</v>
      </c>
      <c r="D120" s="231" t="s">
        <v>1525</v>
      </c>
    </row>
    <row r="121" spans="2:5" x14ac:dyDescent="0.25">
      <c r="B121" s="411" t="s">
        <v>1285</v>
      </c>
      <c r="C121" s="411" t="str">
        <f ca="1">IF(C119&lt;=C120,"Ok!","Não Ok!")</f>
        <v>Ok!</v>
      </c>
    </row>
    <row r="123" spans="2:5" x14ac:dyDescent="0.25">
      <c r="B123" s="635" t="s">
        <v>1695</v>
      </c>
      <c r="C123" s="635"/>
      <c r="D123" s="635"/>
      <c r="E123" s="635"/>
    </row>
    <row r="124" spans="2:5" x14ac:dyDescent="0.25">
      <c r="B124" s="411" t="s">
        <v>1114</v>
      </c>
      <c r="C124" s="411" t="s">
        <v>1696</v>
      </c>
      <c r="D124" s="411" t="s">
        <v>1697</v>
      </c>
      <c r="E124" s="411" t="s">
        <v>1285</v>
      </c>
    </row>
    <row r="125" spans="2:5" x14ac:dyDescent="0.25">
      <c r="B125" s="209" t="s">
        <v>1698</v>
      </c>
      <c r="C125" s="118">
        <f ca="1">C88</f>
        <v>231.43671910566431</v>
      </c>
      <c r="D125" s="118">
        <f ca="1">C87</f>
        <v>288.13594102734231</v>
      </c>
      <c r="E125" s="411" t="str">
        <f ca="1">IF(C89="Não se aplica",C89,C89&amp;"  (aproveitamento "&amp;IFERROR(ROUND(100*C88/C87,0),"-")&amp;"%)")</f>
        <v>Ok!  (aproveitamento 80%)</v>
      </c>
    </row>
    <row r="126" spans="2:5" x14ac:dyDescent="0.25">
      <c r="B126" s="209" t="s">
        <v>1699</v>
      </c>
      <c r="C126" s="118">
        <f ca="1">C95</f>
        <v>227.57427729595372</v>
      </c>
      <c r="D126" s="118">
        <f ca="1">C94</f>
        <v>264.96287440699467</v>
      </c>
      <c r="E126" s="411" t="str">
        <f ca="1">IF(C96="Não se aplica",C96,C96&amp;"  (aproveitamento "&amp;IFERROR(ROUND(100*C95/C94,0),"-")&amp;"%)")</f>
        <v>Ok!  (aproveitamento 86%)</v>
      </c>
    </row>
    <row r="127" spans="2:5" x14ac:dyDescent="0.25">
      <c r="B127" s="209" t="s">
        <v>1700</v>
      </c>
      <c r="C127" s="118">
        <f ca="1">C98</f>
        <v>42.422701780330918</v>
      </c>
      <c r="D127" s="118">
        <f ca="1">C97</f>
        <v>157.91123182320433</v>
      </c>
      <c r="E127" s="411" t="str">
        <f ca="1">IF(C99="Não se aplica",C99,C99&amp;"  (aproveitamento "&amp;IFERROR(ROUND(100*C98/C97,0),"-")&amp;"%)")</f>
        <v>Ok!  (aproveitamento 27%)</v>
      </c>
    </row>
    <row r="128" spans="2:5" x14ac:dyDescent="0.25">
      <c r="B128" s="209" t="s">
        <v>1701</v>
      </c>
      <c r="C128" s="118">
        <f ca="1">C103</f>
        <v>231.43671910566431</v>
      </c>
      <c r="D128" s="118">
        <f>C102</f>
        <v>1377.6923076923078</v>
      </c>
      <c r="E128" s="411" t="str">
        <f ca="1">IF(C104="Não se aplica",C104,C104&amp;"  (aproveitamento "&amp;IFERROR(ROUND(100*C103/C102,0),"-")&amp;"%)")</f>
        <v>Ok!  (aproveitamento 17%)</v>
      </c>
    </row>
    <row r="129" spans="2:5" x14ac:dyDescent="0.25">
      <c r="B129" s="209" t="s">
        <v>1702</v>
      </c>
      <c r="C129" s="118">
        <f ca="1">C114</f>
        <v>0.41454058298185698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64%)</v>
      </c>
    </row>
    <row r="130" spans="2:5" x14ac:dyDescent="0.25">
      <c r="B130" s="209" t="s">
        <v>1703</v>
      </c>
      <c r="C130" s="118">
        <f ca="1">C119</f>
        <v>0.86230923979571994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86%)</v>
      </c>
    </row>
    <row r="132" spans="2:5" x14ac:dyDescent="0.25">
      <c r="B132" s="209" t="s">
        <v>495</v>
      </c>
      <c r="C132" s="415">
        <f ca="1">MAX(C67,C71)</f>
        <v>231.43671910566431</v>
      </c>
      <c r="D132" s="231" t="s">
        <v>96</v>
      </c>
      <c r="E132" s="115" t="s">
        <v>1704</v>
      </c>
    </row>
    <row r="133" spans="2:5" x14ac:dyDescent="0.25">
      <c r="B133" s="209" t="s">
        <v>1705</v>
      </c>
      <c r="C133" s="415">
        <f ca="1">MIN(C87,C94,C102)</f>
        <v>264.96287440699467</v>
      </c>
      <c r="D133" s="231" t="s">
        <v>96</v>
      </c>
      <c r="E133" s="115" t="s">
        <v>1706</v>
      </c>
    </row>
    <row r="134" spans="2:5" x14ac:dyDescent="0.25">
      <c r="B134" s="209" t="s">
        <v>1707</v>
      </c>
      <c r="C134" s="118" t="str">
        <f ca="1">IF(C133=C87,"Tração diagonal",IF(C133=C94,"Flexo-cortante","Bielas comprimidas"))</f>
        <v>Flexo-cortante</v>
      </c>
    </row>
    <row r="135" spans="2:5" x14ac:dyDescent="0.25">
      <c r="B135" s="411" t="s">
        <v>1708</v>
      </c>
      <c r="C135" s="411" t="str">
        <f ca="1">IF(AND(C132&lt;=C133,C89="Ok!",C96="Ok!",C99="Ok!",C104="Ok!",OR(C116="Ok!",C116="Não se aplica"),C121="Ok!"),"Ok!","Não Ok!")</f>
        <v>Ok!</v>
      </c>
      <c r="E135" s="115" t="s">
        <v>1709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69" t="s">
        <v>734</v>
      </c>
      <c r="G3" s="769"/>
      <c r="H3" s="769"/>
      <c r="I3" s="769"/>
      <c r="J3" s="769"/>
      <c r="K3" s="769"/>
      <c r="L3" s="769"/>
      <c r="M3" s="769"/>
      <c r="N3" s="769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1.06125</v>
      </c>
      <c r="H5" s="119">
        <f>Geometria!I1254</f>
        <v>2.1225000000000001</v>
      </c>
      <c r="I5" s="119">
        <f>Geometria!J1254</f>
        <v>3.1837499999999999</v>
      </c>
      <c r="J5" s="119">
        <f>Geometria!K1254</f>
        <v>4.2450000000000001</v>
      </c>
      <c r="K5" s="119">
        <f>Geometria!L1254</f>
        <v>5.3062500000000004</v>
      </c>
      <c r="L5" s="119">
        <f>Geometria!M1254</f>
        <v>6.3675000000000006</v>
      </c>
      <c r="M5" s="119">
        <f>Geometria!N1254</f>
        <v>7.4287500000000009</v>
      </c>
      <c r="N5" s="119">
        <f>Geometria!G1257</f>
        <v>8.49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1462</v>
      </c>
      <c r="G9" s="115">
        <f ca="1">(0.5-0.0625*Geometria!$H$1228)*((Geometria!I73+Geometria!I74+Geometria!I75)*Geometria!K51+(Geometria!I76+Geometria!I77+Geometria!I78)*Geometria!K52)*(Geometria!$H$21/100)</f>
        <v>234.04023627767378</v>
      </c>
      <c r="H9" s="115"/>
      <c r="I9" s="115"/>
      <c r="J9" s="115"/>
      <c r="K9" s="115"/>
      <c r="L9" s="115"/>
      <c r="M9" s="115"/>
    </row>
    <row r="10" spans="6:14" x14ac:dyDescent="0.25">
      <c r="F10" t="s">
        <v>1463</v>
      </c>
      <c r="G10">
        <f ca="1">(0.5+0.0625*Geometria!$H$1228)*((Geometria!I73+Geometria!I74+Geometria!I75)*Geometria!K51+(Geometria!I76+Geometria!I77+Geometria!I78)*Geometria!K52)*(Geometria!$H$21/100)</f>
        <v>246.65858021048805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1451</v>
      </c>
    </row>
    <row r="7" spans="3:6" x14ac:dyDescent="0.25">
      <c r="C7" t="s">
        <v>1452</v>
      </c>
      <c r="D7" s="409">
        <f>Geometria!H1222</f>
        <v>0</v>
      </c>
      <c r="F7" t="s">
        <v>1455</v>
      </c>
    </row>
    <row r="8" spans="3:6" x14ac:dyDescent="0.25">
      <c r="C8" t="s">
        <v>1131</v>
      </c>
      <c r="D8">
        <f ca="1">Geometria!I37/100^4</f>
        <v>3.3568931055165756E-3</v>
      </c>
      <c r="E8" t="s">
        <v>1460</v>
      </c>
      <c r="F8" t="s">
        <v>1456</v>
      </c>
    </row>
    <row r="9" spans="3:6" x14ac:dyDescent="0.25">
      <c r="C9" t="s">
        <v>1454</v>
      </c>
      <c r="D9">
        <f>Geometria!H867*10^6</f>
        <v>36628131.265463158</v>
      </c>
      <c r="E9" t="s">
        <v>47</v>
      </c>
      <c r="F9" t="s">
        <v>1457</v>
      </c>
    </row>
    <row r="10" spans="3:6" x14ac:dyDescent="0.25">
      <c r="C10" t="s">
        <v>1068</v>
      </c>
      <c r="D10">
        <f>Geometria!H21/100</f>
        <v>8.49</v>
      </c>
      <c r="E10" t="s">
        <v>1461</v>
      </c>
      <c r="F10" t="s">
        <v>1458</v>
      </c>
    </row>
    <row r="12" spans="3:6" x14ac:dyDescent="0.25">
      <c r="C12" t="s">
        <v>1453</v>
      </c>
      <c r="D12">
        <f ca="1">((D7/(1-D7))*4*D9*D8)/D10</f>
        <v>0</v>
      </c>
      <c r="E12" t="s">
        <v>47</v>
      </c>
      <c r="F12" t="s">
        <v>1459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55" t="s">
        <v>762</v>
      </c>
      <c r="L2" s="655"/>
      <c r="M2" s="655"/>
      <c r="N2" s="655"/>
      <c r="O2" s="655"/>
      <c r="P2" s="655"/>
      <c r="Q2" s="655"/>
      <c r="R2" s="655"/>
      <c r="S2" s="655"/>
      <c r="T2" s="655"/>
      <c r="U2" s="655"/>
      <c r="V2" s="655"/>
      <c r="W2" s="655"/>
      <c r="X2" s="655"/>
      <c r="Y2" s="655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1893.9633793843193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15.315923500909891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14.684076499090109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15.315923500909891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219251.00942138446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15.315923500909891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14.684076499090109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43" t="s">
        <v>773</v>
      </c>
      <c r="L19" s="643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14315.232732022927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14931.208607839262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55" t="s">
        <v>777</v>
      </c>
      <c r="L23" s="655"/>
      <c r="M23" s="655"/>
      <c r="N23" s="655"/>
      <c r="O23" s="655"/>
      <c r="P23" s="655"/>
      <c r="Q23" s="655"/>
      <c r="R23" s="655"/>
      <c r="S23" s="655"/>
      <c r="T23" s="655"/>
      <c r="U23" s="655"/>
      <c r="V23" s="655"/>
      <c r="W23" s="655"/>
      <c r="X23" s="655"/>
      <c r="Y23" s="655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2344.4596862489434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16.685577554238503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18.314422445761497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16.685577554238503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335689.31055165757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16.685577554238503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18.314422445761497</v>
      </c>
      <c r="M39" s="231"/>
      <c r="N39" s="115"/>
      <c r="O39" s="143"/>
      <c r="P39" s="115"/>
      <c r="Q39" s="115"/>
      <c r="R39" s="115"/>
    </row>
    <row r="40" spans="11:18" x14ac:dyDescent="0.25">
      <c r="K40" s="643" t="s">
        <v>773</v>
      </c>
      <c r="L40" s="643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20118.531076341744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18329.232687834286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21" t="s">
        <v>1710</v>
      </c>
    </row>
    <row r="47" spans="11:18" x14ac:dyDescent="0.25">
      <c r="K47" s="209" t="s">
        <v>1711</v>
      </c>
      <c r="L47" s="237">
        <v>200000</v>
      </c>
      <c r="M47" s="231" t="s">
        <v>60</v>
      </c>
      <c r="N47" s="231" t="s">
        <v>1712</v>
      </c>
    </row>
    <row r="48" spans="11:18" x14ac:dyDescent="0.25">
      <c r="K48" s="209" t="s">
        <v>1713</v>
      </c>
      <c r="L48" s="237">
        <v>210000</v>
      </c>
      <c r="M48" s="231" t="s">
        <v>60</v>
      </c>
      <c r="N48" s="231" t="s">
        <v>1714</v>
      </c>
    </row>
    <row r="49" spans="11:14" x14ac:dyDescent="0.25">
      <c r="K49" s="209" t="s">
        <v>1715</v>
      </c>
      <c r="L49" s="237">
        <f>Geometria!$I$201</f>
        <v>1</v>
      </c>
      <c r="M49" s="231" t="s">
        <v>237</v>
      </c>
      <c r="N49" s="231" t="s">
        <v>1716</v>
      </c>
    </row>
    <row r="50" spans="11:14" x14ac:dyDescent="0.25">
      <c r="K50" s="209" t="s">
        <v>1717</v>
      </c>
      <c r="L50" s="237">
        <f>EXP(Fluência!$B$17*(1-(28/L49)^(1/2)))</f>
        <v>0.42388184737889384</v>
      </c>
      <c r="M50" s="231" t="s">
        <v>1173</v>
      </c>
      <c r="N50" s="231" t="s">
        <v>1718</v>
      </c>
    </row>
    <row r="51" spans="11:14" x14ac:dyDescent="0.25">
      <c r="K51" s="209" t="s">
        <v>1719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1720</v>
      </c>
    </row>
    <row r="52" spans="11:14" x14ac:dyDescent="0.25">
      <c r="K52" s="209" t="s">
        <v>1721</v>
      </c>
      <c r="L52" s="237">
        <f>L47/L51</f>
        <v>6.8020463157224667</v>
      </c>
      <c r="M52" s="231" t="s">
        <v>1173</v>
      </c>
      <c r="N52" s="231" t="s">
        <v>1722</v>
      </c>
    </row>
    <row r="53" spans="11:14" x14ac:dyDescent="0.25">
      <c r="K53" s="209" t="s">
        <v>1723</v>
      </c>
      <c r="L53" s="237">
        <f>L48/L51</f>
        <v>7.14214863150859</v>
      </c>
      <c r="M53" s="231" t="s">
        <v>1173</v>
      </c>
      <c r="N53" s="231" t="s">
        <v>1724</v>
      </c>
    </row>
    <row r="54" spans="11:14" x14ac:dyDescent="0.25">
      <c r="K54" s="209" t="s">
        <v>1725</v>
      </c>
      <c r="L54" s="237">
        <f>Geometria!$I$204</f>
        <v>30</v>
      </c>
      <c r="M54" s="231" t="s">
        <v>237</v>
      </c>
      <c r="N54" s="231" t="s">
        <v>1726</v>
      </c>
    </row>
    <row r="55" spans="11:14" x14ac:dyDescent="0.25">
      <c r="K55" s="209" t="s">
        <v>1727</v>
      </c>
      <c r="L55" s="237">
        <f>EXP(Fluência!$B$17*(1-(28/L54)^(1/2)))</f>
        <v>1.0068046907979593</v>
      </c>
      <c r="M55" s="231" t="s">
        <v>1173</v>
      </c>
      <c r="N55" s="231" t="s">
        <v>1718</v>
      </c>
    </row>
    <row r="56" spans="11:14" x14ac:dyDescent="0.25">
      <c r="K56" s="209" t="s">
        <v>1728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1720</v>
      </c>
    </row>
    <row r="57" spans="11:14" x14ac:dyDescent="0.25">
      <c r="K57" s="209" t="s">
        <v>1729</v>
      </c>
      <c r="L57" s="237">
        <f>L47/L56</f>
        <v>5.4602840246065449</v>
      </c>
      <c r="M57" s="231" t="s">
        <v>1173</v>
      </c>
      <c r="N57" s="231" t="s">
        <v>1730</v>
      </c>
    </row>
    <row r="58" spans="11:14" x14ac:dyDescent="0.25">
      <c r="K58" s="209" t="s">
        <v>1731</v>
      </c>
      <c r="L58" s="237">
        <f>L48/L56</f>
        <v>5.7332982258368714</v>
      </c>
      <c r="M58" s="231" t="s">
        <v>1173</v>
      </c>
      <c r="N58" s="231" t="s">
        <v>1732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1375.3592794850445</v>
      </c>
      <c r="G1" s="231" t="s">
        <v>96</v>
      </c>
    </row>
    <row r="2" spans="1:25" x14ac:dyDescent="0.25">
      <c r="E2" s="115" t="s">
        <v>97</v>
      </c>
      <c r="F2" s="239">
        <f ca="1">Geometria!H750</f>
        <v>135.18506357487277</v>
      </c>
      <c r="G2" s="231" t="s">
        <v>96</v>
      </c>
    </row>
    <row r="3" spans="1:25" ht="15.75" thickBot="1" x14ac:dyDescent="0.3"/>
    <row r="4" spans="1:25" ht="15.75" thickBot="1" x14ac:dyDescent="0.3">
      <c r="A4" s="771" t="s">
        <v>723</v>
      </c>
      <c r="B4" s="772"/>
      <c r="C4" s="772"/>
      <c r="D4" s="772"/>
      <c r="E4" s="772"/>
      <c r="F4" s="772"/>
      <c r="G4" s="772"/>
      <c r="H4" s="772"/>
      <c r="I4" s="772"/>
      <c r="J4" s="772"/>
      <c r="K4" s="773"/>
      <c r="N4" s="771" t="s">
        <v>731</v>
      </c>
      <c r="O4" s="772"/>
      <c r="P4" s="772"/>
      <c r="Q4" s="772"/>
      <c r="R4" s="772"/>
      <c r="S4" s="772"/>
      <c r="T4" s="772"/>
      <c r="U4" s="772"/>
      <c r="V4" s="772"/>
      <c r="W4" s="772"/>
      <c r="X4" s="773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74" t="s">
        <v>724</v>
      </c>
      <c r="D6" s="776" t="s">
        <v>725</v>
      </c>
      <c r="E6" s="777"/>
      <c r="F6" s="776" t="s">
        <v>726</v>
      </c>
      <c r="G6" s="777"/>
      <c r="I6" s="780" t="s">
        <v>95</v>
      </c>
      <c r="J6" s="780" t="s">
        <v>97</v>
      </c>
      <c r="K6" s="363"/>
      <c r="N6" s="362"/>
      <c r="P6" s="774" t="s">
        <v>724</v>
      </c>
      <c r="Q6" s="776" t="s">
        <v>725</v>
      </c>
      <c r="R6" s="777"/>
      <c r="S6" s="776" t="s">
        <v>726</v>
      </c>
      <c r="T6" s="777"/>
      <c r="V6" s="780" t="s">
        <v>95</v>
      </c>
      <c r="W6" s="780" t="s">
        <v>97</v>
      </c>
      <c r="X6" s="363"/>
    </row>
    <row r="7" spans="1:25" x14ac:dyDescent="0.25">
      <c r="A7" s="362"/>
      <c r="C7" s="775"/>
      <c r="D7" s="778"/>
      <c r="E7" s="779"/>
      <c r="F7" s="778"/>
      <c r="G7" s="779"/>
      <c r="I7" s="780"/>
      <c r="J7" s="780"/>
      <c r="K7" s="363"/>
      <c r="N7" s="362"/>
      <c r="P7" s="775"/>
      <c r="Q7" s="778"/>
      <c r="R7" s="779"/>
      <c r="S7" s="778"/>
      <c r="T7" s="779"/>
      <c r="V7" s="780"/>
      <c r="W7" s="780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781">
        <v>0</v>
      </c>
      <c r="G8" s="782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781">
        <v>0</v>
      </c>
      <c r="T8" s="782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1541.3437977838282</v>
      </c>
      <c r="D9" s="365">
        <f ca="1">-I9/(Geometria!$H$36/100^2)+J9/(Geometria!$H$40/100^3)-Geometria!$H$741/(Geometria!$H$40/100^3)</f>
        <v>-1175.5740698245875</v>
      </c>
      <c r="E9" s="367">
        <f ca="1">('Perdas por Seção'!D60*(Geometria!$H$280*100))/Geometria!$J$1030</f>
        <v>98.994312083394007</v>
      </c>
      <c r="F9" s="770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1541.3437977838282</v>
      </c>
      <c r="G9" s="770"/>
      <c r="H9" s="209" t="str">
        <f>IF(Geometria!$H$280&lt;'Isolamento de cabos'!$C$8,"Sim","Não")</f>
        <v>Não</v>
      </c>
      <c r="I9" s="368">
        <f ca="1">Geometria!$H$166*E32+Geometria!$H$168*E9</f>
        <v>1066.9932632034636</v>
      </c>
      <c r="J9" s="368">
        <f ca="1">Geometria!$H$166*E32*Geometria!$H$167/100-Geometria!$H$168*E9*Geometria!$H$169/100</f>
        <v>71.924139634798237</v>
      </c>
      <c r="K9" s="363"/>
      <c r="L9">
        <f t="shared" ref="L9:L51" ca="1" si="1">C9/1000</f>
        <v>1.5413437977838282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-467.50227169144762</v>
      </c>
      <c r="Q9" s="365">
        <f ca="1">-(V9/(Geometria!$H$36/100^2))+(W9/(Geometria!$H$40/100^3))-((Geometria!$H$281)/(Geometria!$H$40/100^3))-((Geometria!$H$292)/(Geometria!$H$266))-((Geometria!$H$52*Geometria!$H$303)/(Geometria!$H$266))</f>
        <v>-2738.3161642094155</v>
      </c>
      <c r="R9" s="367">
        <f ca="1">('Perdas por Seção'!D92*(Geometria!$H$280*100))/Geometria!$J$1030</f>
        <v>84.442229498066794</v>
      </c>
      <c r="S9" s="787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-467.50227169144762</v>
      </c>
      <c r="T9" s="788"/>
      <c r="V9" s="368">
        <f ca="1">Geometria!$H$166*R32+Geometria!$H$168*R9</f>
        <v>876.53924834487191</v>
      </c>
      <c r="W9" s="368">
        <f ca="1">Geometria!$H$166*R32*Geometria!$H$167/100-Geometria!$H$168*R9*Geometria!$H$169/100</f>
        <v>57.424696444594261</v>
      </c>
      <c r="X9" s="363"/>
      <c r="Y9">
        <f t="shared" ref="Y9:Y28" ca="1" si="2">P9/1000</f>
        <v>-0.46750227169144759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1050.2620031995739</v>
      </c>
      <c r="D10" s="365">
        <f ca="1">-I10/(Geometria!$H$36/100^2)+J10/(Geometria!$H$40/100^3)-Geometria!$I$741/(Geometria!$H$40/100^3)</f>
        <v>-2250.2075517609546</v>
      </c>
      <c r="E10" s="367">
        <f ca="1">('Perdas por Seção'!E60*(Geometria!$I$280*100))/Geometria!$J$1030</f>
        <v>196.99605018729685</v>
      </c>
      <c r="F10" s="770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1050.2620031995739</v>
      </c>
      <c r="G10" s="770"/>
      <c r="H10" s="209" t="str">
        <f>IF(Geometria!$I$280&lt;'Isolamento de cabos'!$C$8,"Sim","Não")</f>
        <v>Não</v>
      </c>
      <c r="I10" s="368">
        <f ca="1">Geometria!$H$166*E33+Geometria!$H$168*E10</f>
        <v>2135.5114181330277</v>
      </c>
      <c r="J10" s="368">
        <f ca="1">Geometria!$H$166*E33*Geometria!$H$167/100-Geometria!$H$168*E10*Geometria!$H$169/100</f>
        <v>144.55529220167523</v>
      </c>
      <c r="K10" s="363"/>
      <c r="L10">
        <f t="shared" ca="1" si="1"/>
        <v>1.050262003199574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-2292.1236478241512</v>
      </c>
      <c r="Q10" s="365">
        <f ca="1">-(V10/(Geometria!$H$36/100^2))+(W10/(Geometria!$H$40/100^3))-((Geometria!$I$281)/(Geometria!$H$40/100^3))-((Geometria!$I$292)/(Geometria!$H$266))-((Geometria!$H$52*Geometria!$I$303)/(Geometria!$H$266))</f>
        <v>-5065.1015539993514</v>
      </c>
      <c r="R10" s="367">
        <f ca="1">('Perdas por Seção'!E92*(Geometria!$I$280*100))/Geometria!$J$1030</f>
        <v>164.56047454480188</v>
      </c>
      <c r="S10" s="787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-2292.1236478241512</v>
      </c>
      <c r="T10" s="788"/>
      <c r="V10" s="368">
        <f ca="1">Geometria!$H$166*R33+Geometria!$H$168*R10</f>
        <v>1762.5371848356272</v>
      </c>
      <c r="W10" s="368">
        <f ca="1">Geometria!$H$166*R33*Geometria!$H$167/100-Geometria!$H$168*R10*Geometria!$H$169/100</f>
        <v>118.25837216363344</v>
      </c>
      <c r="X10" s="363"/>
      <c r="Y10">
        <f t="shared" ca="1" si="2"/>
        <v>-2.2921236478241513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616.95453738993479</v>
      </c>
      <c r="D11" s="365">
        <f ca="1">-I11/(Geometria!$H$36/100^2)+J11/(Geometria!$H$40/100^3)-Geometria!$J$741/(Geometria!$H$40/100^3)</f>
        <v>-3231.1953035398265</v>
      </c>
      <c r="E11" s="367">
        <f ca="1">('Perdas por Seção'!F60*(Geometria!$J$280*100))/Geometria!$J$1030</f>
        <v>294.18037442573632</v>
      </c>
      <c r="F11" s="770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616.95453738993479</v>
      </c>
      <c r="G11" s="770"/>
      <c r="H11" s="209" t="str">
        <f>IF(Geometria!$J$280&lt;'Isolamento de cabos'!$C$8,"Sim","Não")</f>
        <v>Não</v>
      </c>
      <c r="I11" s="368">
        <f ca="1">Geometria!$H$166*E34+Geometria!$H$168*E11</f>
        <v>3205.2853662487923</v>
      </c>
      <c r="J11" s="368">
        <f ca="1">Geometria!$H$166*E34*Geometria!$H$167/100-Geometria!$H$168*E11*Geometria!$H$169/100</f>
        <v>217.76869071261717</v>
      </c>
      <c r="K11" s="363"/>
      <c r="L11">
        <f t="shared" ca="1" si="1"/>
        <v>0.61695453738993478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-3902.1072099259263</v>
      </c>
      <c r="Q11" s="365">
        <f ca="1">-(V11/(Geometria!$H$36/100^2))+(W11/(Geometria!$H$40/100^3))-((Geometria!$J$281)/(Geometria!$H$40/100^3))-((Geometria!$J$292)/(Geometria!$H$266))-((Geometria!$H$52*Geometria!$J$303)/(Geometria!$H$266))</f>
        <v>-7013.6147044059262</v>
      </c>
      <c r="R11" s="367">
        <f ca="1">('Perdas por Seção'!F92*(Geometria!$J$280*100))/Geometria!$J$1030</f>
        <v>241.11779121985199</v>
      </c>
      <c r="S11" s="787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-3902.1072099259263</v>
      </c>
      <c r="T11" s="788"/>
      <c r="V11" s="368">
        <f ca="1">Geometria!$H$166*R34+Geometria!$H$168*R11</f>
        <v>2656.3081101828316</v>
      </c>
      <c r="W11" s="368">
        <f ca="1">Geometria!$H$166*R34*Geometria!$H$167/100-Geometria!$H$168*R11*Geometria!$H$169/100</f>
        <v>181.89751248335966</v>
      </c>
      <c r="X11" s="363"/>
      <c r="Y11">
        <f t="shared" ca="1" si="2"/>
        <v>-3.9021072099259264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241.42140035491593</v>
      </c>
      <c r="D12" s="365">
        <f ca="1">-I12/(Geometria!$H$36/100^2)+J12/(Geometria!$H$40/100^3)-Geometria!$K$741/(Geometria!$H$40/100^3)</f>
        <v>-4125.832182891947</v>
      </c>
      <c r="E12" s="367">
        <f ca="1">('Perdas por Seção'!G60*(Geometria!$K$280*100))/Geometria!$J$1030</f>
        <v>390.72244491274034</v>
      </c>
      <c r="F12" s="770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241.42140035491593</v>
      </c>
      <c r="G12" s="770"/>
      <c r="H12" s="209" t="str">
        <f>IF(Geometria!$K$280&lt;'Isolamento de cabos'!$C$8,"Sim","Não")</f>
        <v>Não</v>
      </c>
      <c r="I12" s="368">
        <f ca="1">Geometria!$H$166*E35+Geometria!$H$168*E12</f>
        <v>4276.0460090108572</v>
      </c>
      <c r="J12" s="368">
        <f ca="1">Geometria!$H$166*E35*Geometria!$H$167/100-Geometria!$H$168*E12*Geometria!$H$169/100</f>
        <v>291.43956817961009</v>
      </c>
      <c r="K12" s="363"/>
      <c r="L12">
        <f t="shared" ca="1" si="1"/>
        <v>0.24142140035491594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-5297.444129834973</v>
      </c>
      <c r="Q12" s="365">
        <f ca="1">-(V12/(Geometria!$H$36/100^2))+(W12/(Geometria!$H$40/100^3))-((Geometria!$K$281)/(Geometria!$H$40/100^3))-((Geometria!$K$292)/(Geometria!$H$266))-((Geometria!$H$52*Geometria!$K$303)/(Geometria!$H$266))</f>
        <v>-8617.0903284533833</v>
      </c>
      <c r="R12" s="367">
        <f ca="1">('Perdas por Seção'!G92*(Geometria!$K$280*100))/Geometria!$J$1030</f>
        <v>314.87723560286406</v>
      </c>
      <c r="S12" s="787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-5297.444129834973</v>
      </c>
      <c r="T12" s="788"/>
      <c r="V12" s="368">
        <f ca="1">Geometria!$H$166*R35+Geometria!$H$168*R12</f>
        <v>3556.1745907300219</v>
      </c>
      <c r="W12" s="368">
        <f ca="1">Geometria!$H$166*R35*Geometria!$H$167/100-Geometria!$H$168*R12*Geometria!$H$169/100</f>
        <v>247.73956849289436</v>
      </c>
      <c r="X12" s="363"/>
      <c r="Y12">
        <f t="shared" ca="1" si="2"/>
        <v>-5.2974441298349726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-76.337407905484724</v>
      </c>
      <c r="D13" s="365">
        <f ca="1">-I13/(Geometria!$H$36/100^2)+J13/(Geometria!$H$40/100^3)-Geometria!$L$741/(Geometria!$H$40/100^3)</f>
        <v>-4941.413047548057</v>
      </c>
      <c r="E13" s="367">
        <f ca="1">('Perdas por Seção'!H60*(Geometria!$L$280*100))/Geometria!$J$1030</f>
        <v>486.79742176233685</v>
      </c>
      <c r="F13" s="770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-76.337407905484724</v>
      </c>
      <c r="G13" s="770"/>
      <c r="H13" s="209" t="str">
        <f>IF(Geometria!$L$280&lt;'Isolamento de cabos'!$C$8,"Sim","Não")</f>
        <v>Não</v>
      </c>
      <c r="I13" s="368">
        <f ca="1">Geometria!$H$166*E36+Geometria!$H$168*E13</f>
        <v>5347.5242478793234</v>
      </c>
      <c r="J13" s="368">
        <f ca="1">Geometria!$H$166*E36*Geometria!$H$167/100-Geometria!$H$168*E13*Geometria!$H$169/100</f>
        <v>365.44315761464009</v>
      </c>
      <c r="K13" s="363"/>
      <c r="L13">
        <f t="shared" ca="1" si="1"/>
        <v>-7.6337407905484725E-2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-6478.1267608377775</v>
      </c>
      <c r="Q13" s="365">
        <f ca="1">-(V13/(Geometria!$H$36/100^2))+(W13/(Geometria!$H$40/100^3))-((Geometria!$L$281)/(Geometria!$H$40/100^3))-((Geometria!$L$292)/(Geometria!$H$266))-((Geometria!$H$52*Geometria!$L$303)/(Geometria!$H$266))</f>
        <v>-9908.7433021958896</v>
      </c>
      <c r="R13" s="367">
        <f ca="1">('Perdas por Seção'!H92*(Geometria!$L$280*100))/Geometria!$J$1030</f>
        <v>386.60186377348475</v>
      </c>
      <c r="S13" s="787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-6478.1267608377775</v>
      </c>
      <c r="T13" s="788"/>
      <c r="V13" s="368">
        <f ca="1">Geometria!$H$166*R36+Geometria!$H$168*R13</f>
        <v>4460.4660757454203</v>
      </c>
      <c r="W13" s="368">
        <f ca="1">Geometria!$H$166*R36*Geometria!$H$167/100-Geometria!$H$168*R13*Geometria!$H$169/100</f>
        <v>315.18279548754475</v>
      </c>
      <c r="X13" s="363"/>
      <c r="Y13">
        <f t="shared" ca="1" si="2"/>
        <v>-6.4781267608377773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-336.3218873912665</v>
      </c>
      <c r="D14" s="365">
        <f ca="1">-I14/(Geometria!$H$36/100^2)+J14/(Geometria!$H$40/100^3)-Geometria!$M$741/(Geometria!$H$40/100^3)</f>
        <v>-5685.2327552388879</v>
      </c>
      <c r="E14" s="367">
        <f ca="1">('Perdas por Seção'!I60*(Geometria!$M$280*100))/Geometria!$J$1030</f>
        <v>582.58046508855352</v>
      </c>
      <c r="F14" s="770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-336.3218873912665</v>
      </c>
      <c r="G14" s="770"/>
      <c r="H14" s="209" t="str">
        <f>IF(Geometria!$M$280&lt;'Isolamento de cabos'!$C$8,"Sim","Não")</f>
        <v>Não</v>
      </c>
      <c r="I14" s="368">
        <f ca="1">Geometria!$H$166*E37+Geometria!$H$168*E14</f>
        <v>6419.4509843142878</v>
      </c>
      <c r="J14" s="368">
        <f ca="1">Geometria!$H$166*E37*Geometria!$H$167/100-Geometria!$H$168*E14*Geometria!$H$169/100</f>
        <v>439.65469202969308</v>
      </c>
      <c r="K14" s="363"/>
      <c r="L14">
        <f t="shared" ca="1" si="1"/>
        <v>-0.33632188739126651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-7444.1486357972726</v>
      </c>
      <c r="Q14" s="365">
        <f ca="1">-(V14/(Geometria!$H$36/100^2))+(W14/(Geometria!$H$40/100^3))-((Geometria!$M$281)/(Geometria!$H$40/100^3))-((Geometria!$M$292)/(Geometria!$H$266))-((Geometria!$H$52*Geometria!$M$303)/(Geometria!$H$266))</f>
        <v>-10921.772642182837</v>
      </c>
      <c r="R14" s="367">
        <f ca="1">('Perdas por Seção'!I92*(Geometria!$M$280*100))/Geometria!$J$1030</f>
        <v>457.05473181136074</v>
      </c>
      <c r="S14" s="787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-7444.1486357972726</v>
      </c>
      <c r="T14" s="788"/>
      <c r="V14" s="368">
        <f ca="1">Geometria!$H$166*R37+Geometria!$H$168*R14</f>
        <v>5367.5175173425196</v>
      </c>
      <c r="W14" s="368">
        <f ca="1">Geometria!$H$166*R37*Geometria!$H$167/100-Geometria!$H$168*R14*Geometria!$H$169/100</f>
        <v>383.6260917192692</v>
      </c>
      <c r="X14" s="363"/>
      <c r="Y14">
        <f t="shared" ca="1" si="2"/>
        <v>-7.4441486357972728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-538.53203810242849</v>
      </c>
      <c r="D15" s="365">
        <f ca="1">-I15/(Geometria!$H$36/100^2)+J15/(Geometria!$H$40/100^3)-Geometria!$N$741/(Geometria!$H$40/100^3)</f>
        <v>-6364.5861636951713</v>
      </c>
      <c r="E15" s="367">
        <f ca="1">('Perdas por Seção'!J60*(Geometria!$N$280*100))/Geometria!$J$1030</f>
        <v>678.24673500541826</v>
      </c>
      <c r="F15" s="770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-538.53203810242849</v>
      </c>
      <c r="G15" s="770"/>
      <c r="H15" s="209" t="str">
        <f>IF(Geometria!$N$280&lt;'Isolamento de cabos'!$C$8,"Sim","Não")</f>
        <v>Não</v>
      </c>
      <c r="I15" s="368">
        <f ca="1">Geometria!$H$166*E38+Geometria!$H$168*E15</f>
        <v>7491.5571197758536</v>
      </c>
      <c r="J15" s="368">
        <f ca="1">Geometria!$H$166*E38*Geometria!$H$167/100-Geometria!$H$168*E15*Geometria!$H$169/100</f>
        <v>513.94940443675546</v>
      </c>
      <c r="K15" s="363"/>
      <c r="L15">
        <f t="shared" ca="1" si="1"/>
        <v>-0.53853203810242845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-8195.5044655714591</v>
      </c>
      <c r="Q15" s="365">
        <f ca="1">-(V15/(Geometria!$H$36/100^2))+(W15/(Geometria!$H$40/100^3))-((Geometria!$N$281)/(Geometria!$H$40/100^3))-((Geometria!$N$292)/(Geometria!$H$266))-((Geometria!$H$52*Geometria!$N$303)/(Geometria!$H$266))</f>
        <v>-11689.365476719377</v>
      </c>
      <c r="R15" s="367">
        <f ca="1">('Perdas por Seção'!J92*(Geometria!$N$280*100))/Geometria!$J$1030</f>
        <v>526.99889579613898</v>
      </c>
      <c r="S15" s="787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-8195.5044655714591</v>
      </c>
      <c r="T15" s="788"/>
      <c r="V15" s="368">
        <f ca="1">Geometria!$H$166*R38+Geometria!$H$168*R15</f>
        <v>6275.6679925535773</v>
      </c>
      <c r="W15" s="368">
        <f ca="1">Geometria!$H$166*R38*Geometria!$H$167/100-Geometria!$H$168*R15*Geometria!$H$169/100</f>
        <v>452.46883739868963</v>
      </c>
      <c r="X15" s="363"/>
      <c r="Y15">
        <f t="shared" ca="1" si="2"/>
        <v>-8.1955044655714584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-682.96786003897705</v>
      </c>
      <c r="D16" s="365">
        <f ca="1">-I16/(Geometria!$H$36/100^2)+J16/(Geometria!$H$40/100^3)-Geometria!$G$744/(Geometria!$H$40/100^3)</f>
        <v>-6986.7681306476516</v>
      </c>
      <c r="E16" s="367">
        <f ca="1">('Perdas por Seção'!K60*(Geometria!$G$283*100))/Geometria!$J$1030</f>
        <v>773.97139162695896</v>
      </c>
      <c r="F16" s="770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-682.96786003897705</v>
      </c>
      <c r="G16" s="770"/>
      <c r="H16" s="209" t="str">
        <f>IF(Geometria!$G$283&lt;'Isolamento de cabos'!$C$8,"Sim","Não")</f>
        <v>Não</v>
      </c>
      <c r="I16" s="368">
        <f ca="1">Geometria!$H$166*E39+Geometria!$H$168*E16</f>
        <v>8563.5735557241187</v>
      </c>
      <c r="J16" s="368">
        <f ca="1">Geometria!$H$166*E39*Geometria!$H$167/100-Geometria!$H$168*E16*Geometria!$H$169/100</f>
        <v>588.20252784781314</v>
      </c>
      <c r="K16" s="363"/>
      <c r="L16">
        <f t="shared" ca="1" si="1"/>
        <v>-0.68296786003897703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-8732.1901377212853</v>
      </c>
      <c r="Q16" s="365">
        <f ca="1">-(V16/(Geometria!$H$36/100^2))+(W16/(Geometria!$H$40/100^3))-((Geometria!$G$284)/(Geometria!$H$40/100^3))-((Geometria!$G$295)/(Geometria!$H$266))-((Geometria!$H$52*Geometria!$G$306)/(Geometria!$H$266))</f>
        <v>-12244.701012286991</v>
      </c>
      <c r="R16" s="367">
        <f ca="1">('Perdas por Seção'!K92*(Geometria!$G$283*100))/Geometria!$J$1030</f>
        <v>597.19741180746598</v>
      </c>
      <c r="S16" s="787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-8732.1901377212853</v>
      </c>
      <c r="T16" s="788"/>
      <c r="V16" s="368">
        <f ca="1">Geometria!$H$166*R39+Geometria!$H$168*R16</f>
        <v>7183.2593270824073</v>
      </c>
      <c r="W16" s="368">
        <f ca="1">Geometria!$H$166*R39*Geometria!$H$167/100-Geometria!$H$168*R16*Geometria!$H$169/100</f>
        <v>521.1107338933158</v>
      </c>
      <c r="X16" s="363"/>
      <c r="Y16">
        <f t="shared" ca="1" si="2"/>
        <v>-8.732190137721286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-769.62935320090492</v>
      </c>
      <c r="D17" s="365">
        <f ca="1">-$I$17/(Geometria!$H$36/100^2)+J17/(Geometria!$H$40/100^3)-Geometria!$H$744/(Geometria!$H$40/100^3)</f>
        <v>-7559.073513827042</v>
      </c>
      <c r="E17" s="367">
        <f ca="1">('Perdas por Seção'!L60*(Geometria!$H$283*100))/Geometria!$J$1030</f>
        <v>869.92959506720365</v>
      </c>
      <c r="F17" s="770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-769.62935320090492</v>
      </c>
      <c r="G17" s="770"/>
      <c r="H17" s="209" t="str">
        <f>IF(Geometria!$H$283&lt;'Isolamento de cabos'!$C$8,"Sim","Não")</f>
        <v>Não</v>
      </c>
      <c r="I17" s="368">
        <f ca="1">Geometria!$H$166*E40+Geometria!$H$168*E17</f>
        <v>9635.2311936191836</v>
      </c>
      <c r="J17" s="368">
        <f ca="1">Geometria!$H$166*E40*Geometria!$H$167/100-Geometria!$H$168*E17*Geometria!$H$169/100</f>
        <v>662.28929527485252</v>
      </c>
      <c r="K17" s="363"/>
      <c r="L17">
        <f t="shared" ca="1" si="1"/>
        <v>-0.76962935320090486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-9054.2027155066862</v>
      </c>
      <c r="Q17" s="365">
        <f ca="1">-(V17/(Geometria!$H$36/100^2))+(W17/(Geometria!$H$40/100^3))-((Geometria!$H$284)/(Geometria!$H$40/100^3))-((Geometria!$H$295)/(Geometria!$H$266))-((Geometria!$H$52*Geometria!$H$306)/(Geometria!$H$266))</f>
        <v>-12620.954496483902</v>
      </c>
      <c r="R17" s="367">
        <f ca="1">('Perdas por Seção'!L92*(Geometria!$H$283*100))/Geometria!$J$1030</f>
        <v>668.41333592498893</v>
      </c>
      <c r="S17" s="787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-9054.2027155066862</v>
      </c>
      <c r="T17" s="788"/>
      <c r="V17" s="368">
        <f ca="1">Geometria!$H$166*R40+Geometria!$H$168*R17</f>
        <v>8088.6347202647557</v>
      </c>
      <c r="W17" s="368">
        <f ca="1">Geometria!$H$166*R40*Geometria!$H$167/100-Geometria!$H$168*R17*Geometria!$H$169/100</f>
        <v>588.95164306686308</v>
      </c>
      <c r="X17" s="363"/>
      <c r="Y17">
        <f t="shared" ca="1" si="2"/>
        <v>-9.0542027155066869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-798.51651758821299</v>
      </c>
      <c r="D18" s="365">
        <f ca="1">-$I$18/(Geometria!$H$36/100^2)+J18/(Geometria!$H$40/100^3)-Geometria!$I$744/(Geometria!$H$40/100^3)</f>
        <v>-8088.7971709641124</v>
      </c>
      <c r="E18" s="367">
        <f ca="1">('Perdas por Seção'!M60*(Geometria!$I$283*100))/Geometria!$J$1030</f>
        <v>966.29650544017966</v>
      </c>
      <c r="F18" s="770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-798.51651758821299</v>
      </c>
      <c r="G18" s="770"/>
      <c r="H18" s="209" t="str">
        <f>IF(Geometria!$I$283&lt;'Isolamento de cabos'!$C$8,"Sim","Não")</f>
        <v>Não</v>
      </c>
      <c r="I18" s="368">
        <f ca="1">Geometria!$H$166*E41+Geometria!$H$168*E18</f>
        <v>10706.260934921151</v>
      </c>
      <c r="J18" s="368">
        <f ca="1">Geometria!$H$166*E41*Geometria!$H$167/100-Geometria!$H$168*E18*Geometria!$H$169/100</f>
        <v>736.08493972985934</v>
      </c>
      <c r="K18" s="363"/>
      <c r="L18">
        <f t="shared" ca="1" si="1"/>
        <v>-0.79851651758821296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-9161.5404371700861</v>
      </c>
      <c r="Q18" s="365">
        <f ca="1">-(V18/(Geometria!$H$36/100^2))+(W18/(Geometria!$H$40/100^3))-((Geometria!$I$284)/(Geometria!$H$40/100^3))-((Geometria!$I$295)/(Geometria!$H$266))-((Geometria!$H$52*Geometria!$I$306)/(Geometria!$H$266))</f>
        <v>-12851.301178840768</v>
      </c>
      <c r="R18" s="367">
        <f ca="1">('Perdas por Seção'!M92*(Geometria!$I$283*100))/Geometria!$J$1030</f>
        <v>741.40972422835398</v>
      </c>
      <c r="S18" s="787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-9161.5404371700861</v>
      </c>
      <c r="T18" s="788"/>
      <c r="V18" s="368">
        <f ca="1">Geometria!$H$166*R41+Geometria!$H$168*R18</f>
        <v>8990.1373707658604</v>
      </c>
      <c r="W18" s="368">
        <f ca="1">Geometria!$H$166*R41*Geometria!$H$167/100-Geometria!$H$168*R18*Geometria!$H$169/100</f>
        <v>655.39142670470426</v>
      </c>
      <c r="X18" s="363"/>
      <c r="Y18">
        <f t="shared" ca="1" si="2"/>
        <v>-9.1615404371700855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-769.62935320090446</v>
      </c>
      <c r="D19" s="365">
        <f ca="1">-$I$19/(Geometria!$H$36/100^2)+J19/(Geometria!$H$40/100^3)-Geometria!$J$744/(Geometria!$H$40/100^3)</f>
        <v>-7559.0735138270411</v>
      </c>
      <c r="E19" s="367">
        <f ca="1">('Perdas por Seção'!N60*(Geometria!$H$283*100))/Geometria!$J$1030</f>
        <v>869.92959506720365</v>
      </c>
      <c r="F19" s="770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-769.62935320090446</v>
      </c>
      <c r="G19" s="770"/>
      <c r="H19" s="209" t="str">
        <f>IF(Geometria!$H$283&lt;'Isolamento de cabos'!$C$8,"Sim","Não")</f>
        <v>Não</v>
      </c>
      <c r="I19" s="368">
        <f ca="1">Geometria!$H$166*E42+Geometria!$H$168*E19</f>
        <v>9635.2311936191836</v>
      </c>
      <c r="J19" s="368">
        <f ca="1">Geometria!$H$166*E42*Geometria!$H$167/100-Geometria!$H$168*E19*Geometria!$H$169/100</f>
        <v>662.28929527485252</v>
      </c>
      <c r="K19" s="363"/>
      <c r="L19">
        <f t="shared" ca="1" si="1"/>
        <v>-0.76962935320090442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-9054.2027155066862</v>
      </c>
      <c r="Q19" s="365">
        <f ca="1">-(V19/(Geometria!$H$36/100^2))+(W19/(Geometria!$H$40/100^3))-((Geometria!$J$284)/(Geometria!$H$40/100^3))-((Geometria!$J$295)/(Geometria!$H$266))-((Geometria!$H$52*Geometria!$J$306)/(Geometria!$H$266))</f>
        <v>-12620.954496483902</v>
      </c>
      <c r="R19" s="367">
        <f ca="1">('Perdas por Seção'!N92*(Geometria!$H$283*100))/Geometria!$J$1030</f>
        <v>668.41333592498893</v>
      </c>
      <c r="S19" s="787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-9054.2027155066862</v>
      </c>
      <c r="T19" s="788"/>
      <c r="V19" s="368">
        <f ca="1">Geometria!$H$166*R42+Geometria!$H$168*R19</f>
        <v>8088.6347202647557</v>
      </c>
      <c r="W19" s="368">
        <f ca="1">Geometria!$H$166*R42*Geometria!$H$167/100-Geometria!$H$168*R19*Geometria!$H$169/100</f>
        <v>588.95164306686308</v>
      </c>
      <c r="X19" s="363"/>
      <c r="Y19">
        <f t="shared" ca="1" si="2"/>
        <v>-9.0542027155066869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-682.96786003897705</v>
      </c>
      <c r="D20" s="365">
        <f ca="1">-$I$20/(Geometria!$H$36/100^2)+J20/(Geometria!$H$40/100^3)-Geometria!$K$744/(Geometria!$H$40/100^3)</f>
        <v>-6986.7681306476516</v>
      </c>
      <c r="E20" s="367">
        <f ca="1">('Perdas por Seção'!O60*(Geometria!$G$283*100))/Geometria!$J$1030</f>
        <v>773.97139162695896</v>
      </c>
      <c r="F20" s="770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-682.96786003897705</v>
      </c>
      <c r="G20" s="770"/>
      <c r="H20" s="209" t="str">
        <f>IF(Geometria!$G$283&lt;'Isolamento de cabos'!$C$8,"Sim","Não")</f>
        <v>Não</v>
      </c>
      <c r="I20" s="368">
        <f ca="1">Geometria!$H$166*E43+Geometria!$H$168*E20</f>
        <v>8563.5735557241187</v>
      </c>
      <c r="J20" s="368">
        <f ca="1">Geometria!$H$166*E43*Geometria!$H$167/100-Geometria!$H$168*E20*Geometria!$H$169/100</f>
        <v>588.20252784781314</v>
      </c>
      <c r="K20" s="363"/>
      <c r="L20">
        <f t="shared" ca="1" si="1"/>
        <v>-0.68296786003897703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-8732.1901377212816</v>
      </c>
      <c r="Q20" s="365">
        <f ca="1">-(V20/(Geometria!$H$36/100^2))+(W20/(Geometria!$H$40/100^3))-((Geometria!$K$284)/(Geometria!$H$40/100^3))-((Geometria!$K$295)/(Geometria!$H$266))-((Geometria!$H$52*Geometria!$K$306)/(Geometria!$H$266))</f>
        <v>-12244.701012286987</v>
      </c>
      <c r="R20" s="367">
        <f ca="1">('Perdas por Seção'!O92*(Geometria!$G$283*100))/Geometria!$J$1030</f>
        <v>597.19741180746598</v>
      </c>
      <c r="S20" s="787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-8732.1901377212816</v>
      </c>
      <c r="T20" s="788"/>
      <c r="V20" s="368">
        <f ca="1">Geometria!$H$166*R43+Geometria!$H$168*R20</f>
        <v>7183.2593270824073</v>
      </c>
      <c r="W20" s="368">
        <f ca="1">Geometria!$H$166*R43*Geometria!$H$167/100-Geometria!$H$168*R20*Geometria!$H$169/100</f>
        <v>521.1107338933158</v>
      </c>
      <c r="X20" s="363"/>
      <c r="Y20">
        <f t="shared" ca="1" si="2"/>
        <v>-8.7321901377212825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-538.53203810242803</v>
      </c>
      <c r="D21" s="365">
        <f ca="1">-$I$21/(Geometria!$H$36/100^2)+J21/(Geometria!$H$40/100^3)-Geometria!$L$744/(Geometria!$H$40/100^3)</f>
        <v>-6364.5861636951704</v>
      </c>
      <c r="E21" s="367">
        <f ca="1">('Perdas por Seção'!P60*(Geometria!$N$280*100))/Geometria!$J$1030</f>
        <v>678.24673500541826</v>
      </c>
      <c r="F21" s="770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-538.53203810242803</v>
      </c>
      <c r="G21" s="770"/>
      <c r="H21" s="209" t="str">
        <f>IF(Geometria!$N$280&lt;'Isolamento de cabos'!$C$8,"Sim","Não")</f>
        <v>Não</v>
      </c>
      <c r="I21" s="368">
        <f ca="1">Geometria!$H$166*E44+Geometria!$H$168*E21</f>
        <v>7491.5571197758536</v>
      </c>
      <c r="J21" s="368">
        <f ca="1">Geometria!$H$166*E44*Geometria!$H$167/100-Geometria!$H$168*E21*Geometria!$H$169/100</f>
        <v>513.94940443675546</v>
      </c>
      <c r="K21" s="363"/>
      <c r="L21">
        <f t="shared" ca="1" si="1"/>
        <v>-0.538532038102428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-8195.5044655714591</v>
      </c>
      <c r="Q21" s="365">
        <f ca="1">-(V21/(Geometria!$H$36/100^2))+(W21/(Geometria!$H$40/100^3))-((Geometria!$L$284)/(Geometria!$H$40/100^3))-((Geometria!$L$295)/(Geometria!$H$266))-((Geometria!$H$52*Geometria!$L$306)/(Geometria!$H$266))</f>
        <v>-11689.365476719373</v>
      </c>
      <c r="R21" s="367">
        <f ca="1">('Perdas por Seção'!P92*(Geometria!$N$280*100))/Geometria!$J$1030</f>
        <v>526.99889579613898</v>
      </c>
      <c r="S21" s="787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-8195.5044655714591</v>
      </c>
      <c r="T21" s="788"/>
      <c r="V21" s="368">
        <f ca="1">Geometria!$H$166*R44+Geometria!$H$168*R21</f>
        <v>6275.6679925535773</v>
      </c>
      <c r="W21" s="368">
        <f ca="1">Geometria!$H$166*R44*Geometria!$H$167/100-Geometria!$H$168*R21*Geometria!$H$169/100</f>
        <v>452.46883739868963</v>
      </c>
      <c r="X21" s="363"/>
      <c r="Y21">
        <f t="shared" ca="1" si="2"/>
        <v>-8.1955044655714584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-336.32188739126559</v>
      </c>
      <c r="D22" s="365">
        <f ca="1">-$I$22/(Geometria!$H$36/100^2)+J22/(Geometria!$H$40/100^3)-Geometria!$M$744/(Geometria!$H$40/100^3)</f>
        <v>-5685.232755238887</v>
      </c>
      <c r="E22" s="367">
        <f ca="1">('Perdas por Seção'!Q60*(Geometria!$M$280*100))/Geometria!$J$1030</f>
        <v>582.58046508855352</v>
      </c>
      <c r="F22" s="770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-336.32188739126559</v>
      </c>
      <c r="G22" s="770"/>
      <c r="H22" s="209" t="str">
        <f>IF(Geometria!$M$280&lt;'Isolamento de cabos'!$C$8,"Sim","Não")</f>
        <v>Não</v>
      </c>
      <c r="I22" s="368">
        <f ca="1">Geometria!$H$166*E45+Geometria!$H$168*E22</f>
        <v>6419.4509843142878</v>
      </c>
      <c r="J22" s="368">
        <f ca="1">Geometria!$H$166*E45*Geometria!$H$167/100-Geometria!$H$168*E22*Geometria!$H$169/100</f>
        <v>439.65469202969308</v>
      </c>
      <c r="K22" s="363"/>
      <c r="L22">
        <f t="shared" ca="1" si="1"/>
        <v>-0.33632188739126562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-7444.1486357972708</v>
      </c>
      <c r="Q22" s="365">
        <f ca="1">-(V22/(Geometria!$H$36/100^2))+(W22/(Geometria!$H$40/100^3))-((Geometria!$M$284)/(Geometria!$H$40/100^3))-((Geometria!$M$295)/(Geometria!$H$266))-((Geometria!$H$52*Geometria!$M$306)/(Geometria!$H$266))</f>
        <v>-10921.772642182834</v>
      </c>
      <c r="R22" s="367">
        <f ca="1">('Perdas por Seção'!Q92*(Geometria!$M$280*100))/Geometria!$J$1030</f>
        <v>457.05473181136074</v>
      </c>
      <c r="S22" s="787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-7444.1486357972708</v>
      </c>
      <c r="T22" s="788"/>
      <c r="V22" s="368">
        <f ca="1">Geometria!$H$166*R45+Geometria!$H$168*R22</f>
        <v>5367.5175173425196</v>
      </c>
      <c r="W22" s="368">
        <f ca="1">Geometria!$H$166*R45*Geometria!$H$167/100-Geometria!$H$168*R22*Geometria!$H$169/100</f>
        <v>383.6260917192692</v>
      </c>
      <c r="X22" s="363"/>
      <c r="Y22">
        <f t="shared" ca="1" si="2"/>
        <v>-7.444148635797271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-76.337407905484724</v>
      </c>
      <c r="D23" s="365">
        <f ca="1">-$I$23/(Geometria!$H$36/100^2)+J23/(Geometria!$H$40/100^3)-Geometria!$N$744/(Geometria!$H$40/100^3)</f>
        <v>-4941.413047548057</v>
      </c>
      <c r="E23" s="367">
        <f ca="1">('Perdas por Seção'!R60*(Geometria!$L$280*100))/Geometria!$J$1030</f>
        <v>486.79742176233685</v>
      </c>
      <c r="F23" s="770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-76.337407905484724</v>
      </c>
      <c r="G23" s="770"/>
      <c r="H23" s="209" t="str">
        <f>IF(Geometria!$L$280&lt;'Isolamento de cabos'!$C$8,"Sim","Não")</f>
        <v>Não</v>
      </c>
      <c r="I23" s="368">
        <f ca="1">Geometria!$H$166*E46+Geometria!$H$168*E23</f>
        <v>5347.5242478793234</v>
      </c>
      <c r="J23" s="368">
        <f ca="1">Geometria!$H$166*E46*Geometria!$H$167/100-Geometria!$H$168*E23*Geometria!$H$169/100</f>
        <v>365.44315761464009</v>
      </c>
      <c r="K23" s="363"/>
      <c r="L23">
        <f t="shared" ca="1" si="1"/>
        <v>-7.6337407905484725E-2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-6478.1267608377757</v>
      </c>
      <c r="Q23" s="365">
        <f ca="1">-(V23/(Geometria!$H$36/100^2))+(W23/(Geometria!$H$40/100^3))-((Geometria!$N$284)/(Geometria!$H$40/100^3))-((Geometria!$N$295)/(Geometria!$H$266))-((Geometria!$H$52*Geometria!$N$306)/(Geometria!$H$266))</f>
        <v>-9908.7433021958896</v>
      </c>
      <c r="R23" s="367">
        <f ca="1">('Perdas por Seção'!R92*(Geometria!$L$280*100))/Geometria!$J$1030</f>
        <v>386.60186377348464</v>
      </c>
      <c r="S23" s="787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-6478.1267608377757</v>
      </c>
      <c r="T23" s="788"/>
      <c r="V23" s="368">
        <f ca="1">Geometria!$H$166*R46+Geometria!$H$168*R23</f>
        <v>4460.4660757454203</v>
      </c>
      <c r="W23" s="368">
        <f ca="1">Geometria!$H$166*R46*Geometria!$H$167/100-Geometria!$H$168*R23*Geometria!$H$169/100</f>
        <v>315.18279548754475</v>
      </c>
      <c r="X23" s="363"/>
      <c r="Y23">
        <f t="shared" ca="1" si="2"/>
        <v>-6.4781267608377755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241.42140035491548</v>
      </c>
      <c r="D24" s="365">
        <f ca="1">-$I$24/(Geometria!$H$36/100^2)+J24/(Geometria!$H$40/100^3)-Geometria!$G$747/(Geometria!$H$40/100^3)</f>
        <v>-4125.832182891947</v>
      </c>
      <c r="E24" s="367">
        <f ca="1">('Perdas por Seção'!S60*(Geometria!$K$280*100))/Geometria!$J$1030</f>
        <v>390.72244491274034</v>
      </c>
      <c r="F24" s="770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241.42140035491548</v>
      </c>
      <c r="G24" s="770"/>
      <c r="H24" s="209" t="str">
        <f>IF(Geometria!$K$280&lt;'Isolamento de cabos'!$C$8,"Sim","Não")</f>
        <v>Não</v>
      </c>
      <c r="I24" s="368">
        <f ca="1">Geometria!$H$166*E47+Geometria!$H$168*E24</f>
        <v>4276.0460090108572</v>
      </c>
      <c r="J24" s="368">
        <f ca="1">Geometria!$H$166*E47*Geometria!$H$167/100-Geometria!$H$168*E24*Geometria!$H$169/100</f>
        <v>291.43956817961009</v>
      </c>
      <c r="K24" s="363"/>
      <c r="L24">
        <f t="shared" ca="1" si="1"/>
        <v>0.24142140035491547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-5297.444129834972</v>
      </c>
      <c r="Q24" s="365">
        <f ca="1">-(V24/(Geometria!$H$36/100^2))+(W24/(Geometria!$H$40/100^3))-((Geometria!$G$287)/(Geometria!$H$40/100^3))-((Geometria!$G$298)/(Geometria!$H$266))-((Geometria!$H$52*Geometria!$G$309)/(Geometria!$H$266))</f>
        <v>-8617.0903284533815</v>
      </c>
      <c r="R24" s="367">
        <f ca="1">('Perdas por Seção'!S92*(Geometria!$K$280*100))/Geometria!$J$1030</f>
        <v>314.87723560286406</v>
      </c>
      <c r="S24" s="787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-5297.444129834972</v>
      </c>
      <c r="T24" s="788"/>
      <c r="V24" s="368">
        <f ca="1">Geometria!$H$166*R47+Geometria!$H$168*R24</f>
        <v>3556.1745907300219</v>
      </c>
      <c r="W24" s="368">
        <f ca="1">Geometria!$H$166*R47*Geometria!$H$167/100-Geometria!$H$168*R24*Geometria!$H$169/100</f>
        <v>247.73956849289436</v>
      </c>
      <c r="X24" s="363"/>
      <c r="Y24">
        <f t="shared" ca="1" si="2"/>
        <v>-5.2974441298349717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616.95453738993456</v>
      </c>
      <c r="D25" s="365">
        <f ca="1">-I25/(Geometria!$H$36/100^2)+J25/(Geometria!$H$40/100^3)-Geometria!$H$747/(Geometria!$H$40/100^3)</f>
        <v>-3231.1953035398265</v>
      </c>
      <c r="E25" s="367">
        <f ca="1">('Perdas por Seção'!T60*(Geometria!$J$280*100))/Geometria!$J$1030</f>
        <v>294.18037442573632</v>
      </c>
      <c r="F25" s="770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616.95453738993456</v>
      </c>
      <c r="G25" s="770"/>
      <c r="H25" s="209" t="str">
        <f>IF(Geometria!$J$280&lt;'Isolamento de cabos'!$C$8,"Sim","Não")</f>
        <v>Não</v>
      </c>
      <c r="I25" s="368">
        <f ca="1">Geometria!$H$166*E48+Geometria!$H$168*E25</f>
        <v>3205.2853662487923</v>
      </c>
      <c r="J25" s="368">
        <f ca="1">Geometria!$H$166*E48*Geometria!$H$167/100-Geometria!$H$168*E25*Geometria!$H$169/100</f>
        <v>217.76869071261717</v>
      </c>
      <c r="K25" s="363"/>
      <c r="L25">
        <f t="shared" ca="1" si="1"/>
        <v>0.61695453738993455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-3902.107209925925</v>
      </c>
      <c r="Q25" s="365">
        <f ca="1">-(V25/(Geometria!$H$36/100^2))+(W25/(Geometria!$H$40/100^3))-((Geometria!$H$287)/(Geometria!$H$40/100^3))-((Geometria!$H$298)/(Geometria!$H$266))-((Geometria!$H$52*Geometria!$H$309)/(Geometria!$H$266))</f>
        <v>-7013.6147044059253</v>
      </c>
      <c r="R25" s="367">
        <f ca="1">('Perdas por Seção'!T92*(Geometria!$J$280*100))/Geometria!$J$1030</f>
        <v>241.11779121985199</v>
      </c>
      <c r="S25" s="787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-3902.107209925925</v>
      </c>
      <c r="T25" s="788"/>
      <c r="V25" s="368">
        <f ca="1">Geometria!$H$166*R48+Geometria!$H$168*R25</f>
        <v>2656.3081101828316</v>
      </c>
      <c r="W25" s="368">
        <f ca="1">Geometria!$H$166*R48*Geometria!$H$167/100-Geometria!$H$168*R25*Geometria!$H$169/100</f>
        <v>181.89751248335966</v>
      </c>
      <c r="X25" s="363"/>
      <c r="Y25">
        <f t="shared" ca="1" si="2"/>
        <v>-3.9021072099259251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1050.2620031995748</v>
      </c>
      <c r="D26" s="365">
        <f ca="1">-I26/(Geometria!$H$36/100^2)+J26/(Geometria!$H$40/100^3)-Geometria!$I$747/(Geometria!$H$40/100^3)</f>
        <v>-2250.2075517609537</v>
      </c>
      <c r="E26" s="367">
        <f ca="1">('Perdas por Seção'!U60*(Geometria!$I$280*100))/Geometria!$J$1030</f>
        <v>196.99605018729685</v>
      </c>
      <c r="F26" s="770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1050.2620031995748</v>
      </c>
      <c r="G26" s="770"/>
      <c r="H26" s="209" t="str">
        <f>IF(Geometria!$I$280&lt;'Isolamento de cabos'!$C$8,"Sim","Não")</f>
        <v>Não</v>
      </c>
      <c r="I26" s="368">
        <f ca="1">Geometria!$H$166*E49+Geometria!$H$168*E26</f>
        <v>2135.5114181330277</v>
      </c>
      <c r="J26" s="368">
        <f ca="1">Geometria!$H$166*E49*Geometria!$H$167/100-Geometria!$H$168*E26*Geometria!$H$169/100</f>
        <v>144.55529220167523</v>
      </c>
      <c r="K26" s="363"/>
      <c r="L26">
        <f t="shared" ca="1" si="1"/>
        <v>1.0502620031995749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-2292.1236478241462</v>
      </c>
      <c r="Q26" s="365">
        <f ca="1">-(V26/(Geometria!$H$36/100^2))+(W26/(Geometria!$H$40/100^3))-((Geometria!$I$287)/(Geometria!$H$40/100^3))-((Geometria!$I$298)/(Geometria!$H$266))-((Geometria!$H$52*Geometria!$I$309)/(Geometria!$H$266))</f>
        <v>-5065.1015539993459</v>
      </c>
      <c r="R26" s="367">
        <f ca="1">('Perdas por Seção'!U92*(Geometria!$I$280*100))/Geometria!$J$1030</f>
        <v>164.56047454480188</v>
      </c>
      <c r="S26" s="787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-2292.1236478241462</v>
      </c>
      <c r="T26" s="788"/>
      <c r="V26" s="368">
        <f ca="1">Geometria!$H$166*R49+Geometria!$H$168*R26</f>
        <v>1762.5371848356272</v>
      </c>
      <c r="W26" s="368">
        <f ca="1">Geometria!$H$166*R49*Geometria!$H$167/100-Geometria!$H$168*R26*Geometria!$H$169/100</f>
        <v>118.25837216363344</v>
      </c>
      <c r="X26" s="363"/>
      <c r="Y26">
        <f t="shared" ca="1" si="2"/>
        <v>-2.2921236478241465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1541.3437977838262</v>
      </c>
      <c r="D27" s="365">
        <f ca="1">-I27/(Geometria!$H$36/100^2)+J27/(Geometria!$H$40/100^3)-Geometria!$J$747/(Geometria!$H$40/100^3)</f>
        <v>-1175.5740698245895</v>
      </c>
      <c r="E27" s="367">
        <f ca="1">('Perdas por Seção'!V60*(Geometria!$H$280*100))/Geometria!$J$1030</f>
        <v>98.994312083394007</v>
      </c>
      <c r="F27" s="770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1541.3437977838262</v>
      </c>
      <c r="G27" s="770"/>
      <c r="H27" s="209" t="str">
        <f>IF(Geometria!$H$280&lt;'Isolamento de cabos'!$C$8,"Sim","Não")</f>
        <v>Não</v>
      </c>
      <c r="I27" s="368">
        <f ca="1">Geometria!$H$166*E50+Geometria!$H$168*E27</f>
        <v>1066.9932632034636</v>
      </c>
      <c r="J27" s="368">
        <f ca="1">Geometria!$H$166*E50*Geometria!$H$167/100-Geometria!$H$168*E27*Geometria!$H$169/100</f>
        <v>71.924139634798237</v>
      </c>
      <c r="K27" s="363"/>
      <c r="L27">
        <f t="shared" ca="1" si="1"/>
        <v>1.5413437977838262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-467.50227169144898</v>
      </c>
      <c r="Q27" s="365">
        <f ca="1">-(V27/(Geometria!$H$36/100^2))+(W27/(Geometria!$H$40/100^3))-((Geometria!$J$287)/(Geometria!$H$40/100^3))-((Geometria!$J$298)/(Geometria!$H$266))-((Geometria!$H$52*Geometria!$J$309)/(Geometria!$H$266))</f>
        <v>-2738.3161642094146</v>
      </c>
      <c r="R27" s="367">
        <f ca="1">('Perdas por Seção'!V92*(Geometria!$H$280*100))/Geometria!$J$1030</f>
        <v>84.442229498066766</v>
      </c>
      <c r="S27" s="787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-467.50227169144898</v>
      </c>
      <c r="T27" s="788"/>
      <c r="V27" s="368">
        <f ca="1">Geometria!$H$166*R50+Geometria!$H$168*R27</f>
        <v>876.53924834487191</v>
      </c>
      <c r="W27" s="368">
        <f ca="1">Geometria!$H$166*R50*Geometria!$H$167/100-Geometria!$H$168*R27*Geometria!$H$169/100</f>
        <v>57.424696444594304</v>
      </c>
      <c r="X27" s="363"/>
      <c r="Y27">
        <f t="shared" ca="1" si="2"/>
        <v>-0.46750227169144898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781">
        <v>0</v>
      </c>
      <c r="G28" s="782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781">
        <v>0</v>
      </c>
      <c r="T28" s="782"/>
      <c r="X28" s="363"/>
      <c r="Y28">
        <f t="shared" si="2"/>
        <v>0</v>
      </c>
    </row>
    <row r="29" spans="1:29" ht="15" customHeight="1" x14ac:dyDescent="0.25">
      <c r="A29" s="362"/>
      <c r="C29" s="783" t="s">
        <v>727</v>
      </c>
      <c r="D29" s="776" t="s">
        <v>728</v>
      </c>
      <c r="E29" s="777"/>
      <c r="F29" s="776" t="s">
        <v>726</v>
      </c>
      <c r="G29" s="777"/>
      <c r="I29" s="780" t="s">
        <v>95</v>
      </c>
      <c r="J29" s="780" t="s">
        <v>97</v>
      </c>
      <c r="K29" s="363"/>
      <c r="N29" s="362"/>
      <c r="P29" s="783" t="s">
        <v>727</v>
      </c>
      <c r="Q29" s="776" t="s">
        <v>728</v>
      </c>
      <c r="R29" s="777"/>
      <c r="S29" s="776" t="s">
        <v>726</v>
      </c>
      <c r="T29" s="777"/>
      <c r="V29" s="780" t="s">
        <v>95</v>
      </c>
      <c r="W29" s="780" t="s">
        <v>97</v>
      </c>
      <c r="X29" s="363"/>
    </row>
    <row r="30" spans="1:29" x14ac:dyDescent="0.25">
      <c r="A30" s="362"/>
      <c r="C30" s="784"/>
      <c r="D30" s="778"/>
      <c r="E30" s="779"/>
      <c r="F30" s="778"/>
      <c r="G30" s="779"/>
      <c r="I30" s="780"/>
      <c r="J30" s="780"/>
      <c r="K30" s="363"/>
      <c r="N30" s="362"/>
      <c r="P30" s="784"/>
      <c r="Q30" s="778"/>
      <c r="R30" s="779"/>
      <c r="S30" s="778"/>
      <c r="T30" s="779"/>
      <c r="V30" s="780"/>
      <c r="W30" s="780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781">
        <v>0</v>
      </c>
      <c r="G31" s="782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781">
        <v>0</v>
      </c>
      <c r="T31" s="782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-9907.8173719043843</v>
      </c>
      <c r="D32" s="365">
        <f ca="1">-I32/(Geometria!$H$36/100^2)-J32/(Geometria!$H$41/100^3)+Geometria!$H$741/(Geometria!$H$41/100^3)</f>
        <v>-9907.8173719043843</v>
      </c>
      <c r="E32" s="367">
        <f ca="1">('Perdas por Seção'!D59*(Geometria!$H$280*100))/Geometria!$J$1031</f>
        <v>71.532074500027775</v>
      </c>
      <c r="F32" s="770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-15592.518450563486</v>
      </c>
      <c r="G32" s="770"/>
      <c r="H32" s="209" t="str">
        <f>IF(Geometria!$H$280&lt;'Isolamento de cabos'!$C$8,"Sim","Não")</f>
        <v>Não</v>
      </c>
      <c r="I32" s="368">
        <f ca="1">Geometria!$H$166*E32+Geometria!$H$168*E9</f>
        <v>1066.9932632034636</v>
      </c>
      <c r="J32" s="368">
        <f ca="1">Geometria!$H$166*E32*Geometria!$H$167/100-Geometria!$H$168*E9*Geometria!$H$169/100</f>
        <v>71.924139634798237</v>
      </c>
      <c r="K32" s="363"/>
      <c r="L32">
        <f t="shared" ca="1" si="1"/>
        <v>-9.9078173719043843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-5692.8363580896557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-5692.8363580896557</v>
      </c>
      <c r="R32" s="367">
        <f ca="1">('Perdas por Seção'!D91*(Geometria!$H$280*100))/Geometria!$J$1031</f>
        <v>58.179457857072244</v>
      </c>
      <c r="S32" s="787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-10329.450391049826</v>
      </c>
      <c r="T32" s="788"/>
      <c r="V32" s="368">
        <f ca="1">Geometria!$H$166*R32+Geometria!$H$168*R9</f>
        <v>876.53924834487191</v>
      </c>
      <c r="W32" s="368">
        <f ca="1">Geometria!$H$166*R32*Geometria!$H$167/100-Geometria!$H$168*R9*Geometria!$H$169/100</f>
        <v>57.424696444594261</v>
      </c>
      <c r="X32" s="363"/>
      <c r="Y32">
        <f t="shared" ca="1" si="6"/>
        <v>-5.6928363580896555</v>
      </c>
      <c r="AB32" s="787">
        <f ca="1">-(Geometria!$J$242/(Geometria!$H$36/100^2))-(Geometria!$J$243/(Geometria!$H$41/100^3))+((Geometria!$H$281)/(Geometria!$H$41/100^3))+((Geometria!$H$292)/(Geometria!$I$41/100^3))+((Geometria!$H$52*Geometria!$H$303)/(Geometria!$I$41/100^3))</f>
        <v>-11243.954764662221</v>
      </c>
      <c r="AC32" s="788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-15144.628673423013</v>
      </c>
      <c r="D33" s="365">
        <f ca="1">-I33/(Geometria!$H$36/100^2)-J33/(Geometria!$H$41/100^3)+Geometria!$I$741/(Geometria!$H$41/100^3)</f>
        <v>-19928.181604256966</v>
      </c>
      <c r="E33" s="367">
        <f ca="1">('Perdas por Seção'!E59*(Geometria!$I$280*100))/Geometria!$J$1031</f>
        <v>143.37894180321081</v>
      </c>
      <c r="F33" s="770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-15144.628673423013</v>
      </c>
      <c r="G33" s="770"/>
      <c r="H33" s="209" t="str">
        <f>IF(Geometria!$I$280&lt;'Isolamento de cabos'!$C$8,"Sim","Não")</f>
        <v>Não</v>
      </c>
      <c r="I33" s="368">
        <f ca="1">Geometria!$H$166*E33+Geometria!$H$168*E10</f>
        <v>2135.5114181330277</v>
      </c>
      <c r="J33" s="368">
        <f ca="1">Geometria!$H$166*E33*Geometria!$H$167/100-Geometria!$H$168*E10*Geometria!$H$169/100</f>
        <v>144.55529220167523</v>
      </c>
      <c r="K33" s="363"/>
      <c r="L33">
        <f t="shared" ca="1" si="1"/>
        <v>-15.144628673423012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-8033.1986595407852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-11956.682434883698</v>
      </c>
      <c r="R33" s="367">
        <f ca="1">('Perdas por Seção'!E91*(Geometria!$I$280*100))/Geometria!$J$1031</f>
        <v>117.96799487894013</v>
      </c>
      <c r="S33" s="787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-8033.1986595407852</v>
      </c>
      <c r="T33" s="788"/>
      <c r="V33" s="368">
        <f ca="1">Geometria!$H$166*R33+Geometria!$H$168*R10</f>
        <v>1762.5371848356272</v>
      </c>
      <c r="W33" s="368">
        <f ca="1">Geometria!$H$166*R33*Geometria!$H$167/100-Geometria!$H$168*R10*Geometria!$H$169/100</f>
        <v>118.25837216363344</v>
      </c>
      <c r="X33" s="363"/>
      <c r="Y33">
        <f t="shared" ca="1" si="6"/>
        <v>-8.0331986595407852</v>
      </c>
      <c r="AB33" s="787">
        <f ca="1">-(Geometria!$J$242/(Geometria!$H$36/100^2))-(Geometria!$J$243/(Geometria!$H$41/100^3))+((Geometria!$I$281)/(Geometria!$H$41/100^3))+((Geometria!$I$292)/(Geometria!$I$41/100^3))+((Geometria!$H$52*Geometria!$I$303)/(Geometria!$I$41/100^3))</f>
        <v>-8755.5276495344242</v>
      </c>
      <c r="AC33" s="788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-14749.431811240236</v>
      </c>
      <c r="D34" s="365">
        <f ca="1">-I34/(Geometria!$H$36/100^2)-J34/(Geometria!$H$41/100^3)+Geometria!$J$741/(Geometria!$H$41/100^3)</f>
        <v>-30051.315753612769</v>
      </c>
      <c r="E34" s="367">
        <f ca="1">('Perdas por Seção'!F59*(Geometria!$J$280*100))/Geometria!$J$1031</f>
        <v>215.48505023840406</v>
      </c>
      <c r="F34" s="770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-14749.431811240236</v>
      </c>
      <c r="G34" s="770"/>
      <c r="H34" s="209" t="str">
        <f>IF(Geometria!$J$280&lt;'Isolamento de cabos'!$C$8,"Sim","Não")</f>
        <v>Não</v>
      </c>
      <c r="I34" s="368">
        <f ca="1">Geometria!$H$166*E34+Geometria!$H$168*E11</f>
        <v>3205.2853662487923</v>
      </c>
      <c r="J34" s="368">
        <f ca="1">Geometria!$H$166*E34*Geometria!$H$167/100-Geometria!$H$168*E11*Geometria!$H$169/100</f>
        <v>217.76869071261717</v>
      </c>
      <c r="K34" s="363"/>
      <c r="L34">
        <f t="shared" ca="1" si="1"/>
        <v>-14.749431811240235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-6006.9872213250665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-18742.218170863456</v>
      </c>
      <c r="R34" s="367">
        <f ca="1">('Perdas por Seção'!F91*(Geometria!$J$280*100))/Geometria!$J$1031</f>
        <v>179.08026120185411</v>
      </c>
      <c r="S34" s="787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-6006.9872213250665</v>
      </c>
      <c r="T34" s="788"/>
      <c r="V34" s="368">
        <f ca="1">Geometria!$H$166*R34+Geometria!$H$168*R11</f>
        <v>2656.3081101828316</v>
      </c>
      <c r="W34" s="368">
        <f ca="1">Geometria!$H$166*R34*Geometria!$H$167/100-Geometria!$H$168*R11*Geometria!$H$169/100</f>
        <v>181.89751248335966</v>
      </c>
      <c r="X34" s="363"/>
      <c r="Y34">
        <f t="shared" ca="1" si="6"/>
        <v>-6.0069872213250664</v>
      </c>
      <c r="AB34" s="787">
        <f ca="1">-(Geometria!$J$242/(Geometria!$H$36/100^2))-(Geometria!$J$243/(Geometria!$H$41/100^3))+((Geometria!$J$281)/(Geometria!$H$41/100^3))+((Geometria!$J$292)/(Geometria!$I$41/100^3))+((Geometria!$H$52*Geometria!$J$303)/(Geometria!$I$41/100^3))</f>
        <v>-6559.8566655981367</v>
      </c>
      <c r="AC34" s="788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-14406.927864015164</v>
      </c>
      <c r="D35" s="365">
        <f ca="1">-I35/(Geometria!$H$36/100^2)-J35/(Geometria!$H$41/100^3)+Geometria!$K$741/(Geometria!$H$41/100^3)</f>
        <v>-40267.442876526795</v>
      </c>
      <c r="E35" s="367">
        <f ca="1">('Perdas por Seção'!G59*(Geometria!$K$280*100))/Geometria!$J$1031</f>
        <v>287.79484813446248</v>
      </c>
      <c r="F35" s="770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-14406.927864015164</v>
      </c>
      <c r="G35" s="770"/>
      <c r="H35" s="209" t="str">
        <f>IF(Geometria!$K$280&lt;'Isolamento de cabos'!$C$8,"Sim","Não")</f>
        <v>Não</v>
      </c>
      <c r="I35" s="368">
        <f ca="1">Geometria!$H$166*E35+Geometria!$H$168*E12</f>
        <v>4276.0460090108572</v>
      </c>
      <c r="J35" s="368">
        <f ca="1">Geometria!$H$166*E35*Geometria!$H$167/100-Geometria!$H$168*E12*Geometria!$H$169/100</f>
        <v>291.43956817961009</v>
      </c>
      <c r="K35" s="363"/>
      <c r="L35">
        <f t="shared" ca="1" si="1"/>
        <v>-14.406927864015165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-4250.8562195832565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-26000.231829323871</v>
      </c>
      <c r="R35" s="367">
        <f ca="1">('Perdas por Seção'!G91*(Geometria!$K$280*100))/Geometria!$J$1031</f>
        <v>241.23160483718877</v>
      </c>
      <c r="S35" s="787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-4250.8562195832565</v>
      </c>
      <c r="T35" s="788"/>
      <c r="V35" s="368">
        <f ca="1">Geometria!$H$166*R35+Geometria!$H$168*R12</f>
        <v>3556.1745907300219</v>
      </c>
      <c r="W35" s="368">
        <f ca="1">Geometria!$H$166*R35*Geometria!$H$167/100-Geometria!$H$168*R12*Geometria!$H$169/100</f>
        <v>247.73956849289436</v>
      </c>
      <c r="X35" s="363"/>
      <c r="Y35">
        <f t="shared" ca="1" si="6"/>
        <v>-4.2508562195832562</v>
      </c>
      <c r="AB35" s="787">
        <f ca="1">-(Geometria!$J$242/(Geometria!$H$36/100^2))-(Geometria!$J$243/(Geometria!$H$41/100^3))+((Geometria!$K$281)/(Geometria!$H$41/100^3))+((Geometria!$K$292)/(Geometria!$I$41/100^3))+((Geometria!$H$52*Geometria!$K$303)/(Geometria!$I$41/100^3))</f>
        <v>-4656.9418128533471</v>
      </c>
      <c r="AC35" s="788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-14117.116831747795</v>
      </c>
      <c r="D36" s="365">
        <f ca="1">-I36/(Geometria!$H$36/100^2)-J36/(Geometria!$H$41/100^3)+Geometria!$L$741/(Geometria!$H$41/100^3)</f>
        <v>-50566.786029554096</v>
      </c>
      <c r="E36" s="367">
        <f ca="1">('Perdas por Seção'!H59*(Geometria!$L$280*100))/Geometria!$J$1031</f>
        <v>360.25278382024106</v>
      </c>
      <c r="F36" s="770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-14117.116831747795</v>
      </c>
      <c r="G36" s="770"/>
      <c r="H36" s="209" t="str">
        <f>IF(Geometria!$L$280&lt;'Isolamento de cabos'!$C$8,"Sim","Não")</f>
        <v>Não</v>
      </c>
      <c r="I36" s="368">
        <f ca="1">Geometria!$H$166*E36+Geometria!$H$168*E13</f>
        <v>5347.5242478793234</v>
      </c>
      <c r="J36" s="368">
        <f ca="1">Geometria!$H$166*E36*Geometria!$H$167/100-Geometria!$H$168*E13*Geometria!$H$169/100</f>
        <v>365.44315761464009</v>
      </c>
      <c r="K36" s="363"/>
      <c r="L36">
        <f t="shared" ca="1" si="1"/>
        <v>-14.117116831747795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-2764.8404252459495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-33681.601875698143</v>
      </c>
      <c r="R36" s="367">
        <f ca="1">('Perdas por Seção'!H91*(Geometria!$L$280*100))/Geometria!$J$1031</f>
        <v>304.13795492808885</v>
      </c>
      <c r="S36" s="787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-2764.8404252459495</v>
      </c>
      <c r="T36" s="788"/>
      <c r="V36" s="368">
        <f ca="1">Geometria!$H$166*R36+Geometria!$H$168*R13</f>
        <v>4460.4660757454203</v>
      </c>
      <c r="W36" s="368">
        <f ca="1">Geometria!$H$166*R36*Geometria!$H$167/100-Geometria!$H$168*R13*Geometria!$H$169/100</f>
        <v>315.18279548754475</v>
      </c>
      <c r="X36" s="363"/>
      <c r="Y36">
        <f t="shared" ca="1" si="6"/>
        <v>-2.7648404252459495</v>
      </c>
      <c r="AB36" s="787">
        <f ca="1">-(Geometria!$J$242/(Geometria!$H$36/100^2))-(Geometria!$J$243/(Geometria!$H$41/100^3))+((Geometria!$L$281)/(Geometria!$H$41/100^3))+((Geometria!$L$292)/(Geometria!$I$41/100^3))+((Geometria!$H$52*Geometria!$L$303)/(Geometria!$I$41/100^3))</f>
        <v>-3046.7830913000671</v>
      </c>
      <c r="AC36" s="788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-13879.998714438127</v>
      </c>
      <c r="D37" s="365">
        <f ca="1">-I37/(Geometria!$H$36/100^2)-J37/(Geometria!$H$41/100^3)+Geometria!$M$741/(Geometria!$H$41/100^3)</f>
        <v>-60939.568269249641</v>
      </c>
      <c r="E37" s="367">
        <f ca="1">('Perdas por Seção'!I59*(Geometria!$M$280*100))/Geometria!$J$1031</f>
        <v>432.80330562459466</v>
      </c>
      <c r="F37" s="770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-13879.998714438127</v>
      </c>
      <c r="G37" s="770"/>
      <c r="H37" s="209" t="str">
        <f>IF(Geometria!$M$280&lt;'Isolamento de cabos'!$C$8,"Sim","Não")</f>
        <v>Não</v>
      </c>
      <c r="I37" s="368">
        <f ca="1">Geometria!$H$166*E37+Geometria!$H$168*E14</f>
        <v>6419.4509843142878</v>
      </c>
      <c r="J37" s="368">
        <f ca="1">Geometria!$H$166*E37*Geometria!$H$167/100-Geometria!$H$168*E14*Geometria!$H$169/100</f>
        <v>439.65469202969308</v>
      </c>
      <c r="K37" s="363"/>
      <c r="L37">
        <f t="shared" ca="1" si="1"/>
        <v>-13.879998714438127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-1548.969245505391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-41737.278891334194</v>
      </c>
      <c r="R37" s="367">
        <f ca="1">('Perdas por Seção'!I91*(Geometria!$M$280*100))/Geometria!$J$1031</f>
        <v>367.51570522807322</v>
      </c>
      <c r="S37" s="787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-1548.969245505391</v>
      </c>
      <c r="T37" s="788"/>
      <c r="V37" s="368">
        <f ca="1">Geometria!$H$166*R37+Geometria!$H$168*R14</f>
        <v>5367.5175173425196</v>
      </c>
      <c r="W37" s="368">
        <f ca="1">Geometria!$H$166*R37*Geometria!$H$167/100-Geometria!$H$168*R14*Geometria!$H$169/100</f>
        <v>383.6260917192692</v>
      </c>
      <c r="X37" s="363"/>
      <c r="Y37">
        <f t="shared" ca="1" si="6"/>
        <v>-1.5489692455053909</v>
      </c>
      <c r="AB37" s="787">
        <f ca="1">-(Geometria!$J$242/(Geometria!$H$36/100^2))-(Geometria!$J$243/(Geometria!$H$41/100^3))+((Geometria!$M$281)/(Geometria!$H$41/100^3))+((Geometria!$M$292)/(Geometria!$I$41/100^3))+((Geometria!$H$52*Geometria!$M$303)/(Geometria!$I$41/100^3))</f>
        <v>-1729.3805009382932</v>
      </c>
      <c r="AC37" s="788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-13695.57351208617</v>
      </c>
      <c r="D38" s="365">
        <f ca="1">-I38/(Geometria!$H$36/100^2)-J38/(Geometria!$H$41/100^3)+Geometria!$N$741/(Geometria!$H$41/100^3)</f>
        <v>-71376.012652168487</v>
      </c>
      <c r="E38" s="367">
        <f ca="1">('Perdas por Seção'!J59*(Geometria!$N$280*100))/Geometria!$J$1031</f>
        <v>505.39086187637832</v>
      </c>
      <c r="F38" s="770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-13695.57351208617</v>
      </c>
      <c r="G38" s="770"/>
      <c r="H38" s="209" t="str">
        <f>IF(Geometria!$N$280&lt;'Isolamento de cabos'!$C$8,"Sim","Não")</f>
        <v>Não</v>
      </c>
      <c r="I38" s="368">
        <f ca="1">Geometria!$H$166*E38+Geometria!$H$168*E15</f>
        <v>7491.5571197758536</v>
      </c>
      <c r="J38" s="368">
        <f ca="1">Geometria!$H$166*E38*Geometria!$H$167/100-Geometria!$H$168*E15*Geometria!$H$169/100</f>
        <v>513.94940443675546</v>
      </c>
      <c r="K38" s="363"/>
      <c r="L38">
        <f t="shared" ca="1" si="1"/>
        <v>-13.69557351208617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-603.2667310062152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-50118.267515485517</v>
      </c>
      <c r="R38" s="367">
        <f ca="1">('Perdas por Seção'!J91*(Geometria!$N$280*100))/Geometria!$J$1031</f>
        <v>431.08159776141071</v>
      </c>
      <c r="S38" s="787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-603.2667310062152</v>
      </c>
      <c r="T38" s="788"/>
      <c r="V38" s="368">
        <f ca="1">Geometria!$H$166*R38+Geometria!$H$168*R15</f>
        <v>6275.6679925535773</v>
      </c>
      <c r="W38" s="368">
        <f ca="1">Geometria!$H$166*R38*Geometria!$H$167/100-Geometria!$H$168*R15*Geometria!$H$169/100</f>
        <v>452.46883739868963</v>
      </c>
      <c r="X38" s="363"/>
      <c r="Y38">
        <f t="shared" ca="1" si="6"/>
        <v>-0.6032667310062152</v>
      </c>
      <c r="AB38" s="787">
        <f ca="1">-(Geometria!$J$242/(Geometria!$H$36/100^2))-(Geometria!$J$243/(Geometria!$H$41/100^3))+((Geometria!$N$281)/(Geometria!$H$41/100^3))+((Geometria!$N$292)/(Geometria!$I$41/100^3))+((Geometria!$H$52*Geometria!$N$303)/(Geometria!$I$41/100^3))</f>
        <v>-704.73404176802615</v>
      </c>
      <c r="AC38" s="788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-13563.841224691907</v>
      </c>
      <c r="D39" s="365">
        <f ca="1">-I39/(Geometria!$H$36/100^2)-J39/(Geometria!$H$41/100^3)+Geometria!$G$744/(Geometria!$H$41/100^3)</f>
        <v>-81866.34223486566</v>
      </c>
      <c r="E39" s="367">
        <f ca="1">('Perdas por Seção'!K59*(Geometria!$G$283*100))/Geometria!$J$1031</f>
        <v>577.95990090444695</v>
      </c>
      <c r="F39" s="770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-13563.841224691907</v>
      </c>
      <c r="G39" s="770"/>
      <c r="H39" s="209" t="str">
        <f>IF(Geometria!$G$283&lt;'Isolamento de cabos'!$C$8,"Sim","Não")</f>
        <v>Não</v>
      </c>
      <c r="I39" s="368">
        <f ca="1">Geometria!$H$166*E39+Geometria!$H$168*E16</f>
        <v>8563.5735557241187</v>
      </c>
      <c r="J39" s="368">
        <f ca="1">Geometria!$H$166*E39*Geometria!$H$167/100-Geometria!$H$168*E16*Geometria!$H$169/100</f>
        <v>588.20252784781314</v>
      </c>
      <c r="K39" s="363"/>
      <c r="L39">
        <f t="shared" ca="1" si="1"/>
        <v>-13.563841224691908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72.248418278993995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-58775.608409309498</v>
      </c>
      <c r="R39" s="367">
        <f ca="1">('Perdas por Seção'!K91*(Geometria!$G$283*100))/Geometria!$J$1031</f>
        <v>494.55260662528133</v>
      </c>
      <c r="S39" s="787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72.248418278993995</v>
      </c>
      <c r="T39" s="788"/>
      <c r="V39" s="368">
        <f ca="1">Geometria!$H$166*R39+Geometria!$H$168*R16</f>
        <v>7183.2593270824073</v>
      </c>
      <c r="W39" s="368">
        <f ca="1">Geometria!$H$166*R39*Geometria!$H$167/100-Geometria!$H$168*R16*Geometria!$H$169/100</f>
        <v>521.1107338933158</v>
      </c>
      <c r="X39" s="363"/>
      <c r="Y39">
        <f t="shared" ca="1" si="6"/>
        <v>7.2248418278993989E-2</v>
      </c>
      <c r="AB39" s="787">
        <f ca="1">-(Geometria!$J$242/(Geometria!$H$36/100^2))-(Geometria!$J$243/(Geometria!$H$41/100^3))+((Geometria!$G$284)/(Geometria!$H$41/100^3))+((Geometria!$G$295)/(Geometria!$I$41/100^3))+((Geometria!$H$52*Geometria!$G$306)/(Geometria!$I$41/100^3))</f>
        <v>27.156286210743929</v>
      </c>
      <c r="AC39" s="788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-13484.801852255354</v>
      </c>
      <c r="D40" s="365">
        <f ca="1">-I40/(Geometria!$H$36/100^2)-J40/(Geometria!$H$41/100^3)+Geometria!$H$744/(Geometria!$H$41/100^3)</f>
        <v>-92400.780073896167</v>
      </c>
      <c r="E40" s="367">
        <f ca="1">('Perdas por Seção'!L59*(Geometria!$H$283*100))/Geometria!$J$1031</f>
        <v>650.45487103765561</v>
      </c>
      <c r="F40" s="770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-13484.801852255354</v>
      </c>
      <c r="G40" s="770"/>
      <c r="H40" s="209" t="str">
        <f>IF(Geometria!$H$283&lt;'Isolamento de cabos'!$C$8,"Sim","Não")</f>
        <v>Não</v>
      </c>
      <c r="I40" s="368">
        <f ca="1">Geometria!$H$166*E40+Geometria!$H$168*E17</f>
        <v>9635.2311936191836</v>
      </c>
      <c r="J40" s="368">
        <f ca="1">Geometria!$H$166*E40*Geometria!$H$167/100-Geometria!$H$168*E17*Geometria!$H$169/100</f>
        <v>662.28929527485252</v>
      </c>
      <c r="K40" s="363"/>
      <c r="L40">
        <f t="shared" ca="1" si="1"/>
        <v>-13.484801852255353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477.56284848458017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-67660.360235691493</v>
      </c>
      <c r="R40" s="367">
        <f ca="1">('Perdas por Seção'!L91*(Geometria!$H$283*100))/Geometria!$J$1031</f>
        <v>557.64582189389398</v>
      </c>
      <c r="S40" s="787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477.56284848458017</v>
      </c>
      <c r="T40" s="788"/>
      <c r="V40" s="368">
        <f ca="1">Geometria!$H$166*R40+Geometria!$H$168*R17</f>
        <v>8088.6347202647557</v>
      </c>
      <c r="W40" s="368">
        <f ca="1">Geometria!$H$166*R40*Geometria!$H$167/100-Geometria!$H$168*R17*Geometria!$H$169/100</f>
        <v>588.95164306686308</v>
      </c>
      <c r="X40" s="363"/>
      <c r="Y40">
        <f t="shared" ca="1" si="6"/>
        <v>0.47756284848458019</v>
      </c>
      <c r="AB40" s="787">
        <f ca="1">-(Geometria!$J$242/(Geometria!$H$36/100^2))-(Geometria!$J$243/(Geometria!$H$41/100^3))+((Geometria!$H$284)/(Geometria!$H$41/100^3))+((Geometria!$H$295)/(Geometria!$I$41/100^3))+((Geometria!$H$52*Geometria!$H$306)/(Geometria!$I$41/100^3))</f>
        <v>466.29048299799433</v>
      </c>
      <c r="AC40" s="788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-13458.455394776503</v>
      </c>
      <c r="D41" s="365">
        <f ca="1">-I41/(Geometria!$H$36/100^2)-J41/(Geometria!$H$41/100^3)+Geometria!$I$744/(Geometria!$H$41/100^3)</f>
        <v>-102969.54922581502</v>
      </c>
      <c r="E41" s="367">
        <f ca="1">('Perdas por Seção'!M59*(Geometria!$I$283*100))/Geometria!$J$1031</f>
        <v>722.82022060485906</v>
      </c>
      <c r="F41" s="770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-13458.455394776503</v>
      </c>
      <c r="G41" s="770"/>
      <c r="H41" s="209" t="str">
        <f>IF(Geometria!$I$283&lt;'Isolamento de cabos'!$C$8,"Sim","Não")</f>
        <v>Não</v>
      </c>
      <c r="I41" s="368">
        <f ca="1">Geometria!$H$166*E41+Geometria!$H$168*E18</f>
        <v>10706.260934921151</v>
      </c>
      <c r="J41" s="368">
        <f ca="1">Geometria!$H$166*E41*Geometria!$H$167/100-Geometria!$H$168*E18*Geometria!$H$169/100</f>
        <v>736.08493972985934</v>
      </c>
      <c r="K41" s="363"/>
      <c r="L41">
        <f t="shared" ca="1" si="1"/>
        <v>-13.458455394776504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612.66854859375417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-76723.58164872964</v>
      </c>
      <c r="R41" s="367">
        <f ca="1">('Perdas por Seção'!M91*(Geometria!$I$283*100))/Geometria!$J$1031</f>
        <v>620.07833358484584</v>
      </c>
      <c r="S41" s="787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612.66854859375417</v>
      </c>
      <c r="T41" s="788"/>
      <c r="V41" s="368">
        <f ca="1">Geometria!$H$166*R41+Geometria!$H$168*R18</f>
        <v>8990.1373707658604</v>
      </c>
      <c r="W41" s="368">
        <f ca="1">Geometria!$H$166*R41*Geometria!$H$167/100-Geometria!$H$168*R18*Geometria!$H$169/100</f>
        <v>655.39142670470426</v>
      </c>
      <c r="X41" s="363"/>
      <c r="Y41">
        <f t="shared" ca="1" si="6"/>
        <v>0.61266854859375419</v>
      </c>
      <c r="AB41" s="787">
        <f ca="1">-(Geometria!$J$242/(Geometria!$H$36/100^2))-(Geometria!$J$243/(Geometria!$H$41/100^3))+((Geometria!$I$284)/(Geometria!$H$41/100^3))+((Geometria!$I$295)/(Geometria!$I$41/100^3))+((Geometria!$H$52*Geometria!$I$306)/(Geometria!$I$41/100^3))</f>
        <v>612.66854859375417</v>
      </c>
      <c r="AC41" s="788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-13484.801852255354</v>
      </c>
      <c r="D42" s="365">
        <f ca="1">-I42/(Geometria!$H$36/100^2)-J42/(Geometria!$H$41/100^3)+Geometria!$J$744/(Geometria!$H$41/100^3)</f>
        <v>-92400.780073896167</v>
      </c>
      <c r="E42" s="367">
        <f ca="1">('Perdas por Seção'!N59*(Geometria!$H$283*100))/Geometria!$J$1031</f>
        <v>650.45487103765561</v>
      </c>
      <c r="F42" s="770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-13484.801852255354</v>
      </c>
      <c r="G42" s="770"/>
      <c r="H42" s="209" t="str">
        <f>IF(Geometria!$H$283&lt;'Isolamento de cabos'!$C$8,"Sim","Não")</f>
        <v>Não</v>
      </c>
      <c r="I42" s="368">
        <f ca="1">Geometria!$H$166*E42+Geometria!$H$168*E19</f>
        <v>9635.2311936191836</v>
      </c>
      <c r="J42" s="368">
        <f ca="1">Geometria!$H$166*E42*Geometria!$H$167/100-Geometria!$H$168*E19*Geometria!$H$169/100</f>
        <v>662.28929527485252</v>
      </c>
      <c r="K42" s="363"/>
      <c r="L42">
        <f t="shared" ca="1" si="1"/>
        <v>-13.484801852255353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477.56284848458017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-67660.360235691493</v>
      </c>
      <c r="R42" s="367">
        <f ca="1">('Perdas por Seção'!N91*(Geometria!$H$283*100))/Geometria!$J$1031</f>
        <v>557.64582189389398</v>
      </c>
      <c r="S42" s="787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477.56284848458017</v>
      </c>
      <c r="T42" s="788"/>
      <c r="V42" s="368">
        <f ca="1">Geometria!$H$166*R42+Geometria!$H$168*R19</f>
        <v>8088.6347202647557</v>
      </c>
      <c r="W42" s="368">
        <f ca="1">Geometria!$H$166*R42*Geometria!$H$167/100-Geometria!$H$168*R19*Geometria!$H$169/100</f>
        <v>588.95164306686308</v>
      </c>
      <c r="X42" s="363"/>
      <c r="Y42">
        <f t="shared" ca="1" si="6"/>
        <v>0.47756284848458019</v>
      </c>
      <c r="AB42" s="787">
        <f ca="1">-(Geometria!$J$242/(Geometria!$H$36/100^2))-(Geometria!$J$243/(Geometria!$H$41/100^3))+((Geometria!$J$284)/(Geometria!$H$41/100^3))+((Geometria!$J$295)/(Geometria!$I$41/100^3))+((Geometria!$H$52*Geometria!$J$306)/(Geometria!$I$41/100^3))</f>
        <v>466.29048299799433</v>
      </c>
      <c r="AC42" s="788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-13563.841224691907</v>
      </c>
      <c r="D43" s="365">
        <f ca="1">-I43/(Geometria!$H$36/100^2)-J43/(Geometria!$H$41/100^3)+Geometria!$K$744/(Geometria!$H$41/100^3)</f>
        <v>-81866.34223486566</v>
      </c>
      <c r="E43" s="367">
        <f ca="1">('Perdas por Seção'!O59*(Geometria!$G$283*100))/Geometria!$J$1031</f>
        <v>577.95990090444695</v>
      </c>
      <c r="F43" s="770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-13563.841224691907</v>
      </c>
      <c r="G43" s="770"/>
      <c r="H43" s="209" t="str">
        <f>IF(Geometria!$G$283&lt;'Isolamento de cabos'!$C$8,"Sim","Não")</f>
        <v>Não</v>
      </c>
      <c r="I43" s="368">
        <f ca="1">Geometria!$H$166*E43+Geometria!$H$168*E20</f>
        <v>8563.5735557241187</v>
      </c>
      <c r="J43" s="368">
        <f ca="1">Geometria!$H$166*E43*Geometria!$H$167/100-Geometria!$H$168*E20*Geometria!$H$169/100</f>
        <v>588.20252784781314</v>
      </c>
      <c r="K43" s="363"/>
      <c r="L43">
        <f t="shared" ca="1" si="1"/>
        <v>-13.563841224691908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72.2484182789849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-58775.608409309505</v>
      </c>
      <c r="R43" s="367">
        <f ca="1">('Perdas por Seção'!O91*(Geometria!$G$283*100))/Geometria!$J$1031</f>
        <v>494.55260662528133</v>
      </c>
      <c r="S43" s="787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72.2484182789849</v>
      </c>
      <c r="T43" s="788"/>
      <c r="V43" s="368">
        <f ca="1">Geometria!$H$166*R43+Geometria!$H$168*R20</f>
        <v>7183.2593270824073</v>
      </c>
      <c r="W43" s="368">
        <f ca="1">Geometria!$H$166*R43*Geometria!$H$167/100-Geometria!$H$168*R20*Geometria!$H$169/100</f>
        <v>521.1107338933158</v>
      </c>
      <c r="X43" s="363"/>
      <c r="Y43">
        <f t="shared" ca="1" si="6"/>
        <v>7.2248418278984899E-2</v>
      </c>
      <c r="AB43" s="787">
        <f ca="1">-(Geometria!$J$242/(Geometria!$H$36/100^2))-(Geometria!$J$243/(Geometria!$H$41/100^3))+((Geometria!$K$284)/(Geometria!$H$41/100^3))+((Geometria!$K$295)/(Geometria!$I$41/100^3))+((Geometria!$H$52*Geometria!$K$306)/(Geometria!$I$41/100^3))</f>
        <v>27.156286210734834</v>
      </c>
      <c r="AC43" s="788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-13695.57351208617</v>
      </c>
      <c r="D44" s="365">
        <f ca="1">-I44/(Geometria!$H$36/100^2)-J44/(Geometria!$H$41/100^3)+Geometria!$L$744/(Geometria!$H$41/100^3)</f>
        <v>-71376.012652168487</v>
      </c>
      <c r="E44" s="367">
        <f ca="1">('Perdas por Seção'!P59*(Geometria!$N$280*100))/Geometria!$J$1031</f>
        <v>505.39086187637832</v>
      </c>
      <c r="F44" s="770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-13695.57351208617</v>
      </c>
      <c r="G44" s="770"/>
      <c r="H44" s="209" t="str">
        <f>IF(Geometria!$N$280&lt;'Isolamento de cabos'!$C$8,"Sim","Não")</f>
        <v>Não</v>
      </c>
      <c r="I44" s="368">
        <f ca="1">Geometria!$H$166*E44+Geometria!$H$168*E21</f>
        <v>7491.5571197758536</v>
      </c>
      <c r="J44" s="368">
        <f ca="1">Geometria!$H$166*E44*Geometria!$H$167/100-Geometria!$H$168*E21*Geometria!$H$169/100</f>
        <v>513.94940443675546</v>
      </c>
      <c r="K44" s="363"/>
      <c r="L44">
        <f t="shared" ca="1" si="1"/>
        <v>-13.69557351208617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-603.26673100621701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-50118.267515485517</v>
      </c>
      <c r="R44" s="367">
        <f ca="1">('Perdas por Seção'!P91*(Geometria!$N$280*100))/Geometria!$J$1031</f>
        <v>431.08159776141071</v>
      </c>
      <c r="S44" s="787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-603.26673100621701</v>
      </c>
      <c r="T44" s="788"/>
      <c r="V44" s="368">
        <f ca="1">Geometria!$H$166*R44+Geometria!$H$168*R21</f>
        <v>6275.6679925535773</v>
      </c>
      <c r="W44" s="368">
        <f ca="1">Geometria!$H$166*R44*Geometria!$H$167/100-Geometria!$H$168*R21*Geometria!$H$169/100</f>
        <v>452.46883739868963</v>
      </c>
      <c r="X44" s="363"/>
      <c r="Y44">
        <f t="shared" ca="1" si="6"/>
        <v>-0.60326673100621697</v>
      </c>
      <c r="AB44" s="787">
        <f ca="1">-(Geometria!$J$242/(Geometria!$H$36/100^2))-(Geometria!$J$243/(Geometria!$H$41/100^3))+((Geometria!$L$284)/(Geometria!$H$41/100^3))+((Geometria!$L$295)/(Geometria!$I$41/100^3))+((Geometria!$H$52*Geometria!$L$306)/(Geometria!$I$41/100^3))</f>
        <v>-704.73404176802796</v>
      </c>
      <c r="AC44" s="788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-13879.998714438127</v>
      </c>
      <c r="D45" s="365">
        <f ca="1">-I45/(Geometria!$H$36/100^2)-J45/(Geometria!$H$41/100^3)+Geometria!$M$744/(Geometria!$H$41/100^3)</f>
        <v>-60939.568269249641</v>
      </c>
      <c r="E45" s="367">
        <f ca="1">('Perdas por Seção'!Q59*(Geometria!$M$280*100))/Geometria!$J$1031</f>
        <v>432.80330562459466</v>
      </c>
      <c r="F45" s="770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-13879.998714438127</v>
      </c>
      <c r="G45" s="770"/>
      <c r="H45" s="209" t="str">
        <f>IF(Geometria!$M$280&lt;'Isolamento de cabos'!$C$8,"Sim","Não")</f>
        <v>Não</v>
      </c>
      <c r="I45" s="368">
        <f ca="1">Geometria!$H$166*E45+Geometria!$H$168*E22</f>
        <v>6419.4509843142878</v>
      </c>
      <c r="J45" s="368">
        <f ca="1">Geometria!$H$166*E45*Geometria!$H$167/100-Geometria!$H$168*E22*Geometria!$H$169/100</f>
        <v>439.65469202969308</v>
      </c>
      <c r="K45" s="363"/>
      <c r="L45">
        <f t="shared" ca="1" si="1"/>
        <v>-13.879998714438127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-1548.9692455053955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-41737.278891334194</v>
      </c>
      <c r="R45" s="367">
        <f ca="1">('Perdas por Seção'!Q91*(Geometria!$M$280*100))/Geometria!$J$1031</f>
        <v>367.51570522807322</v>
      </c>
      <c r="S45" s="787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-1548.9692455053955</v>
      </c>
      <c r="T45" s="788"/>
      <c r="V45" s="368">
        <f ca="1">Geometria!$H$166*R45+Geometria!$H$168*R22</f>
        <v>5367.5175173425196</v>
      </c>
      <c r="W45" s="368">
        <f ca="1">Geometria!$H$166*R45*Geometria!$H$167/100-Geometria!$H$168*R22*Geometria!$H$169/100</f>
        <v>383.6260917192692</v>
      </c>
      <c r="X45" s="363"/>
      <c r="Y45">
        <f t="shared" ca="1" si="6"/>
        <v>-1.5489692455053956</v>
      </c>
      <c r="AB45" s="787">
        <f ca="1">-(Geometria!$J$242/(Geometria!$H$36/100^2))-(Geometria!$J$243/(Geometria!$H$41/100^3))+((Geometria!$M$284)/(Geometria!$H$41/100^3))+((Geometria!$M$295)/(Geometria!$I$41/100^3))+((Geometria!$H$52*Geometria!$M$306)/(Geometria!$I$41/100^3))</f>
        <v>-1729.3805009382959</v>
      </c>
      <c r="AC45" s="788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-14117.116831747795</v>
      </c>
      <c r="D46" s="365">
        <f ca="1">-I46/(Geometria!$H$36/100^2)-J46/(Geometria!$H$41/100^3)+Geometria!$N$744/(Geometria!$H$41/100^3)</f>
        <v>-50566.786029554096</v>
      </c>
      <c r="E46" s="367">
        <f ca="1">('Perdas por Seção'!R59*(Geometria!$L$280*100))/Geometria!$J$1031</f>
        <v>360.25278382024106</v>
      </c>
      <c r="F46" s="770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-14117.116831747795</v>
      </c>
      <c r="G46" s="770"/>
      <c r="H46" s="209" t="str">
        <f>IF(Geometria!$L$280&lt;'Isolamento de cabos'!$C$8,"Sim","Não")</f>
        <v>Não</v>
      </c>
      <c r="I46" s="368">
        <f ca="1">Geometria!$H$166*E46+Geometria!$H$168*E23</f>
        <v>5347.5242478793234</v>
      </c>
      <c r="J46" s="368">
        <f ca="1">Geometria!$H$166*E46*Geometria!$H$167/100-Geometria!$H$168*E23*Geometria!$H$169/100</f>
        <v>365.44315761464009</v>
      </c>
      <c r="K46" s="363"/>
      <c r="L46">
        <f t="shared" ca="1" si="1"/>
        <v>-14.117116831747795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-2764.8404252459513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-33681.60187569815</v>
      </c>
      <c r="R46" s="367">
        <f ca="1">('Perdas por Seção'!R91*(Geometria!$L$280*100))/Geometria!$J$1031</f>
        <v>304.13795492808885</v>
      </c>
      <c r="S46" s="787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-2764.8404252459513</v>
      </c>
      <c r="T46" s="788"/>
      <c r="V46" s="368">
        <f ca="1">Geometria!$H$166*R46+Geometria!$H$168*R23</f>
        <v>4460.4660757454203</v>
      </c>
      <c r="W46" s="368">
        <f ca="1">Geometria!$H$166*R46*Geometria!$H$167/100-Geometria!$H$168*R23*Geometria!$H$169/100</f>
        <v>315.18279548754475</v>
      </c>
      <c r="X46" s="363"/>
      <c r="Y46">
        <f t="shared" ca="1" si="6"/>
        <v>-2.7648404252459513</v>
      </c>
      <c r="AB46" s="787">
        <f ca="1">-(Geometria!$J$242/(Geometria!$H$36/100^2))-(Geometria!$J$243/(Geometria!$H$41/100^3))+((Geometria!$N$284)/(Geometria!$H$41/100^3))+((Geometria!$N$295)/(Geometria!$I$41/100^3))+((Geometria!$H$52*Geometria!$N$306)/(Geometria!$I$41/100^3))</f>
        <v>-3046.7830913000707</v>
      </c>
      <c r="AC46" s="788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-14406.927864015164</v>
      </c>
      <c r="D47" s="365">
        <f ca="1">-I47/(Geometria!$H$36/100^2)-J47/(Geometria!$H$41/100^3)+Geometria!$G$747/(Geometria!$H$41/100^3)</f>
        <v>-40267.442876526795</v>
      </c>
      <c r="E47" s="367">
        <f ca="1">('Perdas por Seção'!S59*(Geometria!$K$280*100))/Geometria!$J$1031</f>
        <v>287.79484813446248</v>
      </c>
      <c r="F47" s="770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-14406.927864015164</v>
      </c>
      <c r="G47" s="770"/>
      <c r="H47" s="209" t="str">
        <f>IF(Geometria!$K$280&lt;'Isolamento de cabos'!$C$8,"Sim","Não")</f>
        <v>Não</v>
      </c>
      <c r="I47" s="368">
        <f ca="1">Geometria!$H$166*E47+Geometria!$H$168*E24</f>
        <v>4276.0460090108572</v>
      </c>
      <c r="J47" s="368">
        <f ca="1">Geometria!$H$166*E47*Geometria!$H$167/100-Geometria!$H$168*E24*Geometria!$H$169/100</f>
        <v>291.43956817961009</v>
      </c>
      <c r="K47" s="363"/>
      <c r="L47">
        <f t="shared" ca="1" si="1"/>
        <v>-14.406927864015165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-4250.8562195832574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-26000.231829323868</v>
      </c>
      <c r="R47" s="367">
        <f ca="1">('Perdas por Seção'!S91*(Geometria!$K$280*100))/Geometria!$J$1031</f>
        <v>241.23160483718877</v>
      </c>
      <c r="S47" s="787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-4250.8562195832574</v>
      </c>
      <c r="T47" s="788"/>
      <c r="V47" s="368">
        <f ca="1">Geometria!$H$166*R47+Geometria!$H$168*R24</f>
        <v>3556.1745907300219</v>
      </c>
      <c r="W47" s="368">
        <f ca="1">Geometria!$H$166*R47*Geometria!$H$167/100-Geometria!$H$168*R24*Geometria!$H$169/100</f>
        <v>247.73956849289436</v>
      </c>
      <c r="X47" s="363"/>
      <c r="Y47">
        <f t="shared" ca="1" si="6"/>
        <v>-4.2508562195832571</v>
      </c>
      <c r="AB47" s="787">
        <f ca="1">-(Geometria!$J$242/(Geometria!$H$36/100^2))-(Geometria!$J$243/(Geometria!$H$41/100^3))+((Geometria!$G$287)/(Geometria!$H$41/100^3))+((Geometria!$G$298)/(Geometria!$I$41/100^3))+((Geometria!$H$52*Geometria!$G$309)/(Geometria!$I$41/100^3))</f>
        <v>-4656.941812853348</v>
      </c>
      <c r="AC47" s="788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-14749.431811240236</v>
      </c>
      <c r="D48" s="365">
        <f ca="1">-I48/(Geometria!$H$36/100^2)-J48/(Geometria!$H$41/100^3)+Geometria!$H$747/(Geometria!$H$41/100^3)</f>
        <v>-30051.315753612769</v>
      </c>
      <c r="E48" s="367">
        <f ca="1">('Perdas por Seção'!T59*(Geometria!$J$280*100))/Geometria!$J$1031</f>
        <v>215.48505023840406</v>
      </c>
      <c r="F48" s="770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-14749.431811240236</v>
      </c>
      <c r="G48" s="770"/>
      <c r="H48" s="209" t="str">
        <f>IF(Geometria!$J$280&lt;'Isolamento de cabos'!$C$8,"Sim","Não")</f>
        <v>Não</v>
      </c>
      <c r="I48" s="368">
        <f ca="1">Geometria!$H$166*E48+Geometria!$H$168*E25</f>
        <v>3205.2853662487923</v>
      </c>
      <c r="J48" s="368">
        <f ca="1">Geometria!$H$166*E48*Geometria!$H$167/100-Geometria!$H$168*E25*Geometria!$H$169/100</f>
        <v>217.76869071261717</v>
      </c>
      <c r="K48" s="363"/>
      <c r="L48">
        <f t="shared" ca="1" si="1"/>
        <v>-14.749431811240235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-6006.9872213250683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-18742.218170863456</v>
      </c>
      <c r="R48" s="367">
        <f ca="1">('Perdas por Seção'!T91*(Geometria!$J$280*100))/Geometria!$J$1031</f>
        <v>179.08026120185411</v>
      </c>
      <c r="S48" s="787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-6006.9872213250683</v>
      </c>
      <c r="T48" s="788"/>
      <c r="V48" s="368">
        <f ca="1">Geometria!$H$166*R48+Geometria!$H$168*R25</f>
        <v>2656.3081101828316</v>
      </c>
      <c r="W48" s="368">
        <f ca="1">Geometria!$H$166*R48*Geometria!$H$167/100-Geometria!$H$168*R25*Geometria!$H$169/100</f>
        <v>181.89751248335966</v>
      </c>
      <c r="X48" s="363"/>
      <c r="Y48">
        <f t="shared" ca="1" si="6"/>
        <v>-6.0069872213250681</v>
      </c>
      <c r="AB48" s="787">
        <f ca="1">-(Geometria!$J$242/(Geometria!$H$36/100^2))-(Geometria!$J$243/(Geometria!$H$41/100^3))+((Geometria!$H$287)/(Geometria!$H$41/100^3))+((Geometria!$H$298)/(Geometria!$I$41/100^3))+((Geometria!$H$52*Geometria!$H$309)/(Geometria!$I$41/100^3))</f>
        <v>-6559.8566655981367</v>
      </c>
      <c r="AC48" s="788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-15144.628673423013</v>
      </c>
      <c r="D49" s="365">
        <f ca="1">-I49/(Geometria!$H$36/100^2)-J49/(Geometria!$H$41/100^3)+Geometria!$I$747/(Geometria!$H$41/100^3)</f>
        <v>-19928.181604256966</v>
      </c>
      <c r="E49" s="367">
        <f ca="1">('Perdas por Seção'!U59*(Geometria!$I$280*100))/Geometria!$J$1031</f>
        <v>143.37894180321081</v>
      </c>
      <c r="F49" s="770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-15144.628673423013</v>
      </c>
      <c r="G49" s="770"/>
      <c r="H49" s="209" t="str">
        <f>IF(Geometria!$I$280&lt;'Isolamento de cabos'!$C$8,"Sim","Não")</f>
        <v>Não</v>
      </c>
      <c r="I49" s="368">
        <f ca="1">Geometria!$H$166*E49+Geometria!$H$168*E26</f>
        <v>2135.5114181330277</v>
      </c>
      <c r="J49" s="368">
        <f ca="1">Geometria!$H$166*E49*Geometria!$H$167/100-Geometria!$H$168*E26*Geometria!$H$169/100</f>
        <v>144.55529220167523</v>
      </c>
      <c r="K49" s="363"/>
      <c r="L49">
        <f t="shared" ca="1" si="1"/>
        <v>-15.144628673423012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-8033.1986595407916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-11956.682434883704</v>
      </c>
      <c r="R49" s="367">
        <f ca="1">('Perdas por Seção'!U91*(Geometria!$I$280*100))/Geometria!$J$1031</f>
        <v>117.96799487894013</v>
      </c>
      <c r="S49" s="787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-8033.1986595407916</v>
      </c>
      <c r="T49" s="788"/>
      <c r="V49" s="368">
        <f ca="1">Geometria!$H$166*R49+Geometria!$H$168*R26</f>
        <v>1762.5371848356272</v>
      </c>
      <c r="W49" s="368">
        <f ca="1">Geometria!$H$166*R49*Geometria!$H$167/100-Geometria!$H$168*R26*Geometria!$H$169/100</f>
        <v>118.25837216363344</v>
      </c>
      <c r="X49" s="363"/>
      <c r="Y49">
        <f t="shared" ca="1" si="6"/>
        <v>-8.0331986595407923</v>
      </c>
      <c r="AB49" s="787">
        <f ca="1">-(Geometria!$J$242/(Geometria!$H$36/100^2))-(Geometria!$J$243/(Geometria!$H$41/100^3))+((Geometria!$I$287)/(Geometria!$H$41/100^3))+((Geometria!$I$298)/(Geometria!$I$41/100^3))+((Geometria!$H$52*Geometria!$I$309)/(Geometria!$I$41/100^3))</f>
        <v>-8755.5276495344297</v>
      </c>
      <c r="AC49" s="788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-9907.8173719043825</v>
      </c>
      <c r="D50" s="365">
        <f ca="1">-I50/(Geometria!$H$36/100^2)-J50/(Geometria!$H$41/100^3)+Geometria!$J$747/(Geometria!$H$41/100^3)</f>
        <v>-9907.8173719043825</v>
      </c>
      <c r="E50" s="367">
        <f ca="1">('Perdas por Seção'!V59*(Geometria!$H$280*100))/Geometria!$J$1031</f>
        <v>71.532074500027775</v>
      </c>
      <c r="F50" s="770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-15592.518450563486</v>
      </c>
      <c r="G50" s="770"/>
      <c r="H50" s="209" t="str">
        <f>IF(Geometria!$H$280&lt;'Isolamento de cabos'!$C$8,"Sim","Não")</f>
        <v>Não</v>
      </c>
      <c r="I50" s="368">
        <f ca="1">Geometria!$H$166*E50+Geometria!$H$168*E27</f>
        <v>1066.9932632034636</v>
      </c>
      <c r="J50" s="368">
        <f ca="1">Geometria!$H$166*E50*Geometria!$H$167/100-Geometria!$H$168*E27*Geometria!$H$169/100</f>
        <v>71.924139634798237</v>
      </c>
      <c r="K50" s="363"/>
      <c r="L50">
        <f t="shared" ca="1" si="1"/>
        <v>-9.9078173719043825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-5692.8363580896557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-5692.8363580896557</v>
      </c>
      <c r="R50" s="367">
        <f ca="1">('Perdas por Seção'!V91*(Geometria!$H$280*100))/Geometria!$J$1031</f>
        <v>58.179457857072251</v>
      </c>
      <c r="S50" s="787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-10329.450391049822</v>
      </c>
      <c r="T50" s="788"/>
      <c r="V50" s="368">
        <f ca="1">Geometria!$H$166*R50+Geometria!$H$168*R27</f>
        <v>876.53924834487191</v>
      </c>
      <c r="W50" s="368">
        <f ca="1">Geometria!$H$166*R50*Geometria!$H$167/100-Geometria!$H$168*R27*Geometria!$H$169/100</f>
        <v>57.424696444594304</v>
      </c>
      <c r="X50" s="363"/>
      <c r="Y50">
        <f t="shared" ca="1" si="6"/>
        <v>-5.6928363580896555</v>
      </c>
      <c r="AB50" s="787">
        <f ca="1">-(Geometria!$J$242/(Geometria!$H$36/100^2))-(Geometria!$J$243/(Geometria!$H$41/100^3))+((Geometria!$J$287)/(Geometria!$H$41/100^3))+((Geometria!$J$298)/(Geometria!$I$41/100^3))+((Geometria!$H$52*Geometria!$J$309)/(Geometria!$I$41/100^3))</f>
        <v>-11243.954764662218</v>
      </c>
      <c r="AC50" s="788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785">
        <v>0</v>
      </c>
      <c r="G51" s="786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785">
        <v>0</v>
      </c>
      <c r="T51" s="786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W734"/>
  <sheetViews>
    <sheetView showGridLines="0" topLeftCell="A28" workbookViewId="0">
      <selection activeCell="C51" sqref="C51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3" ht="15.75" customHeight="1" thickBot="1" x14ac:dyDescent="0.3"/>
    <row r="2" spans="2:23" ht="15.75" thickBot="1" x14ac:dyDescent="0.3">
      <c r="B2" s="486" t="s">
        <v>1044</v>
      </c>
      <c r="C2" s="811" t="s">
        <v>1045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2"/>
    </row>
    <row r="3" spans="2:23" ht="18" x14ac:dyDescent="0.35">
      <c r="B3" s="483" t="s">
        <v>1046</v>
      </c>
      <c r="C3" s="487">
        <f>Geometria!H23</f>
        <v>30</v>
      </c>
      <c r="D3" s="1" t="s">
        <v>80</v>
      </c>
      <c r="E3" s="488" t="s">
        <v>1047</v>
      </c>
      <c r="S3" s="489"/>
    </row>
    <row r="4" spans="2:23" ht="18" x14ac:dyDescent="0.35">
      <c r="B4" s="483" t="s">
        <v>1048</v>
      </c>
      <c r="C4" s="490">
        <f>Geometria!H33</f>
        <v>5</v>
      </c>
      <c r="D4" s="1" t="s">
        <v>80</v>
      </c>
      <c r="E4" s="488" t="s">
        <v>1049</v>
      </c>
      <c r="S4" s="489"/>
    </row>
    <row r="5" spans="2:23" ht="18" x14ac:dyDescent="0.25">
      <c r="B5" s="482" t="s">
        <v>1050</v>
      </c>
      <c r="C5" s="491">
        <f>Geometria!H22</f>
        <v>125</v>
      </c>
      <c r="D5" s="1" t="s">
        <v>80</v>
      </c>
      <c r="E5" s="488" t="s">
        <v>1051</v>
      </c>
      <c r="S5" s="489"/>
    </row>
    <row r="6" spans="2:23" ht="18" x14ac:dyDescent="0.35">
      <c r="B6" s="483" t="s">
        <v>1052</v>
      </c>
      <c r="C6" s="490">
        <f>Geometria!H58</f>
        <v>50</v>
      </c>
      <c r="D6" s="1" t="s">
        <v>50</v>
      </c>
      <c r="E6" s="488" t="s">
        <v>1053</v>
      </c>
      <c r="S6" s="489"/>
    </row>
    <row r="7" spans="2:23" ht="18" x14ac:dyDescent="0.35">
      <c r="B7" s="492" t="s">
        <v>1054</v>
      </c>
      <c r="C7" s="493">
        <f>(1*C6^0.5*5600)*(0.8+0.2*(C6/80))*Geometria!H1290</f>
        <v>47616.570645102111</v>
      </c>
      <c r="D7" s="1" t="s">
        <v>50</v>
      </c>
      <c r="E7" s="488" t="inlineStr">
        <is>
          <t xml:space="preserve">*Módulo de elasticidade secante majorado pelo fator dinâmico (daf)</t>
        </is>
      </c>
      <c r="S7" s="489"/>
    </row>
    <row r="8" spans="2:23" ht="18" customHeight="1" x14ac:dyDescent="0.35">
      <c r="B8" s="494" t="s">
        <v>1056</v>
      </c>
      <c r="C8" s="495">
        <f ca="1">Geometria!H36/100^2</f>
        <v>0.18939633793843194</v>
      </c>
      <c r="D8" s="1" t="s">
        <v>631</v>
      </c>
      <c r="E8" s="488" t="s">
        <v>1057</v>
      </c>
      <c r="S8" s="489"/>
    </row>
    <row r="9" spans="2:23" x14ac:dyDescent="0.25">
      <c r="B9" s="483" t="s">
        <v>1058</v>
      </c>
      <c r="C9" s="495">
        <f ca="1">Geometria!H37/100^4</f>
        <v>2.1925100942138446E-3</v>
      </c>
      <c r="D9" s="1" t="s">
        <v>1059</v>
      </c>
      <c r="E9" s="488" t="s">
        <v>1060</v>
      </c>
      <c r="S9" s="489"/>
    </row>
    <row r="10" spans="2:23" x14ac:dyDescent="0.25">
      <c r="B10" s="483" t="s">
        <v>1061</v>
      </c>
      <c r="C10" s="496">
        <f ca="1">(C8*2500)</f>
        <v>473.49084484607988</v>
      </c>
      <c r="D10" s="1" t="s">
        <v>1062</v>
      </c>
      <c r="E10" s="488" t="s">
        <v>1063</v>
      </c>
      <c r="S10" s="489"/>
    </row>
    <row r="11" spans="2:23" ht="15.75" thickBot="1" x14ac:dyDescent="0.3">
      <c r="B11" s="497"/>
      <c r="C11" s="496"/>
      <c r="E11" s="488"/>
      <c r="S11" s="489"/>
    </row>
    <row r="12" spans="2:23" ht="15.75" thickBot="1" x14ac:dyDescent="0.3">
      <c r="B12" s="486" t="s">
        <v>1064</v>
      </c>
      <c r="C12" s="809" t="s">
        <v>1065</v>
      </c>
      <c r="D12" s="809"/>
      <c r="E12" s="809"/>
      <c r="F12" s="809"/>
      <c r="G12" s="809"/>
      <c r="H12" s="809"/>
      <c r="I12" s="809"/>
      <c r="J12" s="809"/>
      <c r="K12" s="809"/>
      <c r="L12" s="809"/>
      <c r="M12" s="809"/>
      <c r="N12" s="809"/>
      <c r="O12" s="809"/>
      <c r="P12" s="809"/>
      <c r="Q12" s="809"/>
      <c r="R12" s="809"/>
      <c r="S12" s="810"/>
    </row>
    <row r="13" spans="2:23" ht="18" customHeight="1" x14ac:dyDescent="0.35">
      <c r="B13" s="483" t="s">
        <v>1066</v>
      </c>
      <c r="C13" s="498">
        <f>Geometria!H30+Geometria!H33</f>
        <v>35</v>
      </c>
      <c r="D13" s="1" t="s">
        <v>80</v>
      </c>
      <c r="E13" s="488" t="s">
        <v>1067</v>
      </c>
      <c r="S13" s="489"/>
    </row>
    <row r="14" spans="2:23" ht="18" x14ac:dyDescent="0.35">
      <c r="B14" s="482" t="s">
        <v>1068</v>
      </c>
      <c r="C14" s="490">
        <f>Geometria!H21</f>
        <v>849</v>
      </c>
      <c r="D14" s="1" t="s">
        <v>80</v>
      </c>
      <c r="E14" s="488" t="s">
        <v>1069</v>
      </c>
      <c r="S14" s="489"/>
      <c r="V14" s="528" t="s">
        <v>1056</v>
      </c>
      <c r="W14" s="528" t="s">
        <v>1178</v>
      </c>
    </row>
    <row r="15" spans="2:23" ht="18" x14ac:dyDescent="0.35">
      <c r="B15" s="483" t="s">
        <v>1070</v>
      </c>
      <c r="C15" s="491">
        <f>'Propriedades geométricas LA '!M16</f>
        <v>121.19</v>
      </c>
      <c r="D15" s="1" t="s">
        <v>80</v>
      </c>
      <c r="E15" s="488" t="s">
        <v>1071</v>
      </c>
      <c r="S15" s="489"/>
      <c r="V15" s="529">
        <f ca="1">Geometria!H36/100^2</f>
        <v>0.18939633793843194</v>
      </c>
      <c r="W15" s="529">
        <f>(Geometria!H31*Geometria!H33)/100^2</f>
        <v>6.0595000000000003E-2</v>
      </c>
    </row>
    <row r="16" spans="2:23" ht="18" x14ac:dyDescent="0.35">
      <c r="B16" s="483" t="s">
        <v>1052</v>
      </c>
      <c r="C16" s="490">
        <f ca="1">V18</f>
        <v>45.152232033341619</v>
      </c>
      <c r="D16" s="1" t="s">
        <v>50</v>
      </c>
      <c r="E16" s="488" t="s">
        <v>1072</v>
      </c>
      <c r="S16" s="489"/>
      <c r="V16" s="530">
        <f>Geometria!H58</f>
        <v>50</v>
      </c>
      <c r="W16" s="530">
        <f>Geometria!H59</f>
        <v>30</v>
      </c>
    </row>
    <row r="17" spans="2:23" ht="18" x14ac:dyDescent="0.35">
      <c r="B17" s="492" t="s">
        <v>1054</v>
      </c>
      <c r="C17" s="493">
        <f ca="1">(1*C16^0.5*5600)*(0.8+0.2*(C16/80))*Geometria!H1290</f>
        <v>44656.528564923952</v>
      </c>
      <c r="D17" s="1" t="s">
        <v>50</v>
      </c>
      <c r="E17" s="488" t="inlineStr">
        <is>
          <t xml:space="preserve">*Módulo de elasticidade secante (fck médio) majorado pelo fator dinâmico (daf)</t>
        </is>
      </c>
      <c r="S17" s="489"/>
      <c r="V17" s="500"/>
    </row>
    <row r="18" spans="2:23" ht="18" customHeight="1" x14ac:dyDescent="0.35">
      <c r="B18" s="483" t="s">
        <v>1073</v>
      </c>
      <c r="C18" s="495">
        <f ca="1">'Propriedades geométricas LA '!M6/100^2</f>
        <v>0.22817302517268767</v>
      </c>
      <c r="D18" s="1" t="s">
        <v>631</v>
      </c>
      <c r="E18" s="488" t="s">
        <v>1074</v>
      </c>
      <c r="S18" s="489"/>
      <c r="V18" s="531">
        <f ca="1">((V15*V16)+(W15*W16))/(V15+W15)</f>
        <v>45.152232033341619</v>
      </c>
      <c r="W18" s="532" t="s">
        <v>1179</v>
      </c>
    </row>
    <row r="19" spans="2:23" x14ac:dyDescent="0.25">
      <c r="B19" s="483" t="s">
        <v>1058</v>
      </c>
      <c r="C19" s="495">
        <f ca="1">'Propriedades geométricas LA '!M9/100^4</f>
        <v>3.2232347812366146E-3</v>
      </c>
      <c r="D19" s="1" t="s">
        <v>1059</v>
      </c>
      <c r="E19" s="488" t="s">
        <v>1075</v>
      </c>
      <c r="S19" s="489"/>
      <c r="U19" s="499"/>
    </row>
    <row r="20" spans="2:23" x14ac:dyDescent="0.25">
      <c r="B20" s="483" t="s">
        <v>1061</v>
      </c>
      <c r="C20" s="496">
        <f ca="1">(C18*2500)+(('Propriedades geométricas chavet'!M6/100^2)*2500)</f>
        <v>589.93781293171924</v>
      </c>
      <c r="D20" s="1" t="s">
        <v>1062</v>
      </c>
      <c r="E20" s="488" t="s">
        <v>1278</v>
      </c>
      <c r="S20" s="489"/>
      <c r="U20" s="500"/>
    </row>
    <row r="21" spans="2:23" ht="15.75" thickBot="1" x14ac:dyDescent="0.3">
      <c r="B21" s="497"/>
      <c r="S21" s="489"/>
    </row>
    <row r="22" spans="2:23" ht="15.75" thickBot="1" x14ac:dyDescent="0.3">
      <c r="B22" s="486" t="s">
        <v>1076</v>
      </c>
      <c r="C22" s="809" t="s">
        <v>1077</v>
      </c>
      <c r="D22" s="809"/>
      <c r="E22" s="809"/>
      <c r="F22" s="809"/>
      <c r="G22" s="809"/>
      <c r="H22" s="809"/>
      <c r="I22" s="809"/>
      <c r="J22" s="809"/>
      <c r="K22" s="809"/>
      <c r="L22" s="809"/>
      <c r="M22" s="809"/>
      <c r="N22" s="809"/>
      <c r="O22" s="809"/>
      <c r="P22" s="809"/>
      <c r="Q22" s="809"/>
      <c r="R22" s="809"/>
      <c r="S22" s="810"/>
      <c r="U22" s="500"/>
    </row>
    <row r="23" spans="2:23" x14ac:dyDescent="0.25">
      <c r="B23" s="482" t="s">
        <v>1078</v>
      </c>
      <c r="C23" s="501">
        <f ca="1">((C26/(C10*(C14/100)))^0.5)*1/(2*PI())</f>
        <v>10.23289602480099</v>
      </c>
      <c r="D23" s="502" t="s">
        <v>1079</v>
      </c>
      <c r="E23" s="488" t="s">
        <v>1080</v>
      </c>
      <c r="S23" s="489"/>
    </row>
    <row r="24" spans="2:23" x14ac:dyDescent="0.25">
      <c r="B24" s="482" t="s">
        <v>1081</v>
      </c>
      <c r="C24" s="1">
        <f ca="1">C7*C9*1000</f>
        <v>104399.81179123302</v>
      </c>
      <c r="D24" s="1" t="s">
        <v>1082</v>
      </c>
      <c r="E24" s="488" t="s">
        <v>1083</v>
      </c>
      <c r="S24" s="489"/>
    </row>
    <row r="25" spans="2:23" x14ac:dyDescent="0.25">
      <c r="B25" s="482" t="s">
        <v>1084</v>
      </c>
      <c r="C25" s="499">
        <f ca="1">(384*C24)/(5*(C14/100)^3)</f>
        <v>13102.008143617713</v>
      </c>
      <c r="D25" s="503" t="s">
        <v>47</v>
      </c>
      <c r="E25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25" s="489"/>
    </row>
    <row r="26" spans="2:23" x14ac:dyDescent="0.25">
      <c r="B26" s="482" t="s">
        <v>1086</v>
      </c>
      <c r="C26" s="499">
        <f ca="1">(((PI()^4)*(C24*1000))/((C14/100)^3))</f>
        <v>16617899.791535145</v>
      </c>
      <c r="D26" s="503" t="s">
        <v>1087</v>
      </c>
      <c r="E26" s="488" t="s">
        <v>1088</v>
      </c>
      <c r="S26" s="489"/>
    </row>
    <row r="27" spans="2:23" ht="15.75" thickBot="1" x14ac:dyDescent="0.3">
      <c r="B27" s="497"/>
      <c r="S27" s="489"/>
    </row>
    <row r="28" spans="2:23" ht="15.75" thickBot="1" x14ac:dyDescent="0.3">
      <c r="B28" s="486" t="s">
        <v>1089</v>
      </c>
      <c r="C28" s="809" t="s">
        <v>1090</v>
      </c>
      <c r="D28" s="809"/>
      <c r="E28" s="809"/>
      <c r="F28" s="809"/>
      <c r="G28" s="809"/>
      <c r="H28" s="809"/>
      <c r="I28" s="809"/>
      <c r="J28" s="809"/>
      <c r="K28" s="809"/>
      <c r="L28" s="809"/>
      <c r="M28" s="809"/>
      <c r="N28" s="809"/>
      <c r="O28" s="809"/>
      <c r="P28" s="809"/>
      <c r="Q28" s="809"/>
      <c r="R28" s="809"/>
      <c r="S28" s="810"/>
    </row>
    <row r="29" spans="2:23" x14ac:dyDescent="0.25">
      <c r="B29" s="482" t="s">
        <v>1078</v>
      </c>
      <c r="C29" s="501">
        <f ca="1">((C32/(C20*(C14/100)))^0.5)*1/(2*PI())*$C$512</f>
        <v>11.52290720031678</v>
      </c>
      <c r="D29" s="502" t="s">
        <v>1079</v>
      </c>
      <c r="E29" s="488" t="inlineStr">
        <is>
          <t xml:space="preserve">*Frequência natural do elemento, com o engastamento semirrígido dos apoios (×R, item 2.2b)</t>
        </is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3" x14ac:dyDescent="0.25">
      <c r="B30" s="482" t="s">
        <v>1081</v>
      </c>
      <c r="C30" s="1">
        <f ca="1">(C17*C19)*1000</f>
        <v>143938.47607974929</v>
      </c>
      <c r="D30" s="1" t="s">
        <v>1082</v>
      </c>
      <c r="E30" s="488" t="s">
        <v>1083</v>
      </c>
      <c r="S30" s="489"/>
    </row>
    <row r="31" spans="2:23" x14ac:dyDescent="0.25">
      <c r="B31" s="482" t="s">
        <v>1084</v>
      </c>
      <c r="C31" s="499">
        <f ca="1">(384*C30)/(5*(C14/100)^3)</f>
        <v>18064.046796827326</v>
      </c>
      <c r="D31" s="1" t="s">
        <v>47</v>
      </c>
      <c r="E31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31" s="489"/>
    </row>
    <row r="32" spans="2:23" x14ac:dyDescent="0.25">
      <c r="B32" s="482" t="s">
        <v>1086</v>
      </c>
      <c r="C32" s="499">
        <f ca="1">(((PI()^4)*(C30*1000))/((C14/100)^3))</f>
        <v>22911489.308263451</v>
      </c>
      <c r="D32" s="503" t="s">
        <v>1087</v>
      </c>
      <c r="E32" s="488" t="s">
        <v>1088</v>
      </c>
      <c r="S32" s="489"/>
    </row>
    <row r="33" spans="2:19" x14ac:dyDescent="0.25">
      <c r="B33" s="482" t="s">
        <v>1092</v>
      </c>
      <c r="C33" s="505">
        <f>1.5*10^8</f>
        <v>150000000</v>
      </c>
      <c r="D33" s="503" t="s">
        <v>1087</v>
      </c>
      <c r="E33" s="488" t="inlineStr">
        <is>
          <t xml:space="preserve">*Valor limite adotado com base em obra anterior (piso de fábrica de papel) - critério de projeto, não normativo</t>
        </is>
      </c>
      <c r="S33" s="489"/>
    </row>
    <row r="34" spans="2:19" x14ac:dyDescent="0.25">
      <c r="B34" s="506" t="s">
        <v>1094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19" ht="18" customHeight="1" thickBot="1" x14ac:dyDescent="0.3">
      <c r="B35" s="481"/>
      <c r="S35" s="489"/>
    </row>
    <row r="36" spans="2:19" ht="15.75" thickBot="1" x14ac:dyDescent="0.3">
      <c r="B36" s="509" t="s">
        <v>1095</v>
      </c>
      <c r="C36" s="809" t="s">
        <v>1096</v>
      </c>
      <c r="D36" s="809"/>
      <c r="E36" s="809"/>
      <c r="F36" s="809"/>
      <c r="G36" s="809"/>
      <c r="H36" s="809"/>
      <c r="I36" s="809"/>
      <c r="J36" s="809"/>
      <c r="K36" s="809"/>
      <c r="L36" s="809"/>
      <c r="M36" s="809"/>
      <c r="N36" s="809"/>
      <c r="O36" s="809"/>
      <c r="P36" s="809"/>
      <c r="Q36" s="809"/>
      <c r="R36" s="809"/>
      <c r="S36" s="810"/>
    </row>
    <row r="37" spans="2:19" x14ac:dyDescent="0.25">
      <c r="B37" s="482" t="s">
        <v>1078</v>
      </c>
      <c r="C37" s="501">
        <f ca="1">((C40/(C20*C39*(C14/100)))^0.5)*1/(2*PI())*$C$512</f>
        <v>11.52290720031678</v>
      </c>
      <c r="D37" s="502" t="s">
        <v>1079</v>
      </c>
      <c r="E37" s="488" t="inlineStr">
        <is>
          <t xml:space="preserve">*Frequência natural do pano, com o engastamento semirrígido dos apoios (×R, item 2.2b)</t>
        </is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19" x14ac:dyDescent="0.25">
      <c r="B38" s="483" t="s">
        <v>1098</v>
      </c>
      <c r="C38" s="490">
        <v>2000</v>
      </c>
      <c r="D38" s="1" t="s">
        <v>80</v>
      </c>
      <c r="E38" s="488" t="s">
        <v>1099</v>
      </c>
      <c r="S38" s="489"/>
    </row>
    <row r="39" spans="2:19" x14ac:dyDescent="0.25">
      <c r="B39" s="483" t="s">
        <v>1100</v>
      </c>
      <c r="C39" s="1">
        <f>INT(C38/C5)</f>
        <v>16</v>
      </c>
      <c r="D39" s="1" t="s">
        <v>1101</v>
      </c>
      <c r="E39" s="488" t="s">
        <v>1102</v>
      </c>
      <c r="S39" s="489"/>
    </row>
    <row r="40" spans="2:19" x14ac:dyDescent="0.25">
      <c r="B40" s="482" t="s">
        <v>1086</v>
      </c>
      <c r="C40" s="499">
        <f ca="1">C32*C39</f>
        <v>366583828.93221521</v>
      </c>
      <c r="D40" s="503" t="s">
        <v>1087</v>
      </c>
      <c r="E40" s="488" t="s">
        <v>1088</v>
      </c>
      <c r="S40" s="489"/>
    </row>
    <row r="41" spans="2:19" x14ac:dyDescent="0.25">
      <c r="B41" s="506" t="s">
        <v>1094</v>
      </c>
      <c r="C41" s="507" t="str">
        <f ca="1">IF(C40&gt;=C33,"Ok","Aumentar Rigidez do Elemento")</f>
        <v>Ok</v>
      </c>
      <c r="S41" s="489"/>
    </row>
    <row r="42" spans="2:19" x14ac:dyDescent="0.25">
      <c r="B42" s="813" t="s">
        <v>1103</v>
      </c>
      <c r="C42" s="814"/>
      <c r="D42" s="814"/>
      <c r="E42" s="814"/>
      <c r="F42" s="814"/>
      <c r="G42" s="814"/>
      <c r="H42" s="814"/>
      <c r="I42" s="814"/>
      <c r="J42" s="814"/>
      <c r="K42" s="814"/>
      <c r="L42" s="814"/>
      <c r="M42" s="814"/>
      <c r="N42" s="814"/>
      <c r="O42" s="814"/>
      <c r="P42" s="814"/>
      <c r="Q42" s="814"/>
      <c r="R42" s="814"/>
      <c r="S42" s="815"/>
    </row>
    <row r="43" spans="2:19" x14ac:dyDescent="0.25">
      <c r="B43" s="813"/>
      <c r="C43" s="814"/>
      <c r="D43" s="814"/>
      <c r="E43" s="814"/>
      <c r="F43" s="814"/>
      <c r="G43" s="814"/>
      <c r="H43" s="814"/>
      <c r="I43" s="814"/>
      <c r="J43" s="814"/>
      <c r="K43" s="814"/>
      <c r="L43" s="814"/>
      <c r="M43" s="814"/>
      <c r="N43" s="814"/>
      <c r="O43" s="814"/>
      <c r="P43" s="814"/>
      <c r="Q43" s="814"/>
      <c r="R43" s="814"/>
      <c r="S43" s="815"/>
    </row>
    <row r="44" spans="2:19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19" ht="15.75" customHeight="1" thickBot="1" x14ac:dyDescent="0.3">
      <c r="B45" s="486" t="s">
        <v>1104</v>
      </c>
      <c r="C45" s="809" t="s">
        <v>1105</v>
      </c>
      <c r="D45" s="809"/>
      <c r="E45" s="809"/>
      <c r="F45" s="809"/>
      <c r="G45" s="809"/>
      <c r="H45" s="809"/>
      <c r="I45" s="809"/>
      <c r="J45" s="809"/>
      <c r="K45" s="809"/>
      <c r="L45" s="809"/>
      <c r="M45" s="809"/>
      <c r="N45" s="809"/>
      <c r="O45" s="809"/>
      <c r="P45" s="809"/>
      <c r="Q45" s="809"/>
      <c r="R45" s="809"/>
      <c r="S45" s="810"/>
    </row>
    <row r="46" spans="2:19" ht="18" x14ac:dyDescent="0.35">
      <c r="B46" s="483" t="s">
        <v>1106</v>
      </c>
      <c r="C46" s="490">
        <f>Geometria!H8</f>
        <v>100</v>
      </c>
      <c r="D46" s="1" t="s">
        <v>702</v>
      </c>
      <c r="E46" s="488" t="s">
        <v>1107</v>
      </c>
      <c r="S46" s="489"/>
    </row>
    <row r="47" spans="2:19" ht="18" x14ac:dyDescent="0.35">
      <c r="B47" s="483" t="s">
        <v>1108</v>
      </c>
      <c r="C47" s="490">
        <f>Geometria!H6</f>
        <v>2500</v>
      </c>
      <c r="D47" s="1" t="s">
        <v>702</v>
      </c>
      <c r="E47" s="488" t="s">
        <v>1109</v>
      </c>
      <c r="S47" s="489"/>
    </row>
    <row r="48" spans="2:19" ht="18" x14ac:dyDescent="0.25">
      <c r="B48" s="482" t="s">
        <v>1034</v>
      </c>
      <c r="C48" s="491">
        <f>Geometria!H1291</f>
        <v>0.4</v>
      </c>
      <c r="E48" s="488" t="s">
        <v>1110</v>
      </c>
      <c r="S48" s="489"/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1078</v>
      </c>
      <c r="C50" s="501">
        <f ca="1">((C40/((C20*C39*(C14/100))+(C47*(C14/100)*C48*(C39*C5/100))+(C46*(C14/100)*(C39*C5/100))))^0.5)*1/(2*PI())*$C$512</f>
        <v>6.3137993504561365</v>
      </c>
      <c r="D50" s="502" t="s">
        <v>1079</v>
      </c>
      <c r="E50" s="488" t="s">
        <v>1111</v>
      </c>
      <c r="L50" s="499"/>
      <c r="M50" s="500"/>
      <c r="S50" s="489"/>
    </row>
    <row r="51" spans="2:19" ht="15.75" customHeight="1" thickBot="1" x14ac:dyDescent="0.3">
      <c r="B51" s="510"/>
      <c r="C51" s="511"/>
      <c r="D51" s="511"/>
      <c r="E51" s="511"/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1112</v>
      </c>
      <c r="C53" s="516" t="s">
        <v>1113</v>
      </c>
    </row>
    <row r="54" spans="2:19" ht="15" customHeight="1" x14ac:dyDescent="0.25">
      <c r="B54" s="516" t="s">
        <v>1114</v>
      </c>
      <c r="C54" s="516" t="s">
        <v>1115</v>
      </c>
    </row>
    <row r="55" spans="2:19" ht="15" customHeight="1" x14ac:dyDescent="0.25">
      <c r="B55" s="517" t="s">
        <v>1116</v>
      </c>
      <c r="C55" s="518">
        <f ca="1">C23</f>
        <v>10.23289602480099</v>
      </c>
    </row>
    <row r="56" spans="2:19" ht="15" customHeight="1" x14ac:dyDescent="0.25">
      <c r="B56" s="517" t="s">
        <v>1117</v>
      </c>
      <c r="C56" s="518">
        <f ca="1">C29</f>
        <v>11.52290720031678</v>
      </c>
    </row>
    <row r="57" spans="2:19" ht="15" customHeight="1" x14ac:dyDescent="0.25">
      <c r="B57" s="517" t="s">
        <v>1118</v>
      </c>
      <c r="C57" s="518">
        <f ca="1">C50</f>
        <v>6.3137993504561365</v>
      </c>
    </row>
    <row r="60" spans="2:19" ht="15" customHeight="1" x14ac:dyDescent="0.25">
      <c r="B60" s="516" t="s">
        <v>1119</v>
      </c>
      <c r="C60" s="516" t="s">
        <v>1120</v>
      </c>
    </row>
    <row r="61" spans="2:19" ht="15" customHeight="1" x14ac:dyDescent="0.25">
      <c r="B61" s="519" t="inlineStr">
        <is>
          <t xml:space="preserve">*Cada tabela varia o vão L mantendo fixas as demais propriedades (Ecs, I, cargas, R), para ajuste de fn = a*L^b. Tabelas 5.2 e 5.3 incluem o engastamento semirrígido (×R)</t>
        </is>
      </c>
    </row>
    <row r="63" spans="2:19" ht="15" customHeight="1" x14ac:dyDescent="0.25">
      <c r="B63" s="516" t="s">
        <v>1122</v>
      </c>
    </row>
    <row r="64" spans="2:19" ht="15" customHeight="1" x14ac:dyDescent="0.25">
      <c r="B64" s="516" t="s">
        <v>1123</v>
      </c>
      <c r="C64" s="516" t="s">
        <v>1124</v>
      </c>
      <c r="D64" s="516" t="s">
        <v>1115</v>
      </c>
    </row>
    <row r="65" spans="2:4" ht="15" customHeight="1" x14ac:dyDescent="0.25">
      <c r="B65" s="517">
        <v>400</v>
      </c>
      <c r="C65" s="518">
        <f>B65/100</f>
        <v>4</v>
      </c>
      <c r="D65" s="520">
        <f t="shared" ref="D65:D81" ca="1" si="0">(((PI()^4*($C$24*1000)/(C65^3))/($C$10*C65))^0.5)*1/(2*PI())</f>
        <v>46.09926054732861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36.424107099123844</v>
      </c>
    </row>
    <row r="67" spans="2:4" ht="15" customHeight="1" x14ac:dyDescent="0.25">
      <c r="B67" s="517">
        <v>500</v>
      </c>
      <c r="C67" s="518">
        <f>B67/100</f>
        <v>5</v>
      </c>
      <c r="D67" s="520">
        <f t="shared" ca="1" si="0"/>
        <v>29.503526750290316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24.383079958917616</v>
      </c>
    </row>
    <row r="69" spans="2:4" ht="15" customHeight="1" x14ac:dyDescent="0.25">
      <c r="B69" s="517">
        <v>600</v>
      </c>
      <c r="C69" s="518">
        <f t="shared" si="1"/>
        <v>6</v>
      </c>
      <c r="D69" s="520">
        <f t="shared" ca="1" si="0"/>
        <v>20.488560243257165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17.457708136266458</v>
      </c>
    </row>
    <row r="71" spans="2:4" ht="15" customHeight="1" x14ac:dyDescent="0.25">
      <c r="B71" s="517">
        <v>700</v>
      </c>
      <c r="C71" s="518">
        <f t="shared" si="1"/>
        <v>7</v>
      </c>
      <c r="D71" s="520">
        <f t="shared" ca="1" si="0"/>
        <v>15.052819770556283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13.112678555684585</v>
      </c>
    </row>
    <row r="73" spans="2:4" ht="15" customHeight="1" x14ac:dyDescent="0.25">
      <c r="B73" s="517">
        <v>800</v>
      </c>
      <c r="C73" s="518">
        <f t="shared" si="1"/>
        <v>8</v>
      </c>
      <c r="D73" s="520">
        <f t="shared" ca="1" si="0"/>
        <v>11.524815136832153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10.208832785567584</v>
      </c>
    </row>
    <row r="75" spans="2:4" ht="15" customHeight="1" x14ac:dyDescent="0.25">
      <c r="B75" s="517">
        <v>900</v>
      </c>
      <c r="C75" s="518">
        <f t="shared" si="1"/>
        <v>9</v>
      </c>
      <c r="D75" s="520">
        <f t="shared" ca="1" si="0"/>
        <v>9.106026774780961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8.172722091493162</v>
      </c>
    </row>
    <row r="77" spans="2:4" ht="15" customHeight="1" x14ac:dyDescent="0.25">
      <c r="B77" s="517">
        <v>1000</v>
      </c>
      <c r="C77" s="518">
        <f t="shared" si="1"/>
        <v>10</v>
      </c>
      <c r="D77" s="520">
        <f t="shared" ca="1" si="0"/>
        <v>7.375881687572579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6.690142120247237</v>
      </c>
    </row>
    <row r="79" spans="2:4" ht="15" customHeight="1" x14ac:dyDescent="0.25">
      <c r="B79" s="517">
        <v>1100</v>
      </c>
      <c r="C79" s="518">
        <f t="shared" si="1"/>
        <v>11</v>
      </c>
      <c r="D79" s="520">
        <f t="shared" ca="1" si="0"/>
        <v>6.095769989729404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5.57722622878834</v>
      </c>
    </row>
    <row r="81" spans="2:4" ht="15" customHeight="1" x14ac:dyDescent="0.25">
      <c r="B81" s="517">
        <v>1200</v>
      </c>
      <c r="C81" s="518">
        <f t="shared" si="1"/>
        <v>12</v>
      </c>
      <c r="D81" s="520">
        <f t="shared" ca="1" si="0"/>
        <v>5.122140060814291</v>
      </c>
    </row>
    <row r="84" spans="2:4" ht="15" customHeight="1" x14ac:dyDescent="0.25">
      <c r="B84" s="516" t="s">
        <v>1125</v>
      </c>
    </row>
    <row r="85" spans="2:4" ht="15" customHeight="1" x14ac:dyDescent="0.25">
      <c r="B85" s="516" t="s">
        <v>1123</v>
      </c>
      <c r="C85" s="516" t="s">
        <v>1124</v>
      </c>
      <c r="D85" s="516" t="s">
        <v>1115</v>
      </c>
    </row>
    <row r="86" spans="2:4" ht="15" customHeight="1" x14ac:dyDescent="0.25">
      <c r="B86" s="517">
        <v>400</v>
      </c>
      <c r="C86" s="518">
        <f t="shared" ref="C86:C102" si="2">B86/100</f>
        <v>4</v>
      </c>
      <c r="D86" s="520">
        <f t="shared" ref="D86:D102" ca="1" si="3">(((PI()^4*($C$30*1000)/(C86^3))/($C$20*C86))^0.5)*1/(2*PI())*$C$512</f>
        <v>51.9107689555971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41.015916211829804</v>
      </c>
    </row>
    <row r="88" spans="2:4" ht="15" customHeight="1" x14ac:dyDescent="0.25">
      <c r="B88" s="517">
        <v>500</v>
      </c>
      <c r="C88" s="518">
        <f t="shared" si="2"/>
        <v>5</v>
      </c>
      <c r="D88" s="520">
        <f t="shared" ca="1" si="3"/>
        <v>33.222892131582135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27.456935645935655</v>
      </c>
    </row>
    <row r="90" spans="2:4" ht="15" customHeight="1" x14ac:dyDescent="0.25">
      <c r="B90" s="517">
        <v>600</v>
      </c>
      <c r="C90" s="518">
        <f t="shared" si="2"/>
        <v>6</v>
      </c>
      <c r="D90" s="520">
        <f t="shared" ca="1" si="3"/>
        <v>23.071452869154264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19.658516054190617</v>
      </c>
    </row>
    <row r="92" spans="2:4" ht="15" customHeight="1" x14ac:dyDescent="0.25">
      <c r="B92" s="517">
        <v>700</v>
      </c>
      <c r="C92" s="518">
        <f t="shared" si="2"/>
        <v>7</v>
      </c>
      <c r="D92" s="520">
        <f t="shared" ca="1" si="3"/>
        <v>16.95045516917456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14.76572983625873</v>
      </c>
    </row>
    <row r="94" spans="2:4" ht="15" customHeight="1" x14ac:dyDescent="0.25">
      <c r="B94" s="517">
        <v>800</v>
      </c>
      <c r="C94" s="518">
        <f t="shared" si="2"/>
        <v>8</v>
      </c>
      <c r="D94" s="520">
        <f t="shared" ca="1" si="3"/>
        <v>12.977692238899275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11.49581042615299</v>
      </c>
    </row>
    <row r="96" spans="2:4" ht="15" customHeight="1" x14ac:dyDescent="0.25">
      <c r="B96" s="517">
        <v>900</v>
      </c>
      <c r="C96" s="518">
        <f t="shared" si="2"/>
        <v>9</v>
      </c>
      <c r="D96" s="520">
        <f t="shared" ca="1" si="3"/>
        <v>10.253979052957451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9.203017210964582</v>
      </c>
    </row>
    <row r="98" spans="2:4" ht="15" customHeight="1" x14ac:dyDescent="0.25">
      <c r="B98" s="517">
        <v>1000</v>
      </c>
      <c r="C98" s="518">
        <f t="shared" si="2"/>
        <v>10</v>
      </c>
      <c r="D98" s="520">
        <f t="shared" ca="1" si="3"/>
        <v>8.305723032895534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7.533535630744249</v>
      </c>
    </row>
    <row r="100" spans="2:4" ht="15" customHeight="1" x14ac:dyDescent="0.25">
      <c r="B100" s="517">
        <v>1100</v>
      </c>
      <c r="C100" s="518">
        <f t="shared" si="2"/>
        <v>11</v>
      </c>
      <c r="D100" s="520">
        <f t="shared" ca="1" si="3"/>
        <v>6.864233911483914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6.280319873645017</v>
      </c>
    </row>
    <row r="102" spans="2:4" ht="15" customHeight="1" x14ac:dyDescent="0.25">
      <c r="B102" s="517">
        <v>1200</v>
      </c>
      <c r="C102" s="518">
        <f t="shared" si="2"/>
        <v>12</v>
      </c>
      <c r="D102" s="520">
        <f t="shared" ca="1" si="3"/>
        <v>5.767863217288566</v>
      </c>
    </row>
    <row r="105" spans="2:4" ht="15" customHeight="1" x14ac:dyDescent="0.25">
      <c r="B105" s="516" t="s">
        <v>1126</v>
      </c>
    </row>
    <row r="106" spans="2:4" ht="15" customHeight="1" x14ac:dyDescent="0.25">
      <c r="B106" s="516" t="s">
        <v>1123</v>
      </c>
      <c r="C106" s="516" t="s">
        <v>1124</v>
      </c>
      <c r="D106" s="516" t="s">
        <v>1115</v>
      </c>
    </row>
    <row r="107" spans="2:4" ht="15" customHeight="1" x14ac:dyDescent="0.25">
      <c r="B107" s="517">
        <v>400</v>
      </c>
      <c r="C107" s="518">
        <f t="shared" ref="C107:C123" si="4">B107/100</f>
        <v>4</v>
      </c>
      <c r="D107" s="520">
        <f t="shared" ref="D107:D123" ca="1" si="5">((((PI()^4*($C$30*1000)/(C107^3))*$C$39)/(($C$20*$C$39*C107)+($C$47*C107*$C$48*($C$39*$C$5/100))+($C$46*C107*($C$39*$C$5/100))))^0.5)*1/(2*PI())*$C$512</f>
        <v>28.443705535050835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22.47403894127473</v>
      </c>
    </row>
    <row r="109" spans="2:4" ht="15" customHeight="1" x14ac:dyDescent="0.25">
      <c r="B109" s="517">
        <v>500</v>
      </c>
      <c r="C109" s="518">
        <f t="shared" si="4"/>
        <v>5</v>
      </c>
      <c r="D109" s="520">
        <f t="shared" ca="1" si="5"/>
        <v>18.203971542432534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15.044604580522751</v>
      </c>
    </row>
    <row r="111" spans="2:4" ht="15" customHeight="1" x14ac:dyDescent="0.25">
      <c r="B111" s="517">
        <v>600</v>
      </c>
      <c r="C111" s="518">
        <f t="shared" si="4"/>
        <v>6</v>
      </c>
      <c r="D111" s="520">
        <f t="shared" ca="1" si="5"/>
        <v>12.641646904467038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10.771580794338776</v>
      </c>
    </row>
    <row r="113" spans="2:4" ht="15" customHeight="1" x14ac:dyDescent="0.25">
      <c r="B113" s="517">
        <v>700</v>
      </c>
      <c r="C113" s="518">
        <f t="shared" si="4"/>
        <v>7</v>
      </c>
      <c r="D113" s="520">
        <f t="shared" ca="1" si="5"/>
        <v>9.28774058287374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8.090654018858903</v>
      </c>
    </row>
    <row r="115" spans="2:4" ht="15" customHeight="1" x14ac:dyDescent="0.25">
      <c r="B115" s="517">
        <v>800</v>
      </c>
      <c r="C115" s="518">
        <f t="shared" si="4"/>
        <v>8</v>
      </c>
      <c r="D115" s="520">
        <f t="shared" ca="1" si="5"/>
        <v>7.110926383762709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6.298952090807104</v>
      </c>
    </row>
    <row r="117" spans="2:4" ht="15" customHeight="1" x14ac:dyDescent="0.25">
      <c r="B117" s="517">
        <v>900</v>
      </c>
      <c r="C117" s="518">
        <f t="shared" si="4"/>
        <v>9</v>
      </c>
      <c r="D117" s="520">
        <f t="shared" ca="1" si="5"/>
        <v>5.618509735318683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5.042651396795716</v>
      </c>
    </row>
    <row r="119" spans="2:4" ht="15" customHeight="1" x14ac:dyDescent="0.25">
      <c r="B119" s="517">
        <v>1000</v>
      </c>
      <c r="C119" s="518">
        <f t="shared" si="4"/>
        <v>10</v>
      </c>
      <c r="D119" s="520">
        <f t="shared" ca="1" si="5"/>
        <v>4.550992885608133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4.12788470349944</v>
      </c>
    </row>
    <row r="121" spans="2:4" ht="15" customHeight="1" x14ac:dyDescent="0.25">
      <c r="B121" s="517">
        <v>1100</v>
      </c>
      <c r="C121" s="518">
        <f t="shared" si="4"/>
        <v>11</v>
      </c>
      <c r="D121" s="520">
        <f t="shared" ca="1" si="5"/>
        <v>3.761151145130688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3.441204450365318</v>
      </c>
    </row>
    <row r="123" spans="2:4" ht="15" customHeight="1" x14ac:dyDescent="0.25">
      <c r="B123" s="517">
        <v>1200</v>
      </c>
      <c r="C123" s="518">
        <f t="shared" si="4"/>
        <v>12</v>
      </c>
      <c r="D123" s="520">
        <f t="shared" ca="1" si="5"/>
        <v>3.1604117261167595</v>
      </c>
    </row>
    <row r="126" spans="2:4" x14ac:dyDescent="0.25">
      <c r="B126" s="516" t="s">
        <v>1127</v>
      </c>
      <c r="C126" s="516" t="s">
        <v>1128</v>
      </c>
    </row>
    <row r="127" spans="2:4" x14ac:dyDescent="0.25">
      <c r="B127" s="519" t="s">
        <v>1129</v>
      </c>
    </row>
    <row r="129" spans="2:4" x14ac:dyDescent="0.25">
      <c r="B129" s="516" t="s">
        <v>1130</v>
      </c>
    </row>
    <row r="130" spans="2:4" x14ac:dyDescent="0.25">
      <c r="B130" s="516" t="s">
        <v>1131</v>
      </c>
      <c r="C130" s="516" t="s">
        <v>1132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</v>
      </c>
    </row>
    <row r="132" spans="2:4" x14ac:dyDescent="0.25">
      <c r="B132" s="521">
        <v>1</v>
      </c>
      <c r="C132" s="522">
        <f t="shared" ca="1" si="6"/>
        <v>0.002443101145502571</v>
      </c>
      <c r="D132" s="523">
        <f t="shared" ca="1" si="7"/>
        <v>0.15643446504023087</v>
      </c>
    </row>
    <row r="133" spans="2:4" x14ac:dyDescent="0.25">
      <c r="B133" s="521">
        <v>2</v>
      </c>
      <c r="C133" s="522">
        <f t="shared" ca="1" si="6"/>
        <v>0.004886202291005142</v>
      </c>
      <c r="D133" s="523">
        <f t="shared" ca="1" si="7"/>
        <v>0.3090169943749474</v>
      </c>
    </row>
    <row r="134" spans="2:4" x14ac:dyDescent="0.25">
      <c r="B134" s="521">
        <v>3</v>
      </c>
      <c r="C134" s="522">
        <f t="shared" ca="1" si="6"/>
        <v>0.007329303436507712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0.009772404582010284</v>
      </c>
      <c r="D135" s="523">
        <f t="shared" ca="1" si="7"/>
        <v>0.58778525229247314</v>
      </c>
    </row>
    <row r="136" spans="2:4" x14ac:dyDescent="0.25">
      <c r="B136" s="521">
        <v>5</v>
      </c>
      <c r="C136" s="522">
        <f t="shared" ca="1" si="6"/>
        <v>0.012215505727512854</v>
      </c>
      <c r="D136" s="523">
        <f t="shared" ca="1" si="7"/>
        <v>0.70710678118654746</v>
      </c>
    </row>
    <row r="137" spans="2:4" x14ac:dyDescent="0.25">
      <c r="B137" s="521">
        <v>6</v>
      </c>
      <c r="C137" s="522">
        <f t="shared" ca="1" si="6"/>
        <v>0.014658606873015423</v>
      </c>
      <c r="D137" s="523">
        <f t="shared" ca="1" si="7"/>
        <v>0.80901699437494745</v>
      </c>
    </row>
    <row r="138" spans="2:4" x14ac:dyDescent="0.25">
      <c r="B138" s="521">
        <v>7</v>
      </c>
      <c r="C138" s="522">
        <f t="shared" ca="1" si="6"/>
        <v>0.017101708018517993</v>
      </c>
      <c r="D138" s="523">
        <f t="shared" ca="1" si="7"/>
        <v>0.89100652418836779</v>
      </c>
    </row>
    <row r="139" spans="2:4" x14ac:dyDescent="0.25">
      <c r="B139" s="521">
        <v>8</v>
      </c>
      <c r="C139" s="522">
        <f t="shared" ca="1" si="6"/>
        <v>0.019544809164020568</v>
      </c>
      <c r="D139" s="523">
        <f t="shared" ca="1" si="7"/>
        <v>0.95105651629515353</v>
      </c>
    </row>
    <row r="140" spans="2:4" x14ac:dyDescent="0.25">
      <c r="B140" s="521">
        <v>9</v>
      </c>
      <c r="C140" s="522">
        <f t="shared" ca="1" si="6"/>
        <v>0.021987910309523136</v>
      </c>
      <c r="D140" s="523">
        <f t="shared" ca="1" si="7"/>
        <v>0.98768834059513777</v>
      </c>
    </row>
    <row r="141" spans="2:4" x14ac:dyDescent="0.25">
      <c r="B141" s="521">
        <v>10</v>
      </c>
      <c r="C141" s="522">
        <f t="shared" ca="1" si="6"/>
        <v>0.024431011455025707</v>
      </c>
      <c r="D141" s="523">
        <f t="shared" ca="1" si="7"/>
        <v>1</v>
      </c>
    </row>
    <row r="142" spans="2:4" x14ac:dyDescent="0.25">
      <c r="B142" s="521">
        <v>11</v>
      </c>
      <c r="C142" s="522">
        <f t="shared" ca="1" si="6"/>
        <v>0.02687411260052828</v>
      </c>
      <c r="D142" s="523">
        <f t="shared" ca="1" si="7"/>
        <v>0.98768834059513766</v>
      </c>
    </row>
    <row r="143" spans="2:4" x14ac:dyDescent="0.25">
      <c r="B143" s="521">
        <v>12</v>
      </c>
      <c r="C143" s="522">
        <f t="shared" ca="1" si="6"/>
        <v>0.029317213746030846</v>
      </c>
      <c r="D143" s="523">
        <f t="shared" ca="1" si="7"/>
        <v>0.95105651629515364</v>
      </c>
    </row>
    <row r="144" spans="2:4" x14ac:dyDescent="0.25">
      <c r="B144" s="521">
        <v>13</v>
      </c>
      <c r="C144" s="522">
        <f t="shared" ca="1" si="6"/>
        <v>0.03176031489153342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0.034203416037035986</v>
      </c>
      <c r="D145" s="523">
        <f t="shared" ca="1" si="7"/>
        <v>0.80901699437494745</v>
      </c>
    </row>
    <row r="146" spans="2:4" x14ac:dyDescent="0.25">
      <c r="B146" s="521">
        <v>15</v>
      </c>
      <c r="C146" s="522">
        <f t="shared" ca="1" si="6"/>
        <v>0.03664651718253856</v>
      </c>
      <c r="D146" s="523">
        <f t="shared" ca="1" si="7"/>
        <v>0.70710678118654757</v>
      </c>
    </row>
    <row r="147" spans="2:4" x14ac:dyDescent="0.25">
      <c r="B147" s="521">
        <v>16</v>
      </c>
      <c r="C147" s="522">
        <f t="shared" ca="1" si="6"/>
        <v>0.039089618328041136</v>
      </c>
      <c r="D147" s="523">
        <f t="shared" ca="1" si="7"/>
        <v>0.58778525229247325</v>
      </c>
    </row>
    <row r="148" spans="2:4" x14ac:dyDescent="0.25">
      <c r="B148" s="521">
        <v>17</v>
      </c>
      <c r="C148" s="522">
        <f t="shared" ca="1" si="6"/>
        <v>0.0415327194735437</v>
      </c>
      <c r="D148" s="523">
        <f t="shared" ca="1" si="7"/>
        <v>0.4539904997395473</v>
      </c>
    </row>
    <row r="149" spans="2:4" x14ac:dyDescent="0.25">
      <c r="B149" s="521">
        <v>18</v>
      </c>
      <c r="C149" s="522">
        <f t="shared" ca="1" si="6"/>
        <v>0.04397582061904627</v>
      </c>
      <c r="D149" s="523">
        <f t="shared" ca="1" si="7"/>
        <v>0.30901699437494751</v>
      </c>
    </row>
    <row r="150" spans="2:4" x14ac:dyDescent="0.25">
      <c r="B150" s="521">
        <v>19</v>
      </c>
      <c r="C150" s="522">
        <f t="shared" ca="1" si="6"/>
        <v>0.04641892176454884</v>
      </c>
      <c r="D150" s="523">
        <f t="shared" ca="1" si="7"/>
        <v>0.15643446504023142</v>
      </c>
    </row>
    <row r="151" spans="2:4" x14ac:dyDescent="0.25">
      <c r="B151" s="521">
        <v>20</v>
      </c>
      <c r="C151" s="522">
        <f t="shared" ca="1" si="6"/>
        <v>0.048862022910051414</v>
      </c>
      <c r="D151" s="523">
        <f t="shared" ca="1" si="7"/>
        <v>1.22514845490862E-16</v>
      </c>
    </row>
    <row r="152" spans="2:4" x14ac:dyDescent="0.25">
      <c r="B152" s="521">
        <v>21</v>
      </c>
      <c r="C152" s="522">
        <f t="shared" ca="1" si="6"/>
        <v>0.051305124055553986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0.05374822520105656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0.05619132634655912</v>
      </c>
      <c r="D154" s="523">
        <f t="shared" ca="1" si="7"/>
        <v>-0.45399049973954625</v>
      </c>
    </row>
    <row r="155" spans="2:4" x14ac:dyDescent="0.25">
      <c r="B155" s="521">
        <v>24</v>
      </c>
      <c r="C155" s="522">
        <f t="shared" ca="1" si="6"/>
        <v>0.05863442749206169</v>
      </c>
      <c r="D155" s="523">
        <f t="shared" ca="1" si="7"/>
        <v>-0.58778525229247303</v>
      </c>
    </row>
    <row r="156" spans="2:4" x14ac:dyDescent="0.25">
      <c r="B156" s="521">
        <v>25</v>
      </c>
      <c r="C156" s="522">
        <f t="shared" ca="1" si="6"/>
        <v>0.061077528637564264</v>
      </c>
      <c r="D156" s="523">
        <f t="shared" ca="1" si="7"/>
        <v>-0.70710678118654746</v>
      </c>
    </row>
    <row r="157" spans="2:4" x14ac:dyDescent="0.25">
      <c r="B157" s="521">
        <v>26</v>
      </c>
      <c r="C157" s="522">
        <f t="shared" ca="1" si="6"/>
        <v>0.06352062978306684</v>
      </c>
      <c r="D157" s="523">
        <f t="shared" ca="1" si="7"/>
        <v>-0.80901699437494734</v>
      </c>
    </row>
    <row r="158" spans="2:4" x14ac:dyDescent="0.25">
      <c r="B158" s="521">
        <v>27</v>
      </c>
      <c r="C158" s="522">
        <f t="shared" ca="1" si="6"/>
        <v>0.06596373092856941</v>
      </c>
      <c r="D158" s="523">
        <f t="shared" ca="1" si="7"/>
        <v>-0.89100652418836779</v>
      </c>
    </row>
    <row r="159" spans="2:4" x14ac:dyDescent="0.25">
      <c r="B159" s="521">
        <v>28</v>
      </c>
      <c r="C159" s="522">
        <f t="shared" ca="1" si="6"/>
        <v>0.06840683207407197</v>
      </c>
      <c r="D159" s="523">
        <f t="shared" ca="1" si="7"/>
        <v>-0.95105651629515353</v>
      </c>
    </row>
    <row r="160" spans="2:4" x14ac:dyDescent="0.25">
      <c r="B160" s="521">
        <v>29</v>
      </c>
      <c r="C160" s="522">
        <f t="shared" ca="1" si="6"/>
        <v>0.07084993321957454</v>
      </c>
      <c r="D160" s="523">
        <f t="shared" ca="1" si="7"/>
        <v>-0.98768834059513755</v>
      </c>
    </row>
    <row r="161" spans="2:4" x14ac:dyDescent="0.25">
      <c r="B161" s="521">
        <v>30</v>
      </c>
      <c r="C161" s="522">
        <f t="shared" ca="1" si="6"/>
        <v>0.07329303436507711</v>
      </c>
      <c r="D161" s="523">
        <f t="shared" ca="1" si="7"/>
        <v>-1</v>
      </c>
    </row>
    <row r="162" spans="2:4" x14ac:dyDescent="0.25">
      <c r="B162" s="521">
        <v>31</v>
      </c>
      <c r="C162" s="522">
        <f t="shared" ca="1" si="6"/>
        <v>0.07573613551057969</v>
      </c>
      <c r="D162" s="523">
        <f t="shared" ca="1" si="7"/>
        <v>-0.98768834059513777</v>
      </c>
    </row>
    <row r="163" spans="2:4" x14ac:dyDescent="0.25">
      <c r="B163" s="521">
        <v>32</v>
      </c>
      <c r="C163" s="522">
        <f t="shared" ca="1" si="6"/>
        <v>0.07817923665608227</v>
      </c>
      <c r="D163" s="523">
        <f t="shared" ca="1" si="7"/>
        <v>-0.95105651629515364</v>
      </c>
    </row>
    <row r="164" spans="2:4" x14ac:dyDescent="0.25">
      <c r="B164" s="521">
        <v>33</v>
      </c>
      <c r="C164" s="522">
        <f t="shared" ca="1" si="6"/>
        <v>0.08062233780158483</v>
      </c>
      <c r="D164" s="523">
        <f t="shared" ca="1" si="7"/>
        <v>-0.89100652418836834</v>
      </c>
    </row>
    <row r="165" spans="2:4" x14ac:dyDescent="0.25">
      <c r="B165" s="521">
        <v>34</v>
      </c>
      <c r="C165" s="522">
        <f t="shared" ca="1" si="6"/>
        <v>0.0830654389470874</v>
      </c>
      <c r="D165" s="523">
        <f t="shared" ca="1" si="7"/>
        <v>-0.80901699437494812</v>
      </c>
    </row>
    <row r="166" spans="2:4" x14ac:dyDescent="0.25">
      <c r="B166" s="521">
        <v>35</v>
      </c>
      <c r="C166" s="522">
        <f t="shared" ca="1" si="6"/>
        <v>0.08550854009258997</v>
      </c>
      <c r="D166" s="523">
        <f t="shared" ca="1" si="7"/>
        <v>-0.70710678118654768</v>
      </c>
    </row>
    <row r="167" spans="2:4" x14ac:dyDescent="0.25">
      <c r="B167" s="521">
        <v>36</v>
      </c>
      <c r="C167" s="522">
        <f t="shared" ca="1" si="6"/>
        <v>0.08795164123809254</v>
      </c>
      <c r="D167" s="523">
        <f t="shared" ca="1" si="7"/>
        <v>-0.58778525229247336</v>
      </c>
    </row>
    <row r="168" spans="2:4" x14ac:dyDescent="0.25">
      <c r="B168" s="521">
        <v>37</v>
      </c>
      <c r="C168" s="522">
        <f t="shared" ca="1" si="6"/>
        <v>0.09039474238359511</v>
      </c>
      <c r="D168" s="523">
        <f t="shared" ca="1" si="7"/>
        <v>-0.45399049973954619</v>
      </c>
    </row>
    <row r="169" spans="2:4" x14ac:dyDescent="0.25">
      <c r="B169" s="521">
        <v>38</v>
      </c>
      <c r="C169" s="522">
        <f t="shared" ca="1" si="6"/>
        <v>0.09283784352909769</v>
      </c>
      <c r="D169" s="523">
        <f t="shared" ca="1" si="7"/>
        <v>-0.30901699437494851</v>
      </c>
    </row>
    <row r="170" spans="2:4" x14ac:dyDescent="0.25">
      <c r="B170" s="521">
        <v>39</v>
      </c>
      <c r="C170" s="522">
        <f t="shared" ca="1" si="6"/>
        <v>0.09528094467460026</v>
      </c>
      <c r="D170" s="523">
        <f t="shared" ca="1" si="7"/>
        <v>-0.15643446504023112</v>
      </c>
    </row>
    <row r="171" spans="2:4" x14ac:dyDescent="0.25">
      <c r="B171" s="521">
        <v>40</v>
      </c>
      <c r="C171" s="522">
        <f t="shared" ca="1" si="6"/>
        <v>0.09772404582010283</v>
      </c>
      <c r="D171" s="523">
        <f t="shared" ca="1" si="7"/>
        <v>-2.45029690981724E-16</v>
      </c>
    </row>
    <row r="172" spans="2:4" x14ac:dyDescent="0.25">
      <c r="B172" s="521">
        <v>41</v>
      </c>
      <c r="C172" s="522">
        <f t="shared" ca="1" si="6"/>
        <v>0.10016714696560539</v>
      </c>
      <c r="D172" s="523">
        <f t="shared" ca="1" si="7"/>
        <v>0.15643446504022973</v>
      </c>
    </row>
    <row r="173" spans="2:4" x14ac:dyDescent="0.25">
      <c r="B173" s="521">
        <v>42</v>
      </c>
      <c r="C173" s="522">
        <f t="shared" ca="1" si="6"/>
        <v>0.10261024811110797</v>
      </c>
      <c r="D173" s="523">
        <f t="shared" ca="1" si="7"/>
        <v>0.30901699437494717</v>
      </c>
    </row>
    <row r="174" spans="2:4" x14ac:dyDescent="0.25">
      <c r="B174" s="521">
        <v>43</v>
      </c>
      <c r="C174" s="522">
        <f t="shared" ca="1" si="6"/>
        <v>0.10505334925661053</v>
      </c>
      <c r="D174" s="523">
        <f t="shared" ca="1" si="7"/>
        <v>0.45399049973954658</v>
      </c>
    </row>
    <row r="175" spans="2:4" x14ac:dyDescent="0.25">
      <c r="B175" s="521">
        <v>44</v>
      </c>
      <c r="C175" s="522">
        <f t="shared" ca="1" si="6"/>
        <v>0.10749645040211311</v>
      </c>
      <c r="D175" s="523">
        <f t="shared" ca="1" si="7"/>
        <v>0.58778525229247358</v>
      </c>
    </row>
    <row r="176" spans="2:4" x14ac:dyDescent="0.25">
      <c r="B176" s="521">
        <v>45</v>
      </c>
      <c r="C176" s="522">
        <f t="shared" ca="1" si="6"/>
        <v>0.10993955154761569</v>
      </c>
      <c r="D176" s="523">
        <f t="shared" ca="1" si="7"/>
        <v>0.70710678118654668</v>
      </c>
    </row>
    <row r="177" spans="2:4" x14ac:dyDescent="0.25">
      <c r="B177" s="521">
        <v>46</v>
      </c>
      <c r="C177" s="522">
        <f t="shared" ca="1" si="6"/>
        <v>0.11238265269311824</v>
      </c>
      <c r="D177" s="523">
        <f t="shared" ca="1" si="7"/>
        <v>0.80901699437494679</v>
      </c>
    </row>
    <row r="178" spans="2:4" x14ac:dyDescent="0.25">
      <c r="B178" s="521">
        <v>47</v>
      </c>
      <c r="C178" s="522">
        <f t="shared" ca="1" si="6"/>
        <v>0.11482575383862083</v>
      </c>
      <c r="D178" s="523">
        <f t="shared" ca="1" si="7"/>
        <v>0.89100652418836768</v>
      </c>
    </row>
    <row r="179" spans="2:4" x14ac:dyDescent="0.25">
      <c r="B179" s="521">
        <v>48</v>
      </c>
      <c r="C179" s="522">
        <f t="shared" ca="1" si="6"/>
        <v>0.11726885498412339</v>
      </c>
      <c r="D179" s="523">
        <f t="shared" ca="1" si="7"/>
        <v>0.95105651629515353</v>
      </c>
    </row>
    <row r="180" spans="2:4" x14ac:dyDescent="0.25">
      <c r="B180" s="521">
        <v>49</v>
      </c>
      <c r="C180" s="522">
        <f t="shared" ca="1" si="6"/>
        <v>0.11971195612962597</v>
      </c>
      <c r="D180" s="523">
        <f t="shared" ca="1" si="7"/>
        <v>0.98768834059513777</v>
      </c>
    </row>
    <row r="181" spans="2:4" x14ac:dyDescent="0.25">
      <c r="B181" s="521">
        <v>50</v>
      </c>
      <c r="C181" s="522">
        <f t="shared" ca="1" si="6"/>
        <v>0.12215505727512853</v>
      </c>
      <c r="D181" s="523">
        <f t="shared" ca="1" si="7"/>
        <v>1</v>
      </c>
    </row>
    <row r="182" spans="2:4" x14ac:dyDescent="0.25">
      <c r="B182" s="521">
        <v>51</v>
      </c>
      <c r="C182" s="522">
        <f t="shared" ca="1" si="6"/>
        <v>0.1245981584206311</v>
      </c>
      <c r="D182" s="523">
        <f t="shared" ca="1" si="7"/>
        <v>0.98768834059513788</v>
      </c>
    </row>
    <row r="183" spans="2:4" x14ac:dyDescent="0.25">
      <c r="B183" s="521">
        <v>52</v>
      </c>
      <c r="C183" s="522">
        <f t="shared" ca="1" si="6"/>
        <v>0.12704125956613369</v>
      </c>
      <c r="D183" s="523">
        <f t="shared" ca="1" si="7"/>
        <v>0.95105651629515364</v>
      </c>
    </row>
    <row r="184" spans="2:4" x14ac:dyDescent="0.25">
      <c r="B184" s="521">
        <v>53</v>
      </c>
      <c r="C184" s="522">
        <f t="shared" ca="1" si="6"/>
        <v>0.12948436071163624</v>
      </c>
      <c r="D184" s="523">
        <f t="shared" ca="1" si="7"/>
        <v>0.89100652418836845</v>
      </c>
    </row>
    <row r="185" spans="2:4" x14ac:dyDescent="0.25">
      <c r="B185" s="521">
        <v>54</v>
      </c>
      <c r="C185" s="522">
        <f t="shared" ca="1" si="6"/>
        <v>0.13192746185713883</v>
      </c>
      <c r="D185" s="523">
        <f t="shared" ca="1" si="7"/>
        <v>0.80901699437494767</v>
      </c>
    </row>
    <row r="186" spans="2:4" x14ac:dyDescent="0.25">
      <c r="B186" s="521">
        <v>55</v>
      </c>
      <c r="C186" s="522">
        <f t="shared" ca="1" si="6"/>
        <v>0.13437056300264139</v>
      </c>
      <c r="D186" s="523">
        <f t="shared" ca="1" si="7"/>
        <v>0.70710678118654835</v>
      </c>
    </row>
    <row r="187" spans="2:4" x14ac:dyDescent="0.25">
      <c r="B187" s="521">
        <v>56</v>
      </c>
      <c r="C187" s="522">
        <f t="shared" ca="1" si="6"/>
        <v>0.13681366414814394</v>
      </c>
      <c r="D187" s="523">
        <f t="shared" ca="1" si="7"/>
        <v>0.58778525229247336</v>
      </c>
    </row>
    <row r="188" spans="2:4" x14ac:dyDescent="0.25">
      <c r="B188" s="521">
        <v>57</v>
      </c>
      <c r="C188" s="522">
        <f t="shared" ca="1" si="6"/>
        <v>0.13925676529364653</v>
      </c>
      <c r="D188" s="523">
        <f t="shared" ca="1" si="7"/>
        <v>0.4539904997395463</v>
      </c>
    </row>
    <row r="189" spans="2:4" x14ac:dyDescent="0.25">
      <c r="B189" s="521">
        <v>58</v>
      </c>
      <c r="C189" s="522">
        <f t="shared" ca="1" si="6"/>
        <v>0.14169986643914909</v>
      </c>
      <c r="D189" s="523">
        <f t="shared" ca="1" si="7"/>
        <v>0.30901699437494945</v>
      </c>
    </row>
    <row r="190" spans="2:4" x14ac:dyDescent="0.25">
      <c r="B190" s="521">
        <v>59</v>
      </c>
      <c r="C190" s="522">
        <f t="shared" ca="1" si="6"/>
        <v>0.14414296758465167</v>
      </c>
      <c r="D190" s="523">
        <f t="shared" ca="1" si="7"/>
        <v>0.15643446504023209</v>
      </c>
    </row>
    <row r="191" spans="2:4" x14ac:dyDescent="0.25">
      <c r="B191" s="521">
        <v>60</v>
      </c>
      <c r="C191" s="522">
        <f t="shared" ca="1" si="6"/>
        <v>0.14658606873015423</v>
      </c>
      <c r="D191" s="523">
        <f t="shared" ca="1" si="7"/>
        <v>3.67544536472586E-16</v>
      </c>
    </row>
    <row r="192" spans="2:4" x14ac:dyDescent="0.25">
      <c r="B192" s="521">
        <v>61</v>
      </c>
      <c r="C192" s="522">
        <f t="shared" ca="1" si="6"/>
        <v>0.14902916987565681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0.15147227102115937</v>
      </c>
      <c r="D193" s="523">
        <f t="shared" ca="1" si="7"/>
        <v>-0.30901699437494706</v>
      </c>
    </row>
    <row r="194" spans="2:4" x14ac:dyDescent="0.25">
      <c r="B194" s="521">
        <v>63</v>
      </c>
      <c r="C194" s="522">
        <f t="shared" ca="1" si="6"/>
        <v>0.15391537216666196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0.15635847331216454</v>
      </c>
      <c r="D195" s="523">
        <f t="shared" ref="D195:D251" ca="1" si="9">SIN(2*PI()*$C$23*C195)</f>
        <v>-0.5877852522924728</v>
      </c>
    </row>
    <row r="196" spans="2:4" x14ac:dyDescent="0.25">
      <c r="B196" s="521">
        <v>65</v>
      </c>
      <c r="C196" s="522">
        <f t="shared" ca="1" si="8"/>
        <v>0.1588015744576671</v>
      </c>
      <c r="D196" s="523">
        <f t="shared" ca="1" si="9"/>
        <v>-0.70710678118654657</v>
      </c>
    </row>
    <row r="197" spans="2:4" x14ac:dyDescent="0.25">
      <c r="B197" s="521">
        <v>66</v>
      </c>
      <c r="C197" s="522">
        <f t="shared" ca="1" si="8"/>
        <v>0.16124467560316966</v>
      </c>
      <c r="D197" s="523">
        <f t="shared" ca="1" si="9"/>
        <v>-0.80901699437494612</v>
      </c>
    </row>
    <row r="198" spans="2:4" x14ac:dyDescent="0.25">
      <c r="B198" s="521">
        <v>67</v>
      </c>
      <c r="C198" s="522">
        <f t="shared" ca="1" si="8"/>
        <v>0.16368777674867224</v>
      </c>
      <c r="D198" s="523">
        <f t="shared" ca="1" si="9"/>
        <v>-0.89100652418836812</v>
      </c>
    </row>
    <row r="199" spans="2:4" x14ac:dyDescent="0.25">
      <c r="B199" s="521">
        <v>68</v>
      </c>
      <c r="C199" s="522">
        <f t="shared" ca="1" si="8"/>
        <v>0.1661308778941748</v>
      </c>
      <c r="D199" s="523">
        <f t="shared" ca="1" si="9"/>
        <v>-0.95105651629515287</v>
      </c>
    </row>
    <row r="200" spans="2:4" x14ac:dyDescent="0.25">
      <c r="B200" s="521">
        <v>69</v>
      </c>
      <c r="C200" s="522">
        <f t="shared" ca="1" si="8"/>
        <v>0.16857397903967739</v>
      </c>
      <c r="D200" s="523">
        <f t="shared" ca="1" si="9"/>
        <v>-0.98768834059513777</v>
      </c>
    </row>
    <row r="201" spans="2:4" x14ac:dyDescent="0.25">
      <c r="B201" s="521">
        <v>70</v>
      </c>
      <c r="C201" s="522">
        <f t="shared" ca="1" si="8"/>
        <v>0.17101708018517994</v>
      </c>
      <c r="D201" s="523">
        <f t="shared" ca="1" si="9"/>
        <v>-1</v>
      </c>
    </row>
    <row r="202" spans="2:4" x14ac:dyDescent="0.25">
      <c r="B202" s="521">
        <v>71</v>
      </c>
      <c r="C202" s="522">
        <f t="shared" ca="1" si="8"/>
        <v>0.1734601813306825</v>
      </c>
      <c r="D202" s="523">
        <f t="shared" ca="1" si="9"/>
        <v>-0.98768834059513788</v>
      </c>
    </row>
    <row r="203" spans="2:4" x14ac:dyDescent="0.25">
      <c r="B203" s="521">
        <v>72</v>
      </c>
      <c r="C203" s="522">
        <f t="shared" ca="1" si="8"/>
        <v>0.17590328247618509</v>
      </c>
      <c r="D203" s="523">
        <f t="shared" ca="1" si="9"/>
        <v>-0.95105651629515375</v>
      </c>
    </row>
    <row r="204" spans="2:4" x14ac:dyDescent="0.25">
      <c r="B204" s="521">
        <v>73</v>
      </c>
      <c r="C204" s="522">
        <f t="shared" ca="1" si="8"/>
        <v>0.17834638362168764</v>
      </c>
      <c r="D204" s="523">
        <f t="shared" ca="1" si="9"/>
        <v>-0.89100652418836845</v>
      </c>
    </row>
    <row r="205" spans="2:4" x14ac:dyDescent="0.25">
      <c r="B205" s="521">
        <v>74</v>
      </c>
      <c r="C205" s="522">
        <f t="shared" ca="1" si="8"/>
        <v>0.18078948476719023</v>
      </c>
      <c r="D205" s="523">
        <f t="shared" ca="1" si="9"/>
        <v>-0.80901699437494667</v>
      </c>
    </row>
    <row r="206" spans="2:4" x14ac:dyDescent="0.25">
      <c r="B206" s="521">
        <v>75</v>
      </c>
      <c r="C206" s="522">
        <f t="shared" ca="1" si="8"/>
        <v>0.18323258591269279</v>
      </c>
      <c r="D206" s="523">
        <f t="shared" ca="1" si="9"/>
        <v>-0.70710678118654846</v>
      </c>
    </row>
    <row r="207" spans="2:4" x14ac:dyDescent="0.25">
      <c r="B207" s="521">
        <v>76</v>
      </c>
      <c r="C207" s="522">
        <f t="shared" ca="1" si="8"/>
        <v>0.18567568705819537</v>
      </c>
      <c r="D207" s="523">
        <f t="shared" ca="1" si="9"/>
        <v>-0.58778525229247491</v>
      </c>
    </row>
    <row r="208" spans="2:4" x14ac:dyDescent="0.25">
      <c r="B208" s="521">
        <v>77</v>
      </c>
      <c r="C208" s="522">
        <f t="shared" ca="1" si="8"/>
        <v>0.18811878820369796</v>
      </c>
      <c r="D208" s="523">
        <f t="shared" ca="1" si="9"/>
        <v>-0.45399049973954642</v>
      </c>
    </row>
    <row r="209" spans="2:4" x14ac:dyDescent="0.25">
      <c r="B209" s="521">
        <v>78</v>
      </c>
      <c r="C209" s="522">
        <f t="shared" ca="1" si="8"/>
        <v>0.19056188934920051</v>
      </c>
      <c r="D209" s="523">
        <f t="shared" ca="1" si="9"/>
        <v>-0.3090169943749479</v>
      </c>
    </row>
    <row r="210" spans="2:4" x14ac:dyDescent="0.25">
      <c r="B210" s="521">
        <v>79</v>
      </c>
      <c r="C210" s="522">
        <f t="shared" ca="1" si="8"/>
        <v>0.1930049904947031</v>
      </c>
      <c r="D210" s="523">
        <f t="shared" ca="1" si="9"/>
        <v>-0.15643446504023223</v>
      </c>
    </row>
    <row r="211" spans="2:4" x14ac:dyDescent="0.25">
      <c r="B211" s="521">
        <v>80</v>
      </c>
      <c r="C211" s="522">
        <f t="shared" ca="1" si="8"/>
        <v>0.19544809164020566</v>
      </c>
      <c r="D211" s="523">
        <f t="shared" ca="1" si="9"/>
        <v>-4.90059381963448E-16</v>
      </c>
    </row>
    <row r="212" spans="2:4" x14ac:dyDescent="0.25">
      <c r="B212" s="521">
        <v>81</v>
      </c>
      <c r="C212" s="522">
        <f t="shared" ca="1" si="8"/>
        <v>0.19789119278570821</v>
      </c>
      <c r="D212" s="523">
        <f t="shared" ca="1" si="9"/>
        <v>0.15643446504022951</v>
      </c>
    </row>
    <row r="213" spans="2:4" x14ac:dyDescent="0.25">
      <c r="B213" s="521">
        <v>82</v>
      </c>
      <c r="C213" s="522">
        <f t="shared" ca="1" si="8"/>
        <v>0.20033429393121077</v>
      </c>
      <c r="D213" s="523">
        <f t="shared" ca="1" si="9"/>
        <v>0.30901699437494523</v>
      </c>
    </row>
    <row r="214" spans="2:4" x14ac:dyDescent="0.25">
      <c r="B214" s="521">
        <v>83</v>
      </c>
      <c r="C214" s="522">
        <f t="shared" ca="1" si="8"/>
        <v>0.20277739507671338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0.20522049622221594</v>
      </c>
      <c r="D215" s="523">
        <f t="shared" ca="1" si="9"/>
        <v>0.58778525229247269</v>
      </c>
    </row>
    <row r="216" spans="2:4" x14ac:dyDescent="0.25">
      <c r="B216" s="521">
        <v>85</v>
      </c>
      <c r="C216" s="522">
        <f t="shared" ca="1" si="8"/>
        <v>0.2076635973677185</v>
      </c>
      <c r="D216" s="523">
        <f t="shared" ca="1" si="9"/>
        <v>0.70710678118654779</v>
      </c>
    </row>
    <row r="217" spans="2:4" x14ac:dyDescent="0.25">
      <c r="B217" s="521">
        <v>86</v>
      </c>
      <c r="C217" s="522">
        <f t="shared" ca="1" si="8"/>
        <v>0.21010669851322106</v>
      </c>
      <c r="D217" s="523">
        <f t="shared" ca="1" si="9"/>
        <v>0.80901699437494712</v>
      </c>
    </row>
    <row r="218" spans="2:4" x14ac:dyDescent="0.25">
      <c r="B218" s="521">
        <v>87</v>
      </c>
      <c r="C218" s="522">
        <f t="shared" ca="1" si="8"/>
        <v>0.21254979965872361</v>
      </c>
      <c r="D218" s="523">
        <f t="shared" ca="1" si="9"/>
        <v>0.89100652418836723</v>
      </c>
    </row>
    <row r="219" spans="2:4" x14ac:dyDescent="0.25">
      <c r="B219" s="521">
        <v>88</v>
      </c>
      <c r="C219" s="522">
        <f t="shared" ca="1" si="8"/>
        <v>0.21499290080422623</v>
      </c>
      <c r="D219" s="523">
        <f t="shared" ca="1" si="9"/>
        <v>0.95105651629515398</v>
      </c>
    </row>
    <row r="220" spans="2:4" x14ac:dyDescent="0.25">
      <c r="B220" s="521">
        <v>89</v>
      </c>
      <c r="C220" s="522">
        <f t="shared" ca="1" si="8"/>
        <v>0.21743600194972879</v>
      </c>
      <c r="D220" s="523">
        <f t="shared" ca="1" si="9"/>
        <v>0.98768834059513777</v>
      </c>
    </row>
    <row r="221" spans="2:4" x14ac:dyDescent="0.25">
      <c r="B221" s="521">
        <v>90</v>
      </c>
      <c r="C221" s="522">
        <f t="shared" ca="1" si="8"/>
        <v>0.21987910309523137</v>
      </c>
      <c r="D221" s="523">
        <f t="shared" ca="1" si="9"/>
        <v>1</v>
      </c>
    </row>
    <row r="222" spans="2:4" x14ac:dyDescent="0.25">
      <c r="B222" s="521">
        <v>91</v>
      </c>
      <c r="C222" s="522">
        <f t="shared" ca="1" si="8"/>
        <v>0.22232220424073393</v>
      </c>
      <c r="D222" s="523">
        <f t="shared" ca="1" si="9"/>
        <v>0.98768834059513799</v>
      </c>
    </row>
    <row r="223" spans="2:4" x14ac:dyDescent="0.25">
      <c r="B223" s="521">
        <v>92</v>
      </c>
      <c r="C223" s="522">
        <f t="shared" ca="1" si="8"/>
        <v>0.22476530538623649</v>
      </c>
      <c r="D223" s="523">
        <f t="shared" ca="1" si="9"/>
        <v>0.95105651629515431</v>
      </c>
    </row>
    <row r="224" spans="2:4" x14ac:dyDescent="0.25">
      <c r="B224" s="521">
        <v>93</v>
      </c>
      <c r="C224" s="522">
        <f t="shared" ca="1" si="8"/>
        <v>0.2272084065317391</v>
      </c>
      <c r="D224" s="523">
        <f t="shared" ca="1" si="9"/>
        <v>0.89100652418836768</v>
      </c>
    </row>
    <row r="225" spans="2:4" x14ac:dyDescent="0.25">
      <c r="B225" s="521">
        <v>94</v>
      </c>
      <c r="C225" s="522">
        <f t="shared" ca="1" si="8"/>
        <v>0.22965150767724166</v>
      </c>
      <c r="D225" s="523">
        <f t="shared" ca="1" si="9"/>
        <v>0.80901699437494778</v>
      </c>
    </row>
    <row r="226" spans="2:4" x14ac:dyDescent="0.25">
      <c r="B226" s="521">
        <v>95</v>
      </c>
      <c r="C226" s="522">
        <f t="shared" ca="1" si="8"/>
        <v>0.23209460882274421</v>
      </c>
      <c r="D226" s="523">
        <f t="shared" ca="1" si="9"/>
        <v>0.70710678118654857</v>
      </c>
    </row>
    <row r="227" spans="2:4" x14ac:dyDescent="0.25">
      <c r="B227" s="521">
        <v>96</v>
      </c>
      <c r="C227" s="522">
        <f t="shared" ca="1" si="8"/>
        <v>0.23453770996824677</v>
      </c>
      <c r="D227" s="523">
        <f t="shared" ca="1" si="9"/>
        <v>0.58778525229247358</v>
      </c>
    </row>
    <row r="228" spans="2:4" x14ac:dyDescent="0.25">
      <c r="B228" s="521">
        <v>97</v>
      </c>
      <c r="C228" s="522">
        <f t="shared" ca="1" si="8"/>
        <v>0.23698081111374933</v>
      </c>
      <c r="D228" s="523">
        <f t="shared" ca="1" si="9"/>
        <v>0.45399049973954814</v>
      </c>
    </row>
    <row r="229" spans="2:4" x14ac:dyDescent="0.25">
      <c r="B229" s="521">
        <v>98</v>
      </c>
      <c r="C229" s="522">
        <f t="shared" ca="1" si="8"/>
        <v>0.23942391225925194</v>
      </c>
      <c r="D229" s="523">
        <f t="shared" ca="1" si="9"/>
        <v>0.30901699437494629</v>
      </c>
    </row>
    <row r="230" spans="2:4" x14ac:dyDescent="0.25">
      <c r="B230" s="521">
        <v>99</v>
      </c>
      <c r="C230" s="522">
        <f t="shared" ca="1" si="8"/>
        <v>0.2418670134047545</v>
      </c>
      <c r="D230" s="523">
        <f t="shared" ca="1" si="9"/>
        <v>0.15643446504023059</v>
      </c>
    </row>
    <row r="231" spans="2:4" x14ac:dyDescent="0.25">
      <c r="B231" s="521">
        <v>100</v>
      </c>
      <c r="C231" s="522">
        <f t="shared" ca="1" si="8"/>
        <v>0.24431011455025706</v>
      </c>
      <c r="D231" s="523">
        <f t="shared" ca="1" si="9"/>
        <v>6.1257422745431001E-16</v>
      </c>
    </row>
    <row r="232" spans="2:4" x14ac:dyDescent="0.25">
      <c r="B232" s="521">
        <v>101</v>
      </c>
      <c r="C232" s="522">
        <f t="shared" ca="1" si="8"/>
        <v>0.24675321569575961</v>
      </c>
      <c r="D232" s="523">
        <f t="shared" ca="1" si="9"/>
        <v>-0.15643446504023115</v>
      </c>
    </row>
    <row r="233" spans="2:4" x14ac:dyDescent="0.25">
      <c r="B233" s="521">
        <v>102</v>
      </c>
      <c r="C233" s="522">
        <f t="shared" ca="1" si="8"/>
        <v>0.2491963168412622</v>
      </c>
      <c r="D233" s="523">
        <f t="shared" ca="1" si="9"/>
        <v>-0.30901699437494512</v>
      </c>
    </row>
    <row r="234" spans="2:4" x14ac:dyDescent="0.25">
      <c r="B234" s="521">
        <v>103</v>
      </c>
      <c r="C234" s="522">
        <f t="shared" ca="1" si="8"/>
        <v>0.2516394179867648</v>
      </c>
      <c r="D234" s="523">
        <f t="shared" ca="1" si="9"/>
        <v>-0.45399049973954858</v>
      </c>
    </row>
    <row r="235" spans="2:4" x14ac:dyDescent="0.25">
      <c r="B235" s="521">
        <v>104</v>
      </c>
      <c r="C235" s="522">
        <f t="shared" ca="1" si="8"/>
        <v>0.25408251913226737</v>
      </c>
      <c r="D235" s="523">
        <f t="shared" ca="1" si="9"/>
        <v>-0.58778525229247258</v>
      </c>
    </row>
    <row r="236" spans="2:4" x14ac:dyDescent="0.25">
      <c r="B236" s="521">
        <v>105</v>
      </c>
      <c r="C236" s="522">
        <f t="shared" ca="1" si="8"/>
        <v>0.25652562027776993</v>
      </c>
      <c r="D236" s="523">
        <f t="shared" ca="1" si="9"/>
        <v>-0.70710678118654513</v>
      </c>
    </row>
    <row r="237" spans="2:4" x14ac:dyDescent="0.25">
      <c r="B237" s="521">
        <v>106</v>
      </c>
      <c r="C237" s="522">
        <f t="shared" ca="1" si="8"/>
        <v>0.2589687214232725</v>
      </c>
      <c r="D237" s="523">
        <f t="shared" ca="1" si="9"/>
        <v>-0.80901699437494601</v>
      </c>
    </row>
    <row r="238" spans="2:4" x14ac:dyDescent="0.25">
      <c r="B238" s="521">
        <v>107</v>
      </c>
      <c r="C238" s="522">
        <f t="shared" ca="1" si="8"/>
        <v>0.26141182256877504</v>
      </c>
      <c r="D238" s="523">
        <f t="shared" ca="1" si="9"/>
        <v>-0.89100652418836712</v>
      </c>
    </row>
    <row r="239" spans="2:4" x14ac:dyDescent="0.25">
      <c r="B239" s="521">
        <v>108</v>
      </c>
      <c r="C239" s="522">
        <f t="shared" ca="1" si="8"/>
        <v>0.26385492371427766</v>
      </c>
      <c r="D239" s="523">
        <f t="shared" ca="1" si="9"/>
        <v>-0.95105651629515342</v>
      </c>
    </row>
    <row r="240" spans="2:4" x14ac:dyDescent="0.25">
      <c r="B240" s="521">
        <v>109</v>
      </c>
      <c r="C240" s="522">
        <f t="shared" ca="1" si="8"/>
        <v>0.2662980248597802</v>
      </c>
      <c r="D240" s="523">
        <f t="shared" ca="1" si="9"/>
        <v>-0.98768834059513777</v>
      </c>
    </row>
    <row r="241" spans="2:4" x14ac:dyDescent="0.25">
      <c r="B241" s="521">
        <v>110</v>
      </c>
      <c r="C241" s="522">
        <f t="shared" ca="1" si="8"/>
        <v>0.26874112600528277</v>
      </c>
      <c r="D241" s="523">
        <f t="shared" ca="1" si="9"/>
        <v>-1</v>
      </c>
    </row>
    <row r="242" spans="2:4" x14ac:dyDescent="0.25">
      <c r="B242" s="521">
        <v>111</v>
      </c>
      <c r="C242" s="522">
        <f t="shared" ca="1" si="8"/>
        <v>0.27118422715078533</v>
      </c>
      <c r="D242" s="523">
        <f t="shared" ca="1" si="9"/>
        <v>-0.98768834059513799</v>
      </c>
    </row>
    <row r="243" spans="2:4" x14ac:dyDescent="0.25">
      <c r="B243" s="521">
        <v>112</v>
      </c>
      <c r="C243" s="522">
        <f t="shared" ca="1" si="8"/>
        <v>0.2736273282962879</v>
      </c>
      <c r="D243" s="523">
        <f t="shared" ca="1" si="9"/>
        <v>-0.95105651629515375</v>
      </c>
    </row>
    <row r="244" spans="2:4" x14ac:dyDescent="0.25">
      <c r="B244" s="521">
        <v>113</v>
      </c>
      <c r="C244" s="522">
        <f t="shared" ca="1" si="8"/>
        <v>0.2760704294417905</v>
      </c>
      <c r="D244" s="523">
        <f t="shared" ca="1" si="9"/>
        <v>-0.89100652418836779</v>
      </c>
    </row>
    <row r="245" spans="2:4" x14ac:dyDescent="0.25">
      <c r="B245" s="521">
        <v>114</v>
      </c>
      <c r="C245" s="522">
        <f t="shared" ca="1" si="8"/>
        <v>0.27851353058729306</v>
      </c>
      <c r="D245" s="523">
        <f t="shared" ca="1" si="9"/>
        <v>-0.80901699437494679</v>
      </c>
    </row>
    <row r="246" spans="2:4" x14ac:dyDescent="0.25">
      <c r="B246" s="521">
        <v>115</v>
      </c>
      <c r="C246" s="522">
        <f t="shared" ca="1" si="8"/>
        <v>0.2809566317327956</v>
      </c>
      <c r="D246" s="523">
        <f t="shared" ca="1" si="9"/>
        <v>-0.70710678118654868</v>
      </c>
    </row>
    <row r="247" spans="2:4" x14ac:dyDescent="0.25">
      <c r="B247" s="521">
        <v>116</v>
      </c>
      <c r="C247" s="522">
        <f t="shared" ca="1" si="8"/>
        <v>0.28339973287829817</v>
      </c>
      <c r="D247" s="523">
        <f t="shared" ca="1" si="9"/>
        <v>-0.58778525229247658</v>
      </c>
    </row>
    <row r="248" spans="2:4" x14ac:dyDescent="0.25">
      <c r="B248" s="521">
        <v>117</v>
      </c>
      <c r="C248" s="522">
        <f t="shared" ca="1" si="8"/>
        <v>0.28584283402380073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0.28828593516930334</v>
      </c>
      <c r="D249" s="523">
        <f t="shared" ca="1" si="9"/>
        <v>-0.30901699437494978</v>
      </c>
    </row>
    <row r="250" spans="2:4" x14ac:dyDescent="0.25">
      <c r="B250" s="521">
        <v>119</v>
      </c>
      <c r="C250" s="522">
        <f t="shared" ca="1" si="8"/>
        <v>0.2907290363148059</v>
      </c>
      <c r="D250" s="523">
        <f t="shared" ca="1" si="9"/>
        <v>-0.15643446504023248</v>
      </c>
    </row>
    <row r="251" spans="2:4" x14ac:dyDescent="0.25">
      <c r="B251" s="521">
        <v>120</v>
      </c>
      <c r="C251" s="522">
        <f t="shared" ca="1" si="8"/>
        <v>0.29317213746030846</v>
      </c>
      <c r="D251" s="523">
        <f t="shared" ca="1" si="9"/>
        <v>-7.3508907294517201E-16</v>
      </c>
    </row>
    <row r="254" spans="2:4" x14ac:dyDescent="0.25">
      <c r="B254" s="516" t="s">
        <v>1133</v>
      </c>
    </row>
    <row r="255" spans="2:4" x14ac:dyDescent="0.25">
      <c r="B255" s="516" t="s">
        <v>1131</v>
      </c>
      <c r="C255" s="516" t="s">
        <v>1132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</v>
      </c>
    </row>
    <row r="257" spans="2:4" x14ac:dyDescent="0.25">
      <c r="B257" s="521">
        <v>1</v>
      </c>
      <c r="C257" s="522">
        <f t="shared" ca="1" si="10"/>
        <v>0.0021695913683408576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0.004339182736681715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0.0065087741050225715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0.00867836547336343</v>
      </c>
      <c r="D260" s="523">
        <f t="shared" ca="1" si="11"/>
        <v>0.58778525229247314</v>
      </c>
    </row>
    <row r="261" spans="2:4" x14ac:dyDescent="0.25">
      <c r="B261" s="521">
        <v>5</v>
      </c>
      <c r="C261" s="522">
        <f t="shared" ca="1" si="10"/>
        <v>0.010847956841704287</v>
      </c>
      <c r="D261" s="523">
        <f t="shared" ca="1" si="11"/>
        <v>0.70710678118654746</v>
      </c>
    </row>
    <row r="262" spans="2:4" x14ac:dyDescent="0.25">
      <c r="B262" s="521">
        <v>6</v>
      </c>
      <c r="C262" s="522">
        <f t="shared" ca="1" si="10"/>
        <v>0.013017548210045143</v>
      </c>
      <c r="D262" s="523">
        <f t="shared" ca="1" si="11"/>
        <v>0.80901699437494734</v>
      </c>
    </row>
    <row r="263" spans="2:4" x14ac:dyDescent="0.25">
      <c r="B263" s="521">
        <v>7</v>
      </c>
      <c r="C263" s="522">
        <f t="shared" ca="1" si="10"/>
        <v>0.015187139578386</v>
      </c>
      <c r="D263" s="523">
        <f t="shared" ca="1" si="11"/>
        <v>0.89100652418836779</v>
      </c>
    </row>
    <row r="264" spans="2:4" x14ac:dyDescent="0.25">
      <c r="B264" s="521">
        <v>8</v>
      </c>
      <c r="C264" s="522">
        <f t="shared" ca="1" si="10"/>
        <v>0.01735673094672686</v>
      </c>
      <c r="D264" s="523">
        <f t="shared" ca="1" si="11"/>
        <v>0.95105651629515353</v>
      </c>
    </row>
    <row r="265" spans="2:4" x14ac:dyDescent="0.25">
      <c r="B265" s="521">
        <v>9</v>
      </c>
      <c r="C265" s="522">
        <f t="shared" ca="1" si="10"/>
        <v>0.019526322315067717</v>
      </c>
      <c r="D265" s="523">
        <f t="shared" ca="1" si="11"/>
        <v>0.98768834059513777</v>
      </c>
    </row>
    <row r="266" spans="2:4" x14ac:dyDescent="0.25">
      <c r="B266" s="521">
        <v>10</v>
      </c>
      <c r="C266" s="522">
        <f t="shared" ca="1" si="10"/>
        <v>0.021695913683408573</v>
      </c>
      <c r="D266" s="523">
        <f t="shared" ca="1" si="11"/>
        <v>1</v>
      </c>
    </row>
    <row r="267" spans="2:4" x14ac:dyDescent="0.25">
      <c r="B267" s="521">
        <v>11</v>
      </c>
      <c r="C267" s="522">
        <f t="shared" ca="1" si="10"/>
        <v>0.023865505051749433</v>
      </c>
      <c r="D267" s="523">
        <f t="shared" ca="1" si="11"/>
        <v>0.98768834059513766</v>
      </c>
    </row>
    <row r="268" spans="2:4" x14ac:dyDescent="0.25">
      <c r="B268" s="521">
        <v>12</v>
      </c>
      <c r="C268" s="522">
        <f t="shared" ca="1" si="10"/>
        <v>0.026035096420090286</v>
      </c>
      <c r="D268" s="523">
        <f t="shared" ca="1" si="11"/>
        <v>0.95105651629515364</v>
      </c>
    </row>
    <row r="269" spans="2:4" x14ac:dyDescent="0.25">
      <c r="B269" s="521">
        <v>13</v>
      </c>
      <c r="C269" s="522">
        <f t="shared" ca="1" si="10"/>
        <v>0.028204687788431146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0.030374279156772</v>
      </c>
      <c r="D270" s="523">
        <f t="shared" ca="1" si="11"/>
        <v>0.80901699437494745</v>
      </c>
    </row>
    <row r="271" spans="2:4" x14ac:dyDescent="0.25">
      <c r="B271" s="521">
        <v>15</v>
      </c>
      <c r="C271" s="522">
        <f t="shared" ca="1" si="10"/>
        <v>0.03254387052511286</v>
      </c>
      <c r="D271" s="523">
        <f t="shared" ca="1" si="11"/>
        <v>0.70710678118654724</v>
      </c>
    </row>
    <row r="272" spans="2:4" x14ac:dyDescent="0.25">
      <c r="B272" s="521">
        <v>16</v>
      </c>
      <c r="C272" s="522">
        <f t="shared" ca="1" si="10"/>
        <v>0.03471346189345372</v>
      </c>
      <c r="D272" s="523">
        <f t="shared" ca="1" si="11"/>
        <v>0.58778525229247325</v>
      </c>
    </row>
    <row r="273" spans="2:4" x14ac:dyDescent="0.25">
      <c r="B273" s="521">
        <v>17</v>
      </c>
      <c r="C273" s="522">
        <f t="shared" ca="1" si="10"/>
        <v>0.03688305326179457</v>
      </c>
      <c r="D273" s="523">
        <f t="shared" ca="1" si="11"/>
        <v>0.45399049973954686</v>
      </c>
    </row>
    <row r="274" spans="2:4" x14ac:dyDescent="0.25">
      <c r="B274" s="521">
        <v>18</v>
      </c>
      <c r="C274" s="522">
        <f t="shared" ca="1" si="10"/>
        <v>0.039052644630135434</v>
      </c>
      <c r="D274" s="523">
        <f t="shared" ca="1" si="11"/>
        <v>0.30901699437494751</v>
      </c>
    </row>
    <row r="275" spans="2:4" x14ac:dyDescent="0.25">
      <c r="B275" s="521">
        <v>19</v>
      </c>
      <c r="C275" s="522">
        <f t="shared" ca="1" si="10"/>
        <v>0.041222235998476284</v>
      </c>
      <c r="D275" s="523">
        <f t="shared" ca="1" si="11"/>
        <v>0.15643446504023098</v>
      </c>
    </row>
    <row r="276" spans="2:4" x14ac:dyDescent="0.25">
      <c r="B276" s="521">
        <v>20</v>
      </c>
      <c r="C276" s="522">
        <f t="shared" ca="1" si="10"/>
        <v>0.04339182736681715</v>
      </c>
      <c r="D276" s="523">
        <f t="shared" ca="1" si="11"/>
        <v>1.22514845490862E-16</v>
      </c>
    </row>
    <row r="277" spans="2:4" x14ac:dyDescent="0.25">
      <c r="B277" s="521">
        <v>21</v>
      </c>
      <c r="C277" s="522">
        <f t="shared" ca="1" si="10"/>
        <v>0.045561418735158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0.047731010103498867</v>
      </c>
      <c r="D278" s="523">
        <f t="shared" ca="1" si="11"/>
        <v>-0.30901699437494773</v>
      </c>
    </row>
    <row r="279" spans="2:4" x14ac:dyDescent="0.25">
      <c r="B279" s="521">
        <v>23</v>
      </c>
      <c r="C279" s="522">
        <f t="shared" ca="1" si="10"/>
        <v>0.049900601471839716</v>
      </c>
      <c r="D279" s="523">
        <f t="shared" ca="1" si="11"/>
        <v>-0.45399049973954669</v>
      </c>
    </row>
    <row r="280" spans="2:4" x14ac:dyDescent="0.25">
      <c r="B280" s="521">
        <v>24</v>
      </c>
      <c r="C280" s="522">
        <f t="shared" ca="1" si="10"/>
        <v>0.05207019284018057</v>
      </c>
      <c r="D280" s="523">
        <f t="shared" ca="1" si="11"/>
        <v>-0.58778525229247269</v>
      </c>
    </row>
    <row r="281" spans="2:4" x14ac:dyDescent="0.25">
      <c r="B281" s="521">
        <v>25</v>
      </c>
      <c r="C281" s="522">
        <f t="shared" ca="1" si="10"/>
        <v>0.054239784208521435</v>
      </c>
      <c r="D281" s="523">
        <f t="shared" ca="1" si="11"/>
        <v>-0.70710678118654746</v>
      </c>
    </row>
    <row r="282" spans="2:4" x14ac:dyDescent="0.25">
      <c r="B282" s="521">
        <v>26</v>
      </c>
      <c r="C282" s="522">
        <f t="shared" ca="1" si="10"/>
        <v>0.05640937557686229</v>
      </c>
      <c r="D282" s="523">
        <f t="shared" ca="1" si="11"/>
        <v>-0.80901699437494734</v>
      </c>
    </row>
    <row r="283" spans="2:4" x14ac:dyDescent="0.25">
      <c r="B283" s="521">
        <v>27</v>
      </c>
      <c r="C283" s="522">
        <f t="shared" ca="1" si="10"/>
        <v>0.05857896694520315</v>
      </c>
      <c r="D283" s="523">
        <f t="shared" ca="1" si="11"/>
        <v>-0.89100652418836823</v>
      </c>
    </row>
    <row r="284" spans="2:4" x14ac:dyDescent="0.25">
      <c r="B284" s="521">
        <v>28</v>
      </c>
      <c r="C284" s="522">
        <f t="shared" ca="1" si="10"/>
        <v>0.060748558313544</v>
      </c>
      <c r="D284" s="523">
        <f t="shared" ca="1" si="11"/>
        <v>-0.95105651629515353</v>
      </c>
    </row>
    <row r="285" spans="2:4" x14ac:dyDescent="0.25">
      <c r="B285" s="521">
        <v>29</v>
      </c>
      <c r="C285" s="522">
        <f t="shared" ca="1" si="10"/>
        <v>0.06291814968188486</v>
      </c>
      <c r="D285" s="523">
        <f t="shared" ca="1" si="11"/>
        <v>-0.98768834059513766</v>
      </c>
    </row>
    <row r="286" spans="2:4" x14ac:dyDescent="0.25">
      <c r="B286" s="521">
        <v>30</v>
      </c>
      <c r="C286" s="522">
        <f t="shared" ca="1" si="10"/>
        <v>0.06508774105022572</v>
      </c>
      <c r="D286" s="523">
        <f t="shared" ca="1" si="11"/>
        <v>-1</v>
      </c>
    </row>
    <row r="287" spans="2:4" x14ac:dyDescent="0.25">
      <c r="B287" s="521">
        <v>31</v>
      </c>
      <c r="C287" s="522">
        <f t="shared" ca="1" si="10"/>
        <v>0.06725733241856657</v>
      </c>
      <c r="D287" s="523">
        <f t="shared" ca="1" si="11"/>
        <v>-0.98768834059513777</v>
      </c>
    </row>
    <row r="288" spans="2:4" x14ac:dyDescent="0.25">
      <c r="B288" s="521">
        <v>32</v>
      </c>
      <c r="C288" s="522">
        <f t="shared" ca="1" si="10"/>
        <v>0.06942692378690744</v>
      </c>
      <c r="D288" s="523">
        <f t="shared" ca="1" si="11"/>
        <v>-0.95105651629515364</v>
      </c>
    </row>
    <row r="289" spans="2:4" x14ac:dyDescent="0.25">
      <c r="B289" s="521">
        <v>33</v>
      </c>
      <c r="C289" s="522">
        <f t="shared" ca="1" si="10"/>
        <v>0.07159651515524829</v>
      </c>
      <c r="D289" s="523">
        <f t="shared" ca="1" si="11"/>
        <v>-0.8910065241883679</v>
      </c>
    </row>
    <row r="290" spans="2:4" x14ac:dyDescent="0.25">
      <c r="B290" s="521">
        <v>34</v>
      </c>
      <c r="C290" s="522">
        <f t="shared" ca="1" si="10"/>
        <v>0.07376610652358914</v>
      </c>
      <c r="D290" s="523">
        <f t="shared" ca="1" si="11"/>
        <v>-0.80901699437494756</v>
      </c>
    </row>
    <row r="291" spans="2:4" x14ac:dyDescent="0.25">
      <c r="B291" s="521">
        <v>35</v>
      </c>
      <c r="C291" s="522">
        <f t="shared" ca="1" si="10"/>
        <v>0.07593569789193001</v>
      </c>
      <c r="D291" s="523">
        <f t="shared" ca="1" si="11"/>
        <v>-0.70710678118654768</v>
      </c>
    </row>
    <row r="292" spans="2:4" x14ac:dyDescent="0.25">
      <c r="B292" s="521">
        <v>36</v>
      </c>
      <c r="C292" s="522">
        <f t="shared" ca="1" si="10"/>
        <v>0.07810528926027087</v>
      </c>
      <c r="D292" s="523">
        <f t="shared" ca="1" si="11"/>
        <v>-0.58778525229247336</v>
      </c>
    </row>
    <row r="293" spans="2:4" x14ac:dyDescent="0.25">
      <c r="B293" s="521">
        <v>37</v>
      </c>
      <c r="C293" s="522">
        <f t="shared" ca="1" si="10"/>
        <v>0.08027488062861173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0.08244447199695257</v>
      </c>
      <c r="D294" s="523">
        <f t="shared" ca="1" si="11"/>
        <v>-0.30901699437494762</v>
      </c>
    </row>
    <row r="295" spans="2:4" x14ac:dyDescent="0.25">
      <c r="B295" s="521">
        <v>39</v>
      </c>
      <c r="C295" s="522">
        <f t="shared" ca="1" si="10"/>
        <v>0.08461406336529344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0.0867836547336343</v>
      </c>
      <c r="D296" s="523">
        <f t="shared" ca="1" si="11"/>
        <v>-2.45029690981724E-16</v>
      </c>
    </row>
    <row r="297" spans="2:4" x14ac:dyDescent="0.25">
      <c r="B297" s="521">
        <v>41</v>
      </c>
      <c r="C297" s="522">
        <f t="shared" ca="1" si="10"/>
        <v>0.08895324610197514</v>
      </c>
      <c r="D297" s="523">
        <f t="shared" ca="1" si="11"/>
        <v>0.15643446504023062</v>
      </c>
    </row>
    <row r="298" spans="2:4" x14ac:dyDescent="0.25">
      <c r="B298" s="521">
        <v>42</v>
      </c>
      <c r="C298" s="522">
        <f t="shared" ca="1" si="10"/>
        <v>0.091122837470316</v>
      </c>
      <c r="D298" s="523">
        <f t="shared" ca="1" si="11"/>
        <v>0.30901699437494717</v>
      </c>
    </row>
    <row r="299" spans="2:4" x14ac:dyDescent="0.25">
      <c r="B299" s="521">
        <v>43</v>
      </c>
      <c r="C299" s="522">
        <f t="shared" ca="1" si="10"/>
        <v>0.09329242883865686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0.09546202020699773</v>
      </c>
      <c r="D300" s="523">
        <f t="shared" ca="1" si="11"/>
        <v>0.58778525229247358</v>
      </c>
    </row>
    <row r="301" spans="2:4" x14ac:dyDescent="0.25">
      <c r="B301" s="521">
        <v>45</v>
      </c>
      <c r="C301" s="522">
        <f t="shared" ca="1" si="10"/>
        <v>0.09763161157533858</v>
      </c>
      <c r="D301" s="523">
        <f t="shared" ca="1" si="11"/>
        <v>0.70710678118654735</v>
      </c>
    </row>
    <row r="302" spans="2:4" x14ac:dyDescent="0.25">
      <c r="B302" s="521">
        <v>46</v>
      </c>
      <c r="C302" s="522">
        <f t="shared" ca="1" si="10"/>
        <v>0.09980120294367943</v>
      </c>
      <c r="D302" s="523">
        <f t="shared" ca="1" si="11"/>
        <v>0.80901699437494723</v>
      </c>
    </row>
    <row r="303" spans="2:4" x14ac:dyDescent="0.25">
      <c r="B303" s="521">
        <v>47</v>
      </c>
      <c r="C303" s="522">
        <f t="shared" ca="1" si="10"/>
        <v>0.1019707943120203</v>
      </c>
      <c r="D303" s="523">
        <f t="shared" ca="1" si="11"/>
        <v>0.89100652418836768</v>
      </c>
    </row>
    <row r="304" spans="2:4" x14ac:dyDescent="0.25">
      <c r="B304" s="521">
        <v>48</v>
      </c>
      <c r="C304" s="522">
        <f t="shared" ca="1" si="10"/>
        <v>0.10414038568036114</v>
      </c>
      <c r="D304" s="523">
        <f t="shared" ca="1" si="11"/>
        <v>0.9510565162951532</v>
      </c>
    </row>
    <row r="305" spans="2:4" x14ac:dyDescent="0.25">
      <c r="B305" s="521">
        <v>49</v>
      </c>
      <c r="C305" s="522">
        <f t="shared" ca="1" si="10"/>
        <v>0.10630997704870201</v>
      </c>
      <c r="D305" s="523">
        <f t="shared" ca="1" si="11"/>
        <v>0.98768834059513777</v>
      </c>
    </row>
    <row r="306" spans="2:4" x14ac:dyDescent="0.25">
      <c r="B306" s="521">
        <v>50</v>
      </c>
      <c r="C306" s="522">
        <f t="shared" ca="1" si="10"/>
        <v>0.10847956841704287</v>
      </c>
      <c r="D306" s="523">
        <f t="shared" ca="1" si="11"/>
        <v>1</v>
      </c>
    </row>
    <row r="307" spans="2:4" x14ac:dyDescent="0.25">
      <c r="B307" s="521">
        <v>51</v>
      </c>
      <c r="C307" s="522">
        <f t="shared" ca="1" si="10"/>
        <v>0.11064915978538371</v>
      </c>
      <c r="D307" s="523">
        <f t="shared" ca="1" si="11"/>
        <v>0.98768834059513788</v>
      </c>
    </row>
    <row r="308" spans="2:4" x14ac:dyDescent="0.25">
      <c r="B308" s="521">
        <v>52</v>
      </c>
      <c r="C308" s="522">
        <f t="shared" ca="1" si="10"/>
        <v>0.11281875115372458</v>
      </c>
      <c r="D308" s="523">
        <f t="shared" ca="1" si="11"/>
        <v>0.95105651629515364</v>
      </c>
    </row>
    <row r="309" spans="2:4" x14ac:dyDescent="0.25">
      <c r="B309" s="521">
        <v>53</v>
      </c>
      <c r="C309" s="522">
        <f t="shared" ca="1" si="10"/>
        <v>0.11498834252206544</v>
      </c>
      <c r="D309" s="523">
        <f t="shared" ca="1" si="11"/>
        <v>0.89100652418836845</v>
      </c>
    </row>
    <row r="310" spans="2:4" x14ac:dyDescent="0.25">
      <c r="B310" s="521">
        <v>54</v>
      </c>
      <c r="C310" s="522">
        <f t="shared" ca="1" si="10"/>
        <v>0.1171579338904063</v>
      </c>
      <c r="D310" s="523">
        <f t="shared" ca="1" si="11"/>
        <v>0.80901699437494656</v>
      </c>
    </row>
    <row r="311" spans="2:4" x14ac:dyDescent="0.25">
      <c r="B311" s="521">
        <v>55</v>
      </c>
      <c r="C311" s="522">
        <f t="shared" ca="1" si="10"/>
        <v>0.11932752525874715</v>
      </c>
      <c r="D311" s="523">
        <f t="shared" ca="1" si="11"/>
        <v>0.70710678118654713</v>
      </c>
    </row>
    <row r="312" spans="2:4" x14ac:dyDescent="0.25">
      <c r="B312" s="521">
        <v>56</v>
      </c>
      <c r="C312" s="522">
        <f t="shared" ca="1" si="10"/>
        <v>0.121497116627088</v>
      </c>
      <c r="D312" s="523">
        <f t="shared" ca="1" si="11"/>
        <v>0.58778525229247336</v>
      </c>
    </row>
    <row r="313" spans="2:4" x14ac:dyDescent="0.25">
      <c r="B313" s="521">
        <v>57</v>
      </c>
      <c r="C313" s="522">
        <f t="shared" ca="1" si="10"/>
        <v>0.12366670799542887</v>
      </c>
      <c r="D313" s="523">
        <f t="shared" ca="1" si="11"/>
        <v>0.4539904997395463</v>
      </c>
    </row>
    <row r="314" spans="2:4" x14ac:dyDescent="0.25">
      <c r="B314" s="521">
        <v>58</v>
      </c>
      <c r="C314" s="522">
        <f t="shared" ca="1" si="10"/>
        <v>0.12583629936376972</v>
      </c>
      <c r="D314" s="523">
        <f t="shared" ca="1" si="11"/>
        <v>0.30901699437494778</v>
      </c>
    </row>
    <row r="315" spans="2:4" x14ac:dyDescent="0.25">
      <c r="B315" s="521">
        <v>59</v>
      </c>
      <c r="C315" s="522">
        <f t="shared" ca="1" si="10"/>
        <v>0.12800589073211058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0.13017548210045143</v>
      </c>
      <c r="D316" s="523">
        <f t="shared" ca="1" si="11"/>
        <v>-1.4088123029276645E-15</v>
      </c>
    </row>
    <row r="317" spans="2:4" x14ac:dyDescent="0.25">
      <c r="B317" s="521">
        <v>61</v>
      </c>
      <c r="C317" s="522">
        <f t="shared" ca="1" si="10"/>
        <v>0.1323450734687923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0.13451466483713315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0.136684256205474</v>
      </c>
      <c r="D319" s="523">
        <f t="shared" ca="1" si="11"/>
        <v>-0.45399049973954564</v>
      </c>
    </row>
    <row r="320" spans="2:4" x14ac:dyDescent="0.25">
      <c r="B320" s="521">
        <v>64</v>
      </c>
      <c r="C320" s="522">
        <f t="shared" ref="C320:C376" ca="1" si="12">B320/40/$C$29</f>
        <v>0.1388538475738149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0.14102343894215572</v>
      </c>
      <c r="D321" s="523">
        <f t="shared" ca="1" si="13"/>
        <v>-0.70710678118654791</v>
      </c>
    </row>
    <row r="322" spans="2:4" x14ac:dyDescent="0.25">
      <c r="B322" s="521">
        <v>66</v>
      </c>
      <c r="C322" s="522">
        <f t="shared" ca="1" si="12"/>
        <v>0.14319303031049657</v>
      </c>
      <c r="D322" s="523">
        <f t="shared" ca="1" si="13"/>
        <v>-0.80901699437494723</v>
      </c>
    </row>
    <row r="323" spans="2:4" x14ac:dyDescent="0.25">
      <c r="B323" s="521">
        <v>67</v>
      </c>
      <c r="C323" s="522">
        <f t="shared" ca="1" si="12"/>
        <v>0.14536262167883746</v>
      </c>
      <c r="D323" s="523">
        <f t="shared" ca="1" si="13"/>
        <v>-0.89100652418836812</v>
      </c>
    </row>
    <row r="324" spans="2:4" x14ac:dyDescent="0.25">
      <c r="B324" s="521">
        <v>68</v>
      </c>
      <c r="C324" s="522">
        <f t="shared" ca="1" si="12"/>
        <v>0.14753221304717828</v>
      </c>
      <c r="D324" s="523">
        <f t="shared" ca="1" si="13"/>
        <v>-0.95105651629515342</v>
      </c>
    </row>
    <row r="325" spans="2:4" x14ac:dyDescent="0.25">
      <c r="B325" s="521">
        <v>69</v>
      </c>
      <c r="C325" s="522">
        <f t="shared" ca="1" si="12"/>
        <v>0.14970180441551917</v>
      </c>
      <c r="D325" s="523">
        <f t="shared" ca="1" si="13"/>
        <v>-0.98768834059513777</v>
      </c>
    </row>
    <row r="326" spans="2:4" x14ac:dyDescent="0.25">
      <c r="B326" s="521">
        <v>70</v>
      </c>
      <c r="C326" s="522">
        <f t="shared" ca="1" si="12"/>
        <v>0.15187139578386002</v>
      </c>
      <c r="D326" s="523">
        <f t="shared" ca="1" si="13"/>
        <v>-1</v>
      </c>
    </row>
    <row r="327" spans="2:4" x14ac:dyDescent="0.25">
      <c r="B327" s="521">
        <v>71</v>
      </c>
      <c r="C327" s="522">
        <f t="shared" ca="1" si="12"/>
        <v>0.15404098715220085</v>
      </c>
      <c r="D327" s="523">
        <f t="shared" ca="1" si="13"/>
        <v>-0.98768834059513788</v>
      </c>
    </row>
    <row r="328" spans="2:4" x14ac:dyDescent="0.25">
      <c r="B328" s="521">
        <v>72</v>
      </c>
      <c r="C328" s="522">
        <f t="shared" ca="1" si="12"/>
        <v>0.15621057852054174</v>
      </c>
      <c r="D328" s="523">
        <f t="shared" ca="1" si="13"/>
        <v>-0.95105651629515375</v>
      </c>
    </row>
    <row r="329" spans="2:4" x14ac:dyDescent="0.25">
      <c r="B329" s="521">
        <v>73</v>
      </c>
      <c r="C329" s="522">
        <f t="shared" ca="1" si="12"/>
        <v>0.15838016988888257</v>
      </c>
      <c r="D329" s="523">
        <f t="shared" ca="1" si="13"/>
        <v>-0.89100652418836845</v>
      </c>
    </row>
    <row r="330" spans="2:4" x14ac:dyDescent="0.25">
      <c r="B330" s="521">
        <v>74</v>
      </c>
      <c r="C330" s="522">
        <f t="shared" ca="1" si="12"/>
        <v>0.16054976125722345</v>
      </c>
      <c r="D330" s="523">
        <f t="shared" ca="1" si="13"/>
        <v>-0.80901699437494767</v>
      </c>
    </row>
    <row r="331" spans="2:4" x14ac:dyDescent="0.25">
      <c r="B331" s="521">
        <v>75</v>
      </c>
      <c r="C331" s="522">
        <f t="shared" ca="1" si="12"/>
        <v>0.1627193526255643</v>
      </c>
      <c r="D331" s="523">
        <f t="shared" ca="1" si="13"/>
        <v>-0.70710678118654724</v>
      </c>
    </row>
    <row r="332" spans="2:4" x14ac:dyDescent="0.25">
      <c r="B332" s="521">
        <v>76</v>
      </c>
      <c r="C332" s="522">
        <f t="shared" ca="1" si="12"/>
        <v>0.16488894399390513</v>
      </c>
      <c r="D332" s="523">
        <f t="shared" ca="1" si="13"/>
        <v>-0.58778525229247347</v>
      </c>
    </row>
    <row r="333" spans="2:4" x14ac:dyDescent="0.25">
      <c r="B333" s="521">
        <v>77</v>
      </c>
      <c r="C333" s="522">
        <f t="shared" ca="1" si="12"/>
        <v>0.16705853536224602</v>
      </c>
      <c r="D333" s="523">
        <f t="shared" ca="1" si="13"/>
        <v>-0.45399049973954642</v>
      </c>
    </row>
    <row r="334" spans="2:4" x14ac:dyDescent="0.25">
      <c r="B334" s="521">
        <v>78</v>
      </c>
      <c r="C334" s="522">
        <f t="shared" ca="1" si="12"/>
        <v>0.16922812673058688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0.17139771809892773</v>
      </c>
      <c r="D335" s="523">
        <f t="shared" ca="1" si="13"/>
        <v>-0.15643446504023048</v>
      </c>
    </row>
    <row r="336" spans="2:4" x14ac:dyDescent="0.25">
      <c r="B336" s="521">
        <v>80</v>
      </c>
      <c r="C336" s="522">
        <f t="shared" ca="1" si="12"/>
        <v>0.1735673094672686</v>
      </c>
      <c r="D336" s="523">
        <f t="shared" ca="1" si="13"/>
        <v>-4.90059381963448E-16</v>
      </c>
    </row>
    <row r="337" spans="2:4" x14ac:dyDescent="0.25">
      <c r="B337" s="521">
        <v>81</v>
      </c>
      <c r="C337" s="522">
        <f t="shared" ca="1" si="12"/>
        <v>0.17573690083560944</v>
      </c>
      <c r="D337" s="523">
        <f t="shared" ca="1" si="13"/>
        <v>0.15643446504022951</v>
      </c>
    </row>
    <row r="338" spans="2:4" x14ac:dyDescent="0.25">
      <c r="B338" s="521">
        <v>82</v>
      </c>
      <c r="C338" s="522">
        <f t="shared" ca="1" si="12"/>
        <v>0.17790649220395027</v>
      </c>
      <c r="D338" s="523">
        <f t="shared" ca="1" si="13"/>
        <v>0.30901699437494695</v>
      </c>
    </row>
    <row r="339" spans="2:4" x14ac:dyDescent="0.25">
      <c r="B339" s="521">
        <v>83</v>
      </c>
      <c r="C339" s="522">
        <f t="shared" ca="1" si="12"/>
        <v>0.18007608357229118</v>
      </c>
      <c r="D339" s="523">
        <f t="shared" ca="1" si="13"/>
        <v>0.45399049973954869</v>
      </c>
    </row>
    <row r="340" spans="2:4" x14ac:dyDescent="0.25">
      <c r="B340" s="521">
        <v>84</v>
      </c>
      <c r="C340" s="522">
        <f t="shared" ca="1" si="12"/>
        <v>0.182245674940632</v>
      </c>
      <c r="D340" s="523">
        <f t="shared" ca="1" si="13"/>
        <v>0.58778525229247269</v>
      </c>
    </row>
    <row r="341" spans="2:4" x14ac:dyDescent="0.25">
      <c r="B341" s="521">
        <v>85</v>
      </c>
      <c r="C341" s="522">
        <f t="shared" ca="1" si="12"/>
        <v>0.18441526630897287</v>
      </c>
      <c r="D341" s="523">
        <f t="shared" ca="1" si="13"/>
        <v>0.70710678118654779</v>
      </c>
    </row>
    <row r="342" spans="2:4" x14ac:dyDescent="0.25">
      <c r="B342" s="521">
        <v>86</v>
      </c>
      <c r="C342" s="522">
        <f t="shared" ca="1" si="12"/>
        <v>0.18658485767731373</v>
      </c>
      <c r="D342" s="523">
        <f t="shared" ca="1" si="13"/>
        <v>0.80901699437494612</v>
      </c>
    </row>
    <row r="343" spans="2:4" x14ac:dyDescent="0.25">
      <c r="B343" s="521">
        <v>87</v>
      </c>
      <c r="C343" s="522">
        <f t="shared" ca="1" si="12"/>
        <v>0.18875444904565458</v>
      </c>
      <c r="D343" s="523">
        <f t="shared" ca="1" si="13"/>
        <v>0.89100652418836723</v>
      </c>
    </row>
    <row r="344" spans="2:4" x14ac:dyDescent="0.25">
      <c r="B344" s="521">
        <v>88</v>
      </c>
      <c r="C344" s="522">
        <f t="shared" ca="1" si="12"/>
        <v>0.19092404041399547</v>
      </c>
      <c r="D344" s="523">
        <f t="shared" ca="1" si="13"/>
        <v>0.95105651629515398</v>
      </c>
    </row>
    <row r="345" spans="2:4" x14ac:dyDescent="0.25">
      <c r="B345" s="521">
        <v>89</v>
      </c>
      <c r="C345" s="522">
        <f t="shared" ca="1" si="12"/>
        <v>0.1930936317823363</v>
      </c>
      <c r="D345" s="523">
        <f t="shared" ca="1" si="13"/>
        <v>0.98768834059513777</v>
      </c>
    </row>
    <row r="346" spans="2:4" x14ac:dyDescent="0.25">
      <c r="B346" s="521">
        <v>90</v>
      </c>
      <c r="C346" s="522">
        <f t="shared" ca="1" si="12"/>
        <v>0.19526322315067715</v>
      </c>
      <c r="D346" s="523">
        <f t="shared" ca="1" si="13"/>
        <v>1</v>
      </c>
    </row>
    <row r="347" spans="2:4" x14ac:dyDescent="0.25">
      <c r="B347" s="521">
        <v>91</v>
      </c>
      <c r="C347" s="522">
        <f t="shared" ca="1" si="12"/>
        <v>0.197432814519018</v>
      </c>
      <c r="D347" s="523">
        <f t="shared" ca="1" si="13"/>
        <v>0.98768834059513799</v>
      </c>
    </row>
    <row r="348" spans="2:4" x14ac:dyDescent="0.25">
      <c r="B348" s="521">
        <v>92</v>
      </c>
      <c r="C348" s="522">
        <f t="shared" ca="1" si="12"/>
        <v>0.19960240588735886</v>
      </c>
      <c r="D348" s="523">
        <f t="shared" ca="1" si="13"/>
        <v>0.95105651629515375</v>
      </c>
    </row>
    <row r="349" spans="2:4" x14ac:dyDescent="0.25">
      <c r="B349" s="521">
        <v>93</v>
      </c>
      <c r="C349" s="522">
        <f t="shared" ca="1" si="12"/>
        <v>0.20177199725569975</v>
      </c>
      <c r="D349" s="523">
        <f t="shared" ca="1" si="13"/>
        <v>0.8910065241883669</v>
      </c>
    </row>
    <row r="350" spans="2:4" x14ac:dyDescent="0.25">
      <c r="B350" s="521">
        <v>94</v>
      </c>
      <c r="C350" s="522">
        <f t="shared" ca="1" si="12"/>
        <v>0.2039415886240406</v>
      </c>
      <c r="D350" s="523">
        <f t="shared" ca="1" si="13"/>
        <v>0.80901699437494778</v>
      </c>
    </row>
    <row r="351" spans="2:4" x14ac:dyDescent="0.25">
      <c r="B351" s="521">
        <v>95</v>
      </c>
      <c r="C351" s="522">
        <f t="shared" ca="1" si="12"/>
        <v>0.20611117999238143</v>
      </c>
      <c r="D351" s="523">
        <f t="shared" ca="1" si="13"/>
        <v>0.70710678118654735</v>
      </c>
    </row>
    <row r="352" spans="2:4" x14ac:dyDescent="0.25">
      <c r="B352" s="521">
        <v>96</v>
      </c>
      <c r="C352" s="522">
        <f t="shared" ca="1" si="12"/>
        <v>0.2082807713607223</v>
      </c>
      <c r="D352" s="523">
        <f t="shared" ca="1" si="13"/>
        <v>0.58778525229247502</v>
      </c>
    </row>
    <row r="353" spans="2:4" x14ac:dyDescent="0.25">
      <c r="B353" s="521">
        <v>97</v>
      </c>
      <c r="C353" s="522">
        <f t="shared" ca="1" si="12"/>
        <v>0.21045036272906315</v>
      </c>
      <c r="D353" s="523">
        <f t="shared" ca="1" si="13"/>
        <v>0.45399049973954814</v>
      </c>
    </row>
    <row r="354" spans="2:4" x14ac:dyDescent="0.25">
      <c r="B354" s="521">
        <v>98</v>
      </c>
      <c r="C354" s="522">
        <f t="shared" ca="1" si="12"/>
        <v>0.21261995409740403</v>
      </c>
      <c r="D354" s="523">
        <f t="shared" ca="1" si="13"/>
        <v>0.30901699437494629</v>
      </c>
    </row>
    <row r="355" spans="2:4" x14ac:dyDescent="0.25">
      <c r="B355" s="521">
        <v>99</v>
      </c>
      <c r="C355" s="522">
        <f t="shared" ca="1" si="12"/>
        <v>0.21478954546574489</v>
      </c>
      <c r="D355" s="523">
        <f t="shared" ca="1" si="13"/>
        <v>0.15643446504023059</v>
      </c>
    </row>
    <row r="356" spans="2:4" x14ac:dyDescent="0.25">
      <c r="B356" s="521">
        <v>100</v>
      </c>
      <c r="C356" s="522">
        <f t="shared" ca="1" si="12"/>
        <v>0.21695913683408574</v>
      </c>
      <c r="D356" s="523">
        <f t="shared" ca="1" si="13"/>
        <v>6.1257422745431001E-16</v>
      </c>
    </row>
    <row r="357" spans="2:4" x14ac:dyDescent="0.25">
      <c r="B357" s="521">
        <v>101</v>
      </c>
      <c r="C357" s="522">
        <f t="shared" ca="1" si="12"/>
        <v>0.21912872820242657</v>
      </c>
      <c r="D357" s="523">
        <f t="shared" ca="1" si="13"/>
        <v>-0.15643446504023115</v>
      </c>
    </row>
    <row r="358" spans="2:4" x14ac:dyDescent="0.25">
      <c r="B358" s="521">
        <v>102</v>
      </c>
      <c r="C358" s="522">
        <f t="shared" ca="1" si="12"/>
        <v>0.22129831957076743</v>
      </c>
      <c r="D358" s="523">
        <f t="shared" ca="1" si="13"/>
        <v>-0.30901699437494512</v>
      </c>
    </row>
    <row r="359" spans="2:4" x14ac:dyDescent="0.25">
      <c r="B359" s="521">
        <v>103</v>
      </c>
      <c r="C359" s="522">
        <f t="shared" ca="1" si="12"/>
        <v>0.2234679109391083</v>
      </c>
      <c r="D359" s="523">
        <f t="shared" ca="1" si="13"/>
        <v>-0.45399049973954858</v>
      </c>
    </row>
    <row r="360" spans="2:4" x14ac:dyDescent="0.25">
      <c r="B360" s="521">
        <v>104</v>
      </c>
      <c r="C360" s="522">
        <f t="shared" ca="1" si="12"/>
        <v>0.22563750230744917</v>
      </c>
      <c r="D360" s="523">
        <f t="shared" ca="1" si="13"/>
        <v>-0.58778525229247258</v>
      </c>
    </row>
    <row r="361" spans="2:4" x14ac:dyDescent="0.25">
      <c r="B361" s="521">
        <v>105</v>
      </c>
      <c r="C361" s="522">
        <f t="shared" ca="1" si="12"/>
        <v>0.22780709367579002</v>
      </c>
      <c r="D361" s="523">
        <f t="shared" ca="1" si="13"/>
        <v>-0.70710678118654768</v>
      </c>
    </row>
    <row r="362" spans="2:4" x14ac:dyDescent="0.25">
      <c r="B362" s="521">
        <v>106</v>
      </c>
      <c r="C362" s="522">
        <f t="shared" ca="1" si="12"/>
        <v>0.22997668504413088</v>
      </c>
      <c r="D362" s="523">
        <f t="shared" ca="1" si="13"/>
        <v>-0.80901699437494601</v>
      </c>
    </row>
    <row r="363" spans="2:4" x14ac:dyDescent="0.25">
      <c r="B363" s="521">
        <v>107</v>
      </c>
      <c r="C363" s="522">
        <f t="shared" ca="1" si="12"/>
        <v>0.2321462764124717</v>
      </c>
      <c r="D363" s="523">
        <f t="shared" ca="1" si="13"/>
        <v>-0.89100652418836712</v>
      </c>
    </row>
    <row r="364" spans="2:4" x14ac:dyDescent="0.25">
      <c r="B364" s="521">
        <v>108</v>
      </c>
      <c r="C364" s="522">
        <f t="shared" ca="1" si="12"/>
        <v>0.2343158677808126</v>
      </c>
      <c r="D364" s="523">
        <f t="shared" ca="1" si="13"/>
        <v>-0.95105651629515442</v>
      </c>
    </row>
    <row r="365" spans="2:4" x14ac:dyDescent="0.25">
      <c r="B365" s="521">
        <v>109</v>
      </c>
      <c r="C365" s="522">
        <f t="shared" ca="1" si="12"/>
        <v>0.23648545914915345</v>
      </c>
      <c r="D365" s="523">
        <f t="shared" ca="1" si="13"/>
        <v>-0.98768834059513777</v>
      </c>
    </row>
    <row r="366" spans="2:4" x14ac:dyDescent="0.25">
      <c r="B366" s="521">
        <v>110</v>
      </c>
      <c r="C366" s="522">
        <f t="shared" ca="1" si="12"/>
        <v>0.2386550505174943</v>
      </c>
      <c r="D366" s="523">
        <f t="shared" ca="1" si="13"/>
        <v>-1</v>
      </c>
    </row>
    <row r="367" spans="2:4" x14ac:dyDescent="0.25">
      <c r="B367" s="521">
        <v>111</v>
      </c>
      <c r="C367" s="522">
        <f t="shared" ca="1" si="12"/>
        <v>0.24082464188583516</v>
      </c>
      <c r="D367" s="523">
        <f t="shared" ca="1" si="13"/>
        <v>-0.98768834059513799</v>
      </c>
    </row>
    <row r="368" spans="2:4" x14ac:dyDescent="0.25">
      <c r="B368" s="521">
        <v>112</v>
      </c>
      <c r="C368" s="522">
        <f t="shared" ca="1" si="12"/>
        <v>0.242994233254176</v>
      </c>
      <c r="D368" s="523">
        <f t="shared" ca="1" si="13"/>
        <v>-0.95105651629515375</v>
      </c>
    </row>
    <row r="369" spans="2:4" x14ac:dyDescent="0.25">
      <c r="B369" s="521">
        <v>113</v>
      </c>
      <c r="C369" s="522">
        <f t="shared" ca="1" si="12"/>
        <v>0.2451638246225169</v>
      </c>
      <c r="D369" s="523">
        <f t="shared" ca="1" si="13"/>
        <v>-0.89100652418836779</v>
      </c>
    </row>
    <row r="370" spans="2:4" x14ac:dyDescent="0.25">
      <c r="B370" s="521">
        <v>114</v>
      </c>
      <c r="C370" s="522">
        <f t="shared" ca="1" si="12"/>
        <v>0.24733341599085773</v>
      </c>
      <c r="D370" s="523">
        <f t="shared" ca="1" si="13"/>
        <v>-0.80901699437494679</v>
      </c>
    </row>
    <row r="371" spans="2:4" x14ac:dyDescent="0.25">
      <c r="B371" s="521">
        <v>115</v>
      </c>
      <c r="C371" s="522">
        <f t="shared" ca="1" si="12"/>
        <v>0.2495030073591986</v>
      </c>
      <c r="D371" s="523">
        <f t="shared" ca="1" si="13"/>
        <v>-0.70710678118654868</v>
      </c>
    </row>
    <row r="372" spans="2:4" x14ac:dyDescent="0.25">
      <c r="B372" s="521">
        <v>116</v>
      </c>
      <c r="C372" s="522">
        <f t="shared" ca="1" si="12"/>
        <v>0.25167259872753944</v>
      </c>
      <c r="D372" s="523">
        <f t="shared" ca="1" si="13"/>
        <v>-0.58778525229247369</v>
      </c>
    </row>
    <row r="373" spans="2:4" x14ac:dyDescent="0.25">
      <c r="B373" s="521">
        <v>117</v>
      </c>
      <c r="C373" s="522">
        <f t="shared" ca="1" si="12"/>
        <v>0.25384219009588027</v>
      </c>
      <c r="D373" s="523">
        <f t="shared" ca="1" si="13"/>
        <v>-0.45399049973954664</v>
      </c>
    </row>
    <row r="374" spans="2:4" x14ac:dyDescent="0.25">
      <c r="B374" s="521">
        <v>118</v>
      </c>
      <c r="C374" s="522">
        <f t="shared" ca="1" si="12"/>
        <v>0.25601178146422116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0.25818137283256204</v>
      </c>
      <c r="D375" s="523">
        <f t="shared" ca="1" si="13"/>
        <v>-0.15643446504023248</v>
      </c>
    </row>
    <row r="376" spans="2:4" x14ac:dyDescent="0.25">
      <c r="B376" s="521">
        <v>120</v>
      </c>
      <c r="C376" s="522">
        <f t="shared" ca="1" si="12"/>
        <v>0.26035096420090287</v>
      </c>
      <c r="D376" s="523">
        <f t="shared" ca="1" si="13"/>
        <v>2.8176246058553289E-15</v>
      </c>
    </row>
    <row r="379" spans="2:4" x14ac:dyDescent="0.25">
      <c r="B379" s="516" t="s">
        <v>1134</v>
      </c>
    </row>
    <row r="380" spans="2:4" x14ac:dyDescent="0.25">
      <c r="B380" s="516" t="s">
        <v>1131</v>
      </c>
      <c r="C380" s="516" t="s">
        <v>1132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</v>
      </c>
    </row>
    <row r="382" spans="2:4" x14ac:dyDescent="0.25">
      <c r="B382" s="521">
        <v>1</v>
      </c>
      <c r="C382" s="522">
        <f t="shared" ca="1" si="14"/>
        <v>0.0039595810085719454</v>
      </c>
      <c r="D382" s="523">
        <f t="shared" ca="1" si="15"/>
        <v>0.15643446504023087</v>
      </c>
    </row>
    <row r="383" spans="2:4" x14ac:dyDescent="0.25">
      <c r="B383" s="521">
        <v>2</v>
      </c>
      <c r="C383" s="522">
        <f t="shared" ca="1" si="14"/>
        <v>0.007919162017143891</v>
      </c>
      <c r="D383" s="523">
        <f t="shared" ca="1" si="15"/>
        <v>0.3090169943749474</v>
      </c>
    </row>
    <row r="384" spans="2:4" x14ac:dyDescent="0.25">
      <c r="B384" s="521">
        <v>3</v>
      </c>
      <c r="C384" s="522">
        <f t="shared" ca="1" si="14"/>
        <v>0.011878743025715835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0.015838324034287782</v>
      </c>
      <c r="D385" s="523">
        <f t="shared" ca="1" si="15"/>
        <v>0.58778525229247314</v>
      </c>
    </row>
    <row r="386" spans="2:4" x14ac:dyDescent="0.25">
      <c r="B386" s="521">
        <v>5</v>
      </c>
      <c r="C386" s="522">
        <f t="shared" ca="1" si="14"/>
        <v>0.019797905042859724</v>
      </c>
      <c r="D386" s="523">
        <f t="shared" ca="1" si="15"/>
        <v>0.70710678118654746</v>
      </c>
    </row>
    <row r="387" spans="2:4" x14ac:dyDescent="0.25">
      <c r="B387" s="521">
        <v>6</v>
      </c>
      <c r="C387" s="522">
        <f t="shared" ca="1" si="14"/>
        <v>0.02375748605143167</v>
      </c>
      <c r="D387" s="523">
        <f t="shared" ca="1" si="15"/>
        <v>0.80901699437494734</v>
      </c>
    </row>
    <row r="388" spans="2:4" x14ac:dyDescent="0.25">
      <c r="B388" s="521">
        <v>7</v>
      </c>
      <c r="C388" s="522">
        <f t="shared" ca="1" si="14"/>
        <v>0.027717067060003615</v>
      </c>
      <c r="D388" s="523">
        <f t="shared" ca="1" si="15"/>
        <v>0.89100652418836779</v>
      </c>
    </row>
    <row r="389" spans="2:4" x14ac:dyDescent="0.25">
      <c r="B389" s="521">
        <v>8</v>
      </c>
      <c r="C389" s="522">
        <f t="shared" ca="1" si="14"/>
        <v>0.031676648068575564</v>
      </c>
      <c r="D389" s="523">
        <f t="shared" ca="1" si="15"/>
        <v>0.95105651629515353</v>
      </c>
    </row>
    <row r="390" spans="2:4" x14ac:dyDescent="0.25">
      <c r="B390" s="521">
        <v>9</v>
      </c>
      <c r="C390" s="522">
        <f t="shared" ca="1" si="14"/>
        <v>0.03563622907714751</v>
      </c>
      <c r="D390" s="523">
        <f t="shared" ca="1" si="15"/>
        <v>0.98768834059513777</v>
      </c>
    </row>
    <row r="391" spans="2:4" x14ac:dyDescent="0.25">
      <c r="B391" s="521">
        <v>10</v>
      </c>
      <c r="C391" s="522">
        <f t="shared" ca="1" si="14"/>
        <v>0.03959581008571945</v>
      </c>
      <c r="D391" s="523">
        <f t="shared" ca="1" si="15"/>
        <v>1</v>
      </c>
    </row>
    <row r="392" spans="2:4" x14ac:dyDescent="0.25">
      <c r="B392" s="521">
        <v>11</v>
      </c>
      <c r="C392" s="522">
        <f t="shared" ca="1" si="14"/>
        <v>0.0435553910942914</v>
      </c>
      <c r="D392" s="523">
        <f t="shared" ca="1" si="15"/>
        <v>0.98768834059513777</v>
      </c>
    </row>
    <row r="393" spans="2:4" x14ac:dyDescent="0.25">
      <c r="B393" s="521">
        <v>12</v>
      </c>
      <c r="C393" s="522">
        <f t="shared" ca="1" si="14"/>
        <v>0.04751497210286334</v>
      </c>
      <c r="D393" s="523">
        <f t="shared" ca="1" si="15"/>
        <v>0.95105651629515364</v>
      </c>
    </row>
    <row r="394" spans="2:4" x14ac:dyDescent="0.25">
      <c r="B394" s="521">
        <v>13</v>
      </c>
      <c r="C394" s="522">
        <f t="shared" ca="1" si="14"/>
        <v>0.051474553111435284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0.05543413412000723</v>
      </c>
      <c r="D395" s="523">
        <f t="shared" ca="1" si="15"/>
        <v>0.80901699437494778</v>
      </c>
    </row>
    <row r="396" spans="2:4" x14ac:dyDescent="0.25">
      <c r="B396" s="521">
        <v>15</v>
      </c>
      <c r="C396" s="522">
        <f t="shared" ca="1" si="14"/>
        <v>0.059393715128579175</v>
      </c>
      <c r="D396" s="523">
        <f t="shared" ca="1" si="15"/>
        <v>0.70710678118654791</v>
      </c>
    </row>
    <row r="397" spans="2:4" x14ac:dyDescent="0.25">
      <c r="B397" s="521">
        <v>16</v>
      </c>
      <c r="C397" s="522">
        <f t="shared" ca="1" si="14"/>
        <v>0.06335329613715113</v>
      </c>
      <c r="D397" s="523">
        <f t="shared" ca="1" si="15"/>
        <v>0.58778525229247325</v>
      </c>
    </row>
    <row r="398" spans="2:4" x14ac:dyDescent="0.25">
      <c r="B398" s="521">
        <v>17</v>
      </c>
      <c r="C398" s="522">
        <f t="shared" ca="1" si="14"/>
        <v>0.06731287714572307</v>
      </c>
      <c r="D398" s="523">
        <f t="shared" ca="1" si="15"/>
        <v>0.4539904997395473</v>
      </c>
    </row>
    <row r="399" spans="2:4" x14ac:dyDescent="0.25">
      <c r="B399" s="521">
        <v>18</v>
      </c>
      <c r="C399" s="522">
        <f t="shared" ca="1" si="14"/>
        <v>0.07127245815429502</v>
      </c>
      <c r="D399" s="523">
        <f t="shared" ca="1" si="15"/>
        <v>0.30901699437494751</v>
      </c>
    </row>
    <row r="400" spans="2:4" x14ac:dyDescent="0.25">
      <c r="B400" s="521">
        <v>19</v>
      </c>
      <c r="C400" s="522">
        <f t="shared" ca="1" si="14"/>
        <v>0.07523203916286696</v>
      </c>
      <c r="D400" s="523">
        <f t="shared" ca="1" si="15"/>
        <v>0.15643446504023142</v>
      </c>
    </row>
    <row r="401" spans="2:4" x14ac:dyDescent="0.25">
      <c r="B401" s="521">
        <v>20</v>
      </c>
      <c r="C401" s="522">
        <f t="shared" ca="1" si="14"/>
        <v>0.0791916201714389</v>
      </c>
      <c r="D401" s="523">
        <f t="shared" ca="1" si="15"/>
        <v>1.22514845490862E-16</v>
      </c>
    </row>
    <row r="402" spans="2:4" x14ac:dyDescent="0.25">
      <c r="B402" s="521">
        <v>21</v>
      </c>
      <c r="C402" s="522">
        <f t="shared" ca="1" si="14"/>
        <v>0.08315120118001085</v>
      </c>
      <c r="D402" s="523">
        <f t="shared" ca="1" si="15"/>
        <v>-0.15643446504023031</v>
      </c>
    </row>
    <row r="403" spans="2:4" x14ac:dyDescent="0.25">
      <c r="B403" s="521">
        <v>22</v>
      </c>
      <c r="C403" s="522">
        <f t="shared" ca="1" si="14"/>
        <v>0.0871107821885828</v>
      </c>
      <c r="D403" s="523">
        <f t="shared" ca="1" si="15"/>
        <v>-0.30901699437494728</v>
      </c>
    </row>
    <row r="404" spans="2:4" x14ac:dyDescent="0.25">
      <c r="B404" s="521">
        <v>23</v>
      </c>
      <c r="C404" s="522">
        <f t="shared" ca="1" si="14"/>
        <v>0.09107036319715472</v>
      </c>
      <c r="D404" s="523">
        <f t="shared" ca="1" si="15"/>
        <v>-0.45399049973954625</v>
      </c>
    </row>
    <row r="405" spans="2:4" x14ac:dyDescent="0.25">
      <c r="B405" s="521">
        <v>24</v>
      </c>
      <c r="C405" s="522">
        <f t="shared" ca="1" si="14"/>
        <v>0.09502994420572668</v>
      </c>
      <c r="D405" s="523">
        <f t="shared" ca="1" si="15"/>
        <v>-0.58778525229247269</v>
      </c>
    </row>
    <row r="406" spans="2:4" x14ac:dyDescent="0.25">
      <c r="B406" s="521">
        <v>25</v>
      </c>
      <c r="C406" s="522">
        <f t="shared" ca="1" si="14"/>
        <v>0.09898952521429863</v>
      </c>
      <c r="D406" s="523">
        <f t="shared" ca="1" si="15"/>
        <v>-0.70710678118654713</v>
      </c>
    </row>
    <row r="407" spans="2:4" x14ac:dyDescent="0.25">
      <c r="B407" s="521">
        <v>26</v>
      </c>
      <c r="C407" s="522">
        <f t="shared" ca="1" si="14"/>
        <v>0.10294910622287057</v>
      </c>
      <c r="D407" s="523">
        <f t="shared" ca="1" si="15"/>
        <v>-0.80901699437494734</v>
      </c>
    </row>
    <row r="408" spans="2:4" x14ac:dyDescent="0.25">
      <c r="B408" s="521">
        <v>27</v>
      </c>
      <c r="C408" s="522">
        <f t="shared" ca="1" si="14"/>
        <v>0.10690868723144252</v>
      </c>
      <c r="D408" s="523">
        <f t="shared" ca="1" si="15"/>
        <v>-0.89100652418836779</v>
      </c>
    </row>
    <row r="409" spans="2:4" x14ac:dyDescent="0.25">
      <c r="B409" s="521">
        <v>28</v>
      </c>
      <c r="C409" s="522">
        <f t="shared" ca="1" si="14"/>
        <v>0.11086826824001446</v>
      </c>
      <c r="D409" s="523">
        <f t="shared" ca="1" si="15"/>
        <v>-0.9510565162951532</v>
      </c>
    </row>
    <row r="410" spans="2:4" x14ac:dyDescent="0.25">
      <c r="B410" s="521">
        <v>29</v>
      </c>
      <c r="C410" s="522">
        <f t="shared" ca="1" si="14"/>
        <v>0.1148278492485864</v>
      </c>
      <c r="D410" s="523">
        <f t="shared" ca="1" si="15"/>
        <v>-0.98768834059513766</v>
      </c>
    </row>
    <row r="411" spans="2:4" x14ac:dyDescent="0.25">
      <c r="B411" s="521">
        <v>30</v>
      </c>
      <c r="C411" s="522">
        <f t="shared" ca="1" si="14"/>
        <v>0.11878743025715835</v>
      </c>
      <c r="D411" s="523">
        <f t="shared" ca="1" si="15"/>
        <v>-1</v>
      </c>
    </row>
    <row r="412" spans="2:4" x14ac:dyDescent="0.25">
      <c r="B412" s="521">
        <v>31</v>
      </c>
      <c r="C412" s="522">
        <f t="shared" ca="1" si="14"/>
        <v>0.1227470112657303</v>
      </c>
      <c r="D412" s="523">
        <f t="shared" ca="1" si="15"/>
        <v>-0.98768834059513777</v>
      </c>
    </row>
    <row r="413" spans="2:4" x14ac:dyDescent="0.25">
      <c r="B413" s="521">
        <v>32</v>
      </c>
      <c r="C413" s="522">
        <f t="shared" ca="1" si="14"/>
        <v>0.12670659227430225</v>
      </c>
      <c r="D413" s="523">
        <f t="shared" ca="1" si="15"/>
        <v>-0.95105651629515364</v>
      </c>
    </row>
    <row r="414" spans="2:4" x14ac:dyDescent="0.25">
      <c r="B414" s="521">
        <v>33</v>
      </c>
      <c r="C414" s="522">
        <f t="shared" ca="1" si="14"/>
        <v>0.13066617328287417</v>
      </c>
      <c r="D414" s="523">
        <f t="shared" ca="1" si="15"/>
        <v>-0.89100652418836834</v>
      </c>
    </row>
    <row r="415" spans="2:4" x14ac:dyDescent="0.25">
      <c r="B415" s="521">
        <v>34</v>
      </c>
      <c r="C415" s="522">
        <f t="shared" ca="1" si="14"/>
        <v>0.13462575429144613</v>
      </c>
      <c r="D415" s="523">
        <f t="shared" ca="1" si="15"/>
        <v>-0.80901699437494812</v>
      </c>
    </row>
    <row r="416" spans="2:4" x14ac:dyDescent="0.25">
      <c r="B416" s="521">
        <v>35</v>
      </c>
      <c r="C416" s="522">
        <f t="shared" ca="1" si="14"/>
        <v>0.13858533530001807</v>
      </c>
      <c r="D416" s="523">
        <f t="shared" ca="1" si="15"/>
        <v>-0.70710678118654768</v>
      </c>
    </row>
    <row r="417" spans="2:4" x14ac:dyDescent="0.25">
      <c r="B417" s="521">
        <v>36</v>
      </c>
      <c r="C417" s="522">
        <f t="shared" ca="1" si="14"/>
        <v>0.14254491630859004</v>
      </c>
      <c r="D417" s="523">
        <f t="shared" ca="1" si="15"/>
        <v>-0.58778525229247336</v>
      </c>
    </row>
    <row r="418" spans="2:4" x14ac:dyDescent="0.25">
      <c r="B418" s="521">
        <v>37</v>
      </c>
      <c r="C418" s="522">
        <f t="shared" ca="1" si="14"/>
        <v>0.14650449731716197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0.1504640783257339</v>
      </c>
      <c r="D419" s="523">
        <f t="shared" ca="1" si="15"/>
        <v>-0.30901699437494851</v>
      </c>
    </row>
    <row r="420" spans="2:4" x14ac:dyDescent="0.25">
      <c r="B420" s="521">
        <v>39</v>
      </c>
      <c r="C420" s="522">
        <f t="shared" ca="1" si="14"/>
        <v>0.15442365933430585</v>
      </c>
      <c r="D420" s="523">
        <f t="shared" ca="1" si="15"/>
        <v>-0.15643446504023112</v>
      </c>
    </row>
    <row r="421" spans="2:4" x14ac:dyDescent="0.25">
      <c r="B421" s="521">
        <v>40</v>
      </c>
      <c r="C421" s="522">
        <f t="shared" ca="1" si="14"/>
        <v>0.1583832403428778</v>
      </c>
      <c r="D421" s="523">
        <f t="shared" ca="1" si="15"/>
        <v>-2.45029690981724E-16</v>
      </c>
    </row>
    <row r="422" spans="2:4" x14ac:dyDescent="0.25">
      <c r="B422" s="521">
        <v>41</v>
      </c>
      <c r="C422" s="522">
        <f t="shared" ca="1" si="14"/>
        <v>0.16234282135144973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0.1663024023600217</v>
      </c>
      <c r="D423" s="523">
        <f t="shared" ca="1" si="15"/>
        <v>0.30901699437494634</v>
      </c>
    </row>
    <row r="424" spans="2:4" x14ac:dyDescent="0.25">
      <c r="B424" s="521">
        <v>43</v>
      </c>
      <c r="C424" s="522">
        <f t="shared" ca="1" si="14"/>
        <v>0.17026198336859363</v>
      </c>
      <c r="D424" s="523">
        <f t="shared" ca="1" si="15"/>
        <v>0.45399049973954658</v>
      </c>
    </row>
    <row r="425" spans="2:4" x14ac:dyDescent="0.25">
      <c r="B425" s="521">
        <v>44</v>
      </c>
      <c r="C425" s="522">
        <f t="shared" ca="1" si="14"/>
        <v>0.1742215643771656</v>
      </c>
      <c r="D425" s="523">
        <f t="shared" ca="1" si="15"/>
        <v>0.58778525229247292</v>
      </c>
    </row>
    <row r="426" spans="2:4" x14ac:dyDescent="0.25">
      <c r="B426" s="521">
        <v>45</v>
      </c>
      <c r="C426" s="522">
        <f t="shared" ca="1" si="14"/>
        <v>0.1781811453857375</v>
      </c>
      <c r="D426" s="523">
        <f t="shared" ca="1" si="15"/>
        <v>0.70710678118654668</v>
      </c>
    </row>
    <row r="427" spans="2:4" x14ac:dyDescent="0.25">
      <c r="B427" s="521">
        <v>46</v>
      </c>
      <c r="C427" s="522">
        <f t="shared" ca="1" si="14"/>
        <v>0.18214072639430945</v>
      </c>
      <c r="D427" s="523">
        <f t="shared" ca="1" si="15"/>
        <v>0.80901699437494679</v>
      </c>
    </row>
    <row r="428" spans="2:4" x14ac:dyDescent="0.25">
      <c r="B428" s="521">
        <v>47</v>
      </c>
      <c r="C428" s="522">
        <f t="shared" ca="1" si="14"/>
        <v>0.18610030740288142</v>
      </c>
      <c r="D428" s="523">
        <f t="shared" ca="1" si="15"/>
        <v>0.89100652418836768</v>
      </c>
    </row>
    <row r="429" spans="2:4" x14ac:dyDescent="0.25">
      <c r="B429" s="521">
        <v>48</v>
      </c>
      <c r="C429" s="522">
        <f t="shared" ca="1" si="14"/>
        <v>0.19005988841145335</v>
      </c>
      <c r="D429" s="523">
        <f t="shared" ca="1" si="15"/>
        <v>0.9510565162951532</v>
      </c>
    </row>
    <row r="430" spans="2:4" x14ac:dyDescent="0.25">
      <c r="B430" s="521">
        <v>49</v>
      </c>
      <c r="C430" s="522">
        <f t="shared" ca="1" si="14"/>
        <v>0.19401946942002532</v>
      </c>
      <c r="D430" s="523">
        <f t="shared" ca="1" si="15"/>
        <v>0.98768834059513766</v>
      </c>
    </row>
    <row r="431" spans="2:4" x14ac:dyDescent="0.25">
      <c r="B431" s="521">
        <v>50</v>
      </c>
      <c r="C431" s="522">
        <f t="shared" ca="1" si="14"/>
        <v>0.19797905042859726</v>
      </c>
      <c r="D431" s="523">
        <f t="shared" ca="1" si="15"/>
        <v>1</v>
      </c>
    </row>
    <row r="432" spans="2:4" x14ac:dyDescent="0.25">
      <c r="B432" s="521">
        <v>51</v>
      </c>
      <c r="C432" s="522">
        <f t="shared" ca="1" si="14"/>
        <v>0.20193863143716917</v>
      </c>
      <c r="D432" s="523">
        <f t="shared" ca="1" si="15"/>
        <v>0.98768834059513788</v>
      </c>
    </row>
    <row r="433" spans="2:4" x14ac:dyDescent="0.25">
      <c r="B433" s="521">
        <v>52</v>
      </c>
      <c r="C433" s="522">
        <f t="shared" ca="1" si="14"/>
        <v>0.20589821244574114</v>
      </c>
      <c r="D433" s="523">
        <f t="shared" ca="1" si="15"/>
        <v>0.95105651629515364</v>
      </c>
    </row>
    <row r="434" spans="2:4" x14ac:dyDescent="0.25">
      <c r="B434" s="521">
        <v>53</v>
      </c>
      <c r="C434" s="522">
        <f t="shared" ca="1" si="14"/>
        <v>0.20985779345431307</v>
      </c>
      <c r="D434" s="523">
        <f t="shared" ca="1" si="15"/>
        <v>0.89100652418836845</v>
      </c>
    </row>
    <row r="435" spans="2:4" x14ac:dyDescent="0.25">
      <c r="B435" s="521">
        <v>54</v>
      </c>
      <c r="C435" s="522">
        <f t="shared" ca="1" si="14"/>
        <v>0.21381737446288504</v>
      </c>
      <c r="D435" s="523">
        <f t="shared" ca="1" si="15"/>
        <v>0.80901699437494767</v>
      </c>
    </row>
    <row r="436" spans="2:4" x14ac:dyDescent="0.25">
      <c r="B436" s="521">
        <v>55</v>
      </c>
      <c r="C436" s="522">
        <f t="shared" ca="1" si="14"/>
        <v>0.21777695547145698</v>
      </c>
      <c r="D436" s="523">
        <f t="shared" ca="1" si="15"/>
        <v>0.70710678118654835</v>
      </c>
    </row>
    <row r="437" spans="2:4" x14ac:dyDescent="0.25">
      <c r="B437" s="521">
        <v>56</v>
      </c>
      <c r="C437" s="522">
        <f t="shared" ca="1" si="14"/>
        <v>0.22173653648002892</v>
      </c>
      <c r="D437" s="523">
        <f t="shared" ca="1" si="15"/>
        <v>0.5877852522924748</v>
      </c>
    </row>
    <row r="438" spans="2:4" x14ac:dyDescent="0.25">
      <c r="B438" s="521">
        <v>57</v>
      </c>
      <c r="C438" s="522">
        <f t="shared" ca="1" si="14"/>
        <v>0.22569611748860088</v>
      </c>
      <c r="D438" s="523">
        <f t="shared" ca="1" si="15"/>
        <v>0.45399049973954791</v>
      </c>
    </row>
    <row r="439" spans="2:4" x14ac:dyDescent="0.25">
      <c r="B439" s="521">
        <v>58</v>
      </c>
      <c r="C439" s="522">
        <f t="shared" ca="1" si="14"/>
        <v>0.2296556984971728</v>
      </c>
      <c r="D439" s="523">
        <f t="shared" ca="1" si="15"/>
        <v>0.30901699437494778</v>
      </c>
    </row>
    <row r="440" spans="2:4" x14ac:dyDescent="0.25">
      <c r="B440" s="521">
        <v>59</v>
      </c>
      <c r="C440" s="522">
        <f t="shared" ca="1" si="14"/>
        <v>0.23361527950574476</v>
      </c>
      <c r="D440" s="523">
        <f t="shared" ca="1" si="15"/>
        <v>0.15643446504023209</v>
      </c>
    </row>
    <row r="441" spans="2:4" x14ac:dyDescent="0.25">
      <c r="B441" s="521">
        <v>60</v>
      </c>
      <c r="C441" s="522">
        <f t="shared" ca="1" si="14"/>
        <v>0.2375748605143167</v>
      </c>
      <c r="D441" s="523">
        <f t="shared" ca="1" si="15"/>
        <v>2.1439013758728365E-15</v>
      </c>
    </row>
    <row r="442" spans="2:4" x14ac:dyDescent="0.25">
      <c r="B442" s="521">
        <v>61</v>
      </c>
      <c r="C442" s="522">
        <f t="shared" ca="1" si="14"/>
        <v>0.24153444152288864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0.2454940225314606</v>
      </c>
      <c r="D443" s="523">
        <f t="shared" ca="1" si="15"/>
        <v>-0.30901699437494706</v>
      </c>
    </row>
    <row r="444" spans="2:4" x14ac:dyDescent="0.25">
      <c r="B444" s="521">
        <v>63</v>
      </c>
      <c r="C444" s="522">
        <f t="shared" ca="1" si="14"/>
        <v>0.24945360354003251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0.2534131845486045</v>
      </c>
      <c r="D445" s="523">
        <f t="shared" ref="D445:D501" ca="1" si="17">SIN(2*PI()*$C$50*C445)</f>
        <v>-0.5877852522924728</v>
      </c>
    </row>
    <row r="446" spans="2:4" x14ac:dyDescent="0.25">
      <c r="B446" s="521">
        <v>65</v>
      </c>
      <c r="C446" s="522">
        <f t="shared" ca="1" si="16"/>
        <v>0.2573727655571764</v>
      </c>
      <c r="D446" s="523">
        <f t="shared" ca="1" si="17"/>
        <v>-0.70710678118654791</v>
      </c>
    </row>
    <row r="447" spans="2:4" x14ac:dyDescent="0.25">
      <c r="B447" s="521">
        <v>66</v>
      </c>
      <c r="C447" s="522">
        <f t="shared" ca="1" si="16"/>
        <v>0.26133234656574833</v>
      </c>
      <c r="D447" s="523">
        <f t="shared" ca="1" si="17"/>
        <v>-0.80901699437494612</v>
      </c>
    </row>
    <row r="448" spans="2:4" x14ac:dyDescent="0.25">
      <c r="B448" s="521">
        <v>67</v>
      </c>
      <c r="C448" s="522">
        <f t="shared" ca="1" si="16"/>
        <v>0.2652919275743203</v>
      </c>
      <c r="D448" s="523">
        <f t="shared" ca="1" si="17"/>
        <v>-0.89100652418836723</v>
      </c>
    </row>
    <row r="449" spans="2:4" x14ac:dyDescent="0.25">
      <c r="B449" s="521">
        <v>68</v>
      </c>
      <c r="C449" s="522">
        <f t="shared" ca="1" si="16"/>
        <v>0.26925150858289226</v>
      </c>
      <c r="D449" s="523">
        <f t="shared" ca="1" si="17"/>
        <v>-0.95105651629515287</v>
      </c>
    </row>
    <row r="450" spans="2:4" x14ac:dyDescent="0.25">
      <c r="B450" s="521">
        <v>69</v>
      </c>
      <c r="C450" s="522">
        <f t="shared" ca="1" si="16"/>
        <v>0.27321108959146423</v>
      </c>
      <c r="D450" s="523">
        <f t="shared" ca="1" si="17"/>
        <v>-0.98768834059513755</v>
      </c>
    </row>
    <row r="451" spans="2:4" x14ac:dyDescent="0.25">
      <c r="B451" s="521">
        <v>70</v>
      </c>
      <c r="C451" s="522">
        <f t="shared" ca="1" si="16"/>
        <v>0.27717067060003614</v>
      </c>
      <c r="D451" s="523">
        <f t="shared" ca="1" si="17"/>
        <v>-1</v>
      </c>
    </row>
    <row r="452" spans="2:4" x14ac:dyDescent="0.25">
      <c r="B452" s="521">
        <v>71</v>
      </c>
      <c r="C452" s="522">
        <f t="shared" ca="1" si="16"/>
        <v>0.2811302516086081</v>
      </c>
      <c r="D452" s="523">
        <f t="shared" ca="1" si="17"/>
        <v>-0.98768834059513788</v>
      </c>
    </row>
    <row r="453" spans="2:4" x14ac:dyDescent="0.25">
      <c r="B453" s="521">
        <v>72</v>
      </c>
      <c r="C453" s="522">
        <f t="shared" ca="1" si="16"/>
        <v>0.2850898326171801</v>
      </c>
      <c r="D453" s="523">
        <f t="shared" ca="1" si="17"/>
        <v>-0.95105651629515375</v>
      </c>
    </row>
    <row r="454" spans="2:4" x14ac:dyDescent="0.25">
      <c r="B454" s="521">
        <v>73</v>
      </c>
      <c r="C454" s="522">
        <f t="shared" ca="1" si="16"/>
        <v>0.289049413625752</v>
      </c>
      <c r="D454" s="523">
        <f t="shared" ca="1" si="17"/>
        <v>-0.89100652418836923</v>
      </c>
    </row>
    <row r="455" spans="2:4" x14ac:dyDescent="0.25">
      <c r="B455" s="521">
        <v>74</v>
      </c>
      <c r="C455" s="522">
        <f t="shared" ca="1" si="16"/>
        <v>0.29300899463432395</v>
      </c>
      <c r="D455" s="523">
        <f t="shared" ca="1" si="17"/>
        <v>-0.80901699437494767</v>
      </c>
    </row>
    <row r="456" spans="2:4" x14ac:dyDescent="0.25">
      <c r="B456" s="521">
        <v>75</v>
      </c>
      <c r="C456" s="522">
        <f t="shared" ca="1" si="16"/>
        <v>0.29696857564289586</v>
      </c>
      <c r="D456" s="523">
        <f t="shared" ca="1" si="17"/>
        <v>-0.70710678118654846</v>
      </c>
    </row>
    <row r="457" spans="2:4" x14ac:dyDescent="0.25">
      <c r="B457" s="521">
        <v>76</v>
      </c>
      <c r="C457" s="522">
        <f t="shared" ca="1" si="16"/>
        <v>0.3009281566514678</v>
      </c>
      <c r="D457" s="523">
        <f t="shared" ca="1" si="17"/>
        <v>-0.58778525229247491</v>
      </c>
    </row>
    <row r="458" spans="2:4" x14ac:dyDescent="0.25">
      <c r="B458" s="521">
        <v>77</v>
      </c>
      <c r="C458" s="522">
        <f t="shared" ca="1" si="16"/>
        <v>0.3048877376600398</v>
      </c>
      <c r="D458" s="523">
        <f t="shared" ca="1" si="17"/>
        <v>-0.45399049973954803</v>
      </c>
    </row>
    <row r="459" spans="2:4" x14ac:dyDescent="0.25">
      <c r="B459" s="521">
        <v>78</v>
      </c>
      <c r="C459" s="522">
        <f t="shared" ca="1" si="16"/>
        <v>0.3088473186686117</v>
      </c>
      <c r="D459" s="523">
        <f t="shared" ca="1" si="17"/>
        <v>-0.3090169943749479</v>
      </c>
    </row>
    <row r="460" spans="2:4" x14ac:dyDescent="0.25">
      <c r="B460" s="521">
        <v>79</v>
      </c>
      <c r="C460" s="522">
        <f t="shared" ca="1" si="16"/>
        <v>0.31280689967718367</v>
      </c>
      <c r="D460" s="523">
        <f t="shared" ca="1" si="17"/>
        <v>-0.15643446504023223</v>
      </c>
    </row>
    <row r="461" spans="2:4" x14ac:dyDescent="0.25">
      <c r="B461" s="521">
        <v>80</v>
      </c>
      <c r="C461" s="522">
        <f t="shared" ca="1" si="16"/>
        <v>0.3167664806857556</v>
      </c>
      <c r="D461" s="523">
        <f t="shared" ca="1" si="17"/>
        <v>-4.90059381963448E-16</v>
      </c>
    </row>
    <row r="462" spans="2:4" x14ac:dyDescent="0.25">
      <c r="B462" s="521">
        <v>81</v>
      </c>
      <c r="C462" s="522">
        <f t="shared" ca="1" si="16"/>
        <v>0.32072606169432755</v>
      </c>
      <c r="D462" s="523">
        <f t="shared" ca="1" si="17"/>
        <v>0.15643446504022776</v>
      </c>
    </row>
    <row r="463" spans="2:4" x14ac:dyDescent="0.25">
      <c r="B463" s="521">
        <v>82</v>
      </c>
      <c r="C463" s="522">
        <f t="shared" ca="1" si="16"/>
        <v>0.32468564270289946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0.3286452237114715</v>
      </c>
      <c r="D464" s="523">
        <f t="shared" ca="1" si="17"/>
        <v>0.45399049973954714</v>
      </c>
    </row>
    <row r="465" spans="2:4" x14ac:dyDescent="0.25">
      <c r="B465" s="521">
        <v>84</v>
      </c>
      <c r="C465" s="522">
        <f t="shared" ca="1" si="16"/>
        <v>0.3326048047200434</v>
      </c>
      <c r="D465" s="523">
        <f t="shared" ca="1" si="17"/>
        <v>0.58778525229247125</v>
      </c>
    </row>
    <row r="466" spans="2:4" x14ac:dyDescent="0.25">
      <c r="B466" s="521">
        <v>85</v>
      </c>
      <c r="C466" s="522">
        <f t="shared" ca="1" si="16"/>
        <v>0.3365643857286153</v>
      </c>
      <c r="D466" s="523">
        <f t="shared" ca="1" si="17"/>
        <v>0.70710678118654657</v>
      </c>
    </row>
    <row r="467" spans="2:4" x14ac:dyDescent="0.25">
      <c r="B467" s="521">
        <v>86</v>
      </c>
      <c r="C467" s="522">
        <f t="shared" ca="1" si="16"/>
        <v>0.34052396673718727</v>
      </c>
      <c r="D467" s="523">
        <f t="shared" ca="1" si="17"/>
        <v>0.80901699437494712</v>
      </c>
    </row>
    <row r="468" spans="2:4" x14ac:dyDescent="0.25">
      <c r="B468" s="521">
        <v>87</v>
      </c>
      <c r="C468" s="522">
        <f t="shared" ca="1" si="16"/>
        <v>0.3444835477457592</v>
      </c>
      <c r="D468" s="523">
        <f t="shared" ca="1" si="17"/>
        <v>0.89100652418836646</v>
      </c>
    </row>
    <row r="469" spans="2:4" x14ac:dyDescent="0.25">
      <c r="B469" s="521">
        <v>88</v>
      </c>
      <c r="C469" s="522">
        <f t="shared" ca="1" si="16"/>
        <v>0.3484431287543312</v>
      </c>
      <c r="D469" s="523">
        <f t="shared" ca="1" si="17"/>
        <v>0.95105651629515342</v>
      </c>
    </row>
    <row r="470" spans="2:4" x14ac:dyDescent="0.25">
      <c r="B470" s="521">
        <v>89</v>
      </c>
      <c r="C470" s="522">
        <f t="shared" ca="1" si="16"/>
        <v>0.3524027097629031</v>
      </c>
      <c r="D470" s="523">
        <f t="shared" ca="1" si="17"/>
        <v>0.98768834059513777</v>
      </c>
    </row>
    <row r="471" spans="2:4" x14ac:dyDescent="0.25">
      <c r="B471" s="521">
        <v>90</v>
      </c>
      <c r="C471" s="522">
        <f t="shared" ca="1" si="16"/>
        <v>0.356362290771475</v>
      </c>
      <c r="D471" s="523">
        <f t="shared" ca="1" si="17"/>
        <v>1</v>
      </c>
    </row>
    <row r="472" spans="2:4" x14ac:dyDescent="0.25">
      <c r="B472" s="521">
        <v>91</v>
      </c>
      <c r="C472" s="522">
        <f t="shared" ca="1" si="16"/>
        <v>0.360321871780047</v>
      </c>
      <c r="D472" s="523">
        <f t="shared" ca="1" si="17"/>
        <v>0.98768834059513799</v>
      </c>
    </row>
    <row r="473" spans="2:4" x14ac:dyDescent="0.25">
      <c r="B473" s="521">
        <v>92</v>
      </c>
      <c r="C473" s="522">
        <f t="shared" ca="1" si="16"/>
        <v>0.3642814527886189</v>
      </c>
      <c r="D473" s="523">
        <f t="shared" ca="1" si="17"/>
        <v>0.95105651629515431</v>
      </c>
    </row>
    <row r="474" spans="2:4" x14ac:dyDescent="0.25">
      <c r="B474" s="521">
        <v>93</v>
      </c>
      <c r="C474" s="522">
        <f t="shared" ca="1" si="16"/>
        <v>0.3682410337971909</v>
      </c>
      <c r="D474" s="523">
        <f t="shared" ca="1" si="17"/>
        <v>0.89100652418836856</v>
      </c>
    </row>
    <row r="475" spans="2:4" x14ac:dyDescent="0.25">
      <c r="B475" s="521">
        <v>94</v>
      </c>
      <c r="C475" s="522">
        <f t="shared" ca="1" si="16"/>
        <v>0.37220061480576283</v>
      </c>
      <c r="D475" s="523">
        <f t="shared" ca="1" si="17"/>
        <v>0.80901699437494778</v>
      </c>
    </row>
    <row r="476" spans="2:4" x14ac:dyDescent="0.25">
      <c r="B476" s="521">
        <v>95</v>
      </c>
      <c r="C476" s="522">
        <f t="shared" ca="1" si="16"/>
        <v>0.3761601958143348</v>
      </c>
      <c r="D476" s="523">
        <f t="shared" ca="1" si="17"/>
        <v>0.70710678118654857</v>
      </c>
    </row>
    <row r="477" spans="2:4" x14ac:dyDescent="0.25">
      <c r="B477" s="521">
        <v>96</v>
      </c>
      <c r="C477" s="522">
        <f t="shared" ca="1" si="16"/>
        <v>0.3801197768229067</v>
      </c>
      <c r="D477" s="523">
        <f t="shared" ca="1" si="17"/>
        <v>0.58778525229247502</v>
      </c>
    </row>
    <row r="478" spans="2:4" x14ac:dyDescent="0.25">
      <c r="B478" s="521">
        <v>97</v>
      </c>
      <c r="C478" s="522">
        <f t="shared" ca="1" si="16"/>
        <v>0.3840793578314786</v>
      </c>
      <c r="D478" s="523">
        <f t="shared" ca="1" si="17"/>
        <v>0.45399049973954969</v>
      </c>
    </row>
    <row r="479" spans="2:4" x14ac:dyDescent="0.25">
      <c r="B479" s="521">
        <v>98</v>
      </c>
      <c r="C479" s="522">
        <f t="shared" ca="1" si="16"/>
        <v>0.38803893884005064</v>
      </c>
      <c r="D479" s="523">
        <f t="shared" ca="1" si="17"/>
        <v>0.30901699437494801</v>
      </c>
    </row>
    <row r="480" spans="2:4" x14ac:dyDescent="0.25">
      <c r="B480" s="521">
        <v>99</v>
      </c>
      <c r="C480" s="522">
        <f t="shared" ca="1" si="16"/>
        <v>0.39199851984862255</v>
      </c>
      <c r="D480" s="523">
        <f t="shared" ca="1" si="17"/>
        <v>0.15643446504023234</v>
      </c>
    </row>
    <row r="481" spans="2:4" x14ac:dyDescent="0.25">
      <c r="B481" s="521">
        <v>100</v>
      </c>
      <c r="C481" s="522">
        <f t="shared" ca="1" si="16"/>
        <v>0.3959581008571945</v>
      </c>
      <c r="D481" s="523">
        <f t="shared" ca="1" si="17"/>
        <v>2.3889310668545605E-15</v>
      </c>
    </row>
    <row r="482" spans="2:4" x14ac:dyDescent="0.25">
      <c r="B482" s="521">
        <v>101</v>
      </c>
      <c r="C482" s="522">
        <f t="shared" ca="1" si="16"/>
        <v>0.39991768186576643</v>
      </c>
      <c r="D482" s="523">
        <f t="shared" ca="1" si="17"/>
        <v>-0.15643446504022937</v>
      </c>
    </row>
    <row r="483" spans="2:4" x14ac:dyDescent="0.25">
      <c r="B483" s="521">
        <v>102</v>
      </c>
      <c r="C483" s="522">
        <f t="shared" ca="1" si="16"/>
        <v>0.40387726287433834</v>
      </c>
      <c r="D483" s="523">
        <f t="shared" ca="1" si="17"/>
        <v>-0.30901699437494512</v>
      </c>
    </row>
    <row r="484" spans="2:4" x14ac:dyDescent="0.25">
      <c r="B484" s="521">
        <v>103</v>
      </c>
      <c r="C484" s="522">
        <f t="shared" ca="1" si="16"/>
        <v>0.40783684388291036</v>
      </c>
      <c r="D484" s="523">
        <f t="shared" ca="1" si="17"/>
        <v>-0.45399049973954542</v>
      </c>
    </row>
    <row r="485" spans="2:4" x14ac:dyDescent="0.25">
      <c r="B485" s="521">
        <v>104</v>
      </c>
      <c r="C485" s="522">
        <f t="shared" ca="1" si="16"/>
        <v>0.41179642489148227</v>
      </c>
      <c r="D485" s="523">
        <f t="shared" ca="1" si="17"/>
        <v>-0.58778525229247258</v>
      </c>
    </row>
    <row r="486" spans="2:4" x14ac:dyDescent="0.25">
      <c r="B486" s="521">
        <v>105</v>
      </c>
      <c r="C486" s="522">
        <f t="shared" ca="1" si="16"/>
        <v>0.41575600590005424</v>
      </c>
      <c r="D486" s="523">
        <f t="shared" ca="1" si="17"/>
        <v>-0.70710678118654513</v>
      </c>
    </row>
    <row r="487" spans="2:4" x14ac:dyDescent="0.25">
      <c r="B487" s="521">
        <v>106</v>
      </c>
      <c r="C487" s="522">
        <f t="shared" ca="1" si="16"/>
        <v>0.41971558690862615</v>
      </c>
      <c r="D487" s="523">
        <f t="shared" ca="1" si="17"/>
        <v>-0.80901699437494601</v>
      </c>
    </row>
    <row r="488" spans="2:4" x14ac:dyDescent="0.25">
      <c r="B488" s="521">
        <v>107</v>
      </c>
      <c r="C488" s="522">
        <f t="shared" ca="1" si="16"/>
        <v>0.42367516791719806</v>
      </c>
      <c r="D488" s="523">
        <f t="shared" ca="1" si="17"/>
        <v>-0.89100652418836712</v>
      </c>
    </row>
    <row r="489" spans="2:4" x14ac:dyDescent="0.25">
      <c r="B489" s="521">
        <v>108</v>
      </c>
      <c r="C489" s="522">
        <f t="shared" ca="1" si="16"/>
        <v>0.4276347489257701</v>
      </c>
      <c r="D489" s="523">
        <f t="shared" ca="1" si="17"/>
        <v>-0.95105651629515342</v>
      </c>
    </row>
    <row r="490" spans="2:4" x14ac:dyDescent="0.25">
      <c r="B490" s="521">
        <v>109</v>
      </c>
      <c r="C490" s="522">
        <f t="shared" ca="1" si="16"/>
        <v>0.431594329934342</v>
      </c>
      <c r="D490" s="523">
        <f t="shared" ca="1" si="17"/>
        <v>-0.98768834059513722</v>
      </c>
    </row>
    <row r="491" spans="2:4" x14ac:dyDescent="0.25">
      <c r="B491" s="521">
        <v>110</v>
      </c>
      <c r="C491" s="522">
        <f t="shared" ca="1" si="16"/>
        <v>0.43555391094291396</v>
      </c>
      <c r="D491" s="523">
        <f t="shared" ca="1" si="17"/>
        <v>-1</v>
      </c>
    </row>
    <row r="492" spans="2:4" x14ac:dyDescent="0.25">
      <c r="B492" s="521">
        <v>111</v>
      </c>
      <c r="C492" s="522">
        <f t="shared" ca="1" si="16"/>
        <v>0.43951349195148587</v>
      </c>
      <c r="D492" s="523">
        <f t="shared" ca="1" si="17"/>
        <v>-0.98768834059513799</v>
      </c>
    </row>
    <row r="493" spans="2:4" x14ac:dyDescent="0.25">
      <c r="B493" s="521">
        <v>112</v>
      </c>
      <c r="C493" s="522">
        <f t="shared" ca="1" si="16"/>
        <v>0.44347307296005783</v>
      </c>
      <c r="D493" s="523">
        <f t="shared" ca="1" si="17"/>
        <v>-0.95105651629515486</v>
      </c>
    </row>
    <row r="494" spans="2:4" x14ac:dyDescent="0.25">
      <c r="B494" s="521">
        <v>113</v>
      </c>
      <c r="C494" s="522">
        <f t="shared" ca="1" si="16"/>
        <v>0.4474326539686298</v>
      </c>
      <c r="D494" s="523">
        <f t="shared" ca="1" si="17"/>
        <v>-0.89100652418836779</v>
      </c>
    </row>
    <row r="495" spans="2:4" x14ac:dyDescent="0.25">
      <c r="B495" s="521">
        <v>114</v>
      </c>
      <c r="C495" s="522">
        <f t="shared" ca="1" si="16"/>
        <v>0.45139223497720177</v>
      </c>
      <c r="D495" s="523">
        <f t="shared" ca="1" si="17"/>
        <v>-0.80901699437494889</v>
      </c>
    </row>
    <row r="496" spans="2:4" x14ac:dyDescent="0.25">
      <c r="B496" s="521">
        <v>115</v>
      </c>
      <c r="C496" s="522">
        <f t="shared" ca="1" si="16"/>
        <v>0.4553518159857737</v>
      </c>
      <c r="D496" s="523">
        <f t="shared" ca="1" si="17"/>
        <v>-0.70710678118654868</v>
      </c>
    </row>
    <row r="497" spans="2:8" x14ac:dyDescent="0.25">
      <c r="B497" s="521">
        <v>116</v>
      </c>
      <c r="C497" s="522">
        <f t="shared" ca="1" si="16"/>
        <v>0.4593113969943456</v>
      </c>
      <c r="D497" s="523">
        <f t="shared" ca="1" si="17"/>
        <v>-0.58778525229247369</v>
      </c>
    </row>
    <row r="498" spans="2:8" x14ac:dyDescent="0.25">
      <c r="B498" s="521">
        <v>117</v>
      </c>
      <c r="C498" s="522">
        <f t="shared" ca="1" si="16"/>
        <v>0.46327097800291756</v>
      </c>
      <c r="D498" s="523">
        <f t="shared" ca="1" si="17"/>
        <v>-0.4539904997395498</v>
      </c>
    </row>
    <row r="499" spans="2:8" x14ac:dyDescent="0.25">
      <c r="B499" s="521">
        <v>118</v>
      </c>
      <c r="C499" s="522">
        <f t="shared" ca="1" si="16"/>
        <v>0.4672305590114895</v>
      </c>
      <c r="D499" s="523">
        <f t="shared" ca="1" si="17"/>
        <v>-0.30901699437494978</v>
      </c>
    </row>
    <row r="500" spans="2:8" x14ac:dyDescent="0.25">
      <c r="B500" s="521">
        <v>119</v>
      </c>
      <c r="C500" s="522">
        <f t="shared" ca="1" si="16"/>
        <v>0.4711901400200615</v>
      </c>
      <c r="D500" s="523">
        <f t="shared" ca="1" si="17"/>
        <v>-0.15643446504023248</v>
      </c>
    </row>
    <row r="501" spans="2:8" x14ac:dyDescent="0.25">
      <c r="B501" s="521">
        <v>120</v>
      </c>
      <c r="C501" s="522">
        <f t="shared" ca="1" si="16"/>
        <v>0.4751497210286334</v>
      </c>
      <c r="D501" s="523">
        <f t="shared" ca="1" si="17"/>
        <v>-4.2878027517456729E-15</v>
      </c>
    </row>
    <row r="502" spans="2:8" ht="15.75" thickBot="1" x14ac:dyDescent="0.3"/>
    <row r="503" spans="2:8" ht="15.75" thickBot="1" x14ac:dyDescent="0.3">
      <c r="B503" s="486" t="s">
        <v>1160</v>
      </c>
      <c r="C503" s="803" t="s">
        <v>1161</v>
      </c>
      <c r="D503" s="804"/>
      <c r="E503" s="804"/>
      <c r="F503" s="804"/>
      <c r="G503" s="804"/>
      <c r="H503" s="805"/>
    </row>
    <row r="505" spans="2:8" x14ac:dyDescent="0.25">
      <c r="B505" s="541" t="s">
        <v>1162</v>
      </c>
      <c r="C505" s="527">
        <f>Geometria!H1222</f>
        <v>0</v>
      </c>
      <c r="D505" s="503" t="s">
        <v>1173</v>
      </c>
      <c r="E505" s="488" t="s">
        <v>1181</v>
      </c>
    </row>
    <row r="506" spans="2:8" x14ac:dyDescent="0.25">
      <c r="B506" s="541" t="s">
        <v>1163</v>
      </c>
      <c r="C506" s="527">
        <f>Geometria!H1228</f>
        <v>0.21</v>
      </c>
      <c r="D506" s="503" t="s">
        <v>1173</v>
      </c>
      <c r="E506" s="488" t="s">
        <v>1182</v>
      </c>
    </row>
    <row r="507" spans="2:8" x14ac:dyDescent="0.25">
      <c r="B507" s="541" t="s">
        <v>1164</v>
      </c>
      <c r="C507" s="527">
        <f>3*C505/(1-C505)</f>
        <v>0</v>
      </c>
      <c r="D507" s="503" t="s">
        <v>1173</v>
      </c>
      <c r="E507" s="488" t="s">
        <v>1165</v>
      </c>
    </row>
    <row r="508" spans="2:8" x14ac:dyDescent="0.25">
      <c r="B508" s="541" t="s">
        <v>1166</v>
      </c>
      <c r="C508" s="527">
        <f>3*C506/(1-C506)</f>
        <v>0.79746835443037967</v>
      </c>
      <c r="D508" s="503" t="s">
        <v>1173</v>
      </c>
      <c r="E508" s="488" t="s">
        <v>1167</v>
      </c>
    </row>
    <row r="509" spans="2:8" x14ac:dyDescent="0.25">
      <c r="B509" s="541" t="s">
        <v>1168</v>
      </c>
      <c r="C509" s="527">
        <f>F536</f>
        <v>3.2503938674926758</v>
      </c>
      <c r="D509" s="503" t="s">
        <v>1173</v>
      </c>
      <c r="E509" s="488" t="s">
        <v>1183</v>
      </c>
    </row>
    <row r="510" spans="2:8" x14ac:dyDescent="0.25">
      <c r="B510" s="541" t="s">
        <v>1169</v>
      </c>
      <c r="C510" s="527">
        <f>2*C509^2*SIN(C509)*SINH(C509)+C509*($C$507+$C$508)*(SIN(C509)*COSH(C509)-COS(C509)*SINH(C509))-$C$507*$C$508*(COS(C509)*COSH(C509)-1)</f>
        <v>-4.4511950630266028E-5</v>
      </c>
      <c r="D510" s="503" t="s">
        <v>1173</v>
      </c>
      <c r="E510" s="488" t="s">
        <v>1170</v>
      </c>
    </row>
    <row r="511" spans="2:8" x14ac:dyDescent="0.25">
      <c r="B511" s="541" t="s">
        <v>1171</v>
      </c>
      <c r="C511" s="527">
        <f>E536-D536</f>
        <v>3.4332275391513178E-6</v>
      </c>
      <c r="D511" s="503" t="s">
        <v>1173</v>
      </c>
      <c r="E511" s="488" t="s">
        <v>1208</v>
      </c>
    </row>
    <row r="512" spans="2:8" x14ac:dyDescent="0.25">
      <c r="B512" s="541" t="s">
        <v>1172</v>
      </c>
      <c r="C512" s="527">
        <f>(C509/PI())^2</f>
        <v>1.070464414223925</v>
      </c>
      <c r="D512" s="503" t="s">
        <v>1173</v>
      </c>
      <c r="E512" s="488" t="inlineStr">
        <is>
          <t xml:space="preserve">*Multiplicador sobre a frequência biapoiada = (u/π)². Sobre a rigidez modal equivaleria a (u/π)⁴</t>
        </is>
      </c>
    </row>
    <row r="514" spans="4:7" ht="15.75" thickBot="1" x14ac:dyDescent="0.3"/>
    <row r="515" spans="4:7" ht="15.75" thickBot="1" x14ac:dyDescent="0.3">
      <c r="D515" s="803" t="s">
        <v>1180</v>
      </c>
      <c r="E515" s="804"/>
      <c r="F515" s="804"/>
      <c r="G515" s="805"/>
    </row>
    <row r="516" spans="4:7" ht="15.75" thickBot="1" x14ac:dyDescent="0.3">
      <c r="D516" s="542" t="s">
        <v>1174</v>
      </c>
      <c r="E516" s="541" t="s">
        <v>1175</v>
      </c>
      <c r="F516" s="482" t="s">
        <v>1176</v>
      </c>
      <c r="G516" s="546" t="s">
        <v>1177</v>
      </c>
    </row>
    <row r="517" spans="4:7" x14ac:dyDescent="0.25">
      <c r="D517" s="545">
        <v>3</v>
      </c>
      <c r="E517" s="545">
        <v>4.8</v>
      </c>
      <c r="F517" s="545">
        <f t="shared" ref="F517:F536" si="18">(D517+E517)/2</f>
        <v>3.9</v>
      </c>
      <c r="G517" s="545">
        <f>2*F517^2*SIN(F517)*SINH(F517)+F517*($C$507+$C$508)*(SIN(F517)*COSH(F517)-COS(F517)*SINH(F517))-$C$507*$C$508*(COS(F517)*COSH(F517)-1)</f>
        <v>-513.6959070930053</v>
      </c>
    </row>
    <row r="518" spans="4:7" x14ac:dyDescent="0.25">
      <c r="D518" s="543">
        <f t="shared" ref="D518:D536" si="19">IF(G517&gt;0,F517,D517)</f>
        <v>3</v>
      </c>
      <c r="E518" s="543">
        <f t="shared" ref="E518:E536" si="20">IF(G517&lt;0,F517,E517)</f>
        <v>3.9</v>
      </c>
      <c r="F518" s="543">
        <f t="shared" si="18"/>
        <v>3.45</v>
      </c>
      <c r="G518" s="543">
        <f t="shared" ref="G518:G536" si="21">2*F518^2*SIN(F518)*SINH(F518)+F518*($C$507+$C$508)*(SIN(F518)*COSH(F518)-COS(F518)*SINH(F518))-$C$507*$C$508*(COS(F518)*COSH(F518)-1)</f>
        <v>-85.612937077183005</v>
      </c>
    </row>
    <row r="519" spans="4:7" x14ac:dyDescent="0.25">
      <c r="D519" s="543">
        <f t="shared" si="19"/>
        <v>3</v>
      </c>
      <c r="E519" s="543">
        <f t="shared" si="20"/>
        <v>3.45</v>
      </c>
      <c r="F519" s="543">
        <f t="shared" si="18"/>
        <v>3.2250000000000001</v>
      </c>
      <c r="G519" s="543">
        <f t="shared" si="21"/>
        <v>7.7223604309464626</v>
      </c>
    </row>
    <row r="520" spans="4:7" x14ac:dyDescent="0.25">
      <c r="D520" s="543">
        <f t="shared" si="19"/>
        <v>3.2250000000000001</v>
      </c>
      <c r="E520" s="543">
        <f t="shared" si="20"/>
        <v>3.45</v>
      </c>
      <c r="F520" s="543">
        <f t="shared" si="18"/>
        <v>3.3375000000000004</v>
      </c>
      <c r="G520" s="543">
        <f t="shared" si="21"/>
        <v>-31.56096665702384</v>
      </c>
    </row>
    <row r="521" spans="4:7" x14ac:dyDescent="0.25">
      <c r="D521" s="543">
        <f t="shared" si="19"/>
        <v>3.2250000000000001</v>
      </c>
      <c r="E521" s="543">
        <f t="shared" si="20"/>
        <v>3.3375000000000004</v>
      </c>
      <c r="F521" s="543">
        <f t="shared" si="18"/>
        <v>3.28125</v>
      </c>
      <c r="G521" s="543">
        <f t="shared" si="21"/>
        <v>-10.250880331835848</v>
      </c>
    </row>
    <row r="522" spans="4:7" x14ac:dyDescent="0.25">
      <c r="D522" s="543">
        <f t="shared" si="19"/>
        <v>3.2250000000000001</v>
      </c>
      <c r="E522" s="543">
        <f t="shared" si="20"/>
        <v>3.28125</v>
      </c>
      <c r="F522" s="543">
        <f t="shared" si="18"/>
        <v>3.2531249999999998</v>
      </c>
      <c r="G522" s="543">
        <f t="shared" si="21"/>
        <v>-0.8683107791359248</v>
      </c>
    </row>
    <row r="523" spans="4:7" x14ac:dyDescent="0.25">
      <c r="D523" s="543">
        <f t="shared" si="19"/>
        <v>3.2250000000000001</v>
      </c>
      <c r="E523" s="543">
        <f t="shared" si="20"/>
        <v>3.2531249999999998</v>
      </c>
      <c r="F523" s="543">
        <f t="shared" si="18"/>
        <v>3.2390625000000002</v>
      </c>
      <c r="G523" s="543">
        <f t="shared" si="21"/>
        <v>3.5234344788088521</v>
      </c>
    </row>
    <row r="524" spans="4:7" x14ac:dyDescent="0.25">
      <c r="D524" s="543">
        <f t="shared" si="19"/>
        <v>3.2390625000000002</v>
      </c>
      <c r="E524" s="543">
        <f t="shared" si="20"/>
        <v>3.2531249999999998</v>
      </c>
      <c r="F524" s="543">
        <f t="shared" si="18"/>
        <v>3.24609375</v>
      </c>
      <c r="G524" s="543">
        <f t="shared" si="21"/>
        <v>1.3519834635597903</v>
      </c>
    </row>
    <row r="525" spans="4:7" x14ac:dyDescent="0.25">
      <c r="D525" s="543">
        <f t="shared" si="19"/>
        <v>3.24609375</v>
      </c>
      <c r="E525" s="543">
        <f t="shared" si="20"/>
        <v>3.2531249999999998</v>
      </c>
      <c r="F525" s="543">
        <f t="shared" si="18"/>
        <v>3.2496093749999999</v>
      </c>
      <c r="G525" s="543">
        <f t="shared" si="21"/>
        <v>0.24798190901248773</v>
      </c>
    </row>
    <row r="526" spans="4:7" x14ac:dyDescent="0.25">
      <c r="D526" s="543">
        <f t="shared" si="19"/>
        <v>3.2496093749999999</v>
      </c>
      <c r="E526" s="543">
        <f t="shared" si="20"/>
        <v>3.2531249999999998</v>
      </c>
      <c r="F526" s="543">
        <f t="shared" si="18"/>
        <v>3.2513671874999996</v>
      </c>
      <c r="G526" s="543">
        <f t="shared" si="21"/>
        <v>-0.30862300650355223</v>
      </c>
    </row>
    <row r="527" spans="4:7" x14ac:dyDescent="0.25">
      <c r="D527" s="543">
        <f t="shared" si="19"/>
        <v>3.2496093749999999</v>
      </c>
      <c r="E527" s="543">
        <f t="shared" si="20"/>
        <v>3.2513671874999996</v>
      </c>
      <c r="F527" s="543">
        <f t="shared" si="18"/>
        <v>3.25048828125</v>
      </c>
      <c r="G527" s="543">
        <f t="shared" si="21"/>
        <v>-2.9935821946697416E-2</v>
      </c>
    </row>
    <row r="528" spans="4:7" x14ac:dyDescent="0.25">
      <c r="D528" s="543">
        <f t="shared" si="19"/>
        <v>3.2496093749999999</v>
      </c>
      <c r="E528" s="543">
        <f t="shared" si="20"/>
        <v>3.25048828125</v>
      </c>
      <c r="F528" s="543">
        <f t="shared" si="18"/>
        <v>3.2500488281250002</v>
      </c>
      <c r="G528" s="543">
        <f t="shared" si="21"/>
        <v>0.10911914650413479</v>
      </c>
    </row>
    <row r="529" spans="2:9" x14ac:dyDescent="0.25">
      <c r="D529" s="543">
        <f t="shared" si="19"/>
        <v>3.2500488281250002</v>
      </c>
      <c r="E529" s="543">
        <f t="shared" si="20"/>
        <v>3.25048828125</v>
      </c>
      <c r="F529" s="543">
        <f t="shared" si="18"/>
        <v>3.2502685546875001</v>
      </c>
      <c r="G529" s="543">
        <f t="shared" si="21"/>
        <v>3.9615697859733956E-2</v>
      </c>
    </row>
    <row r="530" spans="2:9" x14ac:dyDescent="0.25">
      <c r="D530" s="543">
        <f t="shared" si="19"/>
        <v>3.2502685546875001</v>
      </c>
      <c r="E530" s="543">
        <f t="shared" si="20"/>
        <v>3.25048828125</v>
      </c>
      <c r="F530" s="543">
        <f t="shared" si="18"/>
        <v>3.2503784179687498</v>
      </c>
      <c r="G530" s="543">
        <f t="shared" si="21"/>
        <v>4.8459480818685563E-3</v>
      </c>
    </row>
    <row r="531" spans="2:9" x14ac:dyDescent="0.25">
      <c r="D531" s="543">
        <f t="shared" si="19"/>
        <v>3.2503784179687498</v>
      </c>
      <c r="E531" s="543">
        <f t="shared" si="20"/>
        <v>3.25048828125</v>
      </c>
      <c r="F531" s="543">
        <f t="shared" si="18"/>
        <v>3.2504333496093749</v>
      </c>
      <c r="G531" s="543">
        <f t="shared" si="21"/>
        <v>-1.2543434247323404E-2</v>
      </c>
    </row>
    <row r="532" spans="2:9" x14ac:dyDescent="0.25">
      <c r="D532" s="543">
        <f t="shared" si="19"/>
        <v>3.2503784179687498</v>
      </c>
      <c r="E532" s="543">
        <f t="shared" si="20"/>
        <v>3.2504333496093749</v>
      </c>
      <c r="F532" s="543">
        <f t="shared" si="18"/>
        <v>3.2504058837890621</v>
      </c>
      <c r="G532" s="543">
        <f t="shared" si="21"/>
        <v>-3.8483674306100113E-3</v>
      </c>
    </row>
    <row r="533" spans="2:9" x14ac:dyDescent="0.25">
      <c r="D533" s="543">
        <f t="shared" si="19"/>
        <v>3.2503784179687498</v>
      </c>
      <c r="E533" s="543">
        <f t="shared" si="20"/>
        <v>3.2504058837890621</v>
      </c>
      <c r="F533" s="543">
        <f t="shared" si="18"/>
        <v>3.250392150878906</v>
      </c>
      <c r="G533" s="543">
        <f t="shared" si="21"/>
        <v>4.9888423624366851E-4</v>
      </c>
    </row>
    <row r="534" spans="2:9" x14ac:dyDescent="0.25">
      <c r="D534" s="543">
        <f t="shared" si="19"/>
        <v>3.250392150878906</v>
      </c>
      <c r="E534" s="543">
        <f t="shared" si="20"/>
        <v>3.2504058837890621</v>
      </c>
      <c r="F534" s="543">
        <f t="shared" si="18"/>
        <v>3.2503990173339838</v>
      </c>
      <c r="G534" s="543">
        <f t="shared" si="21"/>
        <v>-1.6747181191583138E-3</v>
      </c>
    </row>
    <row r="535" spans="2:9" x14ac:dyDescent="0.25">
      <c r="D535" s="543">
        <f t="shared" si="19"/>
        <v>3.250392150878906</v>
      </c>
      <c r="E535" s="543">
        <f t="shared" si="20"/>
        <v>3.2503990173339838</v>
      </c>
      <c r="F535" s="543">
        <f t="shared" si="18"/>
        <v>3.2503955841064451</v>
      </c>
      <c r="G535" s="543">
        <f t="shared" si="21"/>
        <v>-5.8791107208122639E-4</v>
      </c>
    </row>
    <row r="536" spans="2:9" ht="15.75" thickBot="1" x14ac:dyDescent="0.3">
      <c r="D536" s="544">
        <f t="shared" si="19"/>
        <v>3.250392150878906</v>
      </c>
      <c r="E536" s="544">
        <f t="shared" si="20"/>
        <v>3.2503955841064451</v>
      </c>
      <c r="F536" s="544">
        <f t="shared" si="18"/>
        <v>3.2503938674926758</v>
      </c>
      <c r="G536" s="544">
        <f t="shared" si="21"/>
        <v>-4.4511950630266028E-5</v>
      </c>
    </row>
    <row r="537" spans="2:9" ht="15.75" thickBot="1" x14ac:dyDescent="0.3"/>
    <row r="538" spans="2:9" ht="15.75" thickBot="1" x14ac:dyDescent="0.3">
      <c r="B538" s="486" t="s">
        <v>1184</v>
      </c>
      <c r="C538" s="538" t="s">
        <v>1204</v>
      </c>
      <c r="D538" s="539"/>
      <c r="E538" s="539"/>
      <c r="F538" s="539"/>
      <c r="G538" s="539"/>
      <c r="H538" s="539"/>
      <c r="I538" s="540"/>
    </row>
    <row r="539" spans="2:9" ht="30" customHeight="1" x14ac:dyDescent="0.25">
      <c r="B539" s="534" t="s">
        <v>1185</v>
      </c>
      <c r="C539" s="537" t="s">
        <v>1186</v>
      </c>
      <c r="D539" s="808" t="s">
        <v>1187</v>
      </c>
      <c r="E539" s="808"/>
      <c r="F539" s="537" t="inlineStr">
        <is>
          <t>Situação (fn item 3)</t>
        </is>
      </c>
    </row>
    <row r="540" spans="2:9" ht="45" customHeight="1" x14ac:dyDescent="0.25">
      <c r="B540" s="535" t="s">
        <v>1188</v>
      </c>
      <c r="C540" s="536">
        <v>2.4</v>
      </c>
      <c r="D540" s="807" t="s">
        <v>1202</v>
      </c>
      <c r="E540" s="807"/>
      <c r="F540" s="536" t="str">
        <f>IF($C$50&gt;=C540,"Ok","Não atende")</f>
        <v>Ok</v>
      </c>
    </row>
    <row r="541" spans="2:9" ht="45" customHeight="1" x14ac:dyDescent="0.25">
      <c r="B541" s="535" t="s">
        <v>1189</v>
      </c>
      <c r="C541" s="536" t="s">
        <v>1190</v>
      </c>
      <c r="D541" s="807" t="s">
        <v>1191</v>
      </c>
      <c r="E541" s="807"/>
      <c r="F541" s="536" t="str">
        <f>IF($C$50&gt;=4.8,"Ok","Não atende")</f>
        <v>Ok</v>
      </c>
    </row>
    <row r="542" spans="2:9" ht="75" customHeight="1" x14ac:dyDescent="0.25">
      <c r="B542" s="535" t="s">
        <v>1192</v>
      </c>
      <c r="C542" s="536">
        <f>4.8*1.2</f>
        <v>5.76</v>
      </c>
      <c r="D542" s="807" t="s">
        <v>1207</v>
      </c>
      <c r="E542" s="807"/>
      <c r="F542" s="536" t="str">
        <f>IF($C$50&gt;=C542,"Ok","Não atende")</f>
        <v>Ok</v>
      </c>
    </row>
    <row r="543" spans="2:9" ht="45" customHeight="1" x14ac:dyDescent="0.25">
      <c r="B543" s="535" t="s">
        <v>1193</v>
      </c>
      <c r="C543" s="536" t="s">
        <v>1194</v>
      </c>
      <c r="D543" s="807" t="s">
        <v>1195</v>
      </c>
      <c r="E543" s="807"/>
      <c r="F543" s="536" t="str">
        <f>IF($C$50&gt;=6,"Ok","Não atende")</f>
        <v>Ok</v>
      </c>
    </row>
    <row r="544" spans="2:9" ht="60" customHeight="1" x14ac:dyDescent="0.25">
      <c r="B544" s="535" t="s">
        <v>1196</v>
      </c>
      <c r="C544" s="536">
        <f>6*1.2</f>
        <v>7.1999999999999993</v>
      </c>
      <c r="D544" s="807" t="s">
        <v>1206</v>
      </c>
      <c r="E544" s="807"/>
      <c r="F544" s="536" t="str">
        <f>IF($C$50&gt;=C544,"Ok","Não atende")</f>
        <v>Não atende</v>
      </c>
    </row>
    <row r="545" spans="2:9" ht="75" x14ac:dyDescent="0.25">
      <c r="B545" s="535" t="s">
        <v>1197</v>
      </c>
      <c r="C545" s="536">
        <f>1.2*8</f>
        <v>9.6</v>
      </c>
      <c r="D545" s="807" t="s">
        <v>1205</v>
      </c>
      <c r="E545" s="807"/>
      <c r="F545" s="536" t="str">
        <f>IF($C$50&gt;=C545,"Ok","Não atende")</f>
        <v>Não atende</v>
      </c>
    </row>
    <row r="547" spans="2:9" x14ac:dyDescent="0.25">
      <c r="B547" s="379"/>
    </row>
    <row r="549" spans="2:9" x14ac:dyDescent="0.25">
      <c r="B549" s="533" t="s">
        <v>1203</v>
      </c>
    </row>
    <row r="550" spans="2:9" x14ac:dyDescent="0.25">
      <c r="B550" s="379" t="s">
        <v>1198</v>
      </c>
    </row>
    <row r="551" spans="2:9" x14ac:dyDescent="0.25">
      <c r="B551" s="379" t="s">
        <v>1199</v>
      </c>
    </row>
    <row r="552" spans="2:9" x14ac:dyDescent="0.25">
      <c r="B552" s="379" t="s">
        <v>1200</v>
      </c>
    </row>
    <row r="553" spans="2:9" x14ac:dyDescent="0.25">
      <c r="B553" s="379" t="s">
        <v>1201</v>
      </c>
    </row>
    <row r="554" spans="2:9" x14ac:dyDescent="0.25">
      <c r="B554" s="547" t="s">
        <v>1210</v>
      </c>
    </row>
    <row r="557" spans="2:9" ht="15.75" thickBot="1" x14ac:dyDescent="0.3"/>
    <row r="558" spans="2:9" ht="15" customHeight="1" x14ac:dyDescent="0.25">
      <c r="B558" s="794" t="s">
        <v>1266</v>
      </c>
      <c r="C558" s="795"/>
      <c r="D558" s="795"/>
      <c r="E558" s="795"/>
      <c r="F558" s="795"/>
      <c r="G558" s="795"/>
      <c r="H558" s="795"/>
      <c r="I558" s="796"/>
    </row>
    <row r="559" spans="2:9" x14ac:dyDescent="0.25">
      <c r="B559" s="797"/>
      <c r="C559" s="798"/>
      <c r="D559" s="798"/>
      <c r="E559" s="798"/>
      <c r="F559" s="798"/>
      <c r="G559" s="798"/>
      <c r="H559" s="798"/>
      <c r="I559" s="799"/>
    </row>
    <row r="560" spans="2:9" x14ac:dyDescent="0.25">
      <c r="B560" s="797"/>
      <c r="C560" s="798"/>
      <c r="D560" s="798"/>
      <c r="E560" s="798"/>
      <c r="F560" s="798"/>
      <c r="G560" s="798"/>
      <c r="H560" s="798"/>
      <c r="I560" s="799"/>
    </row>
    <row r="561" spans="2:9" x14ac:dyDescent="0.25">
      <c r="B561" s="797"/>
      <c r="C561" s="798"/>
      <c r="D561" s="798"/>
      <c r="E561" s="798"/>
      <c r="F561" s="798"/>
      <c r="G561" s="798"/>
      <c r="H561" s="798"/>
      <c r="I561" s="799"/>
    </row>
    <row r="562" spans="2:9" x14ac:dyDescent="0.25">
      <c r="B562" s="797"/>
      <c r="C562" s="798"/>
      <c r="D562" s="798"/>
      <c r="E562" s="798"/>
      <c r="F562" s="798"/>
      <c r="G562" s="798"/>
      <c r="H562" s="798"/>
      <c r="I562" s="799"/>
    </row>
    <row r="563" spans="2:9" ht="15.75" thickBot="1" x14ac:dyDescent="0.3">
      <c r="B563" s="800"/>
      <c r="C563" s="801"/>
      <c r="D563" s="801"/>
      <c r="E563" s="801"/>
      <c r="F563" s="801"/>
      <c r="G563" s="801"/>
      <c r="H563" s="801"/>
      <c r="I563" s="802"/>
    </row>
    <row r="566" spans="2:9" x14ac:dyDescent="0.25">
      <c r="B566" s="806" t="s">
        <v>1213</v>
      </c>
      <c r="C566" s="806"/>
      <c r="D566" s="806"/>
      <c r="E566" s="806"/>
      <c r="F566" s="806"/>
      <c r="G566" s="806"/>
      <c r="H566" s="806"/>
    </row>
    <row r="567" spans="2:9" x14ac:dyDescent="0.25">
      <c r="B567" s="547" t="s">
        <v>1211</v>
      </c>
    </row>
    <row r="568" spans="2:9" x14ac:dyDescent="0.25">
      <c r="B568" s="547" t="s">
        <v>1212</v>
      </c>
    </row>
    <row r="570" spans="2:9" x14ac:dyDescent="0.25">
      <c r="B570" s="547" t="s">
        <v>1222</v>
      </c>
      <c r="C570" s="547"/>
    </row>
    <row r="571" spans="2:9" x14ac:dyDescent="0.25">
      <c r="B571" s="547" t="s">
        <v>1223</v>
      </c>
      <c r="C571" s="547"/>
    </row>
    <row r="572" spans="2:9" x14ac:dyDescent="0.25">
      <c r="C572" s="547"/>
    </row>
    <row r="573" spans="2:9" x14ac:dyDescent="0.25">
      <c r="B573" s="547" t="s">
        <v>1224</v>
      </c>
      <c r="C573" s="547"/>
    </row>
    <row r="574" spans="2:9" x14ac:dyDescent="0.25">
      <c r="C574" s="547"/>
    </row>
    <row r="575" spans="2:9" x14ac:dyDescent="0.25">
      <c r="B575" s="547" t="s">
        <v>1225</v>
      </c>
      <c r="C575" s="547"/>
    </row>
    <row r="576" spans="2:9" x14ac:dyDescent="0.25">
      <c r="B576" s="547"/>
      <c r="C576" s="547"/>
    </row>
    <row r="577" spans="2:3" x14ac:dyDescent="0.25">
      <c r="B577" s="557" t="s">
        <v>1226</v>
      </c>
      <c r="C577" s="547"/>
    </row>
    <row r="578" spans="2:3" x14ac:dyDescent="0.25">
      <c r="B578" s="547"/>
      <c r="C578" s="547"/>
    </row>
    <row r="579" spans="2:3" x14ac:dyDescent="0.25">
      <c r="B579" s="547"/>
      <c r="C579" s="547"/>
    </row>
    <row r="580" spans="2:3" x14ac:dyDescent="0.25">
      <c r="B580" t="s">
        <v>1238</v>
      </c>
      <c r="C580" s="547"/>
    </row>
    <row r="581" spans="2:3" x14ac:dyDescent="0.25">
      <c r="B581"/>
      <c r="C581" s="547"/>
    </row>
    <row r="582" spans="2:3" x14ac:dyDescent="0.25">
      <c r="B582" t="s">
        <v>1239</v>
      </c>
      <c r="C582" s="547"/>
    </row>
    <row r="583" spans="2:3" x14ac:dyDescent="0.25">
      <c r="B583" s="547"/>
      <c r="C583" s="547"/>
    </row>
    <row r="584" spans="2:3" x14ac:dyDescent="0.25">
      <c r="B584" t="s">
        <v>1241</v>
      </c>
      <c r="C584" s="547"/>
    </row>
    <row r="586" spans="2:3" x14ac:dyDescent="0.25">
      <c r="B586" s="556" t="s">
        <v>1240</v>
      </c>
    </row>
    <row r="588" spans="2:3" x14ac:dyDescent="0.25">
      <c r="B588" s="556" t="s">
        <v>1242</v>
      </c>
    </row>
    <row r="589" spans="2:3" x14ac:dyDescent="0.25">
      <c r="B589" s="547"/>
      <c r="C589" s="547"/>
    </row>
    <row r="590" spans="2:3" x14ac:dyDescent="0.25">
      <c r="B590" t="s">
        <v>1243</v>
      </c>
      <c r="C590" s="547"/>
    </row>
    <row r="591" spans="2:3" x14ac:dyDescent="0.25">
      <c r="B591" t="s">
        <v>1244</v>
      </c>
      <c r="C591" s="547"/>
    </row>
    <row r="592" spans="2:3" x14ac:dyDescent="0.25">
      <c r="C592" s="547"/>
    </row>
    <row r="593" spans="2:3" x14ac:dyDescent="0.25">
      <c r="B593" s="547" t="s">
        <v>1245</v>
      </c>
      <c r="C593" s="547"/>
    </row>
    <row r="594" spans="2:3" x14ac:dyDescent="0.25">
      <c r="B594" s="547"/>
      <c r="C594" s="547"/>
    </row>
    <row r="595" spans="2:3" x14ac:dyDescent="0.25">
      <c r="B595" s="1" t="s">
        <v>1247</v>
      </c>
      <c r="C595" s="547" t="s">
        <v>1246</v>
      </c>
    </row>
    <row r="596" spans="2:3" x14ac:dyDescent="0.25">
      <c r="C596" s="547"/>
    </row>
    <row r="597" spans="2:3" x14ac:dyDescent="0.25">
      <c r="B597" s="1" t="s">
        <v>1248</v>
      </c>
      <c r="C597" s="547" t="s">
        <v>1249</v>
      </c>
    </row>
    <row r="598" spans="2:3" x14ac:dyDescent="0.25">
      <c r="C598" s="547"/>
    </row>
    <row r="599" spans="2:3" x14ac:dyDescent="0.25">
      <c r="B599" s="560" t="s">
        <v>1264</v>
      </c>
    </row>
    <row r="600" spans="2:3" x14ac:dyDescent="0.25">
      <c r="B600" t="s">
        <v>1265</v>
      </c>
    </row>
    <row r="601" spans="2:3" x14ac:dyDescent="0.25">
      <c r="B601"/>
    </row>
    <row r="602" spans="2:3" x14ac:dyDescent="0.25">
      <c r="B602" s="547" t="s">
        <v>1256</v>
      </c>
    </row>
    <row r="603" spans="2:3" x14ac:dyDescent="0.25">
      <c r="B603" s="547"/>
    </row>
    <row r="604" spans="2:3" x14ac:dyDescent="0.25">
      <c r="B604" s="547" t="s">
        <v>1257</v>
      </c>
    </row>
    <row r="605" spans="2:3" x14ac:dyDescent="0.25">
      <c r="B605" s="547"/>
    </row>
    <row r="606" spans="2:3" x14ac:dyDescent="0.25">
      <c r="B606" s="547" t="s">
        <v>1258</v>
      </c>
    </row>
    <row r="607" spans="2:3" x14ac:dyDescent="0.25">
      <c r="B607" s="547"/>
    </row>
    <row r="608" spans="2:3" x14ac:dyDescent="0.25">
      <c r="B608" s="547" t="s">
        <v>1259</v>
      </c>
    </row>
    <row r="609" spans="2:11" x14ac:dyDescent="0.25">
      <c r="B609" s="547"/>
    </row>
    <row r="610" spans="2:11" x14ac:dyDescent="0.25">
      <c r="B610" s="780" t="s">
        <v>1262</v>
      </c>
      <c r="C610" s="806" t="s">
        <v>1260</v>
      </c>
      <c r="D610" s="806"/>
    </row>
    <row r="611" spans="2:11" x14ac:dyDescent="0.25">
      <c r="B611" s="780"/>
      <c r="C611" s="806" t="s">
        <v>1261</v>
      </c>
      <c r="D611" s="806"/>
    </row>
    <row r="612" spans="2:11" x14ac:dyDescent="0.25">
      <c r="B612" s="547"/>
    </row>
    <row r="613" spans="2:11" x14ac:dyDescent="0.25">
      <c r="B613" s="547" t="s">
        <v>1263</v>
      </c>
    </row>
    <row r="614" spans="2:11" x14ac:dyDescent="0.25">
      <c r="C614" s="547"/>
    </row>
    <row r="615" spans="2:11" ht="15.75" thickBot="1" x14ac:dyDescent="0.3">
      <c r="C615" s="547"/>
    </row>
    <row r="616" spans="2:11" ht="15.75" thickBot="1" x14ac:dyDescent="0.3">
      <c r="B616" s="558" t="s">
        <v>1169</v>
      </c>
      <c r="C616" s="791" t="s">
        <v>1250</v>
      </c>
      <c r="D616" s="792"/>
      <c r="E616" s="792"/>
      <c r="F616" s="792"/>
      <c r="G616" s="792"/>
      <c r="H616" s="792"/>
      <c r="I616" s="792"/>
      <c r="J616" s="792"/>
      <c r="K616" s="793"/>
    </row>
    <row r="617" spans="2:11" x14ac:dyDescent="0.25">
      <c r="C617" s="547"/>
    </row>
    <row r="618" spans="2:11" ht="15.75" thickBot="1" x14ac:dyDescent="0.3">
      <c r="B618" s="547"/>
      <c r="C618" s="547"/>
    </row>
    <row r="619" spans="2:11" ht="30.75" thickBot="1" x14ac:dyDescent="0.3">
      <c r="B619" s="550" t="s">
        <v>1227</v>
      </c>
      <c r="C619" s="550" t="s">
        <v>1228</v>
      </c>
      <c r="D619" s="550" t="s">
        <v>1229</v>
      </c>
    </row>
    <row r="620" spans="2:11" ht="45.75" thickBot="1" x14ac:dyDescent="0.3">
      <c r="B620" s="549" t="s">
        <v>1230</v>
      </c>
      <c r="C620" s="553" t="s">
        <v>1231</v>
      </c>
      <c r="D620" s="553" t="s">
        <v>1232</v>
      </c>
    </row>
    <row r="621" spans="2:11" ht="45.75" thickBot="1" x14ac:dyDescent="0.3">
      <c r="B621" s="550" t="s">
        <v>1233</v>
      </c>
      <c r="C621" s="550" t="s">
        <v>1234</v>
      </c>
      <c r="D621" s="550" t="s">
        <v>1235</v>
      </c>
    </row>
    <row r="623" spans="2:11" ht="15.75" thickBot="1" x14ac:dyDescent="0.3"/>
    <row r="624" spans="2:11" ht="15.75" thickBot="1" x14ac:dyDescent="0.3">
      <c r="B624" s="554" t="s">
        <v>1214</v>
      </c>
      <c r="C624" s="555" t="s">
        <v>1236</v>
      </c>
      <c r="D624" s="554" t="s">
        <v>1237</v>
      </c>
    </row>
    <row r="625" spans="2:10" ht="45.75" thickBot="1" x14ac:dyDescent="0.3">
      <c r="B625" s="550" t="s">
        <v>1215</v>
      </c>
      <c r="C625" s="550" t="s">
        <v>1255</v>
      </c>
      <c r="D625" s="550" t="s">
        <v>1216</v>
      </c>
    </row>
    <row r="626" spans="2:10" ht="60.75" thickBot="1" x14ac:dyDescent="0.3">
      <c r="B626" s="553" t="s">
        <v>1217</v>
      </c>
      <c r="C626" s="553" t="s">
        <v>1254</v>
      </c>
      <c r="D626" s="553" t="s">
        <v>1218</v>
      </c>
    </row>
    <row r="627" spans="2:10" ht="30.75" thickBot="1" x14ac:dyDescent="0.3">
      <c r="B627" s="551" t="s">
        <v>1219</v>
      </c>
      <c r="C627" s="552" t="s">
        <v>1220</v>
      </c>
      <c r="D627" s="551" t="s">
        <v>1221</v>
      </c>
    </row>
    <row r="629" spans="2:10" ht="15.75" thickBot="1" x14ac:dyDescent="0.3"/>
    <row r="630" spans="2:10" ht="15" customHeight="1" x14ac:dyDescent="0.25">
      <c r="B630" s="794" t="s">
        <v>1252</v>
      </c>
      <c r="C630" s="795"/>
      <c r="D630" s="795"/>
      <c r="E630" s="795"/>
      <c r="F630" s="795"/>
      <c r="G630" s="795"/>
      <c r="H630" s="795"/>
      <c r="I630" s="795"/>
      <c r="J630" s="796"/>
    </row>
    <row r="631" spans="2:10" x14ac:dyDescent="0.25">
      <c r="B631" s="797"/>
      <c r="C631" s="798"/>
      <c r="D631" s="798"/>
      <c r="E631" s="798"/>
      <c r="F631" s="798"/>
      <c r="G631" s="798"/>
      <c r="H631" s="798"/>
      <c r="I631" s="798"/>
      <c r="J631" s="799"/>
    </row>
    <row r="632" spans="2:10" x14ac:dyDescent="0.25">
      <c r="B632" s="797"/>
      <c r="C632" s="798"/>
      <c r="D632" s="798"/>
      <c r="E632" s="798"/>
      <c r="F632" s="798"/>
      <c r="G632" s="798"/>
      <c r="H632" s="798"/>
      <c r="I632" s="798"/>
      <c r="J632" s="799"/>
    </row>
    <row r="633" spans="2:10" x14ac:dyDescent="0.25">
      <c r="B633" s="797"/>
      <c r="C633" s="798"/>
      <c r="D633" s="798"/>
      <c r="E633" s="798"/>
      <c r="F633" s="798"/>
      <c r="G633" s="798"/>
      <c r="H633" s="798"/>
      <c r="I633" s="798"/>
      <c r="J633" s="799"/>
    </row>
    <row r="634" spans="2:10" x14ac:dyDescent="0.25">
      <c r="B634" s="797"/>
      <c r="C634" s="798"/>
      <c r="D634" s="798"/>
      <c r="E634" s="798"/>
      <c r="F634" s="798"/>
      <c r="G634" s="798"/>
      <c r="H634" s="798"/>
      <c r="I634" s="798"/>
      <c r="J634" s="799"/>
    </row>
    <row r="635" spans="2:10" x14ac:dyDescent="0.25">
      <c r="B635" s="797"/>
      <c r="C635" s="798"/>
      <c r="D635" s="798"/>
      <c r="E635" s="798"/>
      <c r="F635" s="798"/>
      <c r="G635" s="798"/>
      <c r="H635" s="798"/>
      <c r="I635" s="798"/>
      <c r="J635" s="799"/>
    </row>
    <row r="636" spans="2:10" x14ac:dyDescent="0.25">
      <c r="B636" s="797"/>
      <c r="C636" s="798"/>
      <c r="D636" s="798"/>
      <c r="E636" s="798"/>
      <c r="F636" s="798"/>
      <c r="G636" s="798"/>
      <c r="H636" s="798"/>
      <c r="I636" s="798"/>
      <c r="J636" s="799"/>
    </row>
    <row r="637" spans="2:10" x14ac:dyDescent="0.25">
      <c r="B637" s="797"/>
      <c r="C637" s="798"/>
      <c r="D637" s="798"/>
      <c r="E637" s="798"/>
      <c r="F637" s="798"/>
      <c r="G637" s="798"/>
      <c r="H637" s="798"/>
      <c r="I637" s="798"/>
      <c r="J637" s="799"/>
    </row>
    <row r="638" spans="2:10" x14ac:dyDescent="0.25">
      <c r="B638" s="797"/>
      <c r="C638" s="798"/>
      <c r="D638" s="798"/>
      <c r="E638" s="798"/>
      <c r="F638" s="798"/>
      <c r="G638" s="798"/>
      <c r="H638" s="798"/>
      <c r="I638" s="798"/>
      <c r="J638" s="799"/>
    </row>
    <row r="639" spans="2:10" x14ac:dyDescent="0.25">
      <c r="B639" s="797"/>
      <c r="C639" s="798"/>
      <c r="D639" s="798"/>
      <c r="E639" s="798"/>
      <c r="F639" s="798"/>
      <c r="G639" s="798"/>
      <c r="H639" s="798"/>
      <c r="I639" s="798"/>
      <c r="J639" s="799"/>
    </row>
    <row r="640" spans="2:10" x14ac:dyDescent="0.25">
      <c r="B640" s="797"/>
      <c r="C640" s="798"/>
      <c r="D640" s="798"/>
      <c r="E640" s="798"/>
      <c r="F640" s="798"/>
      <c r="G640" s="798"/>
      <c r="H640" s="798"/>
      <c r="I640" s="798"/>
      <c r="J640" s="799"/>
    </row>
    <row r="641" spans="2:12" x14ac:dyDescent="0.25">
      <c r="B641" s="797"/>
      <c r="C641" s="798"/>
      <c r="D641" s="798"/>
      <c r="E641" s="798"/>
      <c r="F641" s="798"/>
      <c r="G641" s="798"/>
      <c r="H641" s="798"/>
      <c r="I641" s="798"/>
      <c r="J641" s="799"/>
    </row>
    <row r="642" spans="2:12" x14ac:dyDescent="0.25">
      <c r="B642" s="797"/>
      <c r="C642" s="798"/>
      <c r="D642" s="798"/>
      <c r="E642" s="798"/>
      <c r="F642" s="798"/>
      <c r="G642" s="798"/>
      <c r="H642" s="798"/>
      <c r="I642" s="798"/>
      <c r="J642" s="799"/>
    </row>
    <row r="643" spans="2:12" x14ac:dyDescent="0.25">
      <c r="B643" s="797"/>
      <c r="C643" s="798"/>
      <c r="D643" s="798"/>
      <c r="E643" s="798"/>
      <c r="F643" s="798"/>
      <c r="G643" s="798"/>
      <c r="H643" s="798"/>
      <c r="I643" s="798"/>
      <c r="J643" s="799"/>
    </row>
    <row r="644" spans="2:12" ht="15.75" thickBot="1" x14ac:dyDescent="0.3">
      <c r="B644" s="797"/>
      <c r="C644" s="798"/>
      <c r="D644" s="798"/>
      <c r="E644" s="798"/>
      <c r="F644" s="798"/>
      <c r="G644" s="798"/>
      <c r="H644" s="798"/>
      <c r="I644" s="798"/>
      <c r="J644" s="799"/>
    </row>
    <row r="645" spans="2:12" ht="15.75" thickBot="1" x14ac:dyDescent="0.3">
      <c r="B645" s="797"/>
      <c r="C645" s="798"/>
      <c r="D645" s="798"/>
      <c r="E645" s="798"/>
      <c r="F645" s="798"/>
      <c r="G645" s="798"/>
      <c r="H645" s="798"/>
      <c r="I645" s="798"/>
      <c r="J645" s="799"/>
      <c r="K645" s="559" t="s">
        <v>1251</v>
      </c>
      <c r="L645" s="559" t="s">
        <v>1253</v>
      </c>
    </row>
    <row r="646" spans="2:12" x14ac:dyDescent="0.25">
      <c r="B646" s="797"/>
      <c r="C646" s="798"/>
      <c r="D646" s="798"/>
      <c r="E646" s="798"/>
      <c r="F646" s="798"/>
      <c r="G646" s="798"/>
      <c r="H646" s="798"/>
      <c r="I646" s="798"/>
      <c r="J646" s="799"/>
    </row>
    <row r="647" spans="2:12" x14ac:dyDescent="0.25">
      <c r="B647" s="797"/>
      <c r="C647" s="798"/>
      <c r="D647" s="798"/>
      <c r="E647" s="798"/>
      <c r="F647" s="798"/>
      <c r="G647" s="798"/>
      <c r="H647" s="798"/>
      <c r="I647" s="798"/>
      <c r="J647" s="799"/>
    </row>
    <row r="648" spans="2:12" x14ac:dyDescent="0.25">
      <c r="B648" s="797"/>
      <c r="C648" s="798"/>
      <c r="D648" s="798"/>
      <c r="E648" s="798"/>
      <c r="F648" s="798"/>
      <c r="G648" s="798"/>
      <c r="H648" s="798"/>
      <c r="I648" s="798"/>
      <c r="J648" s="799"/>
    </row>
    <row r="649" spans="2:12" x14ac:dyDescent="0.25">
      <c r="B649" s="797"/>
      <c r="C649" s="798"/>
      <c r="D649" s="798"/>
      <c r="E649" s="798"/>
      <c r="F649" s="798"/>
      <c r="G649" s="798"/>
      <c r="H649" s="798"/>
      <c r="I649" s="798"/>
      <c r="J649" s="799"/>
    </row>
    <row r="650" spans="2:12" x14ac:dyDescent="0.25">
      <c r="B650" s="797"/>
      <c r="C650" s="798"/>
      <c r="D650" s="798"/>
      <c r="E650" s="798"/>
      <c r="F650" s="798"/>
      <c r="G650" s="798"/>
      <c r="H650" s="798"/>
      <c r="I650" s="798"/>
      <c r="J650" s="799"/>
    </row>
    <row r="651" spans="2:12" x14ac:dyDescent="0.25">
      <c r="B651" s="797"/>
      <c r="C651" s="798"/>
      <c r="D651" s="798"/>
      <c r="E651" s="798"/>
      <c r="F651" s="798"/>
      <c r="G651" s="798"/>
      <c r="H651" s="798"/>
      <c r="I651" s="798"/>
      <c r="J651" s="799"/>
    </row>
    <row r="652" spans="2:12" x14ac:dyDescent="0.25">
      <c r="B652" s="797"/>
      <c r="C652" s="798"/>
      <c r="D652" s="798"/>
      <c r="E652" s="798"/>
      <c r="F652" s="798"/>
      <c r="G652" s="798"/>
      <c r="H652" s="798"/>
      <c r="I652" s="798"/>
      <c r="J652" s="799"/>
    </row>
    <row r="653" spans="2:12" x14ac:dyDescent="0.25">
      <c r="B653" s="797"/>
      <c r="C653" s="798"/>
      <c r="D653" s="798"/>
      <c r="E653" s="798"/>
      <c r="F653" s="798"/>
      <c r="G653" s="798"/>
      <c r="H653" s="798"/>
      <c r="I653" s="798"/>
      <c r="J653" s="799"/>
    </row>
    <row r="654" spans="2:12" x14ac:dyDescent="0.25">
      <c r="B654" s="797"/>
      <c r="C654" s="798"/>
      <c r="D654" s="798"/>
      <c r="E654" s="798"/>
      <c r="F654" s="798"/>
      <c r="G654" s="798"/>
      <c r="H654" s="798"/>
      <c r="I654" s="798"/>
      <c r="J654" s="799"/>
    </row>
    <row r="655" spans="2:12" x14ac:dyDescent="0.25">
      <c r="B655" s="797"/>
      <c r="C655" s="798"/>
      <c r="D655" s="798"/>
      <c r="E655" s="798"/>
      <c r="F655" s="798"/>
      <c r="G655" s="798"/>
      <c r="H655" s="798"/>
      <c r="I655" s="798"/>
      <c r="J655" s="799"/>
    </row>
    <row r="656" spans="2:12" x14ac:dyDescent="0.25">
      <c r="B656" s="797"/>
      <c r="C656" s="798"/>
      <c r="D656" s="798"/>
      <c r="E656" s="798"/>
      <c r="F656" s="798"/>
      <c r="G656" s="798"/>
      <c r="H656" s="798"/>
      <c r="I656" s="798"/>
      <c r="J656" s="799"/>
    </row>
    <row r="657" spans="2:13" x14ac:dyDescent="0.25">
      <c r="B657" s="797"/>
      <c r="C657" s="798"/>
      <c r="D657" s="798"/>
      <c r="E657" s="798"/>
      <c r="F657" s="798"/>
      <c r="G657" s="798"/>
      <c r="H657" s="798"/>
      <c r="I657" s="798"/>
      <c r="J657" s="799"/>
    </row>
    <row r="658" spans="2:13" x14ac:dyDescent="0.25">
      <c r="B658" s="797"/>
      <c r="C658" s="798"/>
      <c r="D658" s="798"/>
      <c r="E658" s="798"/>
      <c r="F658" s="798"/>
      <c r="G658" s="798"/>
      <c r="H658" s="798"/>
      <c r="I658" s="798"/>
      <c r="J658" s="799"/>
    </row>
    <row r="659" spans="2:13" x14ac:dyDescent="0.25">
      <c r="B659" s="797"/>
      <c r="C659" s="798"/>
      <c r="D659" s="798"/>
      <c r="E659" s="798"/>
      <c r="F659" s="798"/>
      <c r="G659" s="798"/>
      <c r="H659" s="798"/>
      <c r="I659" s="798"/>
      <c r="J659" s="799"/>
    </row>
    <row r="660" spans="2:13" x14ac:dyDescent="0.25">
      <c r="B660" s="797"/>
      <c r="C660" s="798"/>
      <c r="D660" s="798"/>
      <c r="E660" s="798"/>
      <c r="F660" s="798"/>
      <c r="G660" s="798"/>
      <c r="H660" s="798"/>
      <c r="I660" s="798"/>
      <c r="J660" s="799"/>
    </row>
    <row r="661" spans="2:13" x14ac:dyDescent="0.25">
      <c r="B661" s="797"/>
      <c r="C661" s="798"/>
      <c r="D661" s="798"/>
      <c r="E661" s="798"/>
      <c r="F661" s="798"/>
      <c r="G661" s="798"/>
      <c r="H661" s="798"/>
      <c r="I661" s="798"/>
      <c r="J661" s="799"/>
    </row>
    <row r="662" spans="2:13" x14ac:dyDescent="0.25">
      <c r="B662" s="797"/>
      <c r="C662" s="798"/>
      <c r="D662" s="798"/>
      <c r="E662" s="798"/>
      <c r="F662" s="798"/>
      <c r="G662" s="798"/>
      <c r="H662" s="798"/>
      <c r="I662" s="798"/>
      <c r="J662" s="799"/>
    </row>
    <row r="663" spans="2:13" ht="15.75" thickBot="1" x14ac:dyDescent="0.3">
      <c r="B663" s="800"/>
      <c r="C663" s="801"/>
      <c r="D663" s="801"/>
      <c r="E663" s="801"/>
      <c r="F663" s="801"/>
      <c r="G663" s="801"/>
      <c r="H663" s="801"/>
      <c r="I663" s="801"/>
      <c r="J663" s="802"/>
    </row>
    <row r="666" spans="2:13" x14ac:dyDescent="0.25">
      <c r="B666" s="2" t="s">
        <v>1276</v>
      </c>
    </row>
    <row r="667" spans="2:13" x14ac:dyDescent="0.25">
      <c r="B667"/>
    </row>
    <row r="668" spans="2:13" x14ac:dyDescent="0.25">
      <c r="B668" t="s">
        <v>1272</v>
      </c>
    </row>
    <row r="669" spans="2:13" x14ac:dyDescent="0.25">
      <c r="B669"/>
    </row>
    <row r="670" spans="2:13" x14ac:dyDescent="0.25">
      <c r="B670" t="s">
        <v>1269</v>
      </c>
    </row>
    <row r="671" spans="2:13" x14ac:dyDescent="0.25">
      <c r="B671"/>
    </row>
    <row r="672" spans="2:13" x14ac:dyDescent="0.25">
      <c r="B672" s="789" t="s">
        <v>1270</v>
      </c>
      <c r="C672" s="789"/>
      <c r="D672" s="789"/>
      <c r="E672" s="789"/>
      <c r="F672" s="789"/>
      <c r="G672" s="789"/>
      <c r="H672" s="789"/>
      <c r="I672" s="789"/>
      <c r="J672" s="789"/>
      <c r="K672" s="789"/>
      <c r="L672" s="789"/>
      <c r="M672" s="789"/>
    </row>
    <row r="673" spans="2:13" x14ac:dyDescent="0.25">
      <c r="B673" s="789"/>
      <c r="C673" s="789"/>
      <c r="D673" s="789"/>
      <c r="E673" s="789"/>
      <c r="F673" s="789"/>
      <c r="G673" s="789"/>
      <c r="H673" s="789"/>
      <c r="I673" s="789"/>
      <c r="J673" s="789"/>
      <c r="K673" s="789"/>
      <c r="L673" s="789"/>
      <c r="M673" s="789"/>
    </row>
    <row r="674" spans="2:13" x14ac:dyDescent="0.25">
      <c r="B674" s="789"/>
      <c r="C674" s="789"/>
      <c r="D674" s="789"/>
      <c r="E674" s="789"/>
      <c r="F674" s="789"/>
      <c r="G674" s="789"/>
      <c r="H674" s="789"/>
      <c r="I674" s="789"/>
      <c r="J674" s="789"/>
      <c r="K674" s="789"/>
      <c r="L674" s="789"/>
      <c r="M674" s="789"/>
    </row>
    <row r="675" spans="2:13" x14ac:dyDescent="0.25">
      <c r="B675" s="789"/>
      <c r="C675" s="789"/>
      <c r="D675" s="789"/>
      <c r="E675" s="789"/>
      <c r="F675" s="789"/>
      <c r="G675" s="789"/>
      <c r="H675" s="789"/>
      <c r="I675" s="789"/>
      <c r="J675" s="789"/>
      <c r="K675" s="789"/>
      <c r="L675" s="789"/>
      <c r="M675" s="789"/>
    </row>
    <row r="676" spans="2:13" x14ac:dyDescent="0.25"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8"/>
    </row>
    <row r="677" spans="2:13" x14ac:dyDescent="0.25">
      <c r="B677" s="2" t="s">
        <v>1274</v>
      </c>
    </row>
    <row r="678" spans="2:13" x14ac:dyDescent="0.25">
      <c r="B678" s="789" t="s">
        <v>1271</v>
      </c>
      <c r="C678" s="789"/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</row>
    <row r="679" spans="2:13" x14ac:dyDescent="0.25">
      <c r="B679" s="789"/>
      <c r="C679" s="789"/>
      <c r="D679" s="789"/>
      <c r="E679" s="789"/>
      <c r="F679" s="789"/>
      <c r="G679" s="789"/>
      <c r="H679" s="789"/>
      <c r="I679" s="789"/>
      <c r="J679" s="789"/>
      <c r="K679" s="789"/>
      <c r="L679" s="789"/>
      <c r="M679" s="789"/>
    </row>
    <row r="680" spans="2:13" x14ac:dyDescent="0.25">
      <c r="B680" s="789"/>
      <c r="C680" s="789"/>
      <c r="D680" s="789"/>
      <c r="E680" s="789"/>
      <c r="F680" s="789"/>
      <c r="G680" s="789"/>
      <c r="H680" s="789"/>
      <c r="I680" s="789"/>
      <c r="J680" s="789"/>
      <c r="K680" s="789"/>
      <c r="L680" s="789"/>
      <c r="M680" s="789"/>
    </row>
    <row r="681" spans="2:13" x14ac:dyDescent="0.25">
      <c r="B681" s="789"/>
      <c r="C681" s="789"/>
      <c r="D681" s="789"/>
      <c r="E681" s="789"/>
      <c r="F681" s="789"/>
      <c r="G681" s="789"/>
      <c r="H681" s="789"/>
      <c r="I681" s="789"/>
      <c r="J681" s="789"/>
      <c r="K681" s="789"/>
      <c r="L681" s="789"/>
      <c r="M681" s="789"/>
    </row>
    <row r="682" spans="2:13" x14ac:dyDescent="0.25">
      <c r="B682" s="789"/>
      <c r="C682" s="789"/>
      <c r="D682" s="789"/>
      <c r="E682" s="789"/>
      <c r="F682" s="789"/>
      <c r="G682" s="789"/>
      <c r="H682" s="789"/>
      <c r="I682" s="789"/>
      <c r="J682" s="789"/>
      <c r="K682" s="789"/>
      <c r="L682" s="789"/>
      <c r="M682" s="789"/>
    </row>
    <row r="683" spans="2:13" x14ac:dyDescent="0.25">
      <c r="B683"/>
    </row>
    <row r="684" spans="2:13" x14ac:dyDescent="0.25">
      <c r="B684" s="2" t="s">
        <v>1273</v>
      </c>
    </row>
    <row r="685" spans="2:13" ht="15" customHeight="1" x14ac:dyDescent="0.25">
      <c r="B685" s="790" t="s">
        <v>1267</v>
      </c>
      <c r="C685" s="790"/>
      <c r="D685" s="790"/>
      <c r="E685" s="790"/>
      <c r="F685" s="790"/>
      <c r="G685" s="790"/>
      <c r="H685" s="790"/>
      <c r="I685" s="790"/>
      <c r="J685" s="790"/>
      <c r="K685" s="790"/>
      <c r="L685" s="790"/>
      <c r="M685" s="790"/>
    </row>
    <row r="686" spans="2:13" x14ac:dyDescent="0.25">
      <c r="B686" s="790"/>
      <c r="C686" s="790"/>
      <c r="D686" s="790"/>
      <c r="E686" s="790"/>
      <c r="F686" s="790"/>
      <c r="G686" s="790"/>
      <c r="H686" s="790"/>
      <c r="I686" s="790"/>
      <c r="J686" s="790"/>
      <c r="K686" s="790"/>
      <c r="L686" s="790"/>
      <c r="M686" s="790"/>
    </row>
    <row r="687" spans="2:13" x14ac:dyDescent="0.25">
      <c r="B687" s="790"/>
      <c r="C687" s="790"/>
      <c r="D687" s="790"/>
      <c r="E687" s="790"/>
      <c r="F687" s="790"/>
      <c r="G687" s="790"/>
      <c r="H687" s="790"/>
      <c r="I687" s="790"/>
      <c r="J687" s="790"/>
      <c r="K687" s="790"/>
      <c r="L687" s="790"/>
      <c r="M687" s="790"/>
    </row>
    <row r="688" spans="2:13" x14ac:dyDescent="0.25">
      <c r="B688" s="790"/>
      <c r="C688" s="790"/>
      <c r="D688" s="790"/>
      <c r="E688" s="790"/>
      <c r="F688" s="790"/>
      <c r="G688" s="790"/>
      <c r="H688" s="790"/>
      <c r="I688" s="790"/>
      <c r="J688" s="790"/>
      <c r="K688" s="790"/>
      <c r="L688" s="790"/>
      <c r="M688" s="790"/>
    </row>
    <row r="689" spans="2:13" x14ac:dyDescent="0.25">
      <c r="B689" s="561"/>
      <c r="C689" s="561"/>
      <c r="D689" s="561"/>
      <c r="E689" s="561"/>
      <c r="F689" s="561"/>
      <c r="G689" s="561"/>
      <c r="H689" s="561"/>
      <c r="I689" s="561"/>
      <c r="J689" s="561"/>
      <c r="K689" s="561"/>
      <c r="L689" s="561"/>
      <c r="M689" s="561"/>
    </row>
    <row r="690" spans="2:13" x14ac:dyDescent="0.25">
      <c r="B690"/>
    </row>
    <row r="691" spans="2:13" x14ac:dyDescent="0.25">
      <c r="B691" s="2" t="s">
        <v>1275</v>
      </c>
    </row>
    <row r="692" spans="2:13" x14ac:dyDescent="0.25">
      <c r="B692" s="789" t="s">
        <v>1268</v>
      </c>
      <c r="C692" s="789"/>
      <c r="D692" s="789"/>
      <c r="E692" s="789"/>
      <c r="F692" s="789"/>
      <c r="G692" s="789"/>
      <c r="H692" s="789"/>
      <c r="I692" s="789"/>
      <c r="J692" s="789"/>
      <c r="K692" s="789"/>
      <c r="L692" s="789"/>
      <c r="M692" s="789"/>
    </row>
    <row r="693" spans="2:13" x14ac:dyDescent="0.25">
      <c r="B693" s="789"/>
      <c r="C693" s="789"/>
      <c r="D693" s="789"/>
      <c r="E693" s="789"/>
      <c r="F693" s="789"/>
      <c r="G693" s="789"/>
      <c r="H693" s="789"/>
      <c r="I693" s="789"/>
      <c r="J693" s="789"/>
      <c r="K693" s="789"/>
      <c r="L693" s="789"/>
      <c r="M693" s="789"/>
    </row>
    <row r="694" spans="2:13" x14ac:dyDescent="0.25">
      <c r="B694" s="789"/>
      <c r="C694" s="789"/>
      <c r="D694" s="789"/>
      <c r="E694" s="789"/>
      <c r="F694" s="789"/>
      <c r="G694" s="789"/>
      <c r="H694" s="789"/>
      <c r="I694" s="789"/>
      <c r="J694" s="789"/>
      <c r="K694" s="789"/>
      <c r="L694" s="789"/>
      <c r="M694" s="789"/>
    </row>
    <row r="695" spans="2:13" x14ac:dyDescent="0.25">
      <c r="B695" s="789"/>
      <c r="C695" s="789"/>
      <c r="D695" s="789"/>
      <c r="E695" s="789"/>
      <c r="F695" s="789"/>
      <c r="G695" s="789"/>
      <c r="H695" s="789"/>
      <c r="I695" s="789"/>
      <c r="J695" s="789"/>
      <c r="K695" s="789"/>
      <c r="L695" s="789"/>
      <c r="M695" s="789"/>
    </row>
    <row r="700" spans="2:19" ht="15.75" thickBot="1">
      <c r="B700" s="486" t="inlineStr">
        <is>
          <t xml:space="preserve">7.</t>
        </is>
      </c>
      <c r="C700" s="809" t="inlineStr">
        <is>
          <t xml:space="preserve">VERIFICAÇÕES COMPLEMENTARES DE CONFORTO (AISC Design Guide 11, 2ª ed.)</t>
        </is>
      </c>
      <c r="D700" s="809"/>
      <c r="E700" s="809"/>
      <c r="F700" s="809"/>
      <c r="G700" s="809"/>
      <c r="H700" s="809"/>
      <c r="I700" s="809"/>
      <c r="J700" s="809"/>
      <c r="K700" s="809"/>
      <c r="L700" s="809"/>
      <c r="M700" s="809"/>
      <c r="N700" s="809"/>
      <c r="O700" s="809"/>
      <c r="P700" s="809"/>
      <c r="Q700" s="809"/>
      <c r="R700" s="809"/>
      <c r="S700" s="809"/>
    </row>
    <row r="701" spans="2:19">
      <c r="B701" s="813" t="inlineStr">
        <is>
          <t xml:space="preserve">*A frequência natural sozinha não garante conforto. Estas verificações conferem a frequência por outro caminho (7.1), consideram a deformabilidade das vigas de apoio (7.2) e estimam a aceleração que uma pessoa caminhando provoca no piso (7.3), que é o que o usuário efetivamente sente. Entradas editáveis: δviga, q,uso, Cj, β, P0 e a0/g.</t>
        </is>
      </c>
    </row>
    <row r="702" spans="2:19"/>
    <row r="704" spans="2:19" ht="15.75" thickBot="1">
      <c r="B704" s="486" t="inlineStr">
        <is>
          <t xml:space="preserve">7.1</t>
        </is>
      </c>
      <c r="C704" s="809" t="inlineStr">
        <is>
          <t xml:space="preserve">CONFERÊNCIA DA FREQUÊNCIA PELA FLECHA</t>
        </is>
      </c>
      <c r="D704" s="809"/>
      <c r="E704" s="809"/>
      <c r="F704" s="809"/>
      <c r="G704" s="809"/>
      <c r="H704" s="809"/>
      <c r="I704" s="809"/>
      <c r="J704" s="809"/>
      <c r="K704" s="809"/>
      <c r="L704" s="809"/>
      <c r="M704" s="809"/>
      <c r="N704" s="809"/>
      <c r="O704" s="809"/>
      <c r="P704" s="809"/>
      <c r="Q704" s="809"/>
      <c r="R704" s="809"/>
      <c r="S704" s="809"/>
    </row>
    <row r="705" spans="2:19">
      <c r="B705" s="482" t="inlineStr">
        <is>
          <t xml:space="preserve">w</t>
        </is>
      </c>
      <c r="C705" s="1">
        <f>(C20*9.81)+((C47*C48+C46)*C5/100*9.81)</f>
        <v>19276.039944860167</v>
      </c>
      <c r="D705" s="1" t="inlineStr">
        <is>
          <t xml:space="preserve">N/m</t>
        </is>
      </c>
      <c r="E705" s="488" t="inlineStr">
        <is>
          <t xml:space="preserve">*Carga por laje na mesma combinação do item 3: peso próprio + capa + chaveta + g5 + ψ1·q1</t>
        </is>
      </c>
    </row>
    <row r="706" spans="2:19">
      <c r="B706" s="482" t="inlineStr">
        <is>
          <t xml:space="preserve">δlaje</t>
        </is>
      </c>
      <c r="C706" s="1">
        <f>5*C705*(C14/100)^4/(384*C30*1000)*1000</f>
        <v>9.059629936333318</v>
      </c>
      <c r="D706" s="1" t="inlineStr">
        <is>
          <t xml:space="preserve">mm</t>
        </is>
      </c>
      <c r="E706" s="488" t="inlineStr">
        <is>
          <t xml:space="preserve">*Flecha elástica imediata no meio do vão, laje biapoiada, com o Ecs dinâmico (5wL⁴/384EI)</t>
        </is>
      </c>
    </row>
    <row r="707" spans="2:19">
      <c r="B707" s="482" t="inlineStr">
        <is>
          <t xml:space="preserve">fn,flecha</t>
        </is>
      </c>
      <c r="C707" s="501">
        <f>0.18*SQRT(9.81/(C706/1000))*$C$512</f>
        <v>6.3405074064593085</v>
      </c>
      <c r="D707" s="1" t="inlineStr">
        <is>
          <t xml:space="preserve">Hz</t>
        </is>
      </c>
      <c r="E707" s="488" t="inlineStr">
        <is>
          <t xml:space="preserve">*fn = 0,18·√(g/δ) × R. Fórmula do AISC DG11 (eq. 3.3); para viga biapoiada é praticamente exata (o coeficiente teórico é 0,179)</t>
        </is>
      </c>
    </row>
    <row r="708" spans="2:19">
      <c r="B708" s="482" t="inlineStr">
        <is>
          <t xml:space="preserve">Diferença</t>
        </is>
      </c>
      <c r="C708" s="1">
        <f>C707/C50-1</f>
        <v>0.004230108453041392</v>
      </c>
      <c r="D708" s="1" t="inlineStr">
        <is>
          <t xml:space="preserve">-</t>
        </is>
      </c>
      <c r="E708" s="488" t="inlineStr">
        <is>
          <t xml:space="preserve">*Diferença para o item 3. Deve ser próxima de zero: é uma conferência independente das fórmulas e unidades</t>
        </is>
      </c>
    </row>
    <row r="711" spans="2:19" ht="15.75" thickBot="1">
      <c r="B711" s="486" t="inlineStr">
        <is>
          <t xml:space="preserve">7.2</t>
        </is>
      </c>
      <c r="C711" s="809" t="inlineStr">
        <is>
          <t xml:space="preserve">INFLUÊNCIA DA FLEXIBILIDADE DAS VIGAS DE APOIO</t>
        </is>
      </c>
      <c r="D711" s="809"/>
      <c r="E711" s="809"/>
      <c r="F711" s="809"/>
      <c r="G711" s="809"/>
      <c r="H711" s="809"/>
      <c r="I711" s="809"/>
      <c r="J711" s="809"/>
      <c r="K711" s="809"/>
      <c r="L711" s="809"/>
      <c r="M711" s="809"/>
      <c r="N711" s="809"/>
      <c r="O711" s="809"/>
      <c r="P711" s="809"/>
      <c r="Q711" s="809"/>
      <c r="R711" s="809"/>
      <c r="S711" s="809"/>
    </row>
    <row r="712" spans="2:19">
      <c r="B712" s="483" t="inlineStr">
        <is>
          <t xml:space="preserve">δviga,esq</t>
        </is>
      </c>
      <c r="C712" s="490">
        <v>0</v>
      </c>
      <c r="D712" s="1" t="inlineStr">
        <is>
          <t xml:space="preserve">mm</t>
        </is>
      </c>
      <c r="E712" s="488" t="inlineStr">
        <is>
          <t xml:space="preserve">*Flecha no meio do vão da viga de apoio esquerda sob a reação das lajes, na mesma combinação (tirar do cálculo da viga). 0 = apoio indeformável (pilar, parede ou viga muito rígida)</t>
        </is>
      </c>
    </row>
    <row r="713" spans="2:19">
      <c r="B713" s="483" t="inlineStr">
        <is>
          <t xml:space="preserve">δviga,dir</t>
        </is>
      </c>
      <c r="C713" s="490">
        <v>0</v>
      </c>
      <c r="D713" s="1" t="inlineStr">
        <is>
          <t xml:space="preserve">mm</t>
        </is>
      </c>
      <c r="E713" s="488" t="inlineStr">
        <is>
          <t xml:space="preserve">*Idem para a viga de apoio direita</t>
        </is>
      </c>
    </row>
    <row r="714" spans="2:19">
      <c r="B714" s="482" t="inlineStr">
        <is>
          <t xml:space="preserve">δviga</t>
        </is>
      </c>
      <c r="C714" s="1">
        <f>(C712+C713)/2</f>
        <v>0.0</v>
      </c>
      <c r="D714" s="1" t="inlineStr">
        <is>
          <t xml:space="preserve">mm</t>
        </is>
      </c>
      <c r="E714" s="488" t="inlineStr">
        <is>
          <t xml:space="preserve">*Deslocamento médio dos apoios: é o quanto o meio do vão da laje desce a mais por causa das vigas</t>
        </is>
      </c>
    </row>
    <row r="715" spans="2:19">
      <c r="B715" s="482" t="inlineStr">
        <is>
          <t xml:space="preserve">fviga</t>
        </is>
      </c>
      <c r="C715" s="1" t="str">
        <f>IF(C714&gt;0,0.18*SQRT(9.81/(C714/1000)),"-")</f>
        <v>-</v>
      </c>
      <c r="D715" s="1" t="inlineStr">
        <is>
          <t xml:space="preserve">Hz</t>
        </is>
      </c>
      <c r="E715" s="488" t="inlineStr">
        <is>
          <t xml:space="preserve">*Frequência do modo em que as vigas vibram levando as lajes junto</t>
        </is>
      </c>
    </row>
    <row r="716" spans="2:19">
      <c r="B716" s="482" t="inlineStr">
        <is>
          <t xml:space="preserve">fn,sistema</t>
        </is>
      </c>
      <c r="C716" s="501">
        <f>IF(C714&gt;0,1/SQRT(1/C50^2+1/C715^2),C50)</f>
        <v>6.3137993504561365</v>
      </c>
      <c r="D716" s="1" t="inlineStr">
        <is>
          <t xml:space="preserve">Hz</t>
        </is>
      </c>
      <c r="E716" s="488" t="inlineStr">
        <is>
          <t xml:space="preserve">*Frequência do conjunto laje + vigas (Dunkerley: 1/f² = 1/flaje² + 1/fviga²). Sempre menor que as duas; é o valor a comparar com a tabela de usos</t>
        </is>
      </c>
    </row>
    <row r="719" spans="2:19" ht="15.75" thickBot="1">
      <c r="B719" s="486" t="inlineStr">
        <is>
          <t xml:space="preserve">7.3</t>
        </is>
      </c>
      <c r="C719" s="809" t="inlineStr">
        <is>
          <t xml:space="preserve">ACELERAÇÃO DE PICO POR CAMINHADA (AISC DG11, cap. 4)</t>
        </is>
      </c>
      <c r="D719" s="809"/>
      <c r="E719" s="809"/>
      <c r="F719" s="809"/>
      <c r="G719" s="809"/>
      <c r="H719" s="809"/>
      <c r="I719" s="809"/>
      <c r="J719" s="809"/>
      <c r="K719" s="809"/>
      <c r="L719" s="809"/>
      <c r="M719" s="809"/>
      <c r="N719" s="809"/>
      <c r="O719" s="809"/>
      <c r="P719" s="809"/>
      <c r="Q719" s="809"/>
      <c r="R719" s="809"/>
      <c r="S719" s="809"/>
    </row>
    <row r="720" spans="2:19">
      <c r="B720" s="813" t="inlineStr">
        <is>
          <t xml:space="preserve">*Critério: ap/g = P0·e^(−0,35·fn) / (β·W) ≤ a0/g. Vale para fn &lt; 9 Hz; acima disso a caminhada não entra em ressonância e o critério passa a ser a rigidez a uma força concentrada (≥ 1 kN/mm).</t>
        </is>
      </c>
    </row>
    <row r="721" spans="2:19"/>
    <row r="722" spans="2:19">
      <c r="B722" s="483" t="inlineStr">
        <is>
          <t xml:space="preserve">q,uso</t>
        </is>
      </c>
      <c r="C722" s="490">
        <v>50</v>
      </c>
      <c r="D722" s="1" t="inlineStr">
        <is>
          <t xml:space="preserve">kgf/m²</t>
        </is>
      </c>
      <c r="E722" s="488" t="inlineStr">
        <is>
          <t xml:space="preserve">*Sobrecarga realmente presente no uso, e não a de projeto (AISC: ≈ 50 kgf/m² escritórios, ≈ 30 kgf/m² residências). Aqui mais massa reduz a aceleração, então usar a carga de projeto ficaria contra a segurança</t>
        </is>
      </c>
    </row>
    <row r="723" spans="2:19">
      <c r="B723" s="482" t="inlineStr">
        <is>
          <t xml:space="preserve">fn,ac</t>
        </is>
      </c>
      <c r="C723" s="501">
        <f>IF(C714&gt;0,1/SQRT(1/(((C40/((C20*C39*(C14/100))+(C722*(C14/100)*(C39*C5/100))+(C46*(C14/100)*(C39*C5/100))))^0.5)*1/(2*PI())*$C$512)^2+1/C715^2),((C40/((C20*C39*(C14/100))+(C722*(C14/100)*(C39*C5/100))+(C46*(C14/100)*(C39*C5/100))))^0.5)*1/(2*PI())*$C$512)</f>
        <v>10.037657000969771</v>
      </c>
      <c r="D723" s="1" t="inlineStr">
        <is>
          <t xml:space="preserve">Hz</t>
        </is>
      </c>
      <c r="E723" s="488" t="inlineStr">
        <is>
          <t xml:space="preserve">*Frequência do pano com a carga de uso real (mesma fórmula do item 3, incluindo R e as vigas do item 7.2)</t>
        </is>
      </c>
    </row>
    <row r="724" spans="2:19">
      <c r="B724" s="482" t="inlineStr">
        <is>
          <t xml:space="preserve">Ds</t>
        </is>
      </c>
      <c r="C724" s="1">
        <f>(C4/100)^3/12</f>
        <v>1.041666666666667e-05</v>
      </c>
      <c r="D724" s="1" t="inlineStr">
        <is>
          <t xml:space="preserve">m⁴/m</t>
        </is>
      </c>
      <c r="E724" s="488" t="inlineStr">
        <is>
          <t xml:space="preserve">*Rigidez transversal por metro de largura: só a capa (conservador, as juntas entre lajes não transmitem flexão)</t>
        </is>
      </c>
    </row>
    <row r="725" spans="2:19">
      <c r="B725" s="482" t="inlineStr">
        <is>
          <t xml:space="preserve">Dj</t>
        </is>
      </c>
      <c r="C725" s="1">
        <f>C19/(C5/100)</f>
        <v>0.0025785878249892915</v>
      </c>
      <c r="D725" s="1" t="inlineStr">
        <is>
          <t xml:space="preserve">m⁴/m</t>
        </is>
      </c>
      <c r="E725" s="488" t="inlineStr">
        <is>
          <t xml:space="preserve">*Rigidez longitudinal por metro de largura: inércia da seção composta / largura da laje</t>
        </is>
      </c>
    </row>
    <row r="726" spans="2:19">
      <c r="B726" s="483" t="inlineStr">
        <is>
          <t xml:space="preserve">Cj</t>
        </is>
      </c>
      <c r="C726" s="490">
        <v>2</v>
      </c>
      <c r="D726" s="1" t="inlineStr">
        <is>
          <t xml:space="preserve">-</t>
        </is>
      </c>
      <c r="E726" s="488" t="inlineStr">
        <is>
          <t xml:space="preserve">*2,0 para painel no meio do piso; 1,0 para painel junto a uma borda livre (sem laje do outro lado)</t>
        </is>
      </c>
    </row>
    <row r="727" spans="2:19">
      <c r="B727" s="482" t="inlineStr">
        <is>
          <t xml:space="preserve">Bj</t>
        </is>
      </c>
      <c r="C727" s="1">
        <f>MIN(C726*(C724/C725)^0.25*(C14/100),2/3*C38/100)</f>
        <v>4.280794654975234</v>
      </c>
      <c r="D727" s="1" t="inlineStr">
        <is>
          <t xml:space="preserve">m</t>
        </is>
      </c>
      <c r="E727" s="488" t="inlineStr">
        <is>
          <t xml:space="preserve">*Largura efetiva do piso que vibra junto com o ponto excitado, limitada a 2/3 da largura do pano</t>
        </is>
      </c>
    </row>
    <row r="728" spans="2:19">
      <c r="B728" s="482" t="inlineStr">
        <is>
          <t xml:space="preserve">W</t>
        </is>
      </c>
      <c r="C728" s="1">
        <f>((C20/(C5/100))+C722+C46)*9.81/1000*C727*(C14/100)</f>
        <v>221.7464829202119</v>
      </c>
      <c r="D728" s="1" t="inlineStr">
        <is>
          <t xml:space="preserve">kN</t>
        </is>
      </c>
      <c r="E728" s="488" t="inlineStr">
        <is>
          <t xml:space="preserve">*Peso efetivo que participa da vibração: carga por m² × Bj × L</t>
        </is>
      </c>
    </row>
    <row r="729" spans="2:19">
      <c r="B729" s="483" t="inlineStr">
        <is>
          <t xml:space="preserve">β</t>
        </is>
      </c>
      <c r="C729" s="490">
        <v>0.03</v>
      </c>
      <c r="D729" s="1" t="inlineStr">
        <is>
          <t xml:space="preserve">-</t>
        </is>
      </c>
      <c r="E729" s="488" t="inlineStr">
        <is>
          <t xml:space="preserve">*Taxa de amortecimento: 0,02 laje sem acabamentos/divisórias; 0,03 com forro, instalações e mobiliário; 0,05 com divisórias até o teto</t>
        </is>
      </c>
    </row>
    <row r="730" spans="2:19">
      <c r="B730" s="483" t="inlineStr">
        <is>
          <t xml:space="preserve">P0</t>
        </is>
      </c>
      <c r="C730" s="490">
        <v>0.29</v>
      </c>
      <c r="D730" s="1" t="inlineStr">
        <is>
          <t xml:space="preserve">kN</t>
        </is>
      </c>
      <c r="E730" s="488" t="inlineStr">
        <is>
          <t xml:space="preserve">*Amplitude da força de uma pessoa caminhando (AISC: 0,29 kN)</t>
        </is>
      </c>
    </row>
    <row r="731" spans="2:19">
      <c r="B731" s="482" t="inlineStr">
        <is>
          <t xml:space="preserve">ap/g</t>
        </is>
      </c>
      <c r="C731" s="501">
        <f>C730*EXP(-0.35*C723)/(C729*C728)*100</f>
        <v>0.12991680648023032</v>
      </c>
      <c r="D731" s="1" t="inlineStr">
        <is>
          <t xml:space="preserve">%g</t>
        </is>
      </c>
      <c r="E731" s="488" t="inlineStr">
        <is>
          <t xml:space="preserve">*Aceleração de pico estimada, em % da gravidade</t>
        </is>
      </c>
    </row>
    <row r="732" spans="2:19">
      <c r="B732" s="483" t="inlineStr">
        <is>
          <t xml:space="preserve">a0/g</t>
        </is>
      </c>
      <c r="C732" s="490">
        <v>0.5</v>
      </c>
      <c r="D732" s="1" t="inlineStr">
        <is>
          <t xml:space="preserve">%g</t>
        </is>
      </c>
      <c r="E732" s="488" t="inlineStr">
        <is>
          <t xml:space="preserve">*Limite (AISC Tab. 4.1): 0,5% escritórios, residências, escolas, igrejas; 1,5% shoppings e passarelas internas; 5% passarelas externas</t>
        </is>
      </c>
    </row>
    <row r="733" spans="2:19">
      <c r="B733" s="482" t="inlineStr">
        <is>
          <t xml:space="preserve">kpontual</t>
        </is>
      </c>
      <c r="C733" s="1">
        <f>48*C30/(C14/100)^3/1000</f>
        <v>11.290029248017081</v>
      </c>
      <c r="D733" s="1" t="inlineStr">
        <is>
          <t xml:space="preserve">kN/mm</t>
        </is>
      </c>
      <c r="E733" s="488" t="inlineStr">
        <is>
          <t xml:space="preserve">*Rigidez a força concentrada no meio do vão de uma laje isolada (48EI/L³, conservador). Usada só quando fn ≥ 9 Hz: exige ≥ 1 kN/mm</t>
        </is>
      </c>
    </row>
    <row r="734" spans="2:19">
      <c r="B734" s="506" t="inlineStr">
        <is>
          <t xml:space="preserve">Situação:</t>
        </is>
      </c>
      <c r="C734" s="507" t="str">
        <f>IF(C723&gt;=9,IF(C733&gt;=1,"fn ≥ 9 Hz: Ok (rigidez)","fn ≥ 9 Hz: Não atende (rigidez &lt; 1 kN/mm)"),IF(C731&lt;=C732,"Ok","Não atende - aumentar rigidez, massa ou amortecimento"))</f>
        <v>fn ≥ 9 Hz: Ok (rigidez)</v>
      </c>
    </row>
  </sheetData>
  <mergeCells count="33">
    <mergeCell ref="C45:S45"/>
    <mergeCell ref="C2:S2"/>
    <mergeCell ref="C12:S12"/>
    <mergeCell ref="C22:S22"/>
    <mergeCell ref="C28:S28"/>
    <mergeCell ref="C36:S36"/>
    <mergeCell ref="B42:S4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B692:M695"/>
    <mergeCell ref="B672:M675"/>
    <mergeCell ref="B678:M682"/>
    <mergeCell ref="B685:M688"/>
    <mergeCell ref="C616:K616"/>
    <mergeCell ref="B630:J663"/>
    <mergeCell ref="C700:S700"/>
    <mergeCell ref="B701:S702"/>
    <mergeCell ref="C704:S704"/>
    <mergeCell ref="C711:S711"/>
    <mergeCell ref="C719:S719"/>
    <mergeCell ref="B720:S72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9" t="s">
        <v>693</v>
      </c>
      <c r="I1" s="860"/>
      <c r="J1" s="865"/>
      <c r="K1" s="866"/>
      <c r="L1" s="866"/>
      <c r="M1" s="866"/>
      <c r="N1" s="866"/>
      <c r="O1" s="866"/>
      <c r="P1" s="866"/>
      <c r="Q1" s="866"/>
    </row>
    <row r="2" spans="8:17" x14ac:dyDescent="0.25">
      <c r="H2" s="861" t="s">
        <v>694</v>
      </c>
      <c r="I2" s="862"/>
      <c r="J2" s="863"/>
      <c r="K2" s="864"/>
      <c r="L2" s="864"/>
      <c r="M2" s="864"/>
      <c r="N2" s="864"/>
      <c r="O2" s="864"/>
      <c r="P2" s="864"/>
      <c r="Q2" s="864"/>
    </row>
    <row r="3" spans="8:17" ht="15.75" thickBot="1" x14ac:dyDescent="0.3"/>
    <row r="4" spans="8:17" x14ac:dyDescent="0.25">
      <c r="H4" s="214" t="s">
        <v>695</v>
      </c>
      <c r="I4" s="7">
        <f>Geometria!H21</f>
        <v>849</v>
      </c>
      <c r="J4" s="235" t="s">
        <v>80</v>
      </c>
      <c r="K4" s="873" t="str">
        <f ca="1">Geometria!L6</f>
        <v>Domínio 3</v>
      </c>
      <c r="L4" s="874"/>
      <c r="M4" s="874"/>
      <c r="N4" s="875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6"/>
      <c r="L5" s="877"/>
      <c r="M5" s="877"/>
      <c r="N5" s="878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5" t="s">
        <v>688</v>
      </c>
      <c r="L7" s="826"/>
      <c r="M7" s="879">
        <f>Geometria!M11</f>
        <v>3</v>
      </c>
      <c r="N7" s="631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7"/>
      <c r="L8" s="828"/>
      <c r="M8" s="880"/>
      <c r="N8" s="881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7" t="s">
        <v>495</v>
      </c>
      <c r="L9" s="858"/>
      <c r="M9" s="882">
        <f ca="1">Geometria!M13</f>
        <v>231.43671910566431</v>
      </c>
      <c r="N9" s="762"/>
    </row>
    <row r="10" spans="8:17" ht="15.75" thickBot="1" x14ac:dyDescent="0.3">
      <c r="H10" s="214" t="s">
        <v>701</v>
      </c>
      <c r="I10" s="7">
        <f>Geometria!H6</f>
        <v>2500</v>
      </c>
      <c r="J10" s="235" t="s">
        <v>702</v>
      </c>
      <c r="K10" s="831"/>
      <c r="L10" s="832"/>
      <c r="M10" s="883"/>
      <c r="N10" s="763"/>
    </row>
    <row r="11" spans="8:17" x14ac:dyDescent="0.25">
      <c r="H11" s="214" t="s">
        <v>703</v>
      </c>
      <c r="I11" s="7">
        <f>Geometria!H8</f>
        <v>100</v>
      </c>
      <c r="J11" s="235" t="s">
        <v>702</v>
      </c>
      <c r="K11" s="829" t="s">
        <v>1464</v>
      </c>
      <c r="L11" s="830"/>
      <c r="M11" s="884">
        <f ca="1">Geometria!M15</f>
        <v>264.96287440699467</v>
      </c>
      <c r="N11" s="885"/>
    </row>
    <row r="12" spans="8:17" ht="15.75" thickBot="1" x14ac:dyDescent="0.3">
      <c r="K12" s="831"/>
      <c r="L12" s="832"/>
      <c r="M12" s="883"/>
      <c r="N12" s="763"/>
    </row>
    <row r="13" spans="8:17" ht="15" customHeight="1" x14ac:dyDescent="0.25">
      <c r="K13" s="886" t="str">
        <f ca="1">Geometria!L17</f>
        <v>Cisalhamento Ok</v>
      </c>
      <c r="L13" s="886"/>
      <c r="M13" s="886"/>
      <c r="N13" s="886"/>
    </row>
    <row r="14" spans="8:17" ht="15" customHeight="1" thickBot="1" x14ac:dyDescent="0.3">
      <c r="K14" s="886"/>
      <c r="L14" s="886"/>
      <c r="M14" s="886"/>
      <c r="N14" s="886"/>
    </row>
    <row r="15" spans="8:17" ht="15.75" thickBot="1" x14ac:dyDescent="0.3">
      <c r="K15" s="839" t="s">
        <v>474</v>
      </c>
      <c r="L15" s="840"/>
      <c r="M15" s="840"/>
      <c r="N15" s="841"/>
    </row>
    <row r="16" spans="8:17" x14ac:dyDescent="0.25">
      <c r="K16" s="867" t="str">
        <f>Geometria!L20</f>
        <v>4Ø9,5mm</v>
      </c>
      <c r="L16" s="868"/>
      <c r="M16" s="868"/>
      <c r="N16" s="869"/>
    </row>
    <row r="17" spans="11:14" ht="15.75" thickBot="1" x14ac:dyDescent="0.3">
      <c r="K17" s="870"/>
      <c r="L17" s="871"/>
      <c r="M17" s="871"/>
      <c r="N17" s="872"/>
    </row>
    <row r="18" spans="11:14" ht="15.75" thickBot="1" x14ac:dyDescent="0.3">
      <c r="L18" s="143"/>
      <c r="M18" s="143"/>
    </row>
    <row r="19" spans="11:14" ht="15.75" thickBot="1" x14ac:dyDescent="0.3">
      <c r="K19" s="839" t="s">
        <v>476</v>
      </c>
      <c r="L19" s="840"/>
      <c r="M19" s="840"/>
      <c r="N19" s="841"/>
    </row>
    <row r="20" spans="11:14" x14ac:dyDescent="0.25">
      <c r="K20" s="867" t="str">
        <f>Geometria!L24</f>
        <v>12Ø12,7mm</v>
      </c>
      <c r="L20" s="868"/>
      <c r="M20" s="868"/>
      <c r="N20" s="869"/>
    </row>
    <row r="21" spans="11:14" ht="15.75" thickBot="1" x14ac:dyDescent="0.3">
      <c r="K21" s="870"/>
      <c r="L21" s="871"/>
      <c r="M21" s="871"/>
      <c r="N21" s="872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9" t="s">
        <v>689</v>
      </c>
      <c r="L23" s="840"/>
      <c r="M23" s="840"/>
      <c r="N23" s="841"/>
    </row>
    <row r="24" spans="11:14" x14ac:dyDescent="0.25">
      <c r="K24" s="842">
        <f ca="1">Geometria!L1000</f>
        <v>-1.3925148282972115</v>
      </c>
      <c r="L24" s="843"/>
      <c r="M24" s="843"/>
      <c r="N24" s="844"/>
    </row>
    <row r="25" spans="11:14" ht="15.75" thickBot="1" x14ac:dyDescent="0.3">
      <c r="K25" s="845"/>
      <c r="L25" s="846"/>
      <c r="M25" s="846"/>
      <c r="N25" s="847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9" t="s">
        <v>690</v>
      </c>
      <c r="L27" s="840"/>
      <c r="M27" s="840"/>
      <c r="N27" s="841"/>
    </row>
    <row r="28" spans="11:14" x14ac:dyDescent="0.25">
      <c r="K28" s="842">
        <f ca="1">Geometria!H1000</f>
        <v>-1.1052609009972132</v>
      </c>
      <c r="L28" s="843"/>
      <c r="M28" s="843"/>
      <c r="N28" s="844"/>
    </row>
    <row r="29" spans="11:14" ht="15.75" thickBot="1" x14ac:dyDescent="0.3">
      <c r="K29" s="845"/>
      <c r="L29" s="846"/>
      <c r="M29" s="846"/>
      <c r="N29" s="847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9" t="s">
        <v>691</v>
      </c>
      <c r="L31" s="840"/>
      <c r="M31" s="840"/>
      <c r="N31" s="841"/>
    </row>
    <row r="32" spans="11:14" x14ac:dyDescent="0.25">
      <c r="K32" s="833">
        <f>Geometria!L126</f>
        <v>79.054373522458647</v>
      </c>
      <c r="L32" s="834"/>
      <c r="M32" s="834"/>
      <c r="N32" s="835"/>
    </row>
    <row r="33" spans="8:17" ht="15.75" thickBot="1" x14ac:dyDescent="0.3">
      <c r="K33" s="836"/>
      <c r="L33" s="837"/>
      <c r="M33" s="837"/>
      <c r="N33" s="838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9" t="s">
        <v>692</v>
      </c>
      <c r="L35" s="840"/>
      <c r="M35" s="840"/>
      <c r="N35" s="841"/>
    </row>
    <row r="36" spans="8:17" x14ac:dyDescent="0.25">
      <c r="K36" s="833">
        <f>Geometria!L139</f>
        <v>60.060060060060053</v>
      </c>
      <c r="L36" s="834"/>
      <c r="M36" s="834"/>
      <c r="N36" s="835"/>
    </row>
    <row r="37" spans="8:17" ht="15.75" thickBot="1" x14ac:dyDescent="0.3">
      <c r="K37" s="836"/>
      <c r="L37" s="837"/>
      <c r="M37" s="837"/>
      <c r="N37" s="838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8" t="s">
        <v>689</v>
      </c>
      <c r="L39" s="849"/>
      <c r="M39" s="849"/>
      <c r="N39" s="850"/>
    </row>
    <row r="40" spans="8:17" x14ac:dyDescent="0.25">
      <c r="K40" s="851">
        <f ca="1">Geometria!L28</f>
        <v>-1.3925148282972115</v>
      </c>
      <c r="L40" s="852"/>
      <c r="M40" s="852"/>
      <c r="N40" s="853"/>
    </row>
    <row r="41" spans="8:17" ht="15.75" thickBot="1" x14ac:dyDescent="0.3">
      <c r="K41" s="854"/>
      <c r="L41" s="855"/>
      <c r="M41" s="855"/>
      <c r="N41" s="856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8" t="s">
        <v>690</v>
      </c>
      <c r="L43" s="849"/>
      <c r="M43" s="849"/>
      <c r="N43" s="850"/>
    </row>
    <row r="44" spans="8:17" x14ac:dyDescent="0.25">
      <c r="K44" s="851">
        <f ca="1">Geometria!L32</f>
        <v>-1.1052609009972132</v>
      </c>
      <c r="L44" s="852"/>
      <c r="M44" s="852"/>
      <c r="N44" s="853"/>
    </row>
    <row r="45" spans="8:17" ht="15.75" thickBot="1" x14ac:dyDescent="0.3">
      <c r="K45" s="854"/>
      <c r="L45" s="855"/>
      <c r="M45" s="855"/>
      <c r="N45" s="856"/>
    </row>
    <row r="46" spans="8:17" x14ac:dyDescent="0.25">
      <c r="K46" s="331"/>
      <c r="L46" s="331"/>
      <c r="M46" s="331"/>
      <c r="N46" s="331"/>
    </row>
    <row r="47" spans="8:17" x14ac:dyDescent="0.25">
      <c r="H47" s="780" t="s">
        <v>709</v>
      </c>
      <c r="I47" s="780"/>
      <c r="J47" s="780"/>
      <c r="K47" s="780"/>
      <c r="L47" s="780"/>
      <c r="M47" s="780"/>
      <c r="N47" s="780"/>
      <c r="O47" s="780"/>
      <c r="P47" s="780"/>
      <c r="Q47" s="780"/>
    </row>
    <row r="48" spans="8:17" x14ac:dyDescent="0.25">
      <c r="H48" s="780"/>
      <c r="I48" s="780"/>
      <c r="J48" s="780"/>
      <c r="K48" s="780"/>
      <c r="L48" s="780"/>
      <c r="M48" s="780"/>
      <c r="N48" s="780"/>
      <c r="O48" s="780"/>
      <c r="P48" s="780"/>
      <c r="Q48" s="780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9" t="s">
        <v>273</v>
      </c>
      <c r="J62" s="819"/>
      <c r="K62" s="819"/>
      <c r="L62" s="819"/>
      <c r="M62" s="819"/>
      <c r="N62" s="819"/>
      <c r="O62" s="819"/>
      <c r="P62" s="819"/>
    </row>
    <row r="63" spans="9:16" x14ac:dyDescent="0.25">
      <c r="I63" s="689" t="s">
        <v>706</v>
      </c>
      <c r="J63" s="689">
        <f>Geometria!$J$137</f>
        <v>4</v>
      </c>
      <c r="K63" s="820">
        <f>Geometria!$K$137</f>
        <v>9.5</v>
      </c>
      <c r="L63" s="820"/>
      <c r="M63" s="820"/>
      <c r="N63" s="823">
        <f>Geometria!$H$21/100</f>
        <v>8.49</v>
      </c>
      <c r="O63" s="823"/>
      <c r="P63" s="823"/>
    </row>
    <row r="64" spans="9:16" x14ac:dyDescent="0.25">
      <c r="I64" s="689"/>
      <c r="J64" s="821"/>
      <c r="K64" s="822"/>
      <c r="L64" s="822"/>
      <c r="M64" s="822"/>
      <c r="N64" s="824"/>
      <c r="O64" s="824"/>
      <c r="P64" s="824"/>
    </row>
    <row r="65" spans="9:16" x14ac:dyDescent="0.25">
      <c r="I65" s="816" t="s">
        <v>707</v>
      </c>
      <c r="J65" s="816"/>
      <c r="K65" s="816"/>
      <c r="L65" s="816"/>
      <c r="M65" s="816"/>
      <c r="N65" s="818">
        <f>K32</f>
        <v>79.054373522458647</v>
      </c>
      <c r="O65" s="818"/>
      <c r="P65" s="818"/>
    </row>
    <row r="66" spans="9:16" x14ac:dyDescent="0.25">
      <c r="I66" s="816"/>
      <c r="J66" s="816"/>
      <c r="K66" s="816"/>
      <c r="L66" s="816"/>
      <c r="M66" s="816"/>
      <c r="N66" s="818"/>
      <c r="O66" s="818"/>
      <c r="P66" s="818"/>
    </row>
    <row r="67" spans="9:16" x14ac:dyDescent="0.25">
      <c r="I67" s="816" t="s">
        <v>708</v>
      </c>
      <c r="J67" s="816"/>
      <c r="K67" s="816"/>
      <c r="L67" s="816"/>
      <c r="M67" s="816"/>
      <c r="N67" s="817">
        <f>Geometria!L104</f>
        <v>500</v>
      </c>
      <c r="O67" s="817"/>
      <c r="P67" s="817"/>
    </row>
    <row r="68" spans="9:16" x14ac:dyDescent="0.25">
      <c r="I68" s="816"/>
      <c r="J68" s="816"/>
      <c r="K68" s="816"/>
      <c r="L68" s="816"/>
      <c r="M68" s="816"/>
      <c r="N68" s="817"/>
      <c r="O68" s="817"/>
      <c r="P68" s="817"/>
    </row>
    <row r="71" spans="9:16" x14ac:dyDescent="0.25">
      <c r="I71" s="819" t="s">
        <v>272</v>
      </c>
      <c r="J71" s="819"/>
      <c r="K71" s="819"/>
      <c r="L71" s="819"/>
      <c r="M71" s="819"/>
      <c r="N71" s="819"/>
      <c r="O71" s="819"/>
      <c r="P71" s="819"/>
    </row>
    <row r="72" spans="9:16" x14ac:dyDescent="0.25">
      <c r="I72" s="689" t="s">
        <v>705</v>
      </c>
      <c r="J72" s="689">
        <f>Geometria!$J$124</f>
        <v>12</v>
      </c>
      <c r="K72" s="820">
        <f>Geometria!$K$124</f>
        <v>12.7</v>
      </c>
      <c r="L72" s="820"/>
      <c r="M72" s="820"/>
      <c r="N72" s="823">
        <f>Geometria!$H$21/100</f>
        <v>8.49</v>
      </c>
      <c r="O72" s="823"/>
      <c r="P72" s="823"/>
    </row>
    <row r="73" spans="9:16" x14ac:dyDescent="0.25">
      <c r="I73" s="689"/>
      <c r="J73" s="689"/>
      <c r="K73" s="820"/>
      <c r="L73" s="820"/>
      <c r="M73" s="820"/>
      <c r="N73" s="823"/>
      <c r="O73" s="823"/>
      <c r="P73" s="823"/>
    </row>
    <row r="74" spans="9:16" x14ac:dyDescent="0.25">
      <c r="I74" s="816" t="s">
        <v>707</v>
      </c>
      <c r="J74" s="816"/>
      <c r="K74" s="816"/>
      <c r="L74" s="816"/>
      <c r="M74" s="816"/>
      <c r="N74" s="818">
        <f>K36</f>
        <v>60.060060060060053</v>
      </c>
      <c r="O74" s="818"/>
      <c r="P74" s="818"/>
    </row>
    <row r="75" spans="9:16" x14ac:dyDescent="0.25">
      <c r="I75" s="816"/>
      <c r="J75" s="816"/>
      <c r="K75" s="816"/>
      <c r="L75" s="816"/>
      <c r="M75" s="816"/>
      <c r="N75" s="818"/>
      <c r="O75" s="818"/>
      <c r="P75" s="818"/>
    </row>
    <row r="76" spans="9:16" x14ac:dyDescent="0.25">
      <c r="I76" s="816" t="s">
        <v>708</v>
      </c>
      <c r="J76" s="816"/>
      <c r="K76" s="816"/>
      <c r="L76" s="816"/>
      <c r="M76" s="816"/>
      <c r="N76" s="817">
        <f>Geometria!I104</f>
        <v>1463</v>
      </c>
      <c r="O76" s="817"/>
      <c r="P76" s="817"/>
    </row>
    <row r="77" spans="9:16" x14ac:dyDescent="0.25">
      <c r="I77" s="816"/>
      <c r="J77" s="816"/>
      <c r="K77" s="816"/>
      <c r="L77" s="816"/>
      <c r="M77" s="816"/>
      <c r="N77" s="817"/>
      <c r="O77" s="817"/>
      <c r="P77" s="817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780" t="s">
        <v>65</v>
      </c>
      <c r="I94" s="780"/>
      <c r="J94" s="780"/>
      <c r="K94" s="780"/>
      <c r="L94" s="780"/>
      <c r="M94" s="780"/>
      <c r="N94" s="780"/>
      <c r="O94" s="780"/>
      <c r="P94" s="780"/>
      <c r="Q94" s="780"/>
    </row>
    <row r="95" spans="8:17" x14ac:dyDescent="0.25">
      <c r="H95" s="780"/>
      <c r="I95" s="780"/>
      <c r="J95" s="780"/>
      <c r="K95" s="780"/>
      <c r="L95" s="780"/>
      <c r="M95" s="780"/>
      <c r="N95" s="780"/>
      <c r="O95" s="780"/>
      <c r="P95" s="780"/>
      <c r="Q95" s="780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780" t="s">
        <v>432</v>
      </c>
      <c r="I141" s="780"/>
      <c r="J141" s="780"/>
      <c r="K141" s="780"/>
      <c r="L141" s="780"/>
      <c r="M141" s="780"/>
      <c r="N141" s="780"/>
      <c r="O141" s="780"/>
      <c r="P141" s="780"/>
      <c r="Q141" s="780"/>
    </row>
    <row r="142" spans="8:17" x14ac:dyDescent="0.25">
      <c r="H142" s="780"/>
      <c r="I142" s="780"/>
      <c r="J142" s="780"/>
      <c r="K142" s="780"/>
      <c r="L142" s="780"/>
      <c r="M142" s="780"/>
      <c r="N142" s="780"/>
      <c r="O142" s="780"/>
      <c r="P142" s="780"/>
      <c r="Q142" s="780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7" t="s">
        <v>348</v>
      </c>
      <c r="O2" s="888"/>
    </row>
    <row r="3" spans="1:69" x14ac:dyDescent="0.25">
      <c r="N3" s="889"/>
      <c r="O3" s="890"/>
    </row>
    <row r="4" spans="1:69" ht="15.75" thickBot="1" x14ac:dyDescent="0.3">
      <c r="N4" s="891"/>
      <c r="O4" s="892"/>
    </row>
    <row r="5" spans="1:69" ht="15.75" thickBot="1" x14ac:dyDescent="0.3"/>
    <row r="6" spans="1:69" ht="15.75" thickBot="1" x14ac:dyDescent="0.3">
      <c r="A6" s="764" t="s">
        <v>294</v>
      </c>
      <c r="B6" s="895"/>
      <c r="C6" s="895"/>
      <c r="D6" s="765"/>
      <c r="E6" s="10"/>
      <c r="F6" s="896" t="s">
        <v>295</v>
      </c>
      <c r="G6" s="897"/>
      <c r="H6" s="897"/>
      <c r="I6" s="898"/>
      <c r="J6" s="1"/>
      <c r="K6" s="764" t="s">
        <v>294</v>
      </c>
      <c r="L6" s="895"/>
      <c r="M6" s="895"/>
      <c r="N6" s="765"/>
      <c r="O6" s="10"/>
      <c r="P6" s="896" t="s">
        <v>295</v>
      </c>
      <c r="Q6" s="897"/>
      <c r="R6" s="897"/>
      <c r="S6" s="898"/>
      <c r="T6" s="1"/>
      <c r="U6" s="764" t="s">
        <v>294</v>
      </c>
      <c r="V6" s="895"/>
      <c r="W6" s="895"/>
      <c r="X6" s="765"/>
      <c r="Y6" s="10"/>
      <c r="Z6" s="896" t="s">
        <v>295</v>
      </c>
      <c r="AA6" s="897"/>
      <c r="AB6" s="897"/>
      <c r="AC6" s="898"/>
      <c r="AD6" s="1"/>
      <c r="AE6" s="764" t="s">
        <v>294</v>
      </c>
      <c r="AF6" s="895"/>
      <c r="AG6" s="895"/>
      <c r="AH6" s="765"/>
      <c r="AI6" s="10"/>
      <c r="AJ6" s="896" t="s">
        <v>295</v>
      </c>
      <c r="AK6" s="897"/>
      <c r="AL6" s="897"/>
      <c r="AM6" s="898"/>
      <c r="AN6" s="1"/>
      <c r="AO6" s="764" t="s">
        <v>294</v>
      </c>
      <c r="AP6" s="895"/>
      <c r="AQ6" s="895"/>
      <c r="AR6" s="765"/>
      <c r="AS6" s="10"/>
      <c r="AT6" s="896" t="s">
        <v>295</v>
      </c>
      <c r="AU6" s="897"/>
      <c r="AV6" s="897"/>
      <c r="AW6" s="898"/>
      <c r="AX6" s="1"/>
      <c r="AY6" s="764" t="s">
        <v>294</v>
      </c>
      <c r="AZ6" s="895"/>
      <c r="BA6" s="895"/>
      <c r="BB6" s="765"/>
      <c r="BC6" s="10"/>
      <c r="BD6" s="896" t="s">
        <v>295</v>
      </c>
      <c r="BE6" s="897"/>
      <c r="BF6" s="897"/>
      <c r="BG6" s="898"/>
      <c r="BH6" s="1"/>
      <c r="BI6" s="764" t="s">
        <v>294</v>
      </c>
      <c r="BJ6" s="895"/>
      <c r="BK6" s="895"/>
      <c r="BL6" s="765"/>
      <c r="BM6" s="10"/>
      <c r="BN6" s="896" t="s">
        <v>295</v>
      </c>
      <c r="BO6" s="897"/>
      <c r="BP6" s="897"/>
      <c r="BQ6" s="898"/>
    </row>
    <row r="7" spans="1:69" ht="18" x14ac:dyDescent="0.35">
      <c r="A7" s="11" t="s">
        <v>296</v>
      </c>
      <c r="B7" s="12">
        <f ca="1">Geometria!M158</f>
        <v>1893.9633793843193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1893.9633793843193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1893.9633793843193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1893.9633793843193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1893.9633793843193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1893.9633793843193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1893.9633793843193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766" t="s">
        <v>310</v>
      </c>
      <c r="B12" s="767"/>
      <c r="C12" s="899" t="s">
        <v>311</v>
      </c>
      <c r="D12" s="900"/>
      <c r="E12" s="2"/>
      <c r="F12" s="2"/>
      <c r="G12" s="2"/>
      <c r="H12" s="1"/>
      <c r="I12" s="10"/>
      <c r="J12" s="10"/>
      <c r="K12" s="766" t="s">
        <v>310</v>
      </c>
      <c r="L12" s="767"/>
      <c r="M12" s="899" t="s">
        <v>311</v>
      </c>
      <c r="N12" s="900"/>
      <c r="O12" s="2"/>
      <c r="P12" s="2"/>
      <c r="Q12" s="2"/>
      <c r="R12" s="1"/>
      <c r="S12" s="10"/>
      <c r="T12" s="10"/>
      <c r="U12" s="766" t="s">
        <v>310</v>
      </c>
      <c r="V12" s="767"/>
      <c r="W12" s="899" t="s">
        <v>311</v>
      </c>
      <c r="X12" s="900"/>
      <c r="Y12" s="2"/>
      <c r="Z12" s="2"/>
      <c r="AA12" s="2"/>
      <c r="AB12" s="1"/>
      <c r="AC12" s="10"/>
      <c r="AD12" s="10"/>
      <c r="AE12" s="766" t="s">
        <v>310</v>
      </c>
      <c r="AF12" s="767"/>
      <c r="AG12" s="899" t="s">
        <v>311</v>
      </c>
      <c r="AH12" s="900"/>
      <c r="AI12" s="2"/>
      <c r="AJ12" s="2"/>
      <c r="AK12" s="2"/>
      <c r="AL12" s="1"/>
      <c r="AM12" s="10"/>
      <c r="AN12" s="10"/>
      <c r="AO12" s="766" t="s">
        <v>310</v>
      </c>
      <c r="AP12" s="767"/>
      <c r="AQ12" s="899" t="s">
        <v>311</v>
      </c>
      <c r="AR12" s="900"/>
      <c r="AS12" s="2"/>
      <c r="AT12" s="2"/>
      <c r="AU12" s="2"/>
      <c r="AV12" s="1"/>
      <c r="AW12" s="10"/>
      <c r="AX12" s="10"/>
      <c r="AY12" s="766" t="s">
        <v>310</v>
      </c>
      <c r="AZ12" s="767"/>
      <c r="BA12" s="899" t="s">
        <v>311</v>
      </c>
      <c r="BB12" s="900"/>
      <c r="BC12" s="2"/>
      <c r="BD12" s="2"/>
      <c r="BE12" s="2"/>
      <c r="BF12" s="1"/>
      <c r="BG12" s="10"/>
      <c r="BH12" s="10"/>
      <c r="BI12" s="766" t="s">
        <v>310</v>
      </c>
      <c r="BJ12" s="767"/>
      <c r="BK12" s="899" t="s">
        <v>311</v>
      </c>
      <c r="BL12" s="900"/>
      <c r="BM12" s="2"/>
      <c r="BN12" s="2"/>
      <c r="BO12" s="2"/>
      <c r="BP12" s="1"/>
      <c r="BQ12" s="10"/>
    </row>
    <row r="13" spans="1:69" ht="17.25" thickBot="1" x14ac:dyDescent="0.35">
      <c r="A13" s="893" t="s">
        <v>312</v>
      </c>
      <c r="B13" s="894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3" t="s">
        <v>312</v>
      </c>
      <c r="L13" s="894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3" t="s">
        <v>312</v>
      </c>
      <c r="V13" s="894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3" t="s">
        <v>312</v>
      </c>
      <c r="AF13" s="894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3" t="s">
        <v>312</v>
      </c>
      <c r="AP13" s="894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3" t="s">
        <v>312</v>
      </c>
      <c r="AZ13" s="894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3" t="s">
        <v>312</v>
      </c>
      <c r="BJ13" s="894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1.109101894232055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1.109101894232055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1.0453549487480203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0.94351546715005052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0.87672985892726818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0.79446341737859993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0.79446341737859993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-4.1400537006045808E-4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-4.1400537006045808E-4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-3.9020992088433415E-4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-3.5219529618213234E-4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-3.2726557548579322E-4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-2.9655717190805363E-4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-2.9655717190805363E-4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7.4818338604570656E-2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7.4818338604570656E-2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9.908428293733966E-2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0.16103709870906827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0.23427900870256221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0.42972299965230926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0.42972299965230926</v>
      </c>
      <c r="BM22" s="1"/>
      <c r="BN22" s="10"/>
      <c r="BO22" s="10"/>
      <c r="BP22" s="1"/>
      <c r="BQ22" s="10"/>
    </row>
    <row r="23" spans="1:69" ht="15.75" thickBot="1" x14ac:dyDescent="0.3">
      <c r="A23" s="893" t="s">
        <v>328</v>
      </c>
      <c r="B23" s="894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3" t="s">
        <v>328</v>
      </c>
      <c r="L23" s="894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3" t="s">
        <v>328</v>
      </c>
      <c r="V23" s="894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3" t="s">
        <v>328</v>
      </c>
      <c r="AF23" s="894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3" t="s">
        <v>328</v>
      </c>
      <c r="AP23" s="894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3" t="s">
        <v>328</v>
      </c>
      <c r="AZ23" s="894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3" t="s">
        <v>328</v>
      </c>
      <c r="BJ23" s="894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10.130042222234497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10.130042222234497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14.342794617569524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23.799505939016168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32.754965250546242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46.869416246716369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46.869416246716369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40.042645662487658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40.042645662487658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39.830490258355361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39.293313947789514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38.670491700595115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37.116821220226029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37.116821220226029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33.553188199686396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33.553188199686396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48.016197539048051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87.931962555789568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140.54667154355442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308.41828532420931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308.41828532420931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1.1827507684124947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1.1827507684124947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2.7385620690938373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9.9182414509827037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24.339378078201005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93.103530286819236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93.103530286819236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6.9173131564952542E-2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0.20489716541784525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0.28179321373220495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0.27010837834544421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0.24009540844048563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0.1464959899225734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0.16798098313646312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7.4818338604570656</v>
      </c>
      <c r="C29" s="36" t="s">
        <v>336</v>
      </c>
      <c r="D29" s="40">
        <f ca="1">((D21/100)^3+D23*(D21/100)^2+D24*(D21/100))/((D21/100)^3+D25*(D21/100)^2+D26*(D21/100)+D27)</f>
        <v>0.99802679327511512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7.4818338604570656</v>
      </c>
      <c r="M29" s="36" t="s">
        <v>336</v>
      </c>
      <c r="N29" s="40">
        <f ca="1">((N21/100)^3+N23*(N21/100)^2+N24*(N21/100))/((N21/100)^3+N25*(N21/100)^2+N26*(N21/100)+N27)</f>
        <v>0.99802679327511512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9.9084282937339658</v>
      </c>
      <c r="W29" s="36" t="s">
        <v>336</v>
      </c>
      <c r="X29" s="40">
        <f ca="1">((X21/100)^3+X23*(X21/100)^2+X24*(X21/100))/((X21/100)^3+X25*(X21/100)^2+X26*(X21/100)+X27)</f>
        <v>0.99880623591872175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16.103709870906826</v>
      </c>
      <c r="AG29" s="36" t="s">
        <v>336</v>
      </c>
      <c r="AH29" s="40">
        <f ca="1">((AH21/100)^3+AH23*(AH21/100)^2+AH24*(AH21/100))/((AH21/100)^3+AH25*(AH21/100)^2+AH26*(AH21/100)+AH27)</f>
        <v>1.0004592137908621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23.42790087025622</v>
      </c>
      <c r="AQ29" s="36" t="s">
        <v>336</v>
      </c>
      <c r="AR29" s="40">
        <f ca="1">((AR21/100)^3+AR23*(AR21/100)^2+AR24*(AR21/100))/((AR21/100)^3+AR25*(AR21/100)^2+AR26*(AR21/100)+AR27)</f>
        <v>1.0017786990161739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42.972299965230924</v>
      </c>
      <c r="BA29" s="36" t="s">
        <v>336</v>
      </c>
      <c r="BB29" s="40">
        <f ca="1">((BB21/100)^3+BB23*(BB21/100)^2+BB24*(BB21/100))/((BB21/100)^3+BB25*(BB21/100)^2+BB26*(BB21/100)+BB27)</f>
        <v>1.0018428012020886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42.972299965230924</v>
      </c>
      <c r="BK29" s="36" t="s">
        <v>336</v>
      </c>
      <c r="BL29" s="40">
        <f ca="1">((BL21/100)^3+BL23*(BL21/100)^2+BL24*(BL21/100))/((BL21/100)^3+BL25*(BL21/100)^2+BL26*(BL21/100)+BL27)</f>
        <v>1.0018428012020886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1.8005288188447737</v>
      </c>
      <c r="C30" s="42" t="s">
        <v>338</v>
      </c>
      <c r="D30" s="43">
        <f ca="1">D18*(D29-D28)</f>
        <v>-3.8455040394832742E-4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1.8005288188447737</v>
      </c>
      <c r="M30" s="42" t="s">
        <v>338</v>
      </c>
      <c r="N30" s="43">
        <f ca="1">N18*(N29-N28)</f>
        <v>-3.2835992508696246E-4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1.7355786062689613</v>
      </c>
      <c r="W30" s="42" t="s">
        <v>338</v>
      </c>
      <c r="X30" s="43">
        <f ca="1">X18*(X29-X28)</f>
        <v>-2.7978559466043803E-4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1.609355661195585</v>
      </c>
      <c r="AG30" s="42" t="s">
        <v>338</v>
      </c>
      <c r="AH30" s="43">
        <f ca="1">AH18*(AH29-AH28)</f>
        <v>-2.5722612880656675E-4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1.5065867693151112</v>
      </c>
      <c r="AQ30" s="42" t="s">
        <v>338</v>
      </c>
      <c r="AR30" s="43">
        <f ca="1">AR18*(AR29-AR28)</f>
        <v>-2.4927272042816529E-4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1.3493599568722583</v>
      </c>
      <c r="BA30" s="42" t="s">
        <v>338</v>
      </c>
      <c r="BB30" s="43">
        <f ca="1">BB18*(BB29-BB28)</f>
        <v>-2.5365923135362467E-4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1.3493599568722583</v>
      </c>
      <c r="BK30" s="42" t="s">
        <v>338</v>
      </c>
      <c r="BL30" s="43">
        <f ca="1">BL18*(BL29-BL28)</f>
        <v>-2.4728770252764983E-4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2.7007932282671607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2.7007932282671607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2.6033679094034419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2.4140334917933775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2.2598801539726665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2.0240399353083873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2.0240399353083873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1.2153569527202224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1.2153569527202224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1.1715155592315489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1.08631507130702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1.0169460692877001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0.91081797088877436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0.91081797088877436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1.2153569527202224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1.2153569527202224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1.1715155592315489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1.08631507130702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1.0169460692877001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0.91081797088877436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0.91081797088877436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3" t="s">
        <v>342</v>
      </c>
      <c r="B34" s="894"/>
      <c r="C34" s="10"/>
      <c r="D34" s="10"/>
      <c r="E34" s="10"/>
      <c r="F34" s="10"/>
      <c r="G34" s="10"/>
      <c r="H34" s="10"/>
      <c r="I34" s="10"/>
      <c r="J34" s="10"/>
      <c r="K34" s="893" t="s">
        <v>342</v>
      </c>
      <c r="L34" s="894"/>
      <c r="M34" s="10"/>
      <c r="N34" s="10"/>
      <c r="O34" s="10"/>
      <c r="P34" s="10"/>
      <c r="Q34" s="10"/>
      <c r="R34" s="10"/>
      <c r="S34" s="10"/>
      <c r="T34" s="10"/>
      <c r="U34" s="893" t="s">
        <v>342</v>
      </c>
      <c r="V34" s="894"/>
      <c r="W34" s="10"/>
      <c r="X34" s="10"/>
      <c r="Y34" s="10"/>
      <c r="Z34" s="10"/>
      <c r="AA34" s="10"/>
      <c r="AB34" s="10"/>
      <c r="AC34" s="10"/>
      <c r="AD34" s="10"/>
      <c r="AE34" s="893" t="s">
        <v>342</v>
      </c>
      <c r="AF34" s="894"/>
      <c r="AG34" s="10"/>
      <c r="AH34" s="10"/>
      <c r="AI34" s="10"/>
      <c r="AJ34" s="10"/>
      <c r="AK34" s="10"/>
      <c r="AL34" s="10"/>
      <c r="AM34" s="10"/>
      <c r="AN34" s="10"/>
      <c r="AO34" s="893" t="s">
        <v>342</v>
      </c>
      <c r="AP34" s="894"/>
      <c r="AQ34" s="10"/>
      <c r="AR34" s="10"/>
      <c r="AS34" s="10"/>
      <c r="AT34" s="10"/>
      <c r="AU34" s="10"/>
      <c r="AV34" s="10"/>
      <c r="AW34" s="10"/>
      <c r="AX34" s="10"/>
      <c r="AY34" s="893" t="s">
        <v>342</v>
      </c>
      <c r="AZ34" s="894"/>
      <c r="BA34" s="10"/>
      <c r="BB34" s="10"/>
      <c r="BC34" s="10"/>
      <c r="BD34" s="10"/>
      <c r="BE34" s="10"/>
      <c r="BF34" s="10"/>
      <c r="BG34" s="10"/>
      <c r="BH34" s="10"/>
      <c r="BI34" s="893" t="s">
        <v>342</v>
      </c>
      <c r="BJ34" s="894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7.4818338604570656E-2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7.4818338604570656E-2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9.908428293733966E-2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0.16103709870906827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0.23427900870256221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0.42972299965230926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0.42972299965230926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155.05154908153804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155.05154908153804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167.86622180315965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198.78868153072258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232.08579746216191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304.37831881339002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304.37831881339002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202.15494001130421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202.15494001130421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268.14351842447604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421.64645484067029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576.58070454197764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862.60234739272482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862.60234739272482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264.5409968916419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264.5409968916419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290.93494258201224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358.03233259162783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436.5058878125227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637.92798438130137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637.92798438130137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4399.8198869676917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4399.8198869676917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5126.9669484133792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6826.5094045428959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8556.817334118643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11826.451940687497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11826.451940687497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0.12999846479090502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0.32037112201873802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0.48642088281966334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0.56018988491415977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0.58491538608065785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0.5535917521571091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0.58243357229158965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0.99637764740163648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0.99637764740163648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0.99593178663714887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0.99474748727010021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0.99327504343462947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0.98910138991791596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0.98910138991791596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2.0923715461621515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1.5556623828109564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1.2005597609923147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1.0191798743849789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0.93649421397073662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0.90219111853839873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0.86510101983465471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7" t="s">
        <v>349</v>
      </c>
      <c r="O49" s="888"/>
    </row>
    <row r="50" spans="1:39" x14ac:dyDescent="0.25">
      <c r="N50" s="889"/>
      <c r="O50" s="890"/>
    </row>
    <row r="51" spans="1:39" ht="15.75" thickBot="1" x14ac:dyDescent="0.3">
      <c r="N51" s="891"/>
      <c r="O51" s="892"/>
    </row>
    <row r="53" spans="1:39" ht="15.75" thickBot="1" x14ac:dyDescent="0.3"/>
    <row r="54" spans="1:39" ht="15.75" thickBot="1" x14ac:dyDescent="0.3">
      <c r="A54" s="764" t="s">
        <v>294</v>
      </c>
      <c r="B54" s="895"/>
      <c r="C54" s="895"/>
      <c r="D54" s="765"/>
      <c r="E54" s="10"/>
      <c r="F54" s="896" t="s">
        <v>295</v>
      </c>
      <c r="G54" s="897"/>
      <c r="H54" s="897"/>
      <c r="I54" s="898"/>
      <c r="J54" s="1"/>
      <c r="K54" s="764" t="s">
        <v>294</v>
      </c>
      <c r="L54" s="895"/>
      <c r="M54" s="895"/>
      <c r="N54" s="765"/>
      <c r="O54" s="10"/>
      <c r="P54" s="896" t="s">
        <v>295</v>
      </c>
      <c r="Q54" s="897"/>
      <c r="R54" s="897"/>
      <c r="S54" s="898"/>
      <c r="T54" s="1"/>
      <c r="U54" s="764" t="s">
        <v>294</v>
      </c>
      <c r="V54" s="895"/>
      <c r="W54" s="895"/>
      <c r="X54" s="765"/>
      <c r="Y54" s="10"/>
      <c r="Z54" s="896" t="s">
        <v>295</v>
      </c>
      <c r="AA54" s="897"/>
      <c r="AB54" s="897"/>
      <c r="AC54" s="898"/>
      <c r="AD54" s="1"/>
      <c r="AE54" s="764" t="s">
        <v>294</v>
      </c>
      <c r="AF54" s="895"/>
      <c r="AG54" s="895"/>
      <c r="AH54" s="765"/>
      <c r="AI54" s="10"/>
      <c r="AJ54" s="896" t="s">
        <v>295</v>
      </c>
      <c r="AK54" s="897"/>
      <c r="AL54" s="897"/>
      <c r="AM54" s="898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766" t="s">
        <v>310</v>
      </c>
      <c r="B60" s="767"/>
      <c r="C60" s="899" t="s">
        <v>311</v>
      </c>
      <c r="D60" s="900"/>
      <c r="E60" s="2"/>
      <c r="F60" s="2"/>
      <c r="G60" s="2"/>
      <c r="H60" s="1"/>
      <c r="I60" s="10"/>
      <c r="J60" s="10"/>
      <c r="K60" s="766" t="s">
        <v>310</v>
      </c>
      <c r="L60" s="767"/>
      <c r="M60" s="899" t="s">
        <v>311</v>
      </c>
      <c r="N60" s="900"/>
      <c r="O60" s="2"/>
      <c r="P60" s="2"/>
      <c r="Q60" s="2"/>
      <c r="R60" s="1"/>
      <c r="S60" s="10"/>
      <c r="T60" s="10"/>
      <c r="U60" s="766" t="s">
        <v>310</v>
      </c>
      <c r="V60" s="767"/>
      <c r="W60" s="899" t="s">
        <v>311</v>
      </c>
      <c r="X60" s="900"/>
      <c r="Y60" s="2"/>
      <c r="Z60" s="2"/>
      <c r="AA60" s="2"/>
      <c r="AB60" s="1"/>
      <c r="AC60" s="10"/>
      <c r="AD60" s="10"/>
      <c r="AE60" s="766" t="s">
        <v>310</v>
      </c>
      <c r="AF60" s="767"/>
      <c r="AG60" s="899" t="s">
        <v>311</v>
      </c>
      <c r="AH60" s="900"/>
      <c r="AI60" s="2"/>
      <c r="AJ60" s="2"/>
      <c r="AK60" s="2"/>
      <c r="AL60" s="1"/>
      <c r="AM60" s="10"/>
    </row>
    <row r="61" spans="1:39" ht="17.25" thickBot="1" x14ac:dyDescent="0.35">
      <c r="A61" s="893" t="s">
        <v>312</v>
      </c>
      <c r="B61" s="894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3" t="s">
        <v>312</v>
      </c>
      <c r="L61" s="894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3" t="s">
        <v>312</v>
      </c>
      <c r="V61" s="894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3" t="s">
        <v>312</v>
      </c>
      <c r="AF61" s="894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3" t="s">
        <v>328</v>
      </c>
      <c r="B71" s="894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3" t="s">
        <v>328</v>
      </c>
      <c r="L71" s="894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3" t="s">
        <v>328</v>
      </c>
      <c r="V71" s="894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3" t="s">
        <v>328</v>
      </c>
      <c r="AF71" s="894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3" t="s">
        <v>342</v>
      </c>
      <c r="B82" s="894"/>
      <c r="C82" s="10"/>
      <c r="D82" s="10"/>
      <c r="E82" s="10"/>
      <c r="F82" s="10"/>
      <c r="G82" s="10"/>
      <c r="H82" s="10"/>
      <c r="I82" s="10"/>
      <c r="J82" s="10"/>
      <c r="K82" s="893" t="s">
        <v>342</v>
      </c>
      <c r="L82" s="894"/>
      <c r="M82" s="10"/>
      <c r="N82" s="10"/>
      <c r="O82" s="10"/>
      <c r="P82" s="10"/>
      <c r="Q82" s="10"/>
      <c r="R82" s="10"/>
      <c r="S82" s="10"/>
      <c r="T82" s="10"/>
      <c r="U82" s="893" t="s">
        <v>342</v>
      </c>
      <c r="V82" s="894"/>
      <c r="W82" s="10"/>
      <c r="X82" s="10"/>
      <c r="Y82" s="10"/>
      <c r="Z82" s="10"/>
      <c r="AA82" s="10"/>
      <c r="AB82" s="10"/>
      <c r="AC82" s="10"/>
      <c r="AD82" s="10"/>
      <c r="AE82" s="893" t="s">
        <v>342</v>
      </c>
      <c r="AF82" s="894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780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780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780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780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780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780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780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780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780"/>
      <c r="Q13" s="79"/>
      <c r="R13" s="79"/>
      <c r="X13">
        <f>M13</f>
        <v>109.19055815603389</v>
      </c>
      <c r="Y13">
        <f>Y12</f>
        <v>25</v>
      </c>
      <c r="Z13" s="780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780"/>
      <c r="Q14" s="79"/>
      <c r="R14" s="79"/>
      <c r="X14">
        <f>X13</f>
        <v>109.19055815603389</v>
      </c>
      <c r="Y14">
        <f>Y11</f>
        <v>20</v>
      </c>
      <c r="Z14" s="780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1135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-0.50702910140650503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1160959.4491304923</v>
      </c>
      <c r="R5" s="59" t="str">
        <f>$B$2&amp;"^4"</f>
        <v>cm^4</v>
      </c>
      <c r="S5" s="59" t="s">
        <v>382</v>
      </c>
      <c r="T5" s="72">
        <f ca="1">+(F9+F10)/2-SQRT((F9-F10)^2/4+F11^2)</f>
        <v>27683.577390498831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1502.762764181444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1502.762764181444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7812899.8858568091</v>
      </c>
      <c r="R6" s="59" t="str">
        <f>B2&amp;"^4"</f>
        <v>cm^4</v>
      </c>
      <c r="S6" s="59" t="s">
        <v>387</v>
      </c>
      <c r="T6" s="72">
        <f ca="1">+(F9+F10)/2+SQRT((F9-F10)^2/4+F11^2)</f>
        <v>1747709.5406003385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63.530434706028466</v>
      </c>
      <c r="G7" s="64" t="str">
        <f>B2</f>
        <v>cm</v>
      </c>
      <c r="H7" s="65" t="s">
        <v>390</v>
      </c>
      <c r="I7" s="81">
        <f ca="1">F9/ABS(MAX(Y)-$F$8)</f>
        <v>3689.3102104632308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27.459763874682697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2606395.5529103354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27.459763874682697</v>
      </c>
      <c r="G8" s="64" t="str">
        <f>B2</f>
        <v>cm</v>
      </c>
      <c r="H8" s="65" t="s">
        <v>396</v>
      </c>
      <c r="I8" s="81">
        <f ca="1">F9/ABS(MIN(Y)-$F$8)</f>
        <v>1013.0556931731185</v>
      </c>
      <c r="J8" s="64" t="str">
        <f>$B$2&amp;"^3"</f>
        <v>cm^3</v>
      </c>
      <c r="K8" s="58"/>
      <c r="L8" s="85" t="s">
        <v>397</v>
      </c>
      <c r="M8" s="83">
        <f ca="1">I6-M7</f>
        <v>7.5402361253173034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27818.270126436837</v>
      </c>
      <c r="G9" s="64" t="str">
        <f>$B$2&amp;"^4"</f>
        <v>cm^4</v>
      </c>
      <c r="H9" s="65" t="s">
        <v>400</v>
      </c>
      <c r="I9" s="81">
        <f ca="1">F10/ABS(MIN(X)-F7)</f>
        <v>27507.679680626701</v>
      </c>
      <c r="J9" s="64" t="str">
        <f>$B$2&amp;"^3"</f>
        <v>cm^3</v>
      </c>
      <c r="K9" s="58"/>
      <c r="L9" s="85" t="s">
        <v>401</v>
      </c>
      <c r="M9" s="83">
        <f ca="1">ABS(F9)</f>
        <v>27818.270126436837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28.021980155920595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1747574.8478644006</v>
      </c>
      <c r="G10" s="64" t="str">
        <f>$B$2&amp;"^4"</f>
        <v>cm^4</v>
      </c>
      <c r="H10" s="65" t="s">
        <v>403</v>
      </c>
      <c r="I10" s="81">
        <f ca="1">F10/ABS(MAX(X)-F7)</f>
        <v>28663.068851455217</v>
      </c>
      <c r="J10" s="64" t="str">
        <f>$B$2&amp;"^3"</f>
        <v>cm^3</v>
      </c>
      <c r="K10" s="58"/>
      <c r="L10" s="85" t="s">
        <v>404</v>
      </c>
      <c r="M10" s="83">
        <f ca="1">ABS(I8)</f>
        <v>1013.0556931731185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26.920210156423387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-15220.277945423964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3689.3102104632308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63.287427926667803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3</v>
      </c>
      <c r="S13" s="99">
        <f ca="1">(T13-$F$8)*TAN(RADIANS(-$F$5))+$F$7</f>
        <v>63.597162464679066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-0.50702910140650503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3484.8768277663726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27683.577390498864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987.96235064390294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1747709.5406003383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27544.750800133374</v>
      </c>
      <c r="J16" s="64" t="str">
        <f>$B$2&amp;"^3"</f>
        <v>cm^3</v>
      </c>
      <c r="K16" s="52"/>
      <c r="L16" s="52" t="s">
        <v>398</v>
      </c>
      <c r="M16" s="80">
        <f ca="1">F8-C7</f>
        <v>8.8284673695636435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28629.71358261284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 t="str">
        <f>IF(R13&gt;0,"Preenchido",0)</f>
        <v>Preenchido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 t="str">
        <f>IF(R13&gt;2,"Preenchido",0)</f>
        <v>Preenchido</v>
      </c>
      <c r="X17" s="327">
        <f>IF(R13&gt;5,"Preenchido",0)</f>
        <v>0</v>
      </c>
      <c r="Y17" s="328" t="str">
        <f>IF(R13&gt;1,"Preenchido",0)</f>
        <v>Preenchido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1775393.1179908372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18.631296505119053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18.631296505119053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18.631296505119053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18.631296505119053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18.631296505119053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18.631296505119053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18.631296505119053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18.631296505119053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18.631296505119053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18.631296505119053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18.631296505119053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18.631296505119053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18.631296505119053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18.631296505119053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18.631296505119053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18.631296505119053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18.631296505119053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18.631296505119053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18.631296505119053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18.631296505119053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18.631296505119053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18.631296505119053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18.631296505119053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18.631296505119053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18.631296505119053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18.631296505119053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18.631296505119053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18.631296505119053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18.631296505119053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18.631296505119053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18.631296505119053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18.631296505119053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18.631296505119053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18.631296505119053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18.631296505119053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18.631296505119053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18.631296505119053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18.631296505119053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18.631296505119053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18.631296505119053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18.631296505119053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18.631296505119053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18.631296505119053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18.631296505119053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18.631296505119053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18.631296505119053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18.631296505119053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18.631296505119053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18.631296505119053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18.631296505119053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18.631296505119053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18.631296505119053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18.631296505119053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18.631296505119053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18.631296505119053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18.631296505119053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18.631296505119053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18.631296505119053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18.631296505119053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18.631296505119053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1733</v>
      </c>
    </row>
    <row r="5" spans="2:23" x14ac:dyDescent="0.25">
      <c r="B5" t="s">
        <v>781</v>
      </c>
    </row>
    <row r="6" spans="2:23" x14ac:dyDescent="0.25">
      <c r="B6" t="s">
        <v>1734</v>
      </c>
    </row>
    <row r="7" spans="2:23" x14ac:dyDescent="0.25">
      <c r="B7" t="s">
        <v>1735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0.42450000000000004</v>
      </c>
      <c r="E11">
        <f>((3-1)/20)*(Geometria!$H$21/100)</f>
        <v>0.84900000000000009</v>
      </c>
      <c r="F11">
        <f>((4-1)/20)*(Geometria!$H$21/100)</f>
        <v>1.2735000000000001</v>
      </c>
      <c r="G11">
        <f>((5-1)/20)*(Geometria!$H$21/100)</f>
        <v>1.6980000000000002</v>
      </c>
      <c r="H11">
        <f>((6-1)/20)*(Geometria!$H$21/100)</f>
        <v>2.1225000000000001</v>
      </c>
      <c r="I11">
        <f>((7-1)/20)*(Geometria!$H$21/100)</f>
        <v>2.5470000000000002</v>
      </c>
      <c r="J11">
        <f>((8-1)/20)*(Geometria!$H$21/100)</f>
        <v>2.9714999999999998</v>
      </c>
      <c r="K11">
        <f>((9-1)/20)*(Geometria!$H$21/100)</f>
        <v>3.3960000000000004</v>
      </c>
      <c r="L11">
        <f>((10-1)/20)*(Geometria!$H$21/100)</f>
        <v>3.8205</v>
      </c>
      <c r="M11">
        <f>((11-1)/20)*(Geometria!$H$21/100)</f>
        <v>4.2450000000000001</v>
      </c>
      <c r="N11">
        <f>((12-1)/20)*(Geometria!$H$21/100)</f>
        <v>4.6695000000000002</v>
      </c>
      <c r="O11">
        <f>((13-1)/20)*(Geometria!$H$21/100)</f>
        <v>5.0940000000000003</v>
      </c>
      <c r="P11">
        <f>((14-1)/20)*(Geometria!$H$21/100)</f>
        <v>5.5185000000000004</v>
      </c>
      <c r="Q11">
        <f>((15-1)/20)*(Geometria!$H$21/100)</f>
        <v>5.9429999999999996</v>
      </c>
      <c r="R11">
        <f>((16-1)/20)*(Geometria!$H$21/100)</f>
        <v>6.3674999999999997</v>
      </c>
      <c r="S11">
        <f>((17-1)/20)*(Geometria!$H$21/100)</f>
        <v>6.7920000000000007</v>
      </c>
      <c r="T11">
        <f>((18-1)/20)*(Geometria!$H$21/100)</f>
        <v>7.2164999999999999</v>
      </c>
      <c r="U11">
        <f>((19-1)/20)*(Geometria!$H$21/100)</f>
        <v>7.641</v>
      </c>
      <c r="V11">
        <f>((20-1)/20)*(Geometria!$H$21/100)</f>
        <v>8.0655000000000001</v>
      </c>
      <c r="W11">
        <f>((21-1)/20)*(Geometria!$H$21/100)</f>
        <v>8.49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42.45</v>
      </c>
      <c r="E12">
        <f t="shared" si="0"/>
        <v>84.9</v>
      </c>
      <c r="F12">
        <f t="shared" si="0"/>
        <v>127.35000000000001</v>
      </c>
      <c r="G12">
        <f t="shared" si="0"/>
        <v>169.8</v>
      </c>
      <c r="H12">
        <f t="shared" si="0"/>
        <v>212.25</v>
      </c>
      <c r="I12">
        <f t="shared" si="0"/>
        <v>254.70000000000002</v>
      </c>
      <c r="J12">
        <f t="shared" si="0"/>
        <v>297.14999999999998</v>
      </c>
      <c r="K12">
        <f t="shared" si="0"/>
        <v>339.6</v>
      </c>
      <c r="L12">
        <f t="shared" si="0"/>
        <v>382.05</v>
      </c>
      <c r="M12">
        <f t="shared" si="0"/>
        <v>424.5</v>
      </c>
      <c r="N12">
        <f t="shared" si="0"/>
        <v>466.95000000000005</v>
      </c>
      <c r="O12">
        <f t="shared" si="0"/>
        <v>509.40000000000003</v>
      </c>
      <c r="P12">
        <f t="shared" si="0"/>
        <v>551.85</v>
      </c>
      <c r="Q12">
        <f t="shared" si="0"/>
        <v>594.29999999999995</v>
      </c>
      <c r="R12">
        <f t="shared" si="0"/>
        <v>636.75</v>
      </c>
      <c r="S12">
        <f t="shared" si="0"/>
        <v>679.2</v>
      </c>
      <c r="T12">
        <f t="shared" si="0"/>
        <v>721.65</v>
      </c>
      <c r="U12">
        <f t="shared" si="0"/>
        <v>764.1</v>
      </c>
      <c r="V12">
        <f t="shared" si="0"/>
        <v>806.55</v>
      </c>
      <c r="W12">
        <f t="shared" si="0"/>
        <v>849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8.1057010183276077</v>
      </c>
      <c r="E15">
        <f ca="1">(Geometria!$I73*(Geometria!$H$21/100)*E$11/2)-(Geometria!$I73*E$11^2/2)</f>
        <v>15.358170350515467</v>
      </c>
      <c r="F15">
        <f ca="1">(Geometria!$I73*(Geometria!$H$21/100)*F$11/2)-(Geometria!$I73*F$11^2/2)</f>
        <v>21.757407996563575</v>
      </c>
      <c r="G15">
        <f ca="1">(Geometria!$I73*(Geometria!$H$21/100)*G$11/2)-(Geometria!$I73*G$11^2/2)</f>
        <v>27.303413956471939</v>
      </c>
      <c r="H15">
        <f ca="1">(Geometria!$I73*(Geometria!$H$21/100)*H$11/2)-(Geometria!$I73*H$11^2/2)</f>
        <v>31.996188230240548</v>
      </c>
      <c r="I15">
        <f ca="1">(Geometria!$I73*(Geometria!$H$21/100)*I$11/2)-(Geometria!$I73*I$11^2/2)</f>
        <v>35.835730817869418</v>
      </c>
      <c r="J15">
        <f ca="1">(Geometria!$I73*(Geometria!$H$21/100)*J$11/2)-(Geometria!$I73*J$11^2/2)</f>
        <v>38.822041719358531</v>
      </c>
      <c r="K15">
        <f ca="1">(Geometria!$I73*(Geometria!$H$21/100)*K$11/2)-(Geometria!$I73*K$11^2/2)</f>
        <v>40.955120934707907</v>
      </c>
      <c r="L15">
        <f ca="1">(Geometria!$I73*(Geometria!$H$21/100)*L$11/2)-(Geometria!$I73*L$11^2/2)</f>
        <v>42.234968463917518</v>
      </c>
      <c r="M15">
        <f ca="1">(Geometria!$I73*(Geometria!$H$21/100)*M$11/2)-(Geometria!$I73*M$11^2/2)</f>
        <v>42.6615843069874</v>
      </c>
      <c r="N15">
        <f ca="1">(Geometria!$I73*(Geometria!$H$21/100)*N$11/2)-(Geometria!$I73*N$11^2/2)</f>
        <v>42.234968463917518</v>
      </c>
      <c r="O15">
        <f ca="1">(Geometria!$I73*(Geometria!$H$21/100)*O$11/2)-(Geometria!$I73*O$11^2/2)</f>
        <v>40.955120934707907</v>
      </c>
      <c r="P15">
        <f ca="1">(Geometria!$I73*(Geometria!$H$21/100)*P$11/2)-(Geometria!$I73*P$11^2/2)</f>
        <v>38.822041719358523</v>
      </c>
      <c r="Q15">
        <f ca="1">(Geometria!$I73*(Geometria!$H$21/100)*Q$11/2)-(Geometria!$I73*Q$11^2/2)</f>
        <v>35.835730817869418</v>
      </c>
      <c r="R15">
        <f ca="1">(Geometria!$I73*(Geometria!$H$21/100)*R$11/2)-(Geometria!$I73*R$11^2/2)</f>
        <v>31.996188230240563</v>
      </c>
      <c r="S15">
        <f ca="1">(Geometria!$I73*(Geometria!$H$21/100)*S$11/2)-(Geometria!$I73*S$11^2/2)</f>
        <v>27.303413956471942</v>
      </c>
      <c r="T15">
        <f ca="1">(Geometria!$I73*(Geometria!$H$21/100)*T$11/2)-(Geometria!$I73*T$11^2/2)</f>
        <v>21.757407996563572</v>
      </c>
      <c r="U15">
        <f ca="1">(Geometria!$I73*(Geometria!$H$21/100)*U$11/2)-(Geometria!$I73*U$11^2/2)</f>
        <v>15.358170350515451</v>
      </c>
      <c r="V15">
        <f ca="1">(Geometria!$I73*(Geometria!$H$21/100)*V$11/2)-(Geometria!$I73*V$11^2/2)</f>
        <v>8.1057010183276361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0.94850193799968763</v>
      </c>
      <c r="E16">
        <f ca="1">(Geometria!$I74*(Geometria!$H$21/100)*E$11/2)-(Geometria!$I74*E$11^2/2)</f>
        <v>1.7971615667362504</v>
      </c>
      <c r="F16">
        <f ca="1">(Geometria!$I74*(Geometria!$H$21/100)*F$11/2)-(Geometria!$I74*F$11^2/2)</f>
        <v>2.5459788862096882</v>
      </c>
      <c r="G16">
        <f ca="1">(Geometria!$I74*(Geometria!$H$21/100)*G$11/2)-(Geometria!$I74*G$11^2/2)</f>
        <v>3.1949538964200004</v>
      </c>
      <c r="H16">
        <f ca="1">(Geometria!$I74*(Geometria!$H$21/100)*H$11/2)-(Geometria!$I74*H$11^2/2)</f>
        <v>3.744086597367188</v>
      </c>
      <c r="I16">
        <f ca="1">(Geometria!$I74*(Geometria!$H$21/100)*I$11/2)-(Geometria!$I74*I$11^2/2)</f>
        <v>4.1933769890512504</v>
      </c>
      <c r="J16">
        <f ca="1">(Geometria!$I74*(Geometria!$H$21/100)*J$11/2)-(Geometria!$I74*J$11^2/2)</f>
        <v>4.5428250714721887</v>
      </c>
      <c r="K16">
        <f ca="1">(Geometria!$I74*(Geometria!$H$21/100)*K$11/2)-(Geometria!$I74*K$11^2/2)</f>
        <v>4.792430844630001</v>
      </c>
      <c r="L16">
        <f ca="1">(Geometria!$I74*(Geometria!$H$21/100)*L$11/2)-(Geometria!$I74*L$11^2/2)</f>
        <v>4.9421943085246882</v>
      </c>
      <c r="M16">
        <f ca="1">(Geometria!$I74*(Geometria!$H$21/100)*M$11/2)-(Geometria!$I74*M$11^2/2)</f>
        <v>4.9921154631562503</v>
      </c>
      <c r="N16">
        <f ca="1">(Geometria!$I74*(Geometria!$H$21/100)*N$11/2)-(Geometria!$I74*N$11^2/2)</f>
        <v>4.9421943085246873</v>
      </c>
      <c r="O16">
        <f ca="1">(Geometria!$I74*(Geometria!$H$21/100)*O$11/2)-(Geometria!$I74*O$11^2/2)</f>
        <v>4.792430844630001</v>
      </c>
      <c r="P16">
        <f ca="1">(Geometria!$I74*(Geometria!$H$21/100)*P$11/2)-(Geometria!$I74*P$11^2/2)</f>
        <v>4.5428250714721869</v>
      </c>
      <c r="Q16">
        <f ca="1">(Geometria!$I74*(Geometria!$H$21/100)*Q$11/2)-(Geometria!$I74*Q$11^2/2)</f>
        <v>4.1933769890512522</v>
      </c>
      <c r="R16">
        <f ca="1">(Geometria!$I74*(Geometria!$H$21/100)*R$11/2)-(Geometria!$I74*R$11^2/2)</f>
        <v>3.744086597367188</v>
      </c>
      <c r="S16">
        <f ca="1">(Geometria!$I74*(Geometria!$H$21/100)*S$11/2)-(Geometria!$I74*S$11^2/2)</f>
        <v>3.1949538964199995</v>
      </c>
      <c r="T16">
        <f ca="1">(Geometria!$I74*(Geometria!$H$21/100)*T$11/2)-(Geometria!$I74*T$11^2/2)</f>
        <v>2.5459788862096868</v>
      </c>
      <c r="U16">
        <f ca="1">(Geometria!$I74*(Geometria!$H$21/100)*U$11/2)-(Geometria!$I74*U$11^2/2)</f>
        <v>1.7971615667362499</v>
      </c>
      <c r="V16">
        <f ca="1">(Geometria!$I74*(Geometria!$H$21/100)*V$11/2)-(Geometria!$I74*V$11^2/2)</f>
        <v>0.94850193799968707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3.744786445312501</v>
      </c>
      <c r="E17">
        <f>(Geometria!$I75*(Geometria!$H$21/100)*E$11/2)-(Geometria!$I75*E$11^2/2)</f>
        <v>7.0953848437500016</v>
      </c>
      <c r="F17">
        <f>(Geometria!$I75*(Geometria!$H$21/100)*F$11/2)-(Geometria!$I75*F$11^2/2)</f>
        <v>10.051795195312501</v>
      </c>
      <c r="G17">
        <f>(Geometria!$I75*(Geometria!$H$21/100)*G$11/2)-(Geometria!$I75*G$11^2/2)</f>
        <v>12.614017500000003</v>
      </c>
      <c r="H17">
        <f>(Geometria!$I75*(Geometria!$H$21/100)*H$11/2)-(Geometria!$I75*H$11^2/2)</f>
        <v>14.782051757812503</v>
      </c>
      <c r="I17">
        <f>(Geometria!$I75*(Geometria!$H$21/100)*I$11/2)-(Geometria!$I75*I$11^2/2)</f>
        <v>16.555897968750003</v>
      </c>
      <c r="J17">
        <f>(Geometria!$I75*(Geometria!$H$21/100)*J$11/2)-(Geometria!$I75*J$11^2/2)</f>
        <v>17.935556132812501</v>
      </c>
      <c r="K17">
        <f>(Geometria!$I75*(Geometria!$H$21/100)*K$11/2)-(Geometria!$I75*K$11^2/2)</f>
        <v>18.921026250000004</v>
      </c>
      <c r="L17">
        <f>(Geometria!$I75*(Geometria!$H$21/100)*L$11/2)-(Geometria!$I75*L$11^2/2)</f>
        <v>19.512308320312506</v>
      </c>
      <c r="M17">
        <f>(Geometria!$I75*(Geometria!$H$21/100)*M$11/2)-(Geometria!$I75*M$11^2/2)</f>
        <v>19.709402343750007</v>
      </c>
      <c r="N17">
        <f>(Geometria!$I75*(Geometria!$H$21/100)*N$11/2)-(Geometria!$I75*N$11^2/2)</f>
        <v>19.512308320312503</v>
      </c>
      <c r="O17">
        <f>(Geometria!$I75*(Geometria!$H$21/100)*O$11/2)-(Geometria!$I75*O$11^2/2)</f>
        <v>18.921026250000004</v>
      </c>
      <c r="P17">
        <f>(Geometria!$I75*(Geometria!$H$21/100)*P$11/2)-(Geometria!$I75*P$11^2/2)</f>
        <v>17.935556132812501</v>
      </c>
      <c r="Q17">
        <f>(Geometria!$I75*(Geometria!$H$21/100)*Q$11/2)-(Geometria!$I75*Q$11^2/2)</f>
        <v>16.55589796875001</v>
      </c>
      <c r="R17">
        <f>(Geometria!$I75*(Geometria!$H$21/100)*R$11/2)-(Geometria!$I75*R$11^2/2)</f>
        <v>14.782051757812511</v>
      </c>
      <c r="S17">
        <f>(Geometria!$I75*(Geometria!$H$21/100)*S$11/2)-(Geometria!$I75*S$11^2/2)</f>
        <v>12.614017500000003</v>
      </c>
      <c r="T17">
        <f>(Geometria!$I75*(Geometria!$H$21/100)*T$11/2)-(Geometria!$I75*T$11^2/2)</f>
        <v>10.051795195312515</v>
      </c>
      <c r="U17">
        <f>(Geometria!$I75*(Geometria!$H$21/100)*U$11/2)-(Geometria!$I75*U$11^2/2)</f>
        <v>7.0953848437500113</v>
      </c>
      <c r="V17">
        <f>(Geometria!$I75*(Geometria!$H$21/100)*V$11/2)-(Geometria!$I75*V$11^2/2)</f>
        <v>3.7447864453125135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2.1398779687500005</v>
      </c>
      <c r="E18">
        <f>(Geometria!$I76*(Geometria!$H$21/100)*E$11/2)-(Geometria!$I76*E$11^2/2)</f>
        <v>4.0545056250000009</v>
      </c>
      <c r="F18">
        <f>(Geometria!$I76*(Geometria!$H$21/100)*F$11/2)-(Geometria!$I76*F$11^2/2)</f>
        <v>5.7438829687500004</v>
      </c>
      <c r="G18">
        <f>(Geometria!$I76*(Geometria!$H$21/100)*G$11/2)-(Geometria!$I76*G$11^2/2)</f>
        <v>7.2080100000000016</v>
      </c>
      <c r="H18">
        <f>(Geometria!$I76*(Geometria!$H$21/100)*H$11/2)-(Geometria!$I76*H$11^2/2)</f>
        <v>8.446886718750001</v>
      </c>
      <c r="I18">
        <f>(Geometria!$I76*(Geometria!$H$21/100)*I$11/2)-(Geometria!$I76*I$11^2/2)</f>
        <v>9.4605131250000003</v>
      </c>
      <c r="J18">
        <f>(Geometria!$I76*(Geometria!$H$21/100)*J$11/2)-(Geometria!$I76*J$11^2/2)</f>
        <v>10.248889218750001</v>
      </c>
      <c r="K18">
        <f>(Geometria!$I76*(Geometria!$H$21/100)*K$11/2)-(Geometria!$I76*K$11^2/2)</f>
        <v>10.812015000000002</v>
      </c>
      <c r="L18">
        <f>(Geometria!$I76*(Geometria!$H$21/100)*L$11/2)-(Geometria!$I76*L$11^2/2)</f>
        <v>11.149890468750002</v>
      </c>
      <c r="M18">
        <f>(Geometria!$I76*(Geometria!$H$21/100)*M$11/2)-(Geometria!$I76*M$11^2/2)</f>
        <v>11.262515625000001</v>
      </c>
      <c r="N18">
        <f>(Geometria!$I76*(Geometria!$H$21/100)*N$11/2)-(Geometria!$I76*N$11^2/2)</f>
        <v>11.14989046875</v>
      </c>
      <c r="O18">
        <f>(Geometria!$I76*(Geometria!$H$21/100)*O$11/2)-(Geometria!$I76*O$11^2/2)</f>
        <v>10.812014999999999</v>
      </c>
      <c r="P18">
        <f>(Geometria!$I76*(Geometria!$H$21/100)*P$11/2)-(Geometria!$I76*P$11^2/2)</f>
        <v>10.248889218750001</v>
      </c>
      <c r="Q18">
        <f>(Geometria!$I76*(Geometria!$H$21/100)*Q$11/2)-(Geometria!$I76*Q$11^2/2)</f>
        <v>9.4605131250000056</v>
      </c>
      <c r="R18">
        <f>(Geometria!$I76*(Geometria!$H$21/100)*R$11/2)-(Geometria!$I76*R$11^2/2)</f>
        <v>8.4468867187500081</v>
      </c>
      <c r="S18">
        <f>(Geometria!$I76*(Geometria!$H$21/100)*S$11/2)-(Geometria!$I76*S$11^2/2)</f>
        <v>7.2080100000000016</v>
      </c>
      <c r="T18">
        <f>(Geometria!$I76*(Geometria!$H$21/100)*T$11/2)-(Geometria!$I76*T$11^2/2)</f>
        <v>5.7438829687500075</v>
      </c>
      <c r="U18">
        <f>(Geometria!$I76*(Geometria!$H$21/100)*U$11/2)-(Geometria!$I76*U$11^2/2)</f>
        <v>4.0545056250000044</v>
      </c>
      <c r="V18">
        <f>(Geometria!$I76*(Geometria!$H$21/100)*V$11/2)-(Geometria!$I76*V$11^2/2)</f>
        <v>2.1398779687500067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55.208851593750012</v>
      </c>
      <c r="E20">
        <f>(Geometria!$I78*(Geometria!$H$21/100)*E$11/2)-(Geometria!$I78*E$11^2/2)</f>
        <v>104.60624512500002</v>
      </c>
      <c r="F20">
        <f>(Geometria!$I78*(Geometria!$H$21/100)*F$11/2)-(Geometria!$I78*F$11^2/2)</f>
        <v>148.19218059375001</v>
      </c>
      <c r="G20">
        <f>(Geometria!$I78*(Geometria!$H$21/100)*G$11/2)-(Geometria!$I78*G$11^2/2)</f>
        <v>185.96665800000002</v>
      </c>
      <c r="H20">
        <f>(Geometria!$I78*(Geometria!$H$21/100)*H$11/2)-(Geometria!$I78*H$11^2/2)</f>
        <v>217.92967734375003</v>
      </c>
      <c r="I20">
        <f>(Geometria!$I78*(Geometria!$H$21/100)*I$11/2)-(Geometria!$I78*I$11^2/2)</f>
        <v>244.081238625</v>
      </c>
      <c r="J20">
        <f>(Geometria!$I78*(Geometria!$H$21/100)*J$11/2)-(Geometria!$I78*J$11^2/2)</f>
        <v>264.42134184375004</v>
      </c>
      <c r="K20">
        <f>(Geometria!$I78*(Geometria!$H$21/100)*K$11/2)-(Geometria!$I78*K$11^2/2)</f>
        <v>278.94998700000008</v>
      </c>
      <c r="L20">
        <f>(Geometria!$I78*(Geometria!$H$21/100)*L$11/2)-(Geometria!$I78*L$11^2/2)</f>
        <v>287.66717409375008</v>
      </c>
      <c r="M20">
        <f>(Geometria!$I78*(Geometria!$H$21/100)*M$11/2)-(Geometria!$I78*M$11^2/2)</f>
        <v>290.5729031250001</v>
      </c>
      <c r="N20">
        <f>(Geometria!$I78*(Geometria!$H$21/100)*N$11/2)-(Geometria!$I78*N$11^2/2)</f>
        <v>287.66717409374996</v>
      </c>
      <c r="O20">
        <f>(Geometria!$I78*(Geometria!$H$21/100)*O$11/2)-(Geometria!$I78*O$11^2/2)</f>
        <v>278.94998699999996</v>
      </c>
      <c r="P20">
        <f>(Geometria!$I78*(Geometria!$H$21/100)*P$11/2)-(Geometria!$I78*P$11^2/2)</f>
        <v>264.42134184374999</v>
      </c>
      <c r="Q20">
        <f>(Geometria!$I78*(Geometria!$H$21/100)*Q$11/2)-(Geometria!$I78*Q$11^2/2)</f>
        <v>244.08123862500008</v>
      </c>
      <c r="R20">
        <f>(Geometria!$I78*(Geometria!$H$21/100)*R$11/2)-(Geometria!$I78*R$11^2/2)</f>
        <v>217.92967734375009</v>
      </c>
      <c r="S20">
        <f>(Geometria!$I78*(Geometria!$H$21/100)*S$11/2)-(Geometria!$I78*S$11^2/2)</f>
        <v>185.96665800000005</v>
      </c>
      <c r="T20">
        <f>(Geometria!$I78*(Geometria!$H$21/100)*T$11/2)-(Geometria!$I78*T$11^2/2)</f>
        <v>148.19218059375009</v>
      </c>
      <c r="U20">
        <f>(Geometria!$I78*(Geometria!$H$21/100)*U$11/2)-(Geometria!$I78*U$11^2/2)</f>
        <v>104.6062451250001</v>
      </c>
      <c r="V20">
        <f>(Geometria!$I78*(Geometria!$H$21/100)*V$11/2)-(Geometria!$I78*V$11^2/2)</f>
        <v>55.208851593750069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11.843999999999999</v>
      </c>
    </row>
    <row r="24" spans="2:23" x14ac:dyDescent="0.25">
      <c r="B24" t="s">
        <v>795</v>
      </c>
      <c r="C24">
        <f>Geometria!$H$168</f>
        <v>2.2200000000000002</v>
      </c>
    </row>
    <row r="25" spans="2:23" x14ac:dyDescent="0.25">
      <c r="B25" t="s">
        <v>796</v>
      </c>
      <c r="C25">
        <f ca="1">Geometria!$H$167</f>
        <v>11.684076499090109</v>
      </c>
    </row>
    <row r="26" spans="2:23" x14ac:dyDescent="0.25">
      <c r="B26" t="s">
        <v>797</v>
      </c>
      <c r="C26">
        <f ca="1">Geometria!$H$169</f>
        <v>12.315923500909891</v>
      </c>
    </row>
    <row r="27" spans="2:23" x14ac:dyDescent="0.25">
      <c r="B27" t="s">
        <v>798</v>
      </c>
      <c r="C27">
        <f ca="1">Geometria!$H$36</f>
        <v>1893.9633793843193</v>
      </c>
    </row>
    <row r="28" spans="2:23" x14ac:dyDescent="0.25">
      <c r="B28" t="s">
        <v>799</v>
      </c>
      <c r="C28">
        <f ca="1">Geometria!$H$37</f>
        <v>219251.00942138446</v>
      </c>
    </row>
    <row r="29" spans="2:23" x14ac:dyDescent="0.25">
      <c r="B29" t="s">
        <v>800</v>
      </c>
      <c r="C29">
        <f ca="1">Geometria!$I$37</f>
        <v>335689.31055165757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1736</v>
      </c>
      <c r="C33">
        <f>Geometria!$L$105</f>
        <v>50</v>
      </c>
    </row>
    <row r="34" spans="2:3" x14ac:dyDescent="0.25">
      <c r="B34" t="s">
        <v>804</v>
      </c>
      <c r="C34">
        <f>Geometria!$H$175</f>
        <v>1472.9707768425089</v>
      </c>
    </row>
    <row r="35" spans="2:3" x14ac:dyDescent="0.25">
      <c r="B35" t="s">
        <v>805</v>
      </c>
      <c r="C35">
        <f ca="1">Geometria!$H$176</f>
        <v>145.95484776013598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-7.691008078966548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2.0923715461621515</v>
      </c>
    </row>
    <row r="40" spans="2:3" x14ac:dyDescent="0.25">
      <c r="B40" t="s">
        <v>810</v>
      </c>
      <c r="C40">
        <f ca="1">Geometria!$M$203</f>
        <v>1.2005597609923147</v>
      </c>
    </row>
    <row r="41" spans="2:3" x14ac:dyDescent="0.25">
      <c r="B41" t="s">
        <v>811</v>
      </c>
      <c r="C41">
        <f ca="1">Geometria!$M$204</f>
        <v>1.8840574902082365</v>
      </c>
    </row>
    <row r="42" spans="2:3" x14ac:dyDescent="0.25">
      <c r="B42" t="s">
        <v>812</v>
      </c>
      <c r="C42">
        <f ca="1">Geometria!$M$205</f>
        <v>1.4475811090319215</v>
      </c>
    </row>
    <row r="43" spans="2:3" x14ac:dyDescent="0.25">
      <c r="B43" t="s">
        <v>813</v>
      </c>
      <c r="C43">
        <f ca="1">Geometria!$M$206</f>
        <v>1.3015898927491192</v>
      </c>
    </row>
    <row r="44" spans="2:3" x14ac:dyDescent="0.25">
      <c r="B44" t="s">
        <v>814</v>
      </c>
      <c r="C44">
        <f ca="1">Geometria!$M$207</f>
        <v>1.2062173662230617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2.046185773081076</v>
      </c>
    </row>
    <row r="47" spans="2:3" x14ac:dyDescent="0.25">
      <c r="B47" t="s">
        <v>816</v>
      </c>
      <c r="C47">
        <f ca="1">Geometria!$L$217</f>
        <v>2.1792849591429126</v>
      </c>
    </row>
    <row r="48" spans="2:3" x14ac:dyDescent="0.25">
      <c r="B48" t="s">
        <v>817</v>
      </c>
      <c r="C48">
        <f ca="1">Geometria!$L$218</f>
        <v>2.3102794848396755</v>
      </c>
    </row>
    <row r="49" spans="2:23" x14ac:dyDescent="0.25">
      <c r="B49" t="s">
        <v>818</v>
      </c>
      <c r="C49">
        <f ca="1">Geometria!$L$219</f>
        <v>7.425697958622547E-3</v>
      </c>
    </row>
    <row r="50" spans="2:23" x14ac:dyDescent="0.25">
      <c r="B50" t="s">
        <v>819</v>
      </c>
      <c r="C50">
        <f ca="1">(Geometria!$I$24-Geometria!$H$144)/100</f>
        <v>0.15314422445761497</v>
      </c>
    </row>
    <row r="51" spans="2:23" x14ac:dyDescent="0.25">
      <c r="B51" t="s">
        <v>1737</v>
      </c>
      <c r="C51">
        <f ca="1">(Geometria!$H$23-Geometria!$M$134-Geometria!$I$24)/100</f>
        <v>8.6855775542385022E-2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15555.247666457855</v>
      </c>
      <c r="D55">
        <f t="shared" ca="1" si="1"/>
        <v>15123.287827245113</v>
      </c>
      <c r="E55">
        <f t="shared" ca="1" si="1"/>
        <v>14736.797444791606</v>
      </c>
      <c r="F55">
        <f t="shared" ca="1" si="1"/>
        <v>14395.77651909734</v>
      </c>
      <c r="G55">
        <f t="shared" ca="1" si="1"/>
        <v>14100.225050162306</v>
      </c>
      <c r="H55">
        <f t="shared" ca="1" si="1"/>
        <v>13850.143037986509</v>
      </c>
      <c r="I55">
        <f t="shared" ca="1" si="1"/>
        <v>13645.530482569948</v>
      </c>
      <c r="J55">
        <f t="shared" ca="1" si="1"/>
        <v>13486.387383912621</v>
      </c>
      <c r="K55">
        <f t="shared" ca="1" si="1"/>
        <v>13372.713742014534</v>
      </c>
      <c r="L55">
        <f t="shared" ca="1" si="1"/>
        <v>13304.509556875679</v>
      </c>
      <c r="M55">
        <f t="shared" ca="1" si="1"/>
        <v>13281.774828496062</v>
      </c>
      <c r="N55">
        <f t="shared" ca="1" si="1"/>
        <v>13304.509556875679</v>
      </c>
      <c r="O55">
        <f t="shared" ca="1" si="1"/>
        <v>13372.713742014534</v>
      </c>
      <c r="P55">
        <f t="shared" ca="1" si="1"/>
        <v>13486.387383912621</v>
      </c>
      <c r="Q55">
        <f t="shared" ca="1" si="1"/>
        <v>13645.530482569948</v>
      </c>
      <c r="R55">
        <f t="shared" ca="1" si="1"/>
        <v>13850.143037986509</v>
      </c>
      <c r="S55">
        <f t="shared" ca="1" si="1"/>
        <v>14100.225050162306</v>
      </c>
      <c r="T55">
        <f t="shared" ca="1" si="1"/>
        <v>14395.77651909734</v>
      </c>
      <c r="U55">
        <f t="shared" ca="1" si="1"/>
        <v>14736.797444791609</v>
      </c>
      <c r="V55">
        <f t="shared" ca="1" si="1"/>
        <v>15123.287827245113</v>
      </c>
      <c r="W55">
        <f t="shared" ca="1" si="1"/>
        <v>15555.247666457855</v>
      </c>
    </row>
    <row r="56" spans="2:23" x14ac:dyDescent="0.25">
      <c r="B56" t="s">
        <v>99</v>
      </c>
      <c r="C56">
        <f t="shared" ref="C56:W56" ca="1" si="2">($C$34/($C$27/100^2)+((-$C$35+C15)/($C$28/100^4))*$C$26/100)</f>
        <v>-421.49221486654005</v>
      </c>
      <c r="D56">
        <f t="shared" ca="1" si="2"/>
        <v>33.826982643314295</v>
      </c>
      <c r="E56">
        <f t="shared" ca="1" si="2"/>
        <v>441.21784357318393</v>
      </c>
      <c r="F56">
        <f t="shared" ca="1" si="2"/>
        <v>800.68036792306884</v>
      </c>
      <c r="G56">
        <f t="shared" ca="1" si="2"/>
        <v>1112.2145556929681</v>
      </c>
      <c r="H56">
        <f t="shared" ca="1" si="2"/>
        <v>1375.8204068828836</v>
      </c>
      <c r="I56">
        <f t="shared" ca="1" si="2"/>
        <v>1591.4979214928144</v>
      </c>
      <c r="J56">
        <f t="shared" ca="1" si="2"/>
        <v>1759.2470995227613</v>
      </c>
      <c r="K56">
        <f t="shared" ca="1" si="2"/>
        <v>1879.0679409727227</v>
      </c>
      <c r="L56">
        <f t="shared" ca="1" si="2"/>
        <v>1950.9604458426984</v>
      </c>
      <c r="M56">
        <f t="shared" ca="1" si="2"/>
        <v>1974.9246141326912</v>
      </c>
      <c r="N56">
        <f t="shared" ca="1" si="2"/>
        <v>1950.9604458426984</v>
      </c>
      <c r="O56">
        <f t="shared" ca="1" si="2"/>
        <v>1879.0679409727227</v>
      </c>
      <c r="P56">
        <f t="shared" ca="1" si="2"/>
        <v>1759.2470995227604</v>
      </c>
      <c r="Q56">
        <f t="shared" ca="1" si="2"/>
        <v>1591.4979214928144</v>
      </c>
      <c r="R56">
        <f t="shared" ca="1" si="2"/>
        <v>1375.8204068828845</v>
      </c>
      <c r="S56">
        <f t="shared" ca="1" si="2"/>
        <v>1112.2145556929681</v>
      </c>
      <c r="T56">
        <f t="shared" ca="1" si="2"/>
        <v>800.68036792306884</v>
      </c>
      <c r="U56">
        <f t="shared" ca="1" si="2"/>
        <v>441.21784357318302</v>
      </c>
      <c r="V56">
        <f t="shared" ca="1" si="2"/>
        <v>33.826982643316114</v>
      </c>
      <c r="W56">
        <f t="shared" ca="1" si="2"/>
        <v>-421.49221486654005</v>
      </c>
    </row>
    <row r="57" spans="2:23" x14ac:dyDescent="0.25">
      <c r="B57" t="s">
        <v>821</v>
      </c>
      <c r="C57">
        <f t="shared" ref="C57:W57" ca="1" si="3">$C$36*C55/10000</f>
        <v>9.3904169633304893</v>
      </c>
      <c r="D57">
        <f t="shared" ca="1" si="3"/>
        <v>9.1296507519144203</v>
      </c>
      <c r="E57">
        <f t="shared" ca="1" si="3"/>
        <v>8.896333615384254</v>
      </c>
      <c r="F57">
        <f t="shared" ca="1" si="3"/>
        <v>8.6904655537399922</v>
      </c>
      <c r="G57">
        <f t="shared" ca="1" si="3"/>
        <v>8.5120465669816294</v>
      </c>
      <c r="H57">
        <f t="shared" ca="1" si="3"/>
        <v>8.3610766551091711</v>
      </c>
      <c r="I57">
        <f t="shared" ca="1" si="3"/>
        <v>8.2375558181226136</v>
      </c>
      <c r="J57">
        <f t="shared" ca="1" si="3"/>
        <v>8.1414840560219552</v>
      </c>
      <c r="K57">
        <f t="shared" ca="1" si="3"/>
        <v>8.0728613688072031</v>
      </c>
      <c r="L57">
        <f t="shared" ca="1" si="3"/>
        <v>8.03168775647835</v>
      </c>
      <c r="M57">
        <f t="shared" ca="1" si="3"/>
        <v>8.0179632190353995</v>
      </c>
      <c r="N57">
        <f t="shared" ca="1" si="3"/>
        <v>8.03168775647835</v>
      </c>
      <c r="O57">
        <f t="shared" ca="1" si="3"/>
        <v>8.0728613688072031</v>
      </c>
      <c r="P57">
        <f t="shared" ca="1" si="3"/>
        <v>8.1414840560219552</v>
      </c>
      <c r="Q57">
        <f t="shared" ca="1" si="3"/>
        <v>8.2375558181226136</v>
      </c>
      <c r="R57">
        <f t="shared" ca="1" si="3"/>
        <v>8.3610766551091711</v>
      </c>
      <c r="S57">
        <f t="shared" ca="1" si="3"/>
        <v>8.5120465669816294</v>
      </c>
      <c r="T57">
        <f t="shared" ca="1" si="3"/>
        <v>8.6904655537399922</v>
      </c>
      <c r="U57">
        <f t="shared" ca="1" si="3"/>
        <v>8.8963336153842558</v>
      </c>
      <c r="V57">
        <f t="shared" ca="1" si="3"/>
        <v>9.1296507519144203</v>
      </c>
      <c r="W57">
        <f t="shared" ca="1" si="3"/>
        <v>9.3904169633304893</v>
      </c>
    </row>
    <row r="58" spans="2:23" x14ac:dyDescent="0.25">
      <c r="B58" t="s">
        <v>822</v>
      </c>
      <c r="C58">
        <f t="shared" ref="C58:W58" ca="1" si="4">$C$36*C56/10000</f>
        <v>-0.2544470990924303</v>
      </c>
      <c r="D58">
        <f t="shared" ca="1" si="4"/>
        <v>2.0420727361160542E-2</v>
      </c>
      <c r="E58">
        <f t="shared" ca="1" si="4"/>
        <v>0.26635509839858384</v>
      </c>
      <c r="F58">
        <f t="shared" ca="1" si="4"/>
        <v>0.48335601401983974</v>
      </c>
      <c r="G58">
        <f t="shared" ca="1" si="4"/>
        <v>0.67142347422492754</v>
      </c>
      <c r="H58">
        <f t="shared" ca="1" si="4"/>
        <v>0.83055747901384835</v>
      </c>
      <c r="I58">
        <f t="shared" ca="1" si="4"/>
        <v>0.96075802838660185</v>
      </c>
      <c r="J58">
        <f t="shared" ca="1" si="4"/>
        <v>1.0620251223431885</v>
      </c>
      <c r="K58">
        <f t="shared" ca="1" si="4"/>
        <v>1.1343587608836068</v>
      </c>
      <c r="L58">
        <f t="shared" ca="1" si="4"/>
        <v>1.1777589440078571</v>
      </c>
      <c r="M58">
        <f t="shared" ca="1" si="4"/>
        <v>1.1922256717159412</v>
      </c>
      <c r="N58">
        <f t="shared" ca="1" si="4"/>
        <v>1.1777589440078571</v>
      </c>
      <c r="O58">
        <f t="shared" ca="1" si="4"/>
        <v>1.1343587608836068</v>
      </c>
      <c r="P58">
        <f t="shared" ca="1" si="4"/>
        <v>1.0620251223431878</v>
      </c>
      <c r="Q58">
        <f t="shared" ca="1" si="4"/>
        <v>0.96075802838660185</v>
      </c>
      <c r="R58">
        <f t="shared" ca="1" si="4"/>
        <v>0.83055747901384891</v>
      </c>
      <c r="S58">
        <f t="shared" ca="1" si="4"/>
        <v>0.67142347422492754</v>
      </c>
      <c r="T58">
        <f t="shared" ca="1" si="4"/>
        <v>0.48335601401983974</v>
      </c>
      <c r="U58">
        <f t="shared" ca="1" si="4"/>
        <v>0.26635509839858335</v>
      </c>
      <c r="V58">
        <f t="shared" ca="1" si="4"/>
        <v>2.0420727361161638E-2</v>
      </c>
      <c r="W58">
        <f t="shared" ca="1" si="4"/>
        <v>-0.2544470990924303</v>
      </c>
    </row>
    <row r="59" spans="2:23" x14ac:dyDescent="0.25">
      <c r="B59" t="s">
        <v>823</v>
      </c>
      <c r="C59">
        <f t="shared" ref="C59:W59" ca="1" si="5">$C$30-$C$31-$C$32-C57</f>
        <v>105.77506831290556</v>
      </c>
      <c r="D59">
        <f t="shared" ca="1" si="5"/>
        <v>106.03583452432163</v>
      </c>
      <c r="E59">
        <f t="shared" ca="1" si="5"/>
        <v>106.2691516608518</v>
      </c>
      <c r="F59">
        <f t="shared" ca="1" si="5"/>
        <v>106.47501972249606</v>
      </c>
      <c r="G59">
        <f t="shared" ca="1" si="5"/>
        <v>106.65343870925443</v>
      </c>
      <c r="H59">
        <f t="shared" ca="1" si="5"/>
        <v>106.80440862112688</v>
      </c>
      <c r="I59">
        <f t="shared" ca="1" si="5"/>
        <v>106.92792945811344</v>
      </c>
      <c r="J59">
        <f t="shared" ca="1" si="5"/>
        <v>107.0240012202141</v>
      </c>
      <c r="K59">
        <f t="shared" ca="1" si="5"/>
        <v>107.09262390742884</v>
      </c>
      <c r="L59">
        <f t="shared" ca="1" si="5"/>
        <v>107.13379751975771</v>
      </c>
      <c r="M59">
        <f t="shared" ca="1" si="5"/>
        <v>107.14752205720066</v>
      </c>
      <c r="N59">
        <f t="shared" ca="1" si="5"/>
        <v>107.13379751975771</v>
      </c>
      <c r="O59">
        <f t="shared" ca="1" si="5"/>
        <v>107.09262390742884</v>
      </c>
      <c r="P59">
        <f t="shared" ca="1" si="5"/>
        <v>107.0240012202141</v>
      </c>
      <c r="Q59">
        <f t="shared" ca="1" si="5"/>
        <v>106.92792945811344</v>
      </c>
      <c r="R59">
        <f t="shared" ca="1" si="5"/>
        <v>106.80440862112688</v>
      </c>
      <c r="S59">
        <f t="shared" ca="1" si="5"/>
        <v>106.65343870925443</v>
      </c>
      <c r="T59">
        <f t="shared" ca="1" si="5"/>
        <v>106.47501972249606</v>
      </c>
      <c r="U59">
        <f t="shared" ca="1" si="5"/>
        <v>106.2691516608518</v>
      </c>
      <c r="V59">
        <f t="shared" ca="1" si="5"/>
        <v>106.03583452432163</v>
      </c>
      <c r="W59">
        <f t="shared" ca="1" si="5"/>
        <v>105.77506831290556</v>
      </c>
    </row>
    <row r="60" spans="2:23" x14ac:dyDescent="0.25">
      <c r="B60" t="s">
        <v>1738</v>
      </c>
      <c r="C60">
        <f ca="1">$C$33-$C$31-Geometria!$H$190-C58</f>
        <v>49.331370176015511</v>
      </c>
      <c r="D60">
        <f ca="1">$C$33-$C$31-Geometria!$H$190-D58</f>
        <v>49.056502349561917</v>
      </c>
      <c r="E60">
        <f ca="1">$C$33-$C$31-Geometria!$H$190-E58</f>
        <v>48.810567978524496</v>
      </c>
      <c r="F60">
        <f ca="1">$C$33-$C$31-Geometria!$H$190-F58</f>
        <v>48.59356706290324</v>
      </c>
      <c r="G60">
        <f ca="1">$C$33-$C$31-Geometria!$H$190-G58</f>
        <v>48.40549960269815</v>
      </c>
      <c r="H60">
        <f ca="1">$C$33-$C$31-Geometria!$H$190-H58</f>
        <v>48.246365597909232</v>
      </c>
      <c r="I60">
        <f ca="1">$C$33-$C$31-Geometria!$H$190-I58</f>
        <v>48.11616504853648</v>
      </c>
      <c r="J60">
        <f ca="1">$C$33-$C$31-Geometria!$H$190-J58</f>
        <v>48.014897954579894</v>
      </c>
      <c r="K60">
        <f ca="1">$C$33-$C$31-Geometria!$H$190-K58</f>
        <v>47.942564316039473</v>
      </c>
      <c r="L60">
        <f ca="1">$C$33-$C$31-Geometria!$H$190-L58</f>
        <v>47.899164132915224</v>
      </c>
      <c r="M60">
        <f ca="1">$C$33-$C$31-Geometria!$H$190-M58</f>
        <v>47.884697405207142</v>
      </c>
      <c r="N60">
        <f ca="1">$C$33-$C$31-Geometria!$H$190-N58</f>
        <v>47.899164132915224</v>
      </c>
      <c r="O60">
        <f ca="1">$C$33-$C$31-Geometria!$H$190-O58</f>
        <v>47.942564316039473</v>
      </c>
      <c r="P60">
        <f ca="1">$C$33-$C$31-Geometria!$H$190-P58</f>
        <v>48.014897954579894</v>
      </c>
      <c r="Q60">
        <f ca="1">$C$33-$C$31-Geometria!$H$190-Q58</f>
        <v>48.11616504853648</v>
      </c>
      <c r="R60">
        <f ca="1">$C$33-$C$31-Geometria!$H$190-R58</f>
        <v>48.246365597909232</v>
      </c>
      <c r="S60">
        <f ca="1">$C$33-$C$31-Geometria!$H$190-S58</f>
        <v>48.40549960269815</v>
      </c>
      <c r="T60">
        <f ca="1">$C$33-$C$31-Geometria!$H$190-T58</f>
        <v>48.59356706290324</v>
      </c>
      <c r="U60">
        <f ca="1">$C$33-$C$31-Geometria!$H$190-U58</f>
        <v>48.810567978524496</v>
      </c>
      <c r="V60">
        <f ca="1">$C$33-$C$31-Geometria!$H$190-V58</f>
        <v>49.056502349561917</v>
      </c>
      <c r="W60">
        <f ca="1">$C$33-$C$31-Geometria!$H$190-W58</f>
        <v>49.331370176015511</v>
      </c>
    </row>
    <row r="61" spans="2:23" x14ac:dyDescent="0.25">
      <c r="B61" t="s">
        <v>824</v>
      </c>
      <c r="C61">
        <f t="shared" ref="C61:W61" ca="1" si="6">100-(C59*100)/$C$30</f>
        <v>9.6248561919809106</v>
      </c>
      <c r="D61">
        <f t="shared" ca="1" si="6"/>
        <v>9.4020552594654703</v>
      </c>
      <c r="E61">
        <f t="shared" ca="1" si="6"/>
        <v>9.2027070566884959</v>
      </c>
      <c r="F61">
        <f t="shared" ca="1" si="6"/>
        <v>9.0268115836500016</v>
      </c>
      <c r="G61">
        <f t="shared" ca="1" si="6"/>
        <v>8.874368840349959</v>
      </c>
      <c r="H61">
        <f t="shared" ca="1" si="6"/>
        <v>8.7453788267883965</v>
      </c>
      <c r="I61">
        <f t="shared" ca="1" si="6"/>
        <v>8.6398415429652999</v>
      </c>
      <c r="J61">
        <f t="shared" ca="1" si="6"/>
        <v>8.5577569888806551</v>
      </c>
      <c r="K61">
        <f t="shared" ca="1" si="6"/>
        <v>8.4991251645345045</v>
      </c>
      <c r="L61">
        <f t="shared" ca="1" si="6"/>
        <v>8.4639460699267914</v>
      </c>
      <c r="M61">
        <f t="shared" ca="1" si="6"/>
        <v>8.4522197050575585</v>
      </c>
      <c r="N61">
        <f t="shared" ca="1" si="6"/>
        <v>8.4639460699267914</v>
      </c>
      <c r="O61">
        <f t="shared" ca="1" si="6"/>
        <v>8.4991251645345045</v>
      </c>
      <c r="P61">
        <f t="shared" ca="1" si="6"/>
        <v>8.5577569888806551</v>
      </c>
      <c r="Q61">
        <f t="shared" ca="1" si="6"/>
        <v>8.6398415429652999</v>
      </c>
      <c r="R61">
        <f t="shared" ca="1" si="6"/>
        <v>8.7453788267883965</v>
      </c>
      <c r="S61">
        <f t="shared" ca="1" si="6"/>
        <v>8.874368840349959</v>
      </c>
      <c r="T61">
        <f t="shared" ca="1" si="6"/>
        <v>9.0268115836500016</v>
      </c>
      <c r="U61">
        <f t="shared" ca="1" si="6"/>
        <v>9.2027070566884959</v>
      </c>
      <c r="V61">
        <f t="shared" ca="1" si="6"/>
        <v>9.4020552594654703</v>
      </c>
      <c r="W61">
        <f t="shared" ca="1" si="6"/>
        <v>9.6248561919809106</v>
      </c>
    </row>
    <row r="62" spans="2:23" x14ac:dyDescent="0.25">
      <c r="B62" t="s">
        <v>825</v>
      </c>
      <c r="C62">
        <f t="shared" ref="C62:W62" ca="1" si="7">100-(C60*100)/$C$30</f>
        <v>57.850845714272474</v>
      </c>
      <c r="D62">
        <f t="shared" ca="1" si="7"/>
        <v>58.085695190053052</v>
      </c>
      <c r="E62">
        <f t="shared" ca="1" si="7"/>
        <v>58.295823668383044</v>
      </c>
      <c r="F62">
        <f t="shared" ca="1" si="7"/>
        <v>58.481231149262449</v>
      </c>
      <c r="G62">
        <f t="shared" ca="1" si="7"/>
        <v>58.641917632691268</v>
      </c>
      <c r="H62">
        <f t="shared" ca="1" si="7"/>
        <v>58.777883118669493</v>
      </c>
      <c r="I62">
        <f t="shared" ca="1" si="7"/>
        <v>58.889127607197139</v>
      </c>
      <c r="J62">
        <f t="shared" ca="1" si="7"/>
        <v>58.975651098274191</v>
      </c>
      <c r="K62">
        <f t="shared" ca="1" si="7"/>
        <v>59.037453591900665</v>
      </c>
      <c r="L62">
        <f t="shared" ca="1" si="7"/>
        <v>59.074535088076544</v>
      </c>
      <c r="M62">
        <f t="shared" ca="1" si="7"/>
        <v>59.08689558680183</v>
      </c>
      <c r="N62">
        <f t="shared" ca="1" si="7"/>
        <v>59.074535088076544</v>
      </c>
      <c r="O62">
        <f t="shared" ca="1" si="7"/>
        <v>59.037453591900665</v>
      </c>
      <c r="P62">
        <f t="shared" ca="1" si="7"/>
        <v>58.975651098274191</v>
      </c>
      <c r="Q62">
        <f t="shared" ca="1" si="7"/>
        <v>58.889127607197139</v>
      </c>
      <c r="R62">
        <f t="shared" ca="1" si="7"/>
        <v>58.777883118669493</v>
      </c>
      <c r="S62">
        <f t="shared" ca="1" si="7"/>
        <v>58.641917632691268</v>
      </c>
      <c r="T62">
        <f t="shared" ca="1" si="7"/>
        <v>58.481231149262449</v>
      </c>
      <c r="U62">
        <f t="shared" ca="1" si="7"/>
        <v>58.295823668383044</v>
      </c>
      <c r="V62">
        <f t="shared" ca="1" si="7"/>
        <v>58.085695190053052</v>
      </c>
      <c r="W62">
        <f t="shared" ca="1" si="7"/>
        <v>57.850845714272474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1362.3155508888078</v>
      </c>
      <c r="D65">
        <f t="shared" ca="1" si="8"/>
        <v>1364.7938593220927</v>
      </c>
      <c r="E65">
        <f t="shared" ca="1" si="8"/>
        <v>1367.0112931834533</v>
      </c>
      <c r="F65">
        <f t="shared" ca="1" si="8"/>
        <v>1368.9678524728886</v>
      </c>
      <c r="G65">
        <f t="shared" ca="1" si="8"/>
        <v>1370.6635371903994</v>
      </c>
      <c r="H65">
        <f t="shared" ca="1" si="8"/>
        <v>1372.0983473359852</v>
      </c>
      <c r="I65">
        <f t="shared" ca="1" si="8"/>
        <v>1373.2722829096465</v>
      </c>
      <c r="J65">
        <f t="shared" ca="1" si="8"/>
        <v>1374.1853439113831</v>
      </c>
      <c r="K65">
        <f t="shared" ca="1" si="8"/>
        <v>1374.8375303411947</v>
      </c>
      <c r="L65">
        <f t="shared" ca="1" si="8"/>
        <v>1375.228842199082</v>
      </c>
      <c r="M65">
        <f t="shared" ca="1" si="8"/>
        <v>1375.3592794850445</v>
      </c>
      <c r="N65">
        <f t="shared" ca="1" si="8"/>
        <v>1375.228842199082</v>
      </c>
      <c r="O65">
        <f t="shared" ca="1" si="8"/>
        <v>1374.8375303411947</v>
      </c>
      <c r="P65">
        <f t="shared" ca="1" si="8"/>
        <v>1374.1853439113831</v>
      </c>
      <c r="Q65">
        <f t="shared" ca="1" si="8"/>
        <v>1373.2722829096465</v>
      </c>
      <c r="R65">
        <f t="shared" ca="1" si="8"/>
        <v>1372.0983473359852</v>
      </c>
      <c r="S65">
        <f t="shared" ca="1" si="8"/>
        <v>1370.6635371903994</v>
      </c>
      <c r="T65">
        <f t="shared" ca="1" si="8"/>
        <v>1368.9678524728886</v>
      </c>
      <c r="U65">
        <f t="shared" ca="1" si="8"/>
        <v>1367.0112931834533</v>
      </c>
      <c r="V65">
        <f t="shared" ca="1" si="8"/>
        <v>1364.7938593220927</v>
      </c>
      <c r="W65">
        <f t="shared" ca="1" si="8"/>
        <v>1362.3155508888078</v>
      </c>
    </row>
    <row r="66" spans="2:23" x14ac:dyDescent="0.25">
      <c r="B66" t="s">
        <v>828</v>
      </c>
      <c r="C66">
        <f t="shared" ref="C66:W66" ca="1" si="9">$C$23*C59*$C$25/100-$C$24*C60*$C$26/100</f>
        <v>132.89023709506807</v>
      </c>
      <c r="D66">
        <f t="shared" ca="1" si="9"/>
        <v>133.32625412623096</v>
      </c>
      <c r="E66">
        <f t="shared" ca="1" si="9"/>
        <v>133.71637462779779</v>
      </c>
      <c r="F66">
        <f t="shared" ca="1" si="9"/>
        <v>134.06059859976847</v>
      </c>
      <c r="G66">
        <f t="shared" ca="1" si="9"/>
        <v>134.35892604214308</v>
      </c>
      <c r="H66">
        <f t="shared" ca="1" si="9"/>
        <v>134.61135695492158</v>
      </c>
      <c r="I66">
        <f t="shared" ca="1" si="9"/>
        <v>134.817891338104</v>
      </c>
      <c r="J66">
        <f t="shared" ca="1" si="9"/>
        <v>134.97852919169037</v>
      </c>
      <c r="K66">
        <f t="shared" ca="1" si="9"/>
        <v>135.09327051568056</v>
      </c>
      <c r="L66">
        <f t="shared" ca="1" si="9"/>
        <v>135.16211531007471</v>
      </c>
      <c r="M66">
        <f t="shared" ca="1" si="9"/>
        <v>135.18506357487277</v>
      </c>
      <c r="N66">
        <f t="shared" ca="1" si="9"/>
        <v>135.16211531007471</v>
      </c>
      <c r="O66">
        <f t="shared" ca="1" si="9"/>
        <v>135.09327051568056</v>
      </c>
      <c r="P66">
        <f t="shared" ca="1" si="9"/>
        <v>134.97852919169037</v>
      </c>
      <c r="Q66">
        <f t="shared" ca="1" si="9"/>
        <v>134.817891338104</v>
      </c>
      <c r="R66">
        <f t="shared" ca="1" si="9"/>
        <v>134.61135695492158</v>
      </c>
      <c r="S66">
        <f t="shared" ca="1" si="9"/>
        <v>134.35892604214308</v>
      </c>
      <c r="T66">
        <f t="shared" ca="1" si="9"/>
        <v>134.06059859976847</v>
      </c>
      <c r="U66">
        <f t="shared" ca="1" si="9"/>
        <v>133.71637462779779</v>
      </c>
      <c r="V66">
        <f t="shared" ca="1" si="9"/>
        <v>133.32625412623096</v>
      </c>
      <c r="W66">
        <f t="shared" ca="1" si="9"/>
        <v>132.89023709506807</v>
      </c>
    </row>
    <row r="67" spans="2:23" x14ac:dyDescent="0.25">
      <c r="B67" t="s">
        <v>829</v>
      </c>
      <c r="C67">
        <f t="shared" ref="C67:W67" ca="1" si="10">(C65/($C$27/100^2)+(C66-C15)/($C$28/100^4)*$C$25/100)*$C$39</f>
        <v>29868.124744294459</v>
      </c>
      <c r="D67">
        <f t="shared" ca="1" si="10"/>
        <v>29040.30135453702</v>
      </c>
      <c r="E67">
        <f t="shared" ca="1" si="10"/>
        <v>28299.617268964579</v>
      </c>
      <c r="F67">
        <f t="shared" ca="1" si="10"/>
        <v>27646.072487577123</v>
      </c>
      <c r="G67">
        <f t="shared" ca="1" si="10"/>
        <v>27079.667010374669</v>
      </c>
      <c r="H67">
        <f t="shared" ca="1" si="10"/>
        <v>26600.4008373572</v>
      </c>
      <c r="I67">
        <f t="shared" ca="1" si="10"/>
        <v>26208.273968524729</v>
      </c>
      <c r="J67">
        <f t="shared" ca="1" si="10"/>
        <v>25903.286403877253</v>
      </c>
      <c r="K67">
        <f t="shared" ca="1" si="10"/>
        <v>25685.438143414762</v>
      </c>
      <c r="L67">
        <f t="shared" ca="1" si="10"/>
        <v>25554.729187137276</v>
      </c>
      <c r="M67">
        <f t="shared" ca="1" si="10"/>
        <v>25511.159535044782</v>
      </c>
      <c r="N67">
        <f t="shared" ca="1" si="10"/>
        <v>25554.729187137276</v>
      </c>
      <c r="O67">
        <f t="shared" ca="1" si="10"/>
        <v>25685.438143414762</v>
      </c>
      <c r="P67">
        <f t="shared" ca="1" si="10"/>
        <v>25903.286403877257</v>
      </c>
      <c r="Q67">
        <f t="shared" ca="1" si="10"/>
        <v>26208.273968524729</v>
      </c>
      <c r="R67">
        <f t="shared" ca="1" si="10"/>
        <v>26600.400837357196</v>
      </c>
      <c r="S67">
        <f t="shared" ca="1" si="10"/>
        <v>27079.667010374669</v>
      </c>
      <c r="T67">
        <f t="shared" ca="1" si="10"/>
        <v>27646.072487577123</v>
      </c>
      <c r="U67">
        <f t="shared" ca="1" si="10"/>
        <v>28299.617268964579</v>
      </c>
      <c r="V67">
        <f t="shared" ca="1" si="10"/>
        <v>29040.301354537016</v>
      </c>
      <c r="W67">
        <f t="shared" ca="1" si="10"/>
        <v>29868.124744294459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436.67209446885482</v>
      </c>
      <c r="E68">
        <f t="shared" ca="1" si="11"/>
        <v>827.37870530940916</v>
      </c>
      <c r="F68">
        <f t="shared" ca="1" si="11"/>
        <v>1172.1198325216631</v>
      </c>
      <c r="G68">
        <f t="shared" ca="1" si="11"/>
        <v>1470.8954761056164</v>
      </c>
      <c r="H68">
        <f t="shared" ca="1" si="11"/>
        <v>1723.7056360612692</v>
      </c>
      <c r="I68">
        <f t="shared" ca="1" si="11"/>
        <v>1930.5503123886213</v>
      </c>
      <c r="J68">
        <f t="shared" ca="1" si="11"/>
        <v>2091.4295050876726</v>
      </c>
      <c r="K68">
        <f t="shared" ca="1" si="11"/>
        <v>2206.3432141584249</v>
      </c>
      <c r="L68">
        <f t="shared" ca="1" si="11"/>
        <v>2275.2914396008755</v>
      </c>
      <c r="M68">
        <f t="shared" ca="1" si="11"/>
        <v>2298.2741814150259</v>
      </c>
      <c r="N68">
        <f t="shared" ca="1" si="11"/>
        <v>2275.291439600875</v>
      </c>
      <c r="O68">
        <f t="shared" ca="1" si="11"/>
        <v>2206.3432141584249</v>
      </c>
      <c r="P68">
        <f t="shared" ca="1" si="11"/>
        <v>2091.4295050876726</v>
      </c>
      <c r="Q68">
        <f t="shared" ca="1" si="11"/>
        <v>1930.5503123886226</v>
      </c>
      <c r="R68">
        <f t="shared" ca="1" si="11"/>
        <v>1723.7056360612701</v>
      </c>
      <c r="S68">
        <f t="shared" ca="1" si="11"/>
        <v>1470.8954761056164</v>
      </c>
      <c r="T68">
        <f t="shared" ca="1" si="11"/>
        <v>1172.1198325216642</v>
      </c>
      <c r="U68">
        <f t="shared" ca="1" si="11"/>
        <v>827.37870530941018</v>
      </c>
      <c r="V68">
        <f t="shared" ca="1" si="11"/>
        <v>436.67209446885602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127.06510091759255</v>
      </c>
      <c r="E69">
        <f t="shared" ca="1" si="12"/>
        <v>240.75492805438589</v>
      </c>
      <c r="F69">
        <f t="shared" ca="1" si="12"/>
        <v>341.06948141037998</v>
      </c>
      <c r="G69">
        <f t="shared" ca="1" si="12"/>
        <v>428.0087609855749</v>
      </c>
      <c r="H69">
        <f t="shared" ca="1" si="12"/>
        <v>501.57276677997055</v>
      </c>
      <c r="I69">
        <f t="shared" ca="1" si="12"/>
        <v>561.76149879356694</v>
      </c>
      <c r="J69">
        <f t="shared" ca="1" si="12"/>
        <v>608.57495702636425</v>
      </c>
      <c r="K69">
        <f t="shared" ca="1" si="12"/>
        <v>642.01314147836229</v>
      </c>
      <c r="L69">
        <f t="shared" ca="1" si="12"/>
        <v>662.07605214956106</v>
      </c>
      <c r="M69">
        <f t="shared" ca="1" si="12"/>
        <v>668.7636890399607</v>
      </c>
      <c r="N69">
        <f t="shared" ca="1" si="12"/>
        <v>662.07605214956095</v>
      </c>
      <c r="O69">
        <f t="shared" ca="1" si="12"/>
        <v>642.01314147836206</v>
      </c>
      <c r="P69">
        <f t="shared" ca="1" si="12"/>
        <v>608.57495702636425</v>
      </c>
      <c r="Q69">
        <f t="shared" ca="1" si="12"/>
        <v>561.76149879356728</v>
      </c>
      <c r="R69">
        <f t="shared" ca="1" si="12"/>
        <v>501.57276677997095</v>
      </c>
      <c r="S69">
        <f t="shared" ca="1" si="12"/>
        <v>428.0087609855749</v>
      </c>
      <c r="T69">
        <f t="shared" ca="1" si="12"/>
        <v>341.06948141038038</v>
      </c>
      <c r="U69">
        <f t="shared" ca="1" si="12"/>
        <v>240.75492805438608</v>
      </c>
      <c r="V69">
        <f t="shared" ca="1" si="12"/>
        <v>127.06510091759291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1215.2269501522605</v>
      </c>
      <c r="E70">
        <f t="shared" ca="1" si="13"/>
        <v>2302.5352739727036</v>
      </c>
      <c r="F70">
        <f t="shared" ca="1" si="13"/>
        <v>3261.9249714613297</v>
      </c>
      <c r="G70">
        <f t="shared" ca="1" si="13"/>
        <v>4093.3960426181397</v>
      </c>
      <c r="H70">
        <f t="shared" ca="1" si="13"/>
        <v>4796.9484874431328</v>
      </c>
      <c r="I70">
        <f t="shared" ca="1" si="13"/>
        <v>5372.5823059363074</v>
      </c>
      <c r="J70">
        <f t="shared" ca="1" si="13"/>
        <v>5820.2974980976678</v>
      </c>
      <c r="K70">
        <f t="shared" ca="1" si="13"/>
        <v>6140.0940639272112</v>
      </c>
      <c r="L70">
        <f t="shared" ca="1" si="13"/>
        <v>6331.9720034249367</v>
      </c>
      <c r="M70">
        <f t="shared" ca="1" si="13"/>
        <v>6395.9313165908443</v>
      </c>
      <c r="N70">
        <f t="shared" ca="1" si="13"/>
        <v>6331.9720034249331</v>
      </c>
      <c r="O70">
        <f t="shared" ca="1" si="13"/>
        <v>6140.0940639272085</v>
      </c>
      <c r="P70">
        <f t="shared" ca="1" si="13"/>
        <v>5820.2974980976669</v>
      </c>
      <c r="Q70">
        <f t="shared" ca="1" si="13"/>
        <v>5372.5823059363092</v>
      </c>
      <c r="R70">
        <f t="shared" ca="1" si="13"/>
        <v>4796.9484874431337</v>
      </c>
      <c r="S70">
        <f t="shared" ca="1" si="13"/>
        <v>4093.3960426181407</v>
      </c>
      <c r="T70">
        <f t="shared" ca="1" si="13"/>
        <v>3261.9249714613316</v>
      </c>
      <c r="U70">
        <f t="shared" ca="1" si="13"/>
        <v>2302.5352739727059</v>
      </c>
      <c r="V70">
        <f t="shared" ca="1" si="13"/>
        <v>1215.2269501522615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15.085681105725948</v>
      </c>
      <c r="D71">
        <f t="shared" ca="1" si="14"/>
        <v>13.769054574782754</v>
      </c>
      <c r="E71">
        <f t="shared" ca="1" si="14"/>
        <v>12.591020310254635</v>
      </c>
      <c r="F71">
        <f t="shared" ca="1" si="14"/>
        <v>11.551578312141583</v>
      </c>
      <c r="G71">
        <f t="shared" ca="1" si="14"/>
        <v>10.65072858044361</v>
      </c>
      <c r="H71">
        <f t="shared" ca="1" si="14"/>
        <v>9.8884711151607068</v>
      </c>
      <c r="I71">
        <f t="shared" ca="1" si="14"/>
        <v>9.2648059162928789</v>
      </c>
      <c r="J71">
        <f t="shared" ca="1" si="14"/>
        <v>8.7797329838401232</v>
      </c>
      <c r="K71">
        <f t="shared" ca="1" si="14"/>
        <v>8.4332523178024381</v>
      </c>
      <c r="L71">
        <f t="shared" ca="1" si="14"/>
        <v>8.2253639181798288</v>
      </c>
      <c r="M71">
        <f t="shared" ca="1" si="14"/>
        <v>8.1560677849722953</v>
      </c>
      <c r="N71">
        <f t="shared" ca="1" si="14"/>
        <v>8.2253639181798306</v>
      </c>
      <c r="O71">
        <f t="shared" ca="1" si="14"/>
        <v>8.4332523178024399</v>
      </c>
      <c r="P71">
        <f t="shared" ca="1" si="14"/>
        <v>8.7797329838401268</v>
      </c>
      <c r="Q71">
        <f t="shared" ca="1" si="14"/>
        <v>9.2648059162928771</v>
      </c>
      <c r="R71">
        <f t="shared" ca="1" si="14"/>
        <v>9.888471115160705</v>
      </c>
      <c r="S71">
        <f t="shared" ca="1" si="14"/>
        <v>10.65072858044361</v>
      </c>
      <c r="T71">
        <f t="shared" ca="1" si="14"/>
        <v>11.551578312141583</v>
      </c>
      <c r="U71">
        <f t="shared" ca="1" si="14"/>
        <v>12.591020310254633</v>
      </c>
      <c r="V71">
        <f t="shared" ca="1" si="14"/>
        <v>13.76905457478275</v>
      </c>
      <c r="W71">
        <f t="shared" ca="1" si="14"/>
        <v>15.085681105725948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-568.85266466894086</v>
      </c>
      <c r="D72">
        <f t="shared" ca="1" si="15"/>
        <v>359.97667909398501</v>
      </c>
      <c r="E72">
        <f t="shared" ca="1" si="15"/>
        <v>1191.0345129871312</v>
      </c>
      <c r="F72">
        <f t="shared" ca="1" si="15"/>
        <v>1924.3208370104937</v>
      </c>
      <c r="G72">
        <f t="shared" ca="1" si="15"/>
        <v>2559.8356511640768</v>
      </c>
      <c r="H72">
        <f t="shared" ca="1" si="15"/>
        <v>3097.5789554478765</v>
      </c>
      <c r="I72">
        <f t="shared" ca="1" si="15"/>
        <v>3537.5507498618945</v>
      </c>
      <c r="J72">
        <f t="shared" ca="1" si="15"/>
        <v>3879.7510344061252</v>
      </c>
      <c r="K72">
        <f t="shared" ca="1" si="15"/>
        <v>4124.1798090805842</v>
      </c>
      <c r="L72">
        <f t="shared" ca="1" si="15"/>
        <v>4270.8370738852536</v>
      </c>
      <c r="M72">
        <f t="shared" ca="1" si="15"/>
        <v>4319.7228288201468</v>
      </c>
      <c r="N72">
        <f t="shared" ca="1" si="15"/>
        <v>4270.8370738852536</v>
      </c>
      <c r="O72">
        <f t="shared" ca="1" si="15"/>
        <v>4124.1798090805842</v>
      </c>
      <c r="P72">
        <f t="shared" ca="1" si="15"/>
        <v>3879.7510344061234</v>
      </c>
      <c r="Q72">
        <f t="shared" ca="1" si="15"/>
        <v>3537.5507498618945</v>
      </c>
      <c r="R72">
        <f t="shared" ca="1" si="15"/>
        <v>3097.5789554478783</v>
      </c>
      <c r="S72">
        <f t="shared" ca="1" si="15"/>
        <v>2559.8356511640768</v>
      </c>
      <c r="T72">
        <f t="shared" ca="1" si="15"/>
        <v>1924.3208370104937</v>
      </c>
      <c r="U72">
        <f t="shared" ca="1" si="15"/>
        <v>1191.0345129871273</v>
      </c>
      <c r="V72">
        <f t="shared" ca="1" si="15"/>
        <v>359.9766790939907</v>
      </c>
      <c r="W72">
        <f t="shared" ca="1" si="15"/>
        <v>-568.85266466894086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460.28628029603573</v>
      </c>
      <c r="E73">
        <f t="shared" ca="1" si="16"/>
        <v>872.1213731924887</v>
      </c>
      <c r="F73">
        <f t="shared" ca="1" si="16"/>
        <v>1235.5052786893589</v>
      </c>
      <c r="G73">
        <f t="shared" ca="1" si="16"/>
        <v>1550.4379967866466</v>
      </c>
      <c r="H73">
        <f t="shared" ca="1" si="16"/>
        <v>1816.9195274843514</v>
      </c>
      <c r="I73">
        <f t="shared" ca="1" si="16"/>
        <v>2034.9498707824735</v>
      </c>
      <c r="J73">
        <f t="shared" ca="1" si="16"/>
        <v>2204.529026681013</v>
      </c>
      <c r="K73">
        <f t="shared" ca="1" si="16"/>
        <v>2325.6569951799702</v>
      </c>
      <c r="L73">
        <f t="shared" ca="1" si="16"/>
        <v>2398.333776279344</v>
      </c>
      <c r="M73">
        <f t="shared" ca="1" si="16"/>
        <v>2422.5593699791357</v>
      </c>
      <c r="N73">
        <f t="shared" ca="1" si="16"/>
        <v>2398.3337762793435</v>
      </c>
      <c r="O73">
        <f t="shared" ca="1" si="16"/>
        <v>2325.6569951799702</v>
      </c>
      <c r="P73">
        <f t="shared" ca="1" si="16"/>
        <v>2204.5290266810125</v>
      </c>
      <c r="Q73">
        <f t="shared" ca="1" si="16"/>
        <v>2034.9498707824746</v>
      </c>
      <c r="R73">
        <f t="shared" ca="1" si="16"/>
        <v>1816.9195274843523</v>
      </c>
      <c r="S73">
        <f t="shared" ca="1" si="16"/>
        <v>1550.4379967866466</v>
      </c>
      <c r="T73">
        <f t="shared" ca="1" si="16"/>
        <v>1235.5052786893607</v>
      </c>
      <c r="U73">
        <f t="shared" ca="1" si="16"/>
        <v>872.12137319248961</v>
      </c>
      <c r="V73">
        <f t="shared" ca="1" si="16"/>
        <v>460.28628029603703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72.06499574930686</v>
      </c>
      <c r="E74">
        <f t="shared" ca="1" si="17"/>
        <v>136.5442024723709</v>
      </c>
      <c r="F74">
        <f t="shared" ca="1" si="17"/>
        <v>193.43762016919206</v>
      </c>
      <c r="G74">
        <f t="shared" ca="1" si="17"/>
        <v>242.74524883977051</v>
      </c>
      <c r="H74">
        <f t="shared" ca="1" si="17"/>
        <v>284.46708848410606</v>
      </c>
      <c r="I74">
        <f t="shared" ca="1" si="17"/>
        <v>318.60313910219872</v>
      </c>
      <c r="J74">
        <f t="shared" ca="1" si="17"/>
        <v>345.15340069404863</v>
      </c>
      <c r="K74">
        <f t="shared" ca="1" si="17"/>
        <v>364.11787325965571</v>
      </c>
      <c r="L74">
        <f t="shared" ca="1" si="17"/>
        <v>375.49655679901991</v>
      </c>
      <c r="M74">
        <f t="shared" ca="1" si="17"/>
        <v>379.28945131214135</v>
      </c>
      <c r="N74">
        <f t="shared" ca="1" si="17"/>
        <v>375.49655679901986</v>
      </c>
      <c r="O74">
        <f t="shared" ca="1" si="17"/>
        <v>364.1178732596556</v>
      </c>
      <c r="P74">
        <f t="shared" ca="1" si="17"/>
        <v>345.15340069404863</v>
      </c>
      <c r="Q74">
        <f t="shared" ca="1" si="17"/>
        <v>318.60313910219884</v>
      </c>
      <c r="R74">
        <f t="shared" ca="1" si="17"/>
        <v>284.46708848410628</v>
      </c>
      <c r="S74">
        <f t="shared" ca="1" si="17"/>
        <v>242.74524883977051</v>
      </c>
      <c r="T74">
        <f t="shared" ca="1" si="17"/>
        <v>193.43762016919231</v>
      </c>
      <c r="U74">
        <f t="shared" ca="1" si="17"/>
        <v>136.54420247237101</v>
      </c>
      <c r="V74">
        <f t="shared" ca="1" si="17"/>
        <v>72.064995749307073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689.21619205231138</v>
      </c>
      <c r="E75">
        <f t="shared" ca="1" si="18"/>
        <v>1305.8833112570107</v>
      </c>
      <c r="F75">
        <f t="shared" ca="1" si="18"/>
        <v>1850.0013576140984</v>
      </c>
      <c r="G75">
        <f t="shared" ca="1" si="18"/>
        <v>2321.5703311235752</v>
      </c>
      <c r="H75">
        <f t="shared" ca="1" si="18"/>
        <v>2720.5902317854398</v>
      </c>
      <c r="I75">
        <f t="shared" ca="1" si="18"/>
        <v>3047.0610595996923</v>
      </c>
      <c r="J75">
        <f t="shared" ca="1" si="18"/>
        <v>3300.9828145663332</v>
      </c>
      <c r="K75">
        <f t="shared" ca="1" si="18"/>
        <v>3482.3554966853631</v>
      </c>
      <c r="L75">
        <f t="shared" ca="1" si="18"/>
        <v>3591.1791059567809</v>
      </c>
      <c r="M75">
        <f t="shared" ca="1" si="18"/>
        <v>3627.4536423805866</v>
      </c>
      <c r="N75">
        <f t="shared" ca="1" si="18"/>
        <v>3591.179105956779</v>
      </c>
      <c r="O75">
        <f t="shared" ca="1" si="18"/>
        <v>3482.3554966853617</v>
      </c>
      <c r="P75">
        <f t="shared" ca="1" si="18"/>
        <v>3300.9828145663323</v>
      </c>
      <c r="Q75">
        <f t="shared" ca="1" si="18"/>
        <v>3047.0610595996927</v>
      </c>
      <c r="R75">
        <f t="shared" ca="1" si="18"/>
        <v>2720.5902317854402</v>
      </c>
      <c r="S75">
        <f t="shared" ca="1" si="18"/>
        <v>2321.5703311235752</v>
      </c>
      <c r="T75">
        <f t="shared" ca="1" si="18"/>
        <v>1850.0013576140998</v>
      </c>
      <c r="U75">
        <f t="shared" ca="1" si="18"/>
        <v>1305.8833112570119</v>
      </c>
      <c r="V75">
        <f t="shared" ca="1" si="18"/>
        <v>689.21619205231207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-0.28731398334531799</v>
      </c>
      <c r="D76">
        <f t="shared" ca="1" si="19"/>
        <v>0.79880042230364512</v>
      </c>
      <c r="E76">
        <f t="shared" ca="1" si="19"/>
        <v>1.7705869957790343</v>
      </c>
      <c r="F76">
        <f t="shared" ca="1" si="19"/>
        <v>2.6280457370808463</v>
      </c>
      <c r="G76">
        <f t="shared" ca="1" si="19"/>
        <v>3.371176646209086</v>
      </c>
      <c r="H76">
        <f t="shared" ca="1" si="19"/>
        <v>3.9999797231637486</v>
      </c>
      <c r="I76">
        <f t="shared" ca="1" si="19"/>
        <v>4.5144549679448369</v>
      </c>
      <c r="J76">
        <f t="shared" ca="1" si="19"/>
        <v>4.9146023805523464</v>
      </c>
      <c r="K76">
        <f t="shared" ca="1" si="19"/>
        <v>5.2004219609862874</v>
      </c>
      <c r="L76">
        <f t="shared" ca="1" si="19"/>
        <v>5.3719137092466482</v>
      </c>
      <c r="M76">
        <f t="shared" ca="1" si="19"/>
        <v>5.429077625333437</v>
      </c>
      <c r="N76">
        <f t="shared" ca="1" si="19"/>
        <v>5.3719137092466474</v>
      </c>
      <c r="O76">
        <f t="shared" ca="1" si="19"/>
        <v>5.2004219609862874</v>
      </c>
      <c r="P76">
        <f t="shared" ca="1" si="19"/>
        <v>4.9146023805523456</v>
      </c>
      <c r="Q76">
        <f t="shared" ca="1" si="19"/>
        <v>4.5144549679448378</v>
      </c>
      <c r="R76">
        <f t="shared" ca="1" si="19"/>
        <v>3.9999797231637517</v>
      </c>
      <c r="S76">
        <f t="shared" ca="1" si="19"/>
        <v>3.371176646209086</v>
      </c>
      <c r="T76">
        <f t="shared" ca="1" si="19"/>
        <v>2.6280457370808481</v>
      </c>
      <c r="U76">
        <f t="shared" ca="1" si="19"/>
        <v>1.7705869957790332</v>
      </c>
      <c r="V76">
        <f t="shared" ca="1" si="19"/>
        <v>0.79880042230364912</v>
      </c>
      <c r="W76">
        <f t="shared" ca="1" si="19"/>
        <v>-0.28731398334531799</v>
      </c>
    </row>
    <row r="77" spans="2:23" x14ac:dyDescent="0.25">
      <c r="B77" t="s">
        <v>839</v>
      </c>
      <c r="C77">
        <f t="shared" ref="C77:W77" ca="1" si="20">C59/190</f>
        <v>0.5567108858573977</v>
      </c>
      <c r="D77">
        <f t="shared" ca="1" si="20"/>
        <v>0.55808333960169276</v>
      </c>
      <c r="E77">
        <f t="shared" ca="1" si="20"/>
        <v>0.55931132453079901</v>
      </c>
      <c r="F77">
        <f t="shared" ca="1" si="20"/>
        <v>0.56039484064471612</v>
      </c>
      <c r="G77">
        <f t="shared" ca="1" si="20"/>
        <v>0.56133388794344441</v>
      </c>
      <c r="H77">
        <f t="shared" ca="1" si="20"/>
        <v>0.56212846642698355</v>
      </c>
      <c r="I77">
        <f t="shared" ca="1" si="20"/>
        <v>0.56277857609533388</v>
      </c>
      <c r="J77">
        <f t="shared" ca="1" si="20"/>
        <v>0.56328421694849529</v>
      </c>
      <c r="K77">
        <f t="shared" ca="1" si="20"/>
        <v>0.56364538898646765</v>
      </c>
      <c r="L77">
        <f t="shared" ca="1" si="20"/>
        <v>0.5638620922092511</v>
      </c>
      <c r="M77">
        <f t="shared" ca="1" si="20"/>
        <v>0.56393432661684562</v>
      </c>
      <c r="N77">
        <f t="shared" ca="1" si="20"/>
        <v>0.5638620922092511</v>
      </c>
      <c r="O77">
        <f t="shared" ca="1" si="20"/>
        <v>0.56364538898646765</v>
      </c>
      <c r="P77">
        <f t="shared" ca="1" si="20"/>
        <v>0.56328421694849529</v>
      </c>
      <c r="Q77">
        <f t="shared" ca="1" si="20"/>
        <v>0.56277857609533388</v>
      </c>
      <c r="R77">
        <f t="shared" ca="1" si="20"/>
        <v>0.56212846642698355</v>
      </c>
      <c r="S77">
        <f t="shared" ca="1" si="20"/>
        <v>0.56133388794344441</v>
      </c>
      <c r="T77">
        <f t="shared" ca="1" si="20"/>
        <v>0.56039484064471612</v>
      </c>
      <c r="U77">
        <f t="shared" ca="1" si="20"/>
        <v>0.55931132453079901</v>
      </c>
      <c r="V77">
        <f t="shared" ca="1" si="20"/>
        <v>0.55808333960169276</v>
      </c>
      <c r="W77">
        <f t="shared" ca="1" si="20"/>
        <v>0.5567108858573977</v>
      </c>
    </row>
    <row r="78" spans="2:23" x14ac:dyDescent="0.25">
      <c r="B78" t="s">
        <v>840</v>
      </c>
      <c r="C78">
        <f t="shared" ref="C78:W78" ca="1" si="21">C60/190</f>
        <v>0.25963879040008164</v>
      </c>
      <c r="D78">
        <f t="shared" ca="1" si="21"/>
        <v>0.25819211762927324</v>
      </c>
      <c r="E78">
        <f t="shared" ca="1" si="21"/>
        <v>0.25689772620276052</v>
      </c>
      <c r="F78">
        <f t="shared" ca="1" si="21"/>
        <v>0.25575561612054337</v>
      </c>
      <c r="G78">
        <f t="shared" ca="1" si="21"/>
        <v>0.25476578738262184</v>
      </c>
      <c r="H78">
        <f t="shared" ca="1" si="21"/>
        <v>0.25392823998899594</v>
      </c>
      <c r="I78">
        <f t="shared" ca="1" si="21"/>
        <v>0.25324297393966566</v>
      </c>
      <c r="J78">
        <f t="shared" ca="1" si="21"/>
        <v>0.25270998923463101</v>
      </c>
      <c r="K78">
        <f t="shared" ca="1" si="21"/>
        <v>0.25232928587389197</v>
      </c>
      <c r="L78">
        <f t="shared" ca="1" si="21"/>
        <v>0.25210086385744856</v>
      </c>
      <c r="M78">
        <f t="shared" ca="1" si="21"/>
        <v>0.25202472318530073</v>
      </c>
      <c r="N78">
        <f t="shared" ca="1" si="21"/>
        <v>0.25210086385744856</v>
      </c>
      <c r="O78">
        <f t="shared" ca="1" si="21"/>
        <v>0.25232928587389197</v>
      </c>
      <c r="P78">
        <f t="shared" ca="1" si="21"/>
        <v>0.25270998923463101</v>
      </c>
      <c r="Q78">
        <f t="shared" ca="1" si="21"/>
        <v>0.25324297393966566</v>
      </c>
      <c r="R78">
        <f t="shared" ca="1" si="21"/>
        <v>0.25392823998899594</v>
      </c>
      <c r="S78">
        <f t="shared" ca="1" si="21"/>
        <v>0.25476578738262184</v>
      </c>
      <c r="T78">
        <f t="shared" ca="1" si="21"/>
        <v>0.25575561612054337</v>
      </c>
      <c r="U78">
        <f t="shared" ca="1" si="21"/>
        <v>0.25689772620276052</v>
      </c>
      <c r="V78">
        <f t="shared" ca="1" si="21"/>
        <v>0.25819211762927324</v>
      </c>
      <c r="W78">
        <f t="shared" ca="1" si="21"/>
        <v>0.25963879040008164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1.8431037903654257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1.8877085370550153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1.9276180472509685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1.9628323209532741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1.9933513581619438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2.019175158876966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2.0403037230983516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2.0567370508260971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2.0684751420601994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2.0755179968006612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2.0778656150474832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2.0755179968006612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2.0684751420601994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2.0567370508260971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2.0403037230983516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2.019175158876966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1.9933513581619438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1.9628323209532741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1.9276180472509685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1.8877085370550153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1.8431037903654257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1.8603005791598109E-2</v>
      </c>
      <c r="D81">
        <f t="shared" ca="1" si="22"/>
        <v>1.9057532026576104E-2</v>
      </c>
      <c r="E81">
        <f t="shared" ca="1" si="22"/>
        <v>1.9464388587301609E-2</v>
      </c>
      <c r="F81">
        <f t="shared" ca="1" si="22"/>
        <v>1.9823517188095423E-2</v>
      </c>
      <c r="G81">
        <f t="shared" ca="1" si="22"/>
        <v>2.0134866334709157E-2</v>
      </c>
      <c r="H81">
        <f t="shared" ca="1" si="22"/>
        <v>2.0398391348890328E-2</v>
      </c>
      <c r="I81">
        <f t="shared" ca="1" si="22"/>
        <v>2.0614054389722494E-2</v>
      </c>
      <c r="J81">
        <f t="shared" ca="1" si="22"/>
        <v>2.0781824471718353E-2</v>
      </c>
      <c r="K81">
        <f t="shared" ca="1" si="22"/>
        <v>2.0901677479648231E-2</v>
      </c>
      <c r="L81">
        <f t="shared" ca="1" si="22"/>
        <v>2.097359618008908E-2</v>
      </c>
      <c r="M81">
        <f t="shared" ca="1" si="22"/>
        <v>2.0997570229681874E-2</v>
      </c>
      <c r="N81">
        <f t="shared" ca="1" si="22"/>
        <v>2.097359618008908E-2</v>
      </c>
      <c r="O81">
        <f t="shared" ca="1" si="22"/>
        <v>2.0901677479648231E-2</v>
      </c>
      <c r="P81">
        <f t="shared" ca="1" si="22"/>
        <v>2.0781824471718353E-2</v>
      </c>
      <c r="Q81">
        <f t="shared" ca="1" si="22"/>
        <v>2.0614054389722494E-2</v>
      </c>
      <c r="R81">
        <f t="shared" ca="1" si="22"/>
        <v>2.0398391348890328E-2</v>
      </c>
      <c r="S81">
        <f t="shared" ca="1" si="22"/>
        <v>2.0134866334709157E-2</v>
      </c>
      <c r="T81">
        <f t="shared" ca="1" si="22"/>
        <v>1.9823517188095423E-2</v>
      </c>
      <c r="U81">
        <f t="shared" ca="1" si="22"/>
        <v>1.9464388587301609E-2</v>
      </c>
      <c r="V81">
        <f t="shared" ca="1" si="22"/>
        <v>1.9057532026576104E-2</v>
      </c>
      <c r="W81">
        <f t="shared" ca="1" si="22"/>
        <v>1.8603005791598109E-2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1739</v>
      </c>
      <c r="C83">
        <f t="shared" ref="C83:W83" ca="1" si="24">1+C81</f>
        <v>1.018603005791598</v>
      </c>
      <c r="D83">
        <f t="shared" ca="1" si="24"/>
        <v>1.019057532026576</v>
      </c>
      <c r="E83">
        <f t="shared" ca="1" si="24"/>
        <v>1.0194643885873016</v>
      </c>
      <c r="F83">
        <f t="shared" ca="1" si="24"/>
        <v>1.0198235171880954</v>
      </c>
      <c r="G83">
        <f t="shared" ca="1" si="24"/>
        <v>1.0201348663347092</v>
      </c>
      <c r="H83">
        <f t="shared" ca="1" si="24"/>
        <v>1.0203983913488903</v>
      </c>
      <c r="I83">
        <f t="shared" ca="1" si="24"/>
        <v>1.0206140543897224</v>
      </c>
      <c r="J83">
        <f t="shared" ca="1" si="24"/>
        <v>1.0207818244717184</v>
      </c>
      <c r="K83">
        <f t="shared" ca="1" si="24"/>
        <v>1.0209016774796482</v>
      </c>
      <c r="L83">
        <f t="shared" ca="1" si="24"/>
        <v>1.020973596180089</v>
      </c>
      <c r="M83">
        <f t="shared" ca="1" si="24"/>
        <v>1.0209975702296819</v>
      </c>
      <c r="N83">
        <f t="shared" ca="1" si="24"/>
        <v>1.020973596180089</v>
      </c>
      <c r="O83">
        <f t="shared" ca="1" si="24"/>
        <v>1.0209016774796482</v>
      </c>
      <c r="P83">
        <f t="shared" ca="1" si="24"/>
        <v>1.0207818244717184</v>
      </c>
      <c r="Q83">
        <f t="shared" ca="1" si="24"/>
        <v>1.0206140543897224</v>
      </c>
      <c r="R83">
        <f t="shared" ca="1" si="24"/>
        <v>1.0203983913488903</v>
      </c>
      <c r="S83">
        <f t="shared" ca="1" si="24"/>
        <v>1.0201348663347092</v>
      </c>
      <c r="T83">
        <f t="shared" ca="1" si="24"/>
        <v>1.0198235171880954</v>
      </c>
      <c r="U83">
        <f t="shared" ca="1" si="24"/>
        <v>1.0194643885873016</v>
      </c>
      <c r="V83">
        <f t="shared" ca="1" si="24"/>
        <v>1.019057532026576</v>
      </c>
      <c r="W83">
        <f t="shared" ca="1" si="24"/>
        <v>1.018603005791598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1.9677342084316678</v>
      </c>
      <c r="D85">
        <f t="shared" ca="1" si="26"/>
        <v>2.0207813124119838</v>
      </c>
      <c r="E85">
        <f t="shared" ca="1" si="26"/>
        <v>2.0684640627697077</v>
      </c>
      <c r="F85">
        <f t="shared" ca="1" si="26"/>
        <v>2.1107093835716997</v>
      </c>
      <c r="G85">
        <f t="shared" ca="1" si="26"/>
        <v>2.1474527325479333</v>
      </c>
      <c r="H85">
        <f t="shared" ca="1" si="26"/>
        <v>2.1786381248405422</v>
      </c>
      <c r="I85">
        <f t="shared" ca="1" si="26"/>
        <v>2.2042181536299603</v>
      </c>
      <c r="J85">
        <f t="shared" ca="1" si="26"/>
        <v>2.2241540076194601</v>
      </c>
      <c r="K85">
        <f t="shared" ca="1" si="26"/>
        <v>2.2384154853623435</v>
      </c>
      <c r="L85">
        <f t="shared" ca="1" si="26"/>
        <v>2.2469810064188271</v>
      </c>
      <c r="M85">
        <f t="shared" ca="1" si="26"/>
        <v>2.2498376193324585</v>
      </c>
      <c r="N85">
        <f t="shared" ca="1" si="26"/>
        <v>2.2469810064188271</v>
      </c>
      <c r="O85">
        <f t="shared" ca="1" si="26"/>
        <v>2.2384154853623435</v>
      </c>
      <c r="P85">
        <f t="shared" ca="1" si="26"/>
        <v>2.2241540076194601</v>
      </c>
      <c r="Q85">
        <f t="shared" ca="1" si="26"/>
        <v>2.2042181536299603</v>
      </c>
      <c r="R85">
        <f t="shared" ca="1" si="26"/>
        <v>2.1786381248405422</v>
      </c>
      <c r="S85">
        <f t="shared" ca="1" si="26"/>
        <v>2.1474527325479333</v>
      </c>
      <c r="T85">
        <f t="shared" ca="1" si="26"/>
        <v>2.1107093835716997</v>
      </c>
      <c r="U85">
        <f t="shared" ca="1" si="26"/>
        <v>2.0684640627697077</v>
      </c>
      <c r="V85">
        <f t="shared" ca="1" si="26"/>
        <v>2.0207813124119838</v>
      </c>
      <c r="W85">
        <f t="shared" ca="1" si="26"/>
        <v>1.9677342084316678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-20.866436319670765</v>
      </c>
      <c r="D87">
        <f t="shared" ca="1" si="28"/>
        <v>-19.793300539866017</v>
      </c>
      <c r="E87">
        <f t="shared" ca="1" si="28"/>
        <v>-18.834005458399229</v>
      </c>
      <c r="F87">
        <f t="shared" ca="1" si="28"/>
        <v>-17.988257776451256</v>
      </c>
      <c r="G87">
        <f t="shared" ca="1" si="28"/>
        <v>-17.255798869580971</v>
      </c>
      <c r="H87">
        <f t="shared" ca="1" si="28"/>
        <v>-16.636404724335407</v>
      </c>
      <c r="I87">
        <f t="shared" ca="1" si="28"/>
        <v>-16.129885883413266</v>
      </c>
      <c r="J87">
        <f t="shared" ca="1" si="28"/>
        <v>-15.736087399338119</v>
      </c>
      <c r="K87">
        <f t="shared" ca="1" si="28"/>
        <v>-15.454888796604733</v>
      </c>
      <c r="L87">
        <f t="shared" ca="1" si="28"/>
        <v>-15.286204042268439</v>
      </c>
      <c r="M87">
        <f t="shared" ca="1" si="28"/>
        <v>-15.229981524954145</v>
      </c>
      <c r="N87">
        <f t="shared" ca="1" si="28"/>
        <v>-15.286204042268439</v>
      </c>
      <c r="O87">
        <f t="shared" ca="1" si="28"/>
        <v>-15.454888796604736</v>
      </c>
      <c r="P87">
        <f t="shared" ca="1" si="28"/>
        <v>-15.736087399338123</v>
      </c>
      <c r="Q87">
        <f t="shared" ca="1" si="28"/>
        <v>-16.129885883413266</v>
      </c>
      <c r="R87">
        <f t="shared" ca="1" si="28"/>
        <v>-16.636404724335403</v>
      </c>
      <c r="S87">
        <f t="shared" ca="1" si="28"/>
        <v>-17.255798869580971</v>
      </c>
      <c r="T87">
        <f t="shared" ca="1" si="28"/>
        <v>-17.988257776451256</v>
      </c>
      <c r="U87">
        <f t="shared" ca="1" si="28"/>
        <v>-18.834005458399229</v>
      </c>
      <c r="V87">
        <f t="shared" ca="1" si="28"/>
        <v>-19.793300539866014</v>
      </c>
      <c r="W87">
        <f t="shared" ca="1" si="28"/>
        <v>-20.866436319670765</v>
      </c>
    </row>
    <row r="88" spans="2:23" x14ac:dyDescent="0.25">
      <c r="B88" t="s">
        <v>847</v>
      </c>
      <c r="C88">
        <f t="shared" ref="C88:W88" ca="1" si="29">($C$37-C76-C86)/(C84+$C$46*$C$38*$C$48*$C$49)</f>
        <v>-6.288717142871703</v>
      </c>
      <c r="D88">
        <f t="shared" ca="1" si="29"/>
        <v>-7.2112655617703405</v>
      </c>
      <c r="E88">
        <f t="shared" ca="1" si="29"/>
        <v>-8.0367036207849125</v>
      </c>
      <c r="F88">
        <f t="shared" ca="1" si="29"/>
        <v>-8.7650313199154137</v>
      </c>
      <c r="G88">
        <f t="shared" ca="1" si="29"/>
        <v>-9.3962486591618521</v>
      </c>
      <c r="H88">
        <f t="shared" ca="1" si="29"/>
        <v>-9.9303556385242207</v>
      </c>
      <c r="I88">
        <f t="shared" ca="1" si="29"/>
        <v>-10.367352258002525</v>
      </c>
      <c r="J88">
        <f t="shared" ca="1" si="29"/>
        <v>-10.707238517596757</v>
      </c>
      <c r="K88">
        <f t="shared" ca="1" si="29"/>
        <v>-10.950014417306926</v>
      </c>
      <c r="L88">
        <f t="shared" ca="1" si="29"/>
        <v>-11.095679957133026</v>
      </c>
      <c r="M88">
        <f t="shared" ca="1" si="29"/>
        <v>-11.144235137075061</v>
      </c>
      <c r="N88">
        <f t="shared" ca="1" si="29"/>
        <v>-11.095679957133026</v>
      </c>
      <c r="O88">
        <f t="shared" ca="1" si="29"/>
        <v>-10.950014417306926</v>
      </c>
      <c r="P88">
        <f t="shared" ca="1" si="29"/>
        <v>-10.707238517596755</v>
      </c>
      <c r="Q88">
        <f t="shared" ca="1" si="29"/>
        <v>-10.367352258002526</v>
      </c>
      <c r="R88">
        <f t="shared" ca="1" si="29"/>
        <v>-9.9303556385242242</v>
      </c>
      <c r="S88">
        <f t="shared" ca="1" si="29"/>
        <v>-9.3962486591618521</v>
      </c>
      <c r="T88">
        <f t="shared" ca="1" si="29"/>
        <v>-8.7650313199154173</v>
      </c>
      <c r="U88">
        <f t="shared" ca="1" si="29"/>
        <v>-8.0367036207849107</v>
      </c>
      <c r="V88">
        <f t="shared" ca="1" si="29"/>
        <v>-7.2112655617703441</v>
      </c>
      <c r="W88">
        <f t="shared" ca="1" si="29"/>
        <v>-6.288717142871703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84.908631993234792</v>
      </c>
      <c r="D91">
        <f t="shared" ca="1" si="30"/>
        <v>86.242533984455605</v>
      </c>
      <c r="E91">
        <f t="shared" ca="1" si="30"/>
        <v>87.435146202452572</v>
      </c>
      <c r="F91">
        <f t="shared" ca="1" si="30"/>
        <v>88.486761946044794</v>
      </c>
      <c r="G91">
        <f t="shared" ca="1" si="30"/>
        <v>89.39763983967346</v>
      </c>
      <c r="H91">
        <f t="shared" ca="1" si="30"/>
        <v>90.168003896791475</v>
      </c>
      <c r="I91">
        <f t="shared" ca="1" si="30"/>
        <v>90.798043574700174</v>
      </c>
      <c r="J91">
        <f t="shared" ca="1" si="30"/>
        <v>91.287913820875985</v>
      </c>
      <c r="K91">
        <f t="shared" ca="1" si="30"/>
        <v>91.63773511082411</v>
      </c>
      <c r="L91">
        <f t="shared" ca="1" si="30"/>
        <v>91.847593477489269</v>
      </c>
      <c r="M91">
        <f t="shared" ca="1" si="30"/>
        <v>91.91754053224652</v>
      </c>
      <c r="N91">
        <f t="shared" ca="1" si="30"/>
        <v>91.847593477489269</v>
      </c>
      <c r="O91">
        <f t="shared" ca="1" si="30"/>
        <v>91.63773511082411</v>
      </c>
      <c r="P91">
        <f t="shared" ca="1" si="30"/>
        <v>91.287913820875985</v>
      </c>
      <c r="Q91">
        <f t="shared" ca="1" si="30"/>
        <v>90.798043574700174</v>
      </c>
      <c r="R91">
        <f t="shared" ca="1" si="30"/>
        <v>90.168003896791475</v>
      </c>
      <c r="S91">
        <f t="shared" ca="1" si="30"/>
        <v>89.39763983967346</v>
      </c>
      <c r="T91">
        <f t="shared" ca="1" si="30"/>
        <v>88.486761946044794</v>
      </c>
      <c r="U91">
        <f t="shared" ca="1" si="30"/>
        <v>87.435146202452572</v>
      </c>
      <c r="V91">
        <f t="shared" ca="1" si="30"/>
        <v>86.242533984455619</v>
      </c>
      <c r="W91">
        <f t="shared" ca="1" si="30"/>
        <v>84.908631993234792</v>
      </c>
    </row>
    <row r="92" spans="2:23" x14ac:dyDescent="0.25">
      <c r="B92" t="s">
        <v>850</v>
      </c>
      <c r="C92">
        <f t="shared" ref="C92:W92" ca="1" si="31">C60-ABS(C88)</f>
        <v>43.042653033143807</v>
      </c>
      <c r="D92">
        <f t="shared" ca="1" si="31"/>
        <v>41.845236787791578</v>
      </c>
      <c r="E92">
        <f t="shared" ca="1" si="31"/>
        <v>40.773864357739583</v>
      </c>
      <c r="F92">
        <f t="shared" ca="1" si="31"/>
        <v>39.828535742987825</v>
      </c>
      <c r="G92">
        <f t="shared" ca="1" si="31"/>
        <v>39.009250943536301</v>
      </c>
      <c r="H92">
        <f t="shared" ca="1" si="31"/>
        <v>38.316009959385013</v>
      </c>
      <c r="I92">
        <f t="shared" ca="1" si="31"/>
        <v>37.748812790533954</v>
      </c>
      <c r="J92">
        <f t="shared" ca="1" si="31"/>
        <v>37.307659436983137</v>
      </c>
      <c r="K92">
        <f t="shared" ca="1" si="31"/>
        <v>36.992549898732548</v>
      </c>
      <c r="L92">
        <f t="shared" ca="1" si="31"/>
        <v>36.803484175782202</v>
      </c>
      <c r="M92">
        <f t="shared" ca="1" si="31"/>
        <v>36.740462268132077</v>
      </c>
      <c r="N92">
        <f t="shared" ca="1" si="31"/>
        <v>36.803484175782202</v>
      </c>
      <c r="O92">
        <f t="shared" ca="1" si="31"/>
        <v>36.992549898732548</v>
      </c>
      <c r="P92">
        <f t="shared" ca="1" si="31"/>
        <v>37.307659436983137</v>
      </c>
      <c r="Q92">
        <f t="shared" ca="1" si="31"/>
        <v>37.748812790533954</v>
      </c>
      <c r="R92">
        <f t="shared" ca="1" si="31"/>
        <v>38.316009959385006</v>
      </c>
      <c r="S92">
        <f t="shared" ca="1" si="31"/>
        <v>39.009250943536301</v>
      </c>
      <c r="T92">
        <f t="shared" ca="1" si="31"/>
        <v>39.828535742987825</v>
      </c>
      <c r="U92">
        <f t="shared" ca="1" si="31"/>
        <v>40.773864357739583</v>
      </c>
      <c r="V92">
        <f t="shared" ca="1" si="31"/>
        <v>41.845236787791571</v>
      </c>
      <c r="W92">
        <f t="shared" ca="1" si="31"/>
        <v>43.042653033143807</v>
      </c>
    </row>
    <row r="93" spans="2:23" x14ac:dyDescent="0.25">
      <c r="B93" t="s">
        <v>851</v>
      </c>
      <c r="C93">
        <f t="shared" ref="C93:W93" ca="1" si="32">100-(C91*100)/$C$30</f>
        <v>27.453321946996937</v>
      </c>
      <c r="D93">
        <f t="shared" ca="1" si="32"/>
        <v>26.31362441519515</v>
      </c>
      <c r="E93">
        <f t="shared" ca="1" si="32"/>
        <v>25.294646101800609</v>
      </c>
      <c r="F93">
        <f t="shared" ca="1" si="32"/>
        <v>24.396136409736187</v>
      </c>
      <c r="G93">
        <f t="shared" ca="1" si="32"/>
        <v>23.61787436801653</v>
      </c>
      <c r="H93">
        <f t="shared" ca="1" si="32"/>
        <v>22.959668577587621</v>
      </c>
      <c r="I93">
        <f t="shared" ca="1" si="32"/>
        <v>22.421357164473548</v>
      </c>
      <c r="J93">
        <f t="shared" ca="1" si="32"/>
        <v>22.002807740194839</v>
      </c>
      <c r="K93">
        <f t="shared" ca="1" si="32"/>
        <v>21.703917369425767</v>
      </c>
      <c r="L93">
        <f t="shared" ca="1" si="32"/>
        <v>21.524612544865647</v>
      </c>
      <c r="M93">
        <f t="shared" ca="1" si="32"/>
        <v>21.464849169304088</v>
      </c>
      <c r="N93">
        <f t="shared" ca="1" si="32"/>
        <v>21.524612544865647</v>
      </c>
      <c r="O93">
        <f t="shared" ca="1" si="32"/>
        <v>21.703917369425767</v>
      </c>
      <c r="P93">
        <f t="shared" ca="1" si="32"/>
        <v>22.002807740194839</v>
      </c>
      <c r="Q93">
        <f t="shared" ca="1" si="32"/>
        <v>22.421357164473548</v>
      </c>
      <c r="R93">
        <f t="shared" ca="1" si="32"/>
        <v>22.959668577587621</v>
      </c>
      <c r="S93">
        <f t="shared" ca="1" si="32"/>
        <v>23.61787436801653</v>
      </c>
      <c r="T93">
        <f t="shared" ca="1" si="32"/>
        <v>24.396136409736187</v>
      </c>
      <c r="U93">
        <f t="shared" ca="1" si="32"/>
        <v>25.294646101800609</v>
      </c>
      <c r="V93">
        <f t="shared" ca="1" si="32"/>
        <v>26.313624415195136</v>
      </c>
      <c r="W93">
        <f t="shared" ca="1" si="32"/>
        <v>27.453321946996937</v>
      </c>
    </row>
    <row r="94" spans="2:23" x14ac:dyDescent="0.25">
      <c r="B94" t="s">
        <v>1740</v>
      </c>
      <c r="C94">
        <f t="shared" ref="C94:W94" ca="1" si="33">100-(C92*100)/$C$33</f>
        <v>13.914693933712385</v>
      </c>
      <c r="D94">
        <f t="shared" ca="1" si="33"/>
        <v>16.309526424416831</v>
      </c>
      <c r="E94">
        <f t="shared" ca="1" si="33"/>
        <v>18.452271284520833</v>
      </c>
      <c r="F94">
        <f t="shared" ca="1" si="33"/>
        <v>20.342928514024351</v>
      </c>
      <c r="G94">
        <f t="shared" ca="1" si="33"/>
        <v>21.981498112927397</v>
      </c>
      <c r="H94">
        <f t="shared" ca="1" si="33"/>
        <v>23.367980081229973</v>
      </c>
      <c r="I94">
        <f t="shared" ca="1" si="33"/>
        <v>24.502374418932092</v>
      </c>
      <c r="J94">
        <f t="shared" ca="1" si="33"/>
        <v>25.384681126033726</v>
      </c>
      <c r="K94">
        <f t="shared" ca="1" si="33"/>
        <v>26.014900202534903</v>
      </c>
      <c r="L94">
        <f t="shared" ca="1" si="33"/>
        <v>26.393031648435596</v>
      </c>
      <c r="M94">
        <f t="shared" ca="1" si="33"/>
        <v>26.519075463735845</v>
      </c>
      <c r="N94">
        <f t="shared" ca="1" si="33"/>
        <v>26.393031648435596</v>
      </c>
      <c r="O94">
        <f t="shared" ca="1" si="33"/>
        <v>26.014900202534903</v>
      </c>
      <c r="P94">
        <f t="shared" ca="1" si="33"/>
        <v>25.384681126033726</v>
      </c>
      <c r="Q94">
        <f t="shared" ca="1" si="33"/>
        <v>24.502374418932092</v>
      </c>
      <c r="R94">
        <f t="shared" ca="1" si="33"/>
        <v>23.367980081229987</v>
      </c>
      <c r="S94">
        <f t="shared" ca="1" si="33"/>
        <v>21.981498112927397</v>
      </c>
      <c r="T94">
        <f t="shared" ca="1" si="33"/>
        <v>20.342928514024351</v>
      </c>
      <c r="U94">
        <f t="shared" ca="1" si="33"/>
        <v>18.452271284520833</v>
      </c>
      <c r="V94">
        <f t="shared" ca="1" si="33"/>
        <v>16.309526424416859</v>
      </c>
      <c r="W94">
        <f t="shared" ca="1" si="33"/>
        <v>13.914693933712385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1101.212527061452</v>
      </c>
      <c r="D97">
        <f t="shared" ca="1" si="34"/>
        <v>1114.3529981807894</v>
      </c>
      <c r="E97">
        <f t="shared" ca="1" si="34"/>
        <v>1126.0998504960301</v>
      </c>
      <c r="F97">
        <f t="shared" ca="1" si="34"/>
        <v>1136.4565578383874</v>
      </c>
      <c r="G97">
        <f t="shared" ca="1" si="34"/>
        <v>1145.4261833557432</v>
      </c>
      <c r="H97">
        <f t="shared" ca="1" si="34"/>
        <v>1153.011380263433</v>
      </c>
      <c r="I97">
        <f t="shared" ca="1" si="34"/>
        <v>1159.2143924937343</v>
      </c>
      <c r="J97">
        <f t="shared" ca="1" si="34"/>
        <v>1164.0370552445577</v>
      </c>
      <c r="K97">
        <f t="shared" ca="1" si="34"/>
        <v>1167.4807954277869</v>
      </c>
      <c r="L97">
        <f t="shared" ca="1" si="34"/>
        <v>1169.5466320176195</v>
      </c>
      <c r="M97">
        <f t="shared" ca="1" si="34"/>
        <v>1170.2351762991809</v>
      </c>
      <c r="N97">
        <f t="shared" ca="1" si="34"/>
        <v>1169.5466320176195</v>
      </c>
      <c r="O97">
        <f t="shared" ca="1" si="34"/>
        <v>1167.4807954277869</v>
      </c>
      <c r="P97">
        <f t="shared" ca="1" si="34"/>
        <v>1164.0370552445577</v>
      </c>
      <c r="Q97">
        <f t="shared" ca="1" si="34"/>
        <v>1159.2143924937343</v>
      </c>
      <c r="R97">
        <f t="shared" ca="1" si="34"/>
        <v>1153.011380263433</v>
      </c>
      <c r="S97">
        <f t="shared" ca="1" si="34"/>
        <v>1145.4261833557432</v>
      </c>
      <c r="T97">
        <f t="shared" ca="1" si="34"/>
        <v>1136.4565578383874</v>
      </c>
      <c r="U97">
        <f t="shared" ca="1" si="34"/>
        <v>1126.0998504960301</v>
      </c>
      <c r="V97">
        <f t="shared" ca="1" si="34"/>
        <v>1114.3529981807897</v>
      </c>
      <c r="W97">
        <f t="shared" ca="1" si="34"/>
        <v>1101.212527061452</v>
      </c>
    </row>
    <row r="98" spans="2:23" x14ac:dyDescent="0.25">
      <c r="B98" t="s">
        <v>854</v>
      </c>
      <c r="C98">
        <f t="shared" ref="C98:W98" ca="1" si="35">$C$23*C91*$C$25/100-$C$24*C92*$C$26/100</f>
        <v>105.7333885433644</v>
      </c>
      <c r="D98">
        <f t="shared" ca="1" si="35"/>
        <v>107.90671461681229</v>
      </c>
      <c r="E98">
        <f t="shared" ca="1" si="35"/>
        <v>109.85005305829185</v>
      </c>
      <c r="F98">
        <f t="shared" ca="1" si="35"/>
        <v>111.5638097528995</v>
      </c>
      <c r="G98">
        <f t="shared" ca="1" si="35"/>
        <v>113.04834260117703</v>
      </c>
      <c r="H98">
        <f t="shared" ca="1" si="35"/>
        <v>114.30396160683392</v>
      </c>
      <c r="I98">
        <f t="shared" ca="1" si="35"/>
        <v>115.33092895263408</v>
      </c>
      <c r="J98">
        <f t="shared" ca="1" si="35"/>
        <v>116.1294590645053</v>
      </c>
      <c r="K98">
        <f t="shared" ca="1" si="35"/>
        <v>116.69971866392363</v>
      </c>
      <c r="L98">
        <f t="shared" ca="1" si="35"/>
        <v>117.04182680861378</v>
      </c>
      <c r="M98">
        <f t="shared" ca="1" si="35"/>
        <v>117.15585492159754</v>
      </c>
      <c r="N98">
        <f t="shared" ca="1" si="35"/>
        <v>117.04182680861378</v>
      </c>
      <c r="O98">
        <f t="shared" ca="1" si="35"/>
        <v>116.69971866392363</v>
      </c>
      <c r="P98">
        <f t="shared" ca="1" si="35"/>
        <v>116.1294590645053</v>
      </c>
      <c r="Q98">
        <f t="shared" ca="1" si="35"/>
        <v>115.33092895263408</v>
      </c>
      <c r="R98">
        <f t="shared" ca="1" si="35"/>
        <v>114.30396160683392</v>
      </c>
      <c r="S98">
        <f t="shared" ca="1" si="35"/>
        <v>113.04834260117703</v>
      </c>
      <c r="T98">
        <f t="shared" ca="1" si="35"/>
        <v>111.5638097528995</v>
      </c>
      <c r="U98">
        <f t="shared" ca="1" si="35"/>
        <v>109.85005305829185</v>
      </c>
      <c r="V98">
        <f t="shared" ca="1" si="35"/>
        <v>107.90671461681231</v>
      </c>
      <c r="W98">
        <f t="shared" ca="1" si="35"/>
        <v>105.7333885433644</v>
      </c>
    </row>
    <row r="99" spans="2:23" x14ac:dyDescent="0.25">
      <c r="B99" t="s">
        <v>855</v>
      </c>
      <c r="C99">
        <f t="shared" ref="C99:W99" ca="1" si="36">$C$23*C59+$C$24*C60</f>
        <v>1362.3155508888078</v>
      </c>
      <c r="D99">
        <f t="shared" ca="1" si="36"/>
        <v>1364.7938593220927</v>
      </c>
      <c r="E99">
        <f t="shared" ca="1" si="36"/>
        <v>1367.0112931834533</v>
      </c>
      <c r="F99">
        <f t="shared" ca="1" si="36"/>
        <v>1368.9678524728886</v>
      </c>
      <c r="G99">
        <f t="shared" ca="1" si="36"/>
        <v>1370.6635371903994</v>
      </c>
      <c r="H99">
        <f t="shared" ca="1" si="36"/>
        <v>1372.0983473359852</v>
      </c>
      <c r="I99">
        <f t="shared" ca="1" si="36"/>
        <v>1373.2722829096465</v>
      </c>
      <c r="J99">
        <f t="shared" ca="1" si="36"/>
        <v>1374.1853439113831</v>
      </c>
      <c r="K99">
        <f t="shared" ca="1" si="36"/>
        <v>1374.8375303411947</v>
      </c>
      <c r="L99">
        <f t="shared" ca="1" si="36"/>
        <v>1375.228842199082</v>
      </c>
      <c r="M99">
        <f t="shared" ca="1" si="36"/>
        <v>1375.3592794850445</v>
      </c>
      <c r="N99">
        <f t="shared" ca="1" si="36"/>
        <v>1375.228842199082</v>
      </c>
      <c r="O99">
        <f t="shared" ca="1" si="36"/>
        <v>1374.8375303411947</v>
      </c>
      <c r="P99">
        <f t="shared" ca="1" si="36"/>
        <v>1374.1853439113831</v>
      </c>
      <c r="Q99">
        <f t="shared" ca="1" si="36"/>
        <v>1373.2722829096465</v>
      </c>
      <c r="R99">
        <f t="shared" ca="1" si="36"/>
        <v>1372.0983473359852</v>
      </c>
      <c r="S99">
        <f t="shared" ca="1" si="36"/>
        <v>1370.6635371903994</v>
      </c>
      <c r="T99">
        <f t="shared" ca="1" si="36"/>
        <v>1368.9678524728886</v>
      </c>
      <c r="U99">
        <f t="shared" ca="1" si="36"/>
        <v>1367.0112931834533</v>
      </c>
      <c r="V99">
        <f t="shared" ca="1" si="36"/>
        <v>1364.7938593220927</v>
      </c>
      <c r="W99">
        <f t="shared" ca="1" si="36"/>
        <v>1362.3155508888078</v>
      </c>
    </row>
    <row r="100" spans="2:23" x14ac:dyDescent="0.25">
      <c r="B100" t="s">
        <v>856</v>
      </c>
      <c r="C100">
        <f t="shared" ref="C100:W100" ca="1" si="37">$C$23*C59*$C$25/100-$C$24*C60*$C$26/100</f>
        <v>132.89023709506807</v>
      </c>
      <c r="D100">
        <f t="shared" ca="1" si="37"/>
        <v>133.32625412623096</v>
      </c>
      <c r="E100">
        <f t="shared" ca="1" si="37"/>
        <v>133.71637462779779</v>
      </c>
      <c r="F100">
        <f t="shared" ca="1" si="37"/>
        <v>134.06059859976847</v>
      </c>
      <c r="G100">
        <f t="shared" ca="1" si="37"/>
        <v>134.35892604214308</v>
      </c>
      <c r="H100">
        <f t="shared" ca="1" si="37"/>
        <v>134.61135695492158</v>
      </c>
      <c r="I100">
        <f t="shared" ca="1" si="37"/>
        <v>134.817891338104</v>
      </c>
      <c r="J100">
        <f t="shared" ca="1" si="37"/>
        <v>134.97852919169037</v>
      </c>
      <c r="K100">
        <f t="shared" ca="1" si="37"/>
        <v>135.09327051568056</v>
      </c>
      <c r="L100">
        <f t="shared" ca="1" si="37"/>
        <v>135.16211531007471</v>
      </c>
      <c r="M100">
        <f t="shared" ca="1" si="37"/>
        <v>135.18506357487277</v>
      </c>
      <c r="N100">
        <f t="shared" ca="1" si="37"/>
        <v>135.16211531007471</v>
      </c>
      <c r="O100">
        <f t="shared" ca="1" si="37"/>
        <v>135.09327051568056</v>
      </c>
      <c r="P100">
        <f t="shared" ca="1" si="37"/>
        <v>134.97852919169037</v>
      </c>
      <c r="Q100">
        <f t="shared" ca="1" si="37"/>
        <v>134.817891338104</v>
      </c>
      <c r="R100">
        <f t="shared" ca="1" si="37"/>
        <v>134.61135695492158</v>
      </c>
      <c r="S100">
        <f t="shared" ca="1" si="37"/>
        <v>134.35892604214308</v>
      </c>
      <c r="T100">
        <f t="shared" ca="1" si="37"/>
        <v>134.06059859976847</v>
      </c>
      <c r="U100">
        <f t="shared" ca="1" si="37"/>
        <v>133.71637462779779</v>
      </c>
      <c r="V100">
        <f t="shared" ca="1" si="37"/>
        <v>133.32625412623096</v>
      </c>
      <c r="W100">
        <f t="shared" ca="1" si="37"/>
        <v>132.89023709506807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1741</v>
      </c>
      <c r="C104">
        <f ca="1">M91</f>
        <v>91.91754053224652</v>
      </c>
      <c r="D104">
        <f ca="1">Geometria!$J$237</f>
        <v>91.91754053224652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36.740462268132077</v>
      </c>
      <c r="D105">
        <f ca="1">Geometria!$J$238</f>
        <v>36.740462268132077</v>
      </c>
      <c r="E105">
        <f t="shared" ca="1" si="38"/>
        <v>0</v>
      </c>
    </row>
    <row r="106" spans="2:23" x14ac:dyDescent="0.25">
      <c r="B106" t="s">
        <v>1742</v>
      </c>
      <c r="C106">
        <f ca="1">M97</f>
        <v>1170.2351762991809</v>
      </c>
      <c r="D106">
        <f ca="1">Geometria!$J$242</f>
        <v>1170.2351762991809</v>
      </c>
      <c r="E106">
        <f t="shared" ca="1" si="38"/>
        <v>0</v>
      </c>
    </row>
    <row r="107" spans="2:23" x14ac:dyDescent="0.25">
      <c r="B107" t="s">
        <v>1743</v>
      </c>
      <c r="C107">
        <f ca="1">M98</f>
        <v>117.15585492159754</v>
      </c>
      <c r="D107">
        <f ca="1">Geometria!$J$243</f>
        <v>117.15585492159754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1375.3592794850445</v>
      </c>
      <c r="D108">
        <f ca="1">Geometria!$M$166</f>
        <v>1375.3592794850445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135.18506357487277</v>
      </c>
      <c r="D109">
        <f ca="1">Geometria!$M$167</f>
        <v>135.18506357487277</v>
      </c>
      <c r="E109">
        <f t="shared" ca="1" si="38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11.684076499090109</v>
      </c>
    </row>
    <row r="15" spans="2:3" x14ac:dyDescent="0.25">
      <c r="B15" t="s">
        <v>878</v>
      </c>
      <c r="C15">
        <f>Geometria!$H$166-$C$7*(VLOOKUP(Geometria!$K$124,Geometria!$K$110:$M$113,3))</f>
        <v>11.843999999999999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145.95484776013598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13281.774828496062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1974.9246141326912</v>
      </c>
    </row>
    <row r="20" spans="2:3" x14ac:dyDescent="0.25">
      <c r="B20" t="s">
        <v>882</v>
      </c>
      <c r="C20">
        <f ca="1">Geometria!$H$185*C18/10000</f>
        <v>8.0179632190353995</v>
      </c>
    </row>
    <row r="21" spans="2:3" x14ac:dyDescent="0.25">
      <c r="B21" t="s">
        <v>883</v>
      </c>
      <c r="C21">
        <f ca="1">Geometria!$H$185*C19/10000</f>
        <v>1.1922256717159412</v>
      </c>
    </row>
    <row r="22" spans="2:3" x14ac:dyDescent="0.25">
      <c r="B22" t="s">
        <v>884</v>
      </c>
      <c r="C22">
        <f ca="1">Geometria!$I$105-Geometria!$H$151-Geometria!$H$161-C20</f>
        <v>107.14752205720066</v>
      </c>
    </row>
    <row r="23" spans="2:3" x14ac:dyDescent="0.25">
      <c r="B23" t="s">
        <v>1744</v>
      </c>
      <c r="C23">
        <f ca="1">(Geometria!$L$105-Geometria!$H$151-Geometria!$H$190-C21)</f>
        <v>47.884697405207142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1375.3592794850445</v>
      </c>
    </row>
    <row r="27" spans="2:3" x14ac:dyDescent="0.25">
      <c r="B27" t="s">
        <v>887</v>
      </c>
      <c r="C27">
        <f ca="1">C15*C22*C14/100-Geometria!$H$168*C23*Geometria!$H$169/100</f>
        <v>135.18506357487277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25511.159535044782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2298.2741814150249</v>
      </c>
    </row>
    <row r="33" spans="2:3" x14ac:dyDescent="0.25">
      <c r="B33" t="s">
        <v>892</v>
      </c>
      <c r="C33">
        <f ca="1">Geometria!$M$172</f>
        <v>668.7636890399607</v>
      </c>
    </row>
    <row r="34" spans="2:3" x14ac:dyDescent="0.25">
      <c r="B34" t="s">
        <v>893</v>
      </c>
      <c r="C34">
        <f ca="1">Geometria!$M$173</f>
        <v>6395.9313165908434</v>
      </c>
    </row>
    <row r="35" spans="2:3" x14ac:dyDescent="0.25">
      <c r="B35" t="s">
        <v>894</v>
      </c>
      <c r="C35">
        <f ca="1">Geometria!$M$176*(C31-C32-C33-C34)/100^2</f>
        <v>8.1560677849722971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4319.7228288201468</v>
      </c>
    </row>
    <row r="37" spans="2:3" x14ac:dyDescent="0.25">
      <c r="B37" t="s">
        <v>896</v>
      </c>
      <c r="C37">
        <f ca="1">Geometria!$M$183</f>
        <v>2422.5593699791348</v>
      </c>
    </row>
    <row r="38" spans="2:3" x14ac:dyDescent="0.25">
      <c r="B38" t="s">
        <v>897</v>
      </c>
      <c r="C38">
        <f ca="1">Geometria!$M$184</f>
        <v>379.28945131214135</v>
      </c>
    </row>
    <row r="39" spans="2:3" x14ac:dyDescent="0.25">
      <c r="B39" t="s">
        <v>898</v>
      </c>
      <c r="C39">
        <f ca="1">Geometria!$M$185</f>
        <v>3627.4536423805857</v>
      </c>
    </row>
    <row r="40" spans="2:3" x14ac:dyDescent="0.25">
      <c r="B40" t="s">
        <v>899</v>
      </c>
      <c r="C40">
        <f ca="1">Geometria!$M$176*(C36+C37+C38+C39)/100^2</f>
        <v>5.4290776253334361</v>
      </c>
    </row>
    <row r="41" spans="2:3" x14ac:dyDescent="0.25">
      <c r="B41" t="s">
        <v>900</v>
      </c>
      <c r="C41">
        <f ca="1">C22/190</f>
        <v>0.56393432661684562</v>
      </c>
    </row>
    <row r="42" spans="2:3" x14ac:dyDescent="0.25">
      <c r="B42" t="s">
        <v>901</v>
      </c>
      <c r="C42">
        <f ca="1">C23/190</f>
        <v>0.25202472318530073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2.0778656150474832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2.0997570229681874E-2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1.0209975702296819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2.2498376193324585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2.1792849591429126</v>
      </c>
    </row>
    <row r="52" spans="2:3" x14ac:dyDescent="0.25">
      <c r="B52" t="s">
        <v>911</v>
      </c>
      <c r="C52">
        <f ca="1">(C15+Geometria!$H$168)/Geometria!$H$36</f>
        <v>7.425697958622547E-3</v>
      </c>
    </row>
    <row r="53" spans="2:3" x14ac:dyDescent="0.25">
      <c r="B53" t="s">
        <v>912</v>
      </c>
      <c r="C53">
        <f ca="1">(Geometria!$H$213-C35-C49)/(C47+Geometria!$L$216*Geometria!$M$176*C51*C52)</f>
        <v>-15.229981524954145</v>
      </c>
    </row>
    <row r="54" spans="2:3" x14ac:dyDescent="0.25">
      <c r="B54" t="s">
        <v>913</v>
      </c>
      <c r="C54">
        <f ca="1">(Geometria!$H$213-C40-C50)/(C48+Geometria!$L$216*Geometria!$M$176*Geometria!$L$218*C52)</f>
        <v>-11.144235137075061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91.91754053224652</v>
      </c>
    </row>
    <row r="57" spans="2:3" x14ac:dyDescent="0.25">
      <c r="B57" t="s">
        <v>916</v>
      </c>
      <c r="C57">
        <f ca="1">C23-ABS(C54)</f>
        <v>36.740462268132077</v>
      </c>
    </row>
    <row r="58" spans="2:3" x14ac:dyDescent="0.25">
      <c r="B58" t="s">
        <v>917</v>
      </c>
      <c r="C58">
        <f ca="1">C15*C56+Geometria!$H$168*C57</f>
        <v>1170.2351762991809</v>
      </c>
    </row>
    <row r="59" spans="2:3" x14ac:dyDescent="0.25">
      <c r="B59" t="s">
        <v>918</v>
      </c>
      <c r="C59">
        <f ca="1">C15*C56*C14/100-Geometria!$H$168*C57*Geometria!$H$169/100</f>
        <v>117.15585492159754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57.362387273755758</v>
      </c>
      <c r="I4" s="330" t="s">
        <v>967</v>
      </c>
      <c r="J4" s="420" t="s">
        <v>968</v>
      </c>
      <c r="K4" s="421">
        <f>Geometria!H1229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57.362387273755758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80.307342183258058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6.0067466241189971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0.18771083200371866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6.2406664997954042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6.2406664997954042</v>
      </c>
      <c r="H37" s="330" t="s">
        <v>1008</v>
      </c>
      <c r="J37">
        <f>G37/J34</f>
        <v>7.9498936303126166</v>
      </c>
      <c r="K37">
        <f>ROUNDUP(J37,-0.5)</f>
        <v>8</v>
      </c>
      <c r="L37">
        <f>IF(Geometria!H1228&gt;0,G15/K37,0)</f>
        <v>3.875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5" t="s">
        <v>1745</v>
      </c>
    </row>
    <row r="2" spans="2:20" ht="32.1" customHeight="1" x14ac:dyDescent="0.25">
      <c r="B2" s="790" t="s">
        <v>1746</v>
      </c>
      <c r="C2" s="918"/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</row>
    <row r="3" spans="2:20" ht="32.1" customHeight="1" x14ac:dyDescent="0.25">
      <c r="B3" s="790" t="s">
        <v>1747</v>
      </c>
      <c r="C3" s="918"/>
      <c r="D3" s="918"/>
      <c r="E3" s="918"/>
      <c r="F3" s="918"/>
      <c r="G3" s="918"/>
      <c r="H3" s="918"/>
      <c r="I3" s="918"/>
      <c r="J3" s="918"/>
      <c r="K3" s="918"/>
      <c r="L3" s="918"/>
      <c r="M3" s="918"/>
      <c r="N3" s="918"/>
      <c r="O3" s="918"/>
      <c r="P3" s="918"/>
      <c r="Q3" s="918"/>
      <c r="R3" s="918"/>
      <c r="S3" s="918"/>
      <c r="T3" s="918"/>
    </row>
    <row r="4" spans="2:20" ht="32.1" customHeight="1" x14ac:dyDescent="0.25">
      <c r="B4" s="790" t="s">
        <v>1748</v>
      </c>
      <c r="C4" s="918"/>
      <c r="D4" s="918"/>
      <c r="E4" s="918"/>
      <c r="F4" s="918"/>
      <c r="G4" s="918"/>
      <c r="H4" s="918"/>
      <c r="I4" s="918"/>
      <c r="J4" s="918"/>
      <c r="K4" s="918"/>
      <c r="L4" s="918"/>
      <c r="M4" s="918"/>
      <c r="N4" s="918"/>
      <c r="O4" s="918"/>
      <c r="P4" s="918"/>
      <c r="Q4" s="918"/>
      <c r="R4" s="918"/>
      <c r="S4" s="918"/>
      <c r="T4" s="918"/>
    </row>
    <row r="5" spans="2:20" ht="45" customHeight="1" x14ac:dyDescent="0.25">
      <c r="B5" s="622" t="s">
        <v>1749</v>
      </c>
      <c r="C5" s="622" t="s">
        <v>250</v>
      </c>
      <c r="D5" s="622" t="s">
        <v>1750</v>
      </c>
      <c r="E5" s="622" t="s">
        <v>1751</v>
      </c>
      <c r="F5" s="622" t="s">
        <v>1752</v>
      </c>
      <c r="G5" s="622" t="s">
        <v>1753</v>
      </c>
      <c r="H5" s="622" t="s">
        <v>1754</v>
      </c>
      <c r="I5" s="622" t="s">
        <v>1755</v>
      </c>
      <c r="J5" s="622" t="s">
        <v>1756</v>
      </c>
      <c r="K5" s="622" t="s">
        <v>1757</v>
      </c>
      <c r="L5" s="622" t="s">
        <v>1758</v>
      </c>
      <c r="M5" s="622" t="s">
        <v>1759</v>
      </c>
      <c r="N5" s="622" t="s">
        <v>1760</v>
      </c>
      <c r="O5" s="622" t="s">
        <v>1761</v>
      </c>
      <c r="P5" s="622" t="s">
        <v>314</v>
      </c>
      <c r="Q5" s="622" t="s">
        <v>1762</v>
      </c>
      <c r="R5" s="622" t="s">
        <v>1763</v>
      </c>
      <c r="S5" s="622" t="s">
        <v>1480</v>
      </c>
      <c r="T5" s="622" t="s">
        <v>1764</v>
      </c>
    </row>
    <row r="6" spans="2:20" x14ac:dyDescent="0.25">
      <c r="B6" s="624">
        <v>1</v>
      </c>
      <c r="C6" s="624" t="s">
        <v>251</v>
      </c>
      <c r="D6" s="624" t="s">
        <v>260</v>
      </c>
      <c r="E6" s="623">
        <f>Geometria!$I$201</f>
        <v>1</v>
      </c>
      <c r="F6" s="627">
        <f>EXP(Fluência!$B$17*(1-(28/E6)^(1/2)))</f>
        <v>0.42388184737889384</v>
      </c>
      <c r="G6" s="623">
        <f>MAX(Geometria!$H$60,MIN(Geometria!$H$58,F6*Geometria!$H$58))</f>
        <v>35</v>
      </c>
      <c r="H6" s="627">
        <f t="shared" ref="H6:H12" si="0">IF(G6&lt;=50,0.3*G6^(2/3),2.12*LN(1+0.11*G6))</f>
        <v>3.2099624416952368</v>
      </c>
      <c r="I6" s="623">
        <f ca="1">Geometria!$I$194</f>
        <v>107.14752205720066</v>
      </c>
      <c r="J6" s="623">
        <f ca="1">Geometria!$I$195</f>
        <v>47.884697405207142</v>
      </c>
      <c r="K6" s="623">
        <f ca="1">Geometria!$H$166*I6+Geometria!$H$168*J6</f>
        <v>1375.3592794850445</v>
      </c>
      <c r="L6" s="623">
        <f ca="1">Geometria!$H$166*I6*Geometria!$H$167-Geometria!$H$168*J6*Geometria!$H$169</f>
        <v>13518.506357487277</v>
      </c>
      <c r="M6" s="623">
        <f ca="1">Geometria!$H$36</f>
        <v>1893.9633793843193</v>
      </c>
      <c r="N6" s="623">
        <f ca="1">Geometria!$H$41</f>
        <v>14931.208607839262</v>
      </c>
      <c r="O6" s="623">
        <f ca="1">IF(D6="Composta",Geometria!$I$41,Geometria!$H$41)</f>
        <v>14931.208607839262</v>
      </c>
      <c r="P6" s="623">
        <f>Geometria!$N$51</f>
        <v>1.3</v>
      </c>
      <c r="Q6" s="623">
        <f t="shared" ref="Q6:Q12" ca="1" si="1">P6*H6/10*O6+N6*K6/M6+L6</f>
        <v>30591.979383805996</v>
      </c>
      <c r="R6" s="623">
        <f>0</f>
        <v>0</v>
      </c>
      <c r="S6" s="626" t="str">
        <f ca="1">IF(Q6&gt;R6,"Estádio I","Estádio II")</f>
        <v>Estádio I</v>
      </c>
      <c r="T6" s="627">
        <f ca="1">IF(S6="Estádio I",1,1/Geometria!$H$1008)</f>
        <v>1</v>
      </c>
    </row>
    <row r="7" spans="2:20" x14ac:dyDescent="0.25">
      <c r="B7" s="624">
        <v>2</v>
      </c>
      <c r="C7" s="624" t="s">
        <v>1765</v>
      </c>
      <c r="D7" s="624" t="s">
        <v>260</v>
      </c>
      <c r="E7" s="623">
        <f>Geometria!$I$202</f>
        <v>1</v>
      </c>
      <c r="F7" s="627">
        <f>EXP(Fluência!$B$17*(1-(28/E7)^(1/2)))</f>
        <v>0.42388184737889384</v>
      </c>
      <c r="G7" s="623">
        <f>MAX(Geometria!$H$60,MIN(Geometria!$H$58,F7*Geometria!$H$58))</f>
        <v>35</v>
      </c>
      <c r="H7" s="627">
        <f t="shared" si="0"/>
        <v>3.2099624416952368</v>
      </c>
      <c r="I7" s="623">
        <f ca="1">Geometria!$I$194</f>
        <v>107.14752205720066</v>
      </c>
      <c r="J7" s="623">
        <f ca="1">Geometria!$I$195</f>
        <v>47.884697405207142</v>
      </c>
      <c r="K7" s="623">
        <f ca="1">Geometria!$H$166*I7+Geometria!$H$168*J7</f>
        <v>1375.3592794850445</v>
      </c>
      <c r="L7" s="623">
        <f ca="1">Geometria!$H$166*I7*Geometria!$H$167-Geometria!$H$168*J7*Geometria!$H$169</f>
        <v>13518.506357487277</v>
      </c>
      <c r="M7" s="623">
        <f ca="1">Geometria!$H$36</f>
        <v>1893.9633793843193</v>
      </c>
      <c r="N7" s="623">
        <f ca="1">Geometria!$H$41</f>
        <v>14931.208607839262</v>
      </c>
      <c r="O7" s="623">
        <f ca="1">IF(D7="Composta",Geometria!$I$41,Geometria!$H$41)</f>
        <v>14931.208607839262</v>
      </c>
      <c r="P7" s="623">
        <f>Geometria!$N$51</f>
        <v>1.3</v>
      </c>
      <c r="Q7" s="623">
        <f t="shared" ca="1" si="1"/>
        <v>30591.979383805996</v>
      </c>
      <c r="R7" s="623">
        <f ca="1">R6+Geometria!$J$81*100</f>
        <v>4266.1584306987397</v>
      </c>
      <c r="S7" s="626" t="str">
        <f t="shared" ref="S7:S12" ca="1" si="2">IF(S6="Estádio II","Estádio II",IF(Q7&gt;R7,"Estádio I","Estádio II"))</f>
        <v>Estádio I</v>
      </c>
      <c r="T7" s="627">
        <f ca="1">IF(S7="Estádio I",1,1/Geometria!$H$1008)</f>
        <v>1</v>
      </c>
    </row>
    <row r="8" spans="2:20" x14ac:dyDescent="0.25">
      <c r="B8" s="624">
        <v>3</v>
      </c>
      <c r="C8" s="624" t="s">
        <v>1766</v>
      </c>
      <c r="D8" s="624" t="s">
        <v>260</v>
      </c>
      <c r="E8" s="623">
        <f>Geometria!$I$203</f>
        <v>15</v>
      </c>
      <c r="F8" s="627">
        <f>EXP(Fluência!$B$17*(1-(28/E8)^(1/2)))</f>
        <v>0.92936658114797221</v>
      </c>
      <c r="G8" s="623">
        <f>MAX(Geometria!$H$60,MIN(Geometria!$H$58,F8*Geometria!$H$58))</f>
        <v>46.468329057398613</v>
      </c>
      <c r="H8" s="627">
        <f t="shared" si="0"/>
        <v>3.8775668342279466</v>
      </c>
      <c r="I8" s="623">
        <f ca="1">Geometria!$I$194</f>
        <v>107.14752205720066</v>
      </c>
      <c r="J8" s="623">
        <f ca="1">Geometria!$I$195</f>
        <v>47.884697405207142</v>
      </c>
      <c r="K8" s="623">
        <f ca="1">Geometria!$H$166*I8+Geometria!$H$168*J8</f>
        <v>1375.3592794850445</v>
      </c>
      <c r="L8" s="623">
        <f ca="1">Geometria!$H$166*I8*Geometria!$H$167-Geometria!$H$168*J8*Geometria!$H$169</f>
        <v>13518.506357487277</v>
      </c>
      <c r="M8" s="623">
        <f ca="1">Geometria!$H$36</f>
        <v>1893.9633793843193</v>
      </c>
      <c r="N8" s="623">
        <f ca="1">Geometria!$H$41</f>
        <v>14931.208607839262</v>
      </c>
      <c r="O8" s="623">
        <f ca="1">IF(D8="Composta",Geometria!$I$41,Geometria!$H$41)</f>
        <v>14931.208607839262</v>
      </c>
      <c r="P8" s="623">
        <f>Geometria!$N$51</f>
        <v>1.3</v>
      </c>
      <c r="Q8" s="623">
        <f t="shared" ca="1" si="1"/>
        <v>31887.837642620034</v>
      </c>
      <c r="R8" s="623">
        <f ca="1">R7+Geometria!$J$82*100</f>
        <v>4765.3699770143648</v>
      </c>
      <c r="S8" s="626" t="str">
        <f t="shared" ca="1" si="2"/>
        <v>Estádio I</v>
      </c>
      <c r="T8" s="627">
        <f ca="1">IF(S8="Estádio I",1,1/Geometria!$H$1008)</f>
        <v>1</v>
      </c>
    </row>
    <row r="9" spans="2:20" x14ac:dyDescent="0.25">
      <c r="B9" s="624">
        <v>4</v>
      </c>
      <c r="C9" s="624" t="s">
        <v>1767</v>
      </c>
      <c r="D9" s="624" t="s">
        <v>260</v>
      </c>
      <c r="E9" s="623">
        <f>Geometria!$I$204</f>
        <v>30</v>
      </c>
      <c r="F9" s="627">
        <f>EXP(Fluência!$B$17*(1-(28/E9)^(1/2)))</f>
        <v>1.0068046907979593</v>
      </c>
      <c r="G9" s="623">
        <f>MAX(Geometria!$H$60,MIN(Geometria!$H$58,F9*Geometria!$H$58))</f>
        <v>50</v>
      </c>
      <c r="H9" s="627">
        <f t="shared" si="0"/>
        <v>4.0716264248923588</v>
      </c>
      <c r="I9" s="623">
        <f ca="1">Geometria!$I$194</f>
        <v>107.14752205720066</v>
      </c>
      <c r="J9" s="623">
        <f ca="1">Geometria!$I$195</f>
        <v>47.884697405207142</v>
      </c>
      <c r="K9" s="623">
        <f ca="1">Geometria!$H$166*I9+Geometria!$H$168*J9</f>
        <v>1375.3592794850445</v>
      </c>
      <c r="L9" s="623">
        <f ca="1">Geometria!$H$166*I9*Geometria!$H$167-Geometria!$H$168*J9*Geometria!$H$169</f>
        <v>13518.506357487277</v>
      </c>
      <c r="M9" s="623">
        <f ca="1">Geometria!$H$36</f>
        <v>1893.9633793843193</v>
      </c>
      <c r="N9" s="623">
        <f ca="1">Geometria!$H$41</f>
        <v>14931.208607839262</v>
      </c>
      <c r="O9" s="623">
        <f ca="1">IF(D9="Composta",Geometria!$I$41,Geometria!$H$41)</f>
        <v>14931.208607839262</v>
      </c>
      <c r="P9" s="623">
        <f>Geometria!$N$51</f>
        <v>1.3</v>
      </c>
      <c r="Q9" s="623">
        <f t="shared" ca="1" si="1"/>
        <v>32264.518392593127</v>
      </c>
      <c r="R9" s="623">
        <f ca="1">R8+Geometria!$J$83*100</f>
        <v>6736.3102113893647</v>
      </c>
      <c r="S9" s="626" t="str">
        <f t="shared" ca="1" si="2"/>
        <v>Estádio I</v>
      </c>
      <c r="T9" s="627">
        <f ca="1">IF(S9="Estádio I",1,1/Geometria!$H$1008)</f>
        <v>1</v>
      </c>
    </row>
    <row r="10" spans="2:20" x14ac:dyDescent="0.25">
      <c r="B10" s="624">
        <v>5</v>
      </c>
      <c r="C10" s="624" t="s">
        <v>1768</v>
      </c>
      <c r="D10" s="624" t="str">
        <f>IF(Geometria!$I$15="1 - Sim","Composta","Pré-fabricada")</f>
        <v>Composta</v>
      </c>
      <c r="E10" s="623">
        <f>Geometria!$I$205</f>
        <v>45</v>
      </c>
      <c r="F10" s="627">
        <f>EXP(Fluência!$B$17*(1-(28/E10)^(1/2)))</f>
        <v>1.0431425841237678</v>
      </c>
      <c r="G10" s="623">
        <f>MAX(Geometria!$H$60,MIN(Geometria!$H$58,F10*Geometria!$H$58))</f>
        <v>50</v>
      </c>
      <c r="H10" s="627">
        <f t="shared" si="0"/>
        <v>4.0716264248923588</v>
      </c>
      <c r="I10" s="623">
        <f ca="1">Geometria!$I$194</f>
        <v>107.14752205720066</v>
      </c>
      <c r="J10" s="623">
        <f ca="1">Geometria!$I$195</f>
        <v>47.884697405207142</v>
      </c>
      <c r="K10" s="623">
        <f ca="1">Geometria!$H$166*I10+Geometria!$H$168*J10</f>
        <v>1375.3592794850445</v>
      </c>
      <c r="L10" s="623">
        <f ca="1">Geometria!$H$166*I10*Geometria!$H$167-Geometria!$H$168*J10*Geometria!$H$169</f>
        <v>13518.506357487277</v>
      </c>
      <c r="M10" s="623">
        <f ca="1">Geometria!$H$36</f>
        <v>1893.9633793843193</v>
      </c>
      <c r="N10" s="623">
        <f ca="1">Geometria!$H$41</f>
        <v>14931.208607839262</v>
      </c>
      <c r="O10" s="623">
        <f ca="1">IF(D10="Composta",Geometria!$I$41,Geometria!$H$41)</f>
        <v>18329.232687834286</v>
      </c>
      <c r="P10" s="623">
        <f>Geometria!$N$51</f>
        <v>1.3</v>
      </c>
      <c r="Q10" s="623">
        <f t="shared" ca="1" si="1"/>
        <v>34063.131395341799</v>
      </c>
      <c r="R10" s="623">
        <f ca="1">R9+Geometria!$J$85*100</f>
        <v>6736.3102113893647</v>
      </c>
      <c r="S10" s="626" t="str">
        <f t="shared" ca="1" si="2"/>
        <v>Estádio I</v>
      </c>
      <c r="T10" s="627">
        <f ca="1">IF(S10="Estádio I",1,1/Geometria!$H$1008)</f>
        <v>1</v>
      </c>
    </row>
    <row r="11" spans="2:20" x14ac:dyDescent="0.25">
      <c r="B11" s="624">
        <v>6</v>
      </c>
      <c r="C11" s="624" t="s">
        <v>1769</v>
      </c>
      <c r="D11" s="624" t="str">
        <f>IF(Geometria!$I$15="1 - Sim","Composta","Pré-fabricada")</f>
        <v>Composta</v>
      </c>
      <c r="E11" s="623">
        <f>Geometria!$I$206</f>
        <v>60</v>
      </c>
      <c r="F11" s="627">
        <f>EXP(Fluência!$B$17*(1-(28/E11)^(1/2)))</f>
        <v>1.0654252228833427</v>
      </c>
      <c r="G11" s="623">
        <f>MAX(Geometria!$H$60,MIN(Geometria!$H$58,F11*Geometria!$H$58))</f>
        <v>50</v>
      </c>
      <c r="H11" s="627">
        <f t="shared" si="0"/>
        <v>4.0716264248923588</v>
      </c>
      <c r="I11" s="623">
        <f ca="1">Geometria!$I$194</f>
        <v>107.14752205720066</v>
      </c>
      <c r="J11" s="623">
        <f ca="1">Geometria!$I$195</f>
        <v>47.884697405207142</v>
      </c>
      <c r="K11" s="623">
        <f ca="1">Geometria!$H$166*I11+Geometria!$H$168*J11</f>
        <v>1375.3592794850445</v>
      </c>
      <c r="L11" s="623">
        <f ca="1">Geometria!$H$166*I11*Geometria!$H$167-Geometria!$H$168*J11*Geometria!$H$169</f>
        <v>13518.506357487277</v>
      </c>
      <c r="M11" s="623">
        <f ca="1">Geometria!$H$36</f>
        <v>1893.9633793843193</v>
      </c>
      <c r="N11" s="623">
        <f ca="1">Geometria!$H$41</f>
        <v>14931.208607839262</v>
      </c>
      <c r="O11" s="623">
        <f ca="1">IF(D11="Composta",Geometria!$I$41,Geometria!$H$41)</f>
        <v>18329.232687834286</v>
      </c>
      <c r="P11" s="623">
        <f>Geometria!$N$51</f>
        <v>1.3</v>
      </c>
      <c r="Q11" s="623">
        <f t="shared" ca="1" si="1"/>
        <v>34063.131395341799</v>
      </c>
      <c r="R11" s="623">
        <f ca="1">R10+Geometria!$J$84*100</f>
        <v>7862.5617738893652</v>
      </c>
      <c r="S11" s="626" t="str">
        <f t="shared" ca="1" si="2"/>
        <v>Estádio I</v>
      </c>
      <c r="T11" s="627">
        <f ca="1">IF(S11="Estádio I",1,1/Geometria!$H$1008)</f>
        <v>1</v>
      </c>
    </row>
    <row r="12" spans="2:20" x14ac:dyDescent="0.25">
      <c r="B12" s="624">
        <v>7</v>
      </c>
      <c r="C12" s="624" t="s">
        <v>1770</v>
      </c>
      <c r="D12" s="624" t="str">
        <f>IF(Geometria!$I$15="1 - Sim","Composta","Pré-fabricada")</f>
        <v>Composta</v>
      </c>
      <c r="E12" s="623">
        <f>Geometria!$I$207</f>
        <v>75</v>
      </c>
      <c r="F12" s="627">
        <f>EXP(Fluência!$B$17*(1-(28/E12)^(1/2)))</f>
        <v>1.0809042739171246</v>
      </c>
      <c r="G12" s="623">
        <f>MAX(Geometria!$H$60,MIN(Geometria!$H$58,F12*Geometria!$H$58))</f>
        <v>50</v>
      </c>
      <c r="H12" s="627">
        <f t="shared" si="0"/>
        <v>4.0716264248923588</v>
      </c>
      <c r="I12" s="623">
        <f ca="1">Geometria!$J$237</f>
        <v>91.91754053224652</v>
      </c>
      <c r="J12" s="623">
        <f ca="1">Geometria!$J$238</f>
        <v>36.740462268132077</v>
      </c>
      <c r="K12" s="623">
        <f ca="1">Geometria!$H$166*I12+Geometria!$H$168*J12</f>
        <v>1170.2351762991809</v>
      </c>
      <c r="L12" s="623">
        <f ca="1">Geometria!$H$166*I12*Geometria!$H$167-Geometria!$H$168*J12*Geometria!$H$169</f>
        <v>11715.585492159753</v>
      </c>
      <c r="M12" s="623">
        <f ca="1">Geometria!$H$36</f>
        <v>1893.9633793843193</v>
      </c>
      <c r="N12" s="623">
        <f ca="1">Geometria!$H$41</f>
        <v>14931.208607839262</v>
      </c>
      <c r="O12" s="623">
        <f ca="1">IF(D12="Composta",Geometria!$I$41,Geometria!$H$41)</f>
        <v>18329.232687834286</v>
      </c>
      <c r="P12" s="623">
        <f>Geometria!$N$51</f>
        <v>1.3</v>
      </c>
      <c r="Q12" s="623">
        <f t="shared" ca="1" si="1"/>
        <v>30643.098600342386</v>
      </c>
      <c r="R12" s="623">
        <f ca="1">R11+Geometria!$J$86*100</f>
        <v>36919.852086389365</v>
      </c>
      <c r="S12" s="626" t="str">
        <f t="shared" ca="1" si="2"/>
        <v>Estádio II</v>
      </c>
      <c r="T12" s="627">
        <f ca="1">IF(S12="Estádio I",1,1/Geometria!$H$1008)</f>
        <v>1.25</v>
      </c>
    </row>
    <row r="14" spans="2:20" ht="18" x14ac:dyDescent="0.3">
      <c r="B14" s="625" t="s">
        <v>1771</v>
      </c>
    </row>
    <row r="15" spans="2:20" x14ac:dyDescent="0.25">
      <c r="B15" s="790" t="s">
        <v>1772</v>
      </c>
      <c r="C15" s="918"/>
      <c r="D15" s="918"/>
      <c r="E15" s="918"/>
      <c r="F15" s="918"/>
      <c r="G15" s="918"/>
      <c r="H15" s="918"/>
      <c r="I15" s="918"/>
      <c r="J15" s="918"/>
      <c r="K15" s="918"/>
      <c r="L15" s="918"/>
      <c r="M15" s="918"/>
      <c r="N15" s="918"/>
      <c r="O15" s="918"/>
      <c r="P15" s="918"/>
      <c r="Q15" s="918"/>
      <c r="R15" s="918"/>
      <c r="S15" s="918"/>
      <c r="T15" s="918"/>
    </row>
    <row r="16" spans="2:20" x14ac:dyDescent="0.25">
      <c r="B16" s="790" t="s">
        <v>1773</v>
      </c>
      <c r="C16" s="918"/>
      <c r="D16" s="918"/>
      <c r="E16" s="918"/>
      <c r="F16" s="918"/>
      <c r="G16" s="918"/>
      <c r="H16" s="918"/>
      <c r="I16" s="918"/>
      <c r="J16" s="918"/>
      <c r="K16" s="918"/>
      <c r="L16" s="918"/>
      <c r="M16" s="918"/>
      <c r="N16" s="918"/>
      <c r="O16" s="918"/>
      <c r="P16" s="918"/>
      <c r="Q16" s="918"/>
      <c r="R16" s="918"/>
      <c r="S16" s="918"/>
      <c r="T16" s="918"/>
    </row>
    <row r="17" spans="2:20" x14ac:dyDescent="0.25">
      <c r="B17" s="790" t="s">
        <v>1774</v>
      </c>
      <c r="C17" s="918"/>
      <c r="D17" s="918"/>
      <c r="E17" s="918"/>
      <c r="F17" s="918"/>
      <c r="G17" s="918"/>
      <c r="H17" s="918"/>
      <c r="I17" s="918"/>
      <c r="J17" s="918"/>
      <c r="K17" s="918"/>
      <c r="L17" s="918"/>
      <c r="M17" s="918"/>
      <c r="N17" s="918"/>
      <c r="O17" s="918"/>
      <c r="P17" s="918"/>
      <c r="Q17" s="918"/>
      <c r="R17" s="918"/>
      <c r="S17" s="918"/>
      <c r="T17" s="918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8</vt:i4>
      </vt:variant>
    </vt:vector>
  </HeadingPairs>
  <TitlesOfParts>
    <vt:vector size="30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2026-09-24T11:25:56Z</dcterms:modified>
</cp:coreProperties>
</file>