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61659931-FBD3-4500-B18E-BD6D51833CCA}" xr6:coauthVersionLast="47" xr6:coauthVersionMax="47" xr10:uidLastSave="{00000000-0000-0000-0000-000000000000}"/>
  <bookViews>
    <workbookView xWindow="-105" yWindow="0" windowWidth="14610" windowHeight="15585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state="hidden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Deslocamento viga" sheetId="33" r:id="rId9"/>
    <sheet name="Resumo" sheetId="19" r:id="rId10"/>
    <sheet name="Fluência" sheetId="2" state="hidden" r:id="rId11"/>
    <sheet name="Seções Compostas" sheetId="12" state="hidden" r:id="rId12"/>
    <sheet name="Propriedades geométricas VI" sheetId="16" state="hidden" r:id="rId13"/>
    <sheet name="Propriedades geométricas LA " sheetId="14" state="hidden" r:id="rId14"/>
    <sheet name="Valores &quot;A&quot; e &quot;Y&quot; Alv. Preenc." sheetId="18" state="hidden" r:id="rId15"/>
    <sheet name="Valores &quot;A&quot; e &quot;Y&quot;" sheetId="17" state="hidden" r:id="rId16"/>
    <sheet name="Seções " sheetId="15" state="hidden" r:id="rId17"/>
    <sheet name="Propriedades geométricas chavet" sheetId="13" state="hidden" r:id="rId18"/>
    <sheet name="Perdas por Seção" sheetId="22" state="hidden" r:id="rId19"/>
    <sheet name="Isolamento de cabos" sheetId="23" state="hidden" r:id="rId20"/>
    <sheet name="Armadura Negativo LE" sheetId="25" state="hidden" r:id="rId21"/>
    <sheet name="Armadura Negativo LD" sheetId="26" state="hidden" r:id="rId22"/>
    <sheet name="Estádio - Flechas" sheetId="32" r:id="rId23"/>
  </sheets>
  <externalReferences>
    <externalReference r:id="rId24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9">Resumo!$H$1:$Q$210</definedName>
    <definedName name="FirstX" localSheetId="5">#REF!</definedName>
    <definedName name="FirstX" localSheetId="17">'Propriedades geométricas chavet'!$B$6</definedName>
    <definedName name="FirstX" localSheetId="13">'Propriedades geométricas LA '!$B$6</definedName>
    <definedName name="FirstX" localSheetId="12">'Propriedades geométricas VI'!$B$6</definedName>
    <definedName name="FirstX" localSheetId="16">#REF!</definedName>
    <definedName name="FirstX" localSheetId="11">#REF!</definedName>
    <definedName name="FirstX" localSheetId="15">'Valores "A" e "Y"'!$B$6</definedName>
    <definedName name="FirstX" localSheetId="14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7">OFFSET('Propriedades geométricas chavet'!FirstX,0,0,COUNT('Propriedades geométricas chavet'!$B$1:$B$65531))</definedName>
    <definedName name="X" localSheetId="13">OFFSET('Propriedades geométricas LA '!FirstX,0,0,COUNT('Propriedades geométricas LA '!$B$1:$B$65531))</definedName>
    <definedName name="X" localSheetId="12">OFFSET('Propriedades geométricas VI'!FirstX,0,0,COUNT('Propriedades geométricas VI'!$B$1:$B$65531))</definedName>
    <definedName name="X" localSheetId="16">OFFSET('Seções '!FirstX,0,0,COUNT(#REF!))</definedName>
    <definedName name="X" localSheetId="11">OFFSET('Seções Compostas'!FirstX,0,0,COUNT(#REF!))</definedName>
    <definedName name="X" localSheetId="15">OFFSET('Valores "A" e "Y"'!FirstX,0,0,COUNT('Valores "A" e "Y"'!$B$1:$B$65531))</definedName>
    <definedName name="X" localSheetId="14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7">OFFSET('Propriedades geométricas chavet'!X,0,1)</definedName>
    <definedName name="Y" localSheetId="13">OFFSET('Propriedades geométricas LA '!X,0,1)</definedName>
    <definedName name="Y" localSheetId="12">OFFSET('Propriedades geométricas VI'!X,0,1)</definedName>
    <definedName name="Y" localSheetId="16">OFFSET('Seções '!X,0,1)</definedName>
    <definedName name="Y" localSheetId="11">OFFSET('Seções Compostas'!X,0,1)</definedName>
    <definedName name="Y" localSheetId="15">OFFSET('Valores "A" e "Y"'!X,0,1)</definedName>
    <definedName name="Y" localSheetId="14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<sst xmlns="http://schemas.openxmlformats.org/spreadsheetml/2006/main" count="4943" uniqueCount="1888">
  <si>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</si>
  <si>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</si>
  <si>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</si>
  <si>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</si>
  <si>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</si>
  <si>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</si>
  <si>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</si>
  <si>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</si>
  <si>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</si>
  <si>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</si>
  <si>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</si>
  <si>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</si>
  <si>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</si>
  <si>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</si>
  <si>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</si>
  <si>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</si>
  <si>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</si>
  <si>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</si>
  <si>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</si>
  <si>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</si>
  <si>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</si>
  <si>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</si>
  <si>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</si>
  <si>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</si>
  <si>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</si>
  <si>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</si>
  <si>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</si>
  <si>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</si>
  <si>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</si>
  <si>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</si>
  <si>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</si>
  <si>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</si>
  <si>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</si>
  <si>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</si>
  <si>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</si>
  <si>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</si>
  <si>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</si>
  <si>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</si>
  <si>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</si>
  <si>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</si>
  <si>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</si>
  <si>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</si>
  <si>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</si>
  <si>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</si>
  <si>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</si>
  <si>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</si>
  <si>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</si>
  <si>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</si>
  <si>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</si>
  <si>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</si>
  <si>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</si>
  <si>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</si>
  <si>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</si>
  <si>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</si>
  <si>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</si>
  <si>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</si>
  <si>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</si>
  <si>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</si>
  <si>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</si>
  <si>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</si>
  <si>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</si>
  <si>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</si>
  <si>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</si>
  <si>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</si>
  <si>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</si>
  <si>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</si>
  <si>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</si>
  <si>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</si>
  <si>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</si>
  <si>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</si>
  <si>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</si>
  <si>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</si>
  <si>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</si>
  <si>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</si>
  <si>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</si>
  <si>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</si>
  <si>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</si>
  <si>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</si>
  <si>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</si>
  <si>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</si>
  <si>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</si>
  <si>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</si>
  <si>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</si>
  <si>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</si>
  <si>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</si>
  <si>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</si>
  <si>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</si>
  <si>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</si>
  <si>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</si>
  <si>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</si>
  <si>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</si>
  <si>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</si>
  <si>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</si>
  <si>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</si>
  <si>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</si>
  <si>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</si>
  <si>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</si>
  <si>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</si>
  <si>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</si>
  <si>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</si>
  <si>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</si>
  <si>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</si>
  <si>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</si>
  <si>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</si>
  <si>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</si>
  <si>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</si>
  <si>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</si>
  <si>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</si>
  <si>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</si>
  <si>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</si>
  <si>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</si>
  <si>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</si>
  <si>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</si>
  <si>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</si>
  <si>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</si>
  <si>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</si>
  <si>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</si>
  <si>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</si>
  <si>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</si>
  <si>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</si>
  <si>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</si>
  <si>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</si>
  <si>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</si>
  <si>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</si>
  <si>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</si>
  <si>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</si>
  <si>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</si>
  <si>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</si>
  <si>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</si>
  <si>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</si>
  <si>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</si>
  <si>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</si>
  <si>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</si>
  <si>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</si>
  <si>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</si>
  <si>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</si>
  <si>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</si>
  <si>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</si>
  <si>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</si>
  <si>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</si>
  <si>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</si>
  <si>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</si>
  <si>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</si>
  <si>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</si>
  <si>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</si>
  <si>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</si>
  <si>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</si>
  <si>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</si>
  <si>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</si>
  <si>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</si>
  <si>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</si>
  <si>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</si>
  <si>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</si>
  <si>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</si>
  <si>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</si>
  <si>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</si>
  <si>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</si>
  <si>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</si>
  <si>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</si>
  <si>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</si>
  <si>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</si>
  <si>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</si>
  <si>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</si>
  <si>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</si>
  <si>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</si>
  <si>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</si>
  <si>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</si>
  <si>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</si>
  <si>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</si>
  <si>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</si>
  <si>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</si>
  <si>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</si>
  <si>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</si>
  <si>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</si>
  <si>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</si>
  <si>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</si>
  <si>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</si>
  <si>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</si>
  <si>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</si>
  <si>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</si>
  <si>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</si>
  <si>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</si>
  <si>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</si>
  <si>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</si>
  <si>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</si>
  <si>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</si>
  <si>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</si>
  <si>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</si>
  <si>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</si>
  <si>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</si>
  <si>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</si>
  <si>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</si>
  <si>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</si>
  <si>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</si>
  <si>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</si>
  <si>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</si>
  <si>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</si>
  <si>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</si>
  <si>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</si>
  <si>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</si>
  <si>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</si>
  <si>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</si>
  <si>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</si>
  <si>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</si>
  <si>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</si>
  <si>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</si>
  <si>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</si>
  <si>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</si>
  <si>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</si>
  <si>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</si>
  <si>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</si>
  <si>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</si>
  <si>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</si>
  <si>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</si>
  <si>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</si>
  <si>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</si>
  <si>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</si>
  <si>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</si>
  <si>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</si>
  <si>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</si>
  <si>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</si>
  <si>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</si>
  <si>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</si>
  <si>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</si>
  <si>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</si>
  <si>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</si>
  <si>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</si>
  <si>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</si>
  <si>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</si>
  <si>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</si>
  <si>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</si>
  <si>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</si>
  <si>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</si>
  <si>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</si>
  <si>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</si>
  <si>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</si>
  <si>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</si>
  <si>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</si>
  <si>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</si>
  <si>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</si>
  <si>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</si>
  <si>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</si>
  <si>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</si>
  <si>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</si>
  <si>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</si>
  <si>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</si>
  <si>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</si>
  <si>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</si>
  <si>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</si>
  <si>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</si>
  <si>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</si>
  <si>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</si>
  <si>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</si>
  <si>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</si>
  <si>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</si>
  <si>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</si>
  <si>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</si>
  <si>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</si>
  <si>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</si>
  <si>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</si>
  <si>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</si>
  <si>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</si>
  <si>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</si>
  <si>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</si>
  <si>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</si>
  <si>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</si>
  <si>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</si>
  <si>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</si>
  <si>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</si>
  <si>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</si>
  <si>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</si>
  <si>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</si>
  <si>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</si>
  <si>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</si>
  <si>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</si>
  <si>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</si>
  <si>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</si>
  <si>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</si>
  <si>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</si>
  <si>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</si>
  <si>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</si>
  <si>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</si>
  <si>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</si>
  <si>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</si>
  <si>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</si>
  <si>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</si>
  <si>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</si>
  <si>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</si>
  <si>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</si>
  <si>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</si>
  <si>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</si>
  <si>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</si>
  <si>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</si>
  <si>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</si>
  <si>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</si>
  <si>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</si>
  <si>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</si>
  <si>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</si>
  <si>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</si>
  <si>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</si>
  <si>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</si>
  <si>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</si>
  <si>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</si>
  <si>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</si>
  <si>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</si>
  <si>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</si>
  <si>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</si>
  <si>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</si>
  <si>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</si>
  <si>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</si>
  <si>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</si>
  <si>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</si>
  <si>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</si>
  <si>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</si>
  <si>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</si>
  <si>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</si>
  <si>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</si>
  <si>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</si>
  <si>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</si>
  <si>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</si>
  <si>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</si>
  <si>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</si>
  <si>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</si>
  <si>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</si>
  <si>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</si>
  <si>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</si>
  <si>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</si>
  <si>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</si>
  <si>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</si>
  <si>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</si>
  <si>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</si>
  <si>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</si>
  <si>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</si>
  <si>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</si>
  <si>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</si>
  <si>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</si>
  <si>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</si>
  <si>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</si>
  <si>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</si>
  <si>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</si>
  <si>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</si>
  <si>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</si>
  <si>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</si>
  <si>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</si>
  <si>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</si>
  <si>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</si>
  <si>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</si>
  <si>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</si>
  <si>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</si>
  <si>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</si>
  <si>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</si>
  <si>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</si>
  <si>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</si>
  <si>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</si>
  <si>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</si>
  <si>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</si>
  <si>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</si>
  <si>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</si>
  <si>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</si>
  <si>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</si>
  <si>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</si>
  <si>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</si>
  <si>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</si>
  <si>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</si>
  <si>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</si>
  <si>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</si>
  <si>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</si>
  <si>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</si>
  <si>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</si>
  <si>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</si>
  <si>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</si>
  <si>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</si>
  <si>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</si>
  <si>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</si>
  <si>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</si>
  <si>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</si>
  <si>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</si>
  <si>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</si>
  <si>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</si>
  <si>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</si>
  <si>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</si>
  <si>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</si>
  <si>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</si>
  <si>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</si>
  <si>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</si>
  <si>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</si>
  <si>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</si>
  <si>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</si>
  <si>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</si>
  <si>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</si>
  <si>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</si>
  <si>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</si>
  <si>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</si>
  <si>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</si>
  <si>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</si>
  <si>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</si>
  <si>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</si>
  <si>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</si>
  <si>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</si>
  <si>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</si>
  <si>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</si>
  <si>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</si>
  <si>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</si>
  <si>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</si>
  <si>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</si>
  <si>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</si>
  <si>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</si>
  <si>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</si>
  <si>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</si>
  <si>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</si>
  <si>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</si>
  <si>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</si>
  <si>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</si>
  <si>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</si>
  <si>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</si>
  <si>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</si>
  <si>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</si>
  <si>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</si>
  <si>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</si>
  <si>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</si>
  <si>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</si>
  <si>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</si>
  <si>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</si>
  <si>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</si>
  <si>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</si>
  <si>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</si>
  <si>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</si>
  <si>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</si>
  <si>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</si>
  <si>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</si>
  <si>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</si>
  <si>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</si>
  <si>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</si>
  <si>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</si>
  <si>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</si>
  <si>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</si>
  <si>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</si>
  <si>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</si>
  <si>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</si>
  <si>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</si>
  <si>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</si>
  <si>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</si>
  <si>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</si>
  <si>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</si>
  <si>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</si>
  <si>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</si>
  <si>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</si>
  <si>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</si>
  <si>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</si>
  <si>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</si>
  <si>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</si>
  <si>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</si>
  <si>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</si>
  <si>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</si>
  <si>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</si>
  <si>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</si>
  <si>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</si>
  <si>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</si>
  <si>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</si>
  <si>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</si>
  <si>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</si>
  <si>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</si>
  <si>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</si>
  <si>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</si>
  <si>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</si>
  <si>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</si>
  <si>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</si>
  <si>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</si>
  <si>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</si>
  <si>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</si>
  <si>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</si>
  <si>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</si>
  <si>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</si>
  <si>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</si>
  <si>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</si>
  <si>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</si>
  <si>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</si>
  <si>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</si>
  <si>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</si>
  <si>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</si>
  <si>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</si>
  <si>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</si>
  <si>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</si>
  <si>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</si>
  <si>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</si>
  <si>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</si>
  <si>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</si>
  <si>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</si>
  <si>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</si>
  <si>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</si>
  <si>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</si>
  <si>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</si>
  <si>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</si>
  <si>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</si>
  <si>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</si>
  <si>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</si>
  <si>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</si>
  <si>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</si>
  <si>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</si>
  <si>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</si>
  <si>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</si>
  <si>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</si>
  <si>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</si>
  <si>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</si>
  <si>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</si>
  <si>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</si>
  <si>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</si>
  <si>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</si>
  <si>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</si>
  <si>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</si>
  <si>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</si>
  <si>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</si>
  <si>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</si>
  <si>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</si>
  <si>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</si>
  <si>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</si>
  <si>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</si>
  <si>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</si>
  <si>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</si>
  <si>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</si>
  <si>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</si>
  <si>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</si>
  <si>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</si>
  <si>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</si>
  <si>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</si>
  <si>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</si>
  <si>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</si>
  <si>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</si>
  <si>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</si>
  <si>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</si>
  <si>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</si>
  <si>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</si>
  <si>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</si>
  <si>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</si>
  <si>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</si>
  <si>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</si>
  <si>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</si>
  <si>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</si>
  <si>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</si>
  <si>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</si>
  <si>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</si>
  <si>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</si>
  <si>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</si>
  <si>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</si>
  <si>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</si>
  <si>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</si>
  <si>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</si>
  <si>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</si>
  <si>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</si>
  <si>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</si>
  <si>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</si>
  <si>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</si>
  <si>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</si>
  <si>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</si>
  <si>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</si>
  <si>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</si>
  <si>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</si>
  <si>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</si>
  <si>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</si>
  <si>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</si>
  <si>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</si>
  <si>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</si>
  <si>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</si>
  <si>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</si>
  <si>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</si>
  <si>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</si>
  <si>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</si>
  <si>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</si>
  <si>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</si>
  <si>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</si>
  <si>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</si>
  <si>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</si>
  <si>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</si>
  <si>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</si>
  <si>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</si>
  <si>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</si>
  <si>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</si>
  <si>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</si>
  <si>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</si>
  <si>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</si>
  <si>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</si>
  <si>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</si>
  <si>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</si>
  <si>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</si>
  <si>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</si>
  <si>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</si>
  <si>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</si>
  <si>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</si>
  <si>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</si>
  <si>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</si>
  <si>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</si>
  <si>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</si>
  <si>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</si>
  <si>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</si>
  <si>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</si>
  <si>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</si>
  <si>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</si>
  <si>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</si>
  <si>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</si>
  <si>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</si>
  <si>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</si>
  <si>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</si>
  <si>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</si>
  <si>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</si>
  <si>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</si>
  <si>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</si>
  <si>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</si>
  <si>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</si>
  <si>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</si>
  <si>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</si>
  <si>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</si>
  <si>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</si>
  <si>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</si>
  <si>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</si>
  <si>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</si>
  <si>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</si>
  <si>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</si>
  <si>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</si>
  <si>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</si>
  <si>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</si>
  <si>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</si>
  <si>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</si>
  <si>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</si>
  <si>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</si>
  <si>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</si>
  <si>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</si>
  <si>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</si>
  <si>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</si>
  <si>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</si>
  <si>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</si>
  <si>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</si>
  <si>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</si>
  <si>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</si>
  <si>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</si>
  <si>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</si>
  <si>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</si>
  <si>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</si>
  <si>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</si>
  <si>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</si>
  <si>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</si>
  <si>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</si>
  <si>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</si>
  <si>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</si>
  <si>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</si>
  <si>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</si>
  <si>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</si>
  <si>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</si>
  <si>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</si>
  <si>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</si>
  <si>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</si>
  <si>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</si>
  <si>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</si>
  <si>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</si>
  <si>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</si>
  <si>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</si>
  <si>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</si>
  <si>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</si>
  <si>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</si>
  <si>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</si>
  <si>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</si>
  <si>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</si>
  <si>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</si>
  <si>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</si>
  <si>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</si>
  <si>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</si>
  <si>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</si>
  <si>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</si>
  <si>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</si>
  <si>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</si>
  <si>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</si>
  <si>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</si>
  <si>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</si>
  <si>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</si>
  <si>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</si>
  <si>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</si>
  <si>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</si>
  <si>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</si>
  <si>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</si>
  <si>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</si>
  <si>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</si>
  <si>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</si>
  <si>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</si>
  <si>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</si>
  <si>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</si>
  <si>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</si>
  <si>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</si>
  <si>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</si>
  <si>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</si>
  <si>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</si>
  <si>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</si>
  <si>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</si>
  <si>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</si>
  <si>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</si>
  <si>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</si>
  <si>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</si>
  <si>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</si>
  <si>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</si>
  <si>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</si>
  <si>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</si>
  <si>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</si>
  <si>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</si>
  <si>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</si>
  <si>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</si>
  <si>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</si>
  <si>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</si>
  <si>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</si>
  <si>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</si>
  <si>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</si>
  <si>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</si>
  <si>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</si>
  <si>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</si>
  <si>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</si>
  <si>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</si>
  <si>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</si>
  <si>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</si>
  <si>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</si>
  <si>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</si>
  <si>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</si>
  <si>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</si>
  <si>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</si>
  <si>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</si>
  <si>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</si>
  <si>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</si>
  <si>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</si>
  <si>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</si>
  <si>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</si>
  <si>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</si>
  <si>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</si>
  <si>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</si>
  <si>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</si>
  <si>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</si>
  <si>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</si>
  <si>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</si>
  <si>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</si>
  <si>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</si>
  <si>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</si>
  <si>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</si>
  <si>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</si>
  <si>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</si>
  <si>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</si>
  <si>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</si>
  <si>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</si>
  <si>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</si>
  <si>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</si>
  <si>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</si>
  <si>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</si>
  <si>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</si>
  <si>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</si>
  <si>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</si>
  <si>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</si>
  <si>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</si>
  <si>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</si>
  <si>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</si>
  <si>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</si>
  <si>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</si>
  <si>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</si>
  <si>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</si>
  <si>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</si>
  <si>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</si>
  <si>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</si>
  <si>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</si>
  <si>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</si>
  <si>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</si>
  <si>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</si>
  <si>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</si>
  <si>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</si>
  <si>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</si>
  <si>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</si>
  <si>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</si>
  <si>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</si>
  <si>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</si>
  <si>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</si>
  <si>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</si>
  <si>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</si>
  <si>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</si>
  <si>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</si>
  <si>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</si>
  <si>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</si>
  <si>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</si>
  <si>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</si>
  <si>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</si>
  <si>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</si>
  <si>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</si>
  <si>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</si>
  <si>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</si>
  <si>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</si>
  <si>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</si>
  <si>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</si>
  <si>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</si>
  <si>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</si>
  <si>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</si>
  <si>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</si>
  <si>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</si>
  <si>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</si>
  <si>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</si>
  <si>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</si>
  <si>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</si>
  <si>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</si>
  <si>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</si>
  <si>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</si>
  <si>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</si>
  <si>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</si>
  <si>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</si>
  <si>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</si>
  <si>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</si>
  <si>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</si>
  <si>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</si>
  <si>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</si>
  <si>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</si>
  <si>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</si>
  <si>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</si>
  <si>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</si>
  <si>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</si>
  <si>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</si>
  <si>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</si>
  <si>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</si>
  <si>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</si>
  <si>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</si>
  <si>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</si>
  <si>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</si>
  <si>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</si>
  <si>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</si>
  <si>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</si>
  <si>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</si>
  <si>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</si>
  <si>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</si>
  <si>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</si>
  <si>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</si>
  <si>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</si>
  <si>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</si>
  <si>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</si>
  <si>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</si>
  <si>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</si>
  <si>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</si>
  <si>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</si>
  <si>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</si>
  <si>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</si>
  <si>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</si>
  <si>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</si>
  <si>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</si>
  <si>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</si>
  <si>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</si>
  <si>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</si>
  <si>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</si>
  <si>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</si>
  <si>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</si>
  <si>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</si>
  <si>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</si>
  <si>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</si>
  <si>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</si>
  <si>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</si>
  <si>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</si>
  <si>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</si>
  <si>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</si>
  <si>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</si>
  <si>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</si>
  <si>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</si>
  <si>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</si>
  <si>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</si>
  <si>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</si>
  <si>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</si>
  <si>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</si>
  <si>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</si>
  <si>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</si>
  <si>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</si>
  <si>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</si>
  <si>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</si>
  <si>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</si>
  <si>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</si>
  <si>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</si>
  <si>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</si>
  <si>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</si>
  <si>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</si>
  <si>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</si>
  <si>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</si>
  <si>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</si>
  <si>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</si>
  <si>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</si>
  <si>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</si>
  <si>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</si>
  <si>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</si>
  <si>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</si>
  <si>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</si>
  <si>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</si>
  <si>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</si>
  <si>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</si>
  <si>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</si>
  <si>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</si>
  <si>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</si>
  <si>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</si>
  <si>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</si>
  <si>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</si>
  <si>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</si>
  <si>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</si>
  <si>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</si>
  <si>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</si>
  <si>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</si>
  <si>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</si>
  <si>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</si>
  <si>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</si>
  <si>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</si>
  <si>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</si>
  <si>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</si>
  <si>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</si>
  <si>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</si>
  <si>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</si>
  <si>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</si>
  <si>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</si>
  <si>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</si>
  <si>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</si>
  <si>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</si>
  <si>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</si>
  <si>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</si>
  <si>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</si>
  <si>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</si>
  <si>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</si>
  <si>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</si>
  <si>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</si>
  <si>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</si>
  <si>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</si>
  <si>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</si>
  <si>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</si>
  <si>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</si>
  <si>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</si>
  <si>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</si>
  <si>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</si>
  <si>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</si>
  <si>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</si>
  <si>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</si>
  <si>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</si>
  <si>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</si>
  <si>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</si>
  <si>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</si>
  <si>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</si>
  <si>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</si>
  <si>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</si>
  <si>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</si>
  <si>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</si>
  <si>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</si>
  <si>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</si>
  <si>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</si>
  <si>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</si>
  <si>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</si>
  <si>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</si>
  <si>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</si>
  <si>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</si>
  <si>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</si>
  <si>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</si>
  <si>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</si>
  <si>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</si>
  <si>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</si>
  <si>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</si>
  <si>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</si>
  <si>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</si>
  <si>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</si>
  <si>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</si>
  <si>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</si>
  <si>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</si>
  <si>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</si>
  <si>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</si>
  <si>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</si>
  <si>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</si>
  <si>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</si>
  <si>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</si>
  <si>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</si>
  <si>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</si>
  <si>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</si>
  <si>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</si>
  <si>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</si>
  <si>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</si>
  <si>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</si>
  <si>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</si>
  <si>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</si>
  <si>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</si>
  <si>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</si>
  <si>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</si>
  <si>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</si>
  <si>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</si>
  <si>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</si>
  <si>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</si>
  <si>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</si>
  <si>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</si>
  <si>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</si>
  <si>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</si>
  <si>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</si>
  <si>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</si>
  <si>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</si>
  <si>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</si>
  <si>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</si>
  <si>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</si>
  <si>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</si>
  <si>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</si>
  <si>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</si>
  <si>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</si>
  <si>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</si>
  <si>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</si>
  <si>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</si>
  <si>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</si>
  <si>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</si>
  <si>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</si>
  <si>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</si>
  <si>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</si>
  <si>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</si>
  <si>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</si>
  <si>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</si>
  <si>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</si>
  <si>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</si>
  <si>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</si>
  <si>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</si>
  <si>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</si>
  <si>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</si>
  <si>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</si>
  <si>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</si>
  <si>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</si>
  <si>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</si>
  <si>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</si>
  <si>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</si>
  <si>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</si>
  <si>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</si>
  <si>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</si>
  <si>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</si>
  <si>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</si>
  <si>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</si>
  <si>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</si>
  <si>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</si>
  <si>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</si>
  <si>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</si>
  <si>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</si>
  <si>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</si>
  <si>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</si>
  <si>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</si>
  <si>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</si>
  <si>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</si>
  <si>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</si>
  <si>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</si>
  <si>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</si>
  <si>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</si>
  <si>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</si>
  <si>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</si>
  <si>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</si>
  <si>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</si>
  <si>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</si>
  <si>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</si>
  <si>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</si>
  <si>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</si>
  <si>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</si>
  <si>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</si>
  <si>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</si>
  <si>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</si>
  <si>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</si>
  <si>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</si>
  <si>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</si>
  <si>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</si>
  <si>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</si>
  <si>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</si>
  <si>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</si>
  <si>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</si>
  <si>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</si>
  <si>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</si>
  <si>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</si>
  <si>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</si>
  <si>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</si>
  <si>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</si>
  <si>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</si>
  <si>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</si>
  <si>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</si>
  <si>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</si>
  <si>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</si>
  <si>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</si>
  <si>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</si>
  <si>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</si>
  <si>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2.1</t>
  </si>
  <si>
    <t>RIGIDEZ DO ELEMENTO ISOLADO PRÉ-FABRICADO</t>
  </si>
  <si>
    <t>fn</t>
  </si>
  <si>
    <t>Hz</t>
  </si>
  <si>
    <t>Ei</t>
  </si>
  <si>
    <t>kN.m²</t>
  </si>
  <si>
    <t>*Módulo de elasticidade pelo momento de inércia</t>
  </si>
  <si>
    <t>K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</si>
  <si>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</si>
  <si>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</si>
  <si>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</si>
  <si>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</si>
  <si>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</si>
  <si>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K limite</t>
  </si>
  <si>
    <t>Situação:</t>
  </si>
  <si>
    <t>2.3</t>
  </si>
  <si>
    <t>RIGIDEZ TOTAL DO PANO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</si>
  <si>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</si>
  <si>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</si>
  <si>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</si>
  <si>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</si>
  <si>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</si>
  <si>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</si>
  <si>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</si>
  <si>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</si>
  <si>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</si>
  <si>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</si>
  <si>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</si>
  <si>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</si>
  <si>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</si>
  <si>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</si>
  <si>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</si>
  <si>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</si>
  <si>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</si>
  <si>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</si>
  <si>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</si>
  <si>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</si>
  <si>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5.</t>
  </si>
  <si>
    <t>SENSIBILIDADE DA FREQUÊNCIA NATURAL AO VÃO (L)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</si>
  <si>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</si>
  <si>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</si>
  <si>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</si>
  <si>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</si>
  <si>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</si>
  <si>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</si>
  <si>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</si>
  <si>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</si>
  <si>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</si>
  <si>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</si>
  <si>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</si>
  <si>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</si>
  <si>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</si>
  <si>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</si>
  <si>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</si>
  <si>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</si>
  <si>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</si>
  <si>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</si>
  <si>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</si>
  <si>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</si>
  <si>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</si>
  <si>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</si>
  <si>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</si>
  <si>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</si>
  <si>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</si>
  <si>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</si>
  <si>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</si>
  <si>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</si>
  <si>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</si>
  <si>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</si>
  <si>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</si>
  <si>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</si>
  <si>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</si>
  <si>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</si>
  <si>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</si>
  <si>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</si>
  <si>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</si>
  <si>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</si>
  <si>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</si>
  <si>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</si>
  <si>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</si>
  <si>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</si>
  <si>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</si>
  <si>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</si>
  <si>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</si>
  <si>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</si>
  <si>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</si>
  <si>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</si>
  <si>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</si>
  <si>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</si>
  <si>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</si>
  <si>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</si>
  <si>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</si>
  <si>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</si>
  <si>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</si>
  <si>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</si>
  <si>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t>Bisseção determinística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</si>
  <si>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</si>
  <si>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</si>
  <si>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</si>
  <si>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</si>
  <si>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</si>
  <si>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</si>
  <si>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</si>
  <si>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</si>
  <si>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</si>
  <si>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</si>
  <si>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</si>
  <si>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</si>
  <si>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</si>
  <si>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</si>
  <si>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</si>
  <si>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</si>
  <si>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</si>
  <si>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</si>
  <si>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</si>
  <si>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</si>
  <si>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</si>
  <si>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</si>
  <si>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</si>
  <si>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</si>
  <si>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</si>
  <si>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</si>
  <si>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</si>
  <si>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</si>
  <si>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</si>
  <si>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</si>
  <si>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</si>
  <si>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</si>
  <si>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</si>
  <si>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</si>
  <si>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</si>
  <si>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</si>
  <si>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</si>
  <si>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</si>
  <si>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</si>
  <si>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</si>
  <si>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</si>
  <si>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</si>
  <si>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</si>
  <si>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</si>
  <si>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</si>
  <si>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</si>
  <si>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</si>
  <si>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</si>
  <si>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</si>
  <si>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</si>
  <si>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</si>
  <si>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</si>
  <si>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</si>
  <si>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</si>
  <si>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</si>
  <si>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</si>
  <si>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</si>
  <si>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</si>
  <si>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</si>
  <si>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</si>
  <si>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</si>
  <si>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</si>
  <si>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</si>
  <si>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</si>
  <si>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</si>
  <si>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</si>
  <si>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</si>
  <si>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</si>
  <si>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</si>
  <si>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</si>
  <si>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</si>
  <si>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</si>
  <si>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</si>
  <si>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</si>
  <si>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</si>
  <si>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</si>
  <si>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</si>
  <si>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</si>
  <si>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</si>
  <si>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</si>
  <si>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</si>
  <si>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</si>
  <si>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</si>
  <si>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</si>
  <si>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</si>
  <si>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</si>
  <si>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</si>
  <si>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</si>
  <si>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</si>
  <si>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</si>
  <si>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</si>
  <si>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</si>
  <si>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</si>
  <si>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</si>
  <si>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</si>
  <si>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</si>
  <si>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</si>
  <si>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</si>
  <si>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</si>
  <si>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</si>
  <si>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</si>
  <si>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</si>
  <si>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</si>
  <si>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</si>
  <si>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</si>
  <si>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</si>
  <si>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</si>
  <si>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</si>
  <si>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</si>
  <si>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</si>
  <si>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</si>
  <si>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</si>
  <si>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</si>
  <si>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</si>
  <si>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</si>
  <si>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</si>
  <si>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</si>
  <si>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</si>
  <si>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</si>
  <si>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</si>
  <si>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</si>
  <si>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</si>
  <si>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</si>
  <si>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</si>
  <si>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</si>
  <si>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</si>
  <si>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</si>
  <si>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</si>
  <si>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</si>
  <si>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</si>
  <si>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</si>
  <si>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</si>
  <si>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</si>
  <si>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</si>
  <si>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</si>
  <si>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</si>
  <si>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</si>
  <si>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</si>
  <si>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</si>
  <si>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</si>
  <si>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</si>
  <si>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</si>
  <si>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</si>
  <si>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</si>
  <si>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</si>
  <si>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</si>
  <si>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</si>
  <si>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</si>
  <si>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</si>
  <si>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</si>
  <si>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</si>
  <si>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</si>
  <si>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</si>
  <si>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</si>
  <si>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</si>
  <si>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</si>
  <si>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</si>
  <si>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</si>
  <si>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</si>
  <si>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</si>
  <si>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</si>
  <si>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</si>
  <si>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</si>
  <si>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</si>
  <si>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</si>
  <si>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</si>
  <si>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</si>
  <si>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</si>
  <si>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</si>
  <si>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</si>
  <si>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</si>
  <si>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</si>
  <si>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</si>
  <si>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</si>
  <si>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</si>
  <si>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</si>
  <si>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</si>
  <si>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</si>
  <si>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</si>
  <si>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</si>
  <si>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</si>
  <si>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</si>
  <si>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</si>
  <si>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</si>
  <si>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</si>
  <si>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</si>
  <si>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</si>
  <si>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</si>
  <si>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</si>
  <si>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</si>
  <si>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</si>
  <si>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</si>
  <si>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</si>
  <si>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</si>
  <si>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</si>
  <si>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</si>
  <si>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</si>
  <si>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</si>
  <si>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</si>
  <si>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</si>
  <si>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</si>
  <si>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</si>
  <si>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</si>
  <si>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</si>
  <si>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</si>
  <si>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</si>
  <si>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</si>
  <si>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</si>
  <si>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</si>
  <si>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</si>
  <si>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</si>
  <si>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</si>
  <si>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</si>
  <si>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</si>
  <si>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</si>
  <si>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</si>
  <si>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</si>
  <si>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</si>
  <si>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</si>
  <si>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</si>
  <si>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</si>
  <si>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</si>
  <si>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</si>
  <si>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</si>
  <si>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</si>
  <si>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</si>
  <si>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</si>
  <si>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</si>
  <si>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</si>
  <si>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</si>
  <si>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</si>
  <si>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</si>
  <si>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</si>
  <si>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</si>
  <si>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</si>
  <si>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</si>
  <si>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</si>
  <si>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</si>
  <si>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</si>
  <si>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</si>
  <si>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</si>
  <si>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</si>
  <si>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</si>
  <si>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</si>
  <si>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</si>
  <si>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</si>
  <si>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</si>
  <si>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</si>
  <si>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</si>
  <si>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</si>
  <si>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</si>
  <si>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</si>
  <si>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</si>
  <si>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</si>
  <si>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</si>
  <si>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</si>
  <si>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</si>
  <si>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</si>
  <si>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</si>
  <si>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</si>
  <si>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</si>
  <si>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</si>
  <si>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</si>
  <si>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</si>
  <si>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</si>
  <si>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</si>
  <si>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</si>
  <si>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</si>
  <si>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</si>
  <si>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</si>
  <si>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</si>
  <si>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</si>
  <si>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</si>
  <si>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</si>
  <si>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</si>
  <si>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</si>
  <si>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</si>
  <si>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</si>
  <si>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</si>
  <si>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</si>
  <si>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</si>
  <si>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</si>
  <si>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</si>
  <si>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</si>
  <si>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</si>
  <si>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</si>
  <si>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</si>
  <si>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</si>
  <si>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</si>
  <si>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</si>
  <si>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</si>
  <si>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</si>
  <si>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</si>
  <si>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</si>
  <si>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</si>
  <si>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</si>
  <si>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</si>
  <si>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</si>
  <si>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</si>
  <si>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</si>
  <si>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</si>
  <si>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</si>
  <si>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</si>
  <si>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</si>
  <si>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</si>
  <si>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</si>
  <si>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</si>
  <si>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</si>
  <si>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</si>
  <si>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</si>
  <si>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</si>
  <si>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</si>
  <si>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</si>
  <si>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</si>
  <si>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</si>
  <si>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</si>
  <si>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</si>
  <si>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</si>
  <si>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</si>
  <si>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</si>
  <si>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</si>
  <si>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</si>
  <si>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</si>
  <si>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</si>
  <si>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</si>
  <si>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</si>
  <si>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</si>
  <si>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</si>
  <si>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</si>
  <si>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</si>
  <si>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</si>
  <si>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</si>
  <si>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</si>
  <si>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</si>
  <si>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</si>
  <si>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</si>
  <si>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</si>
  <si>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</si>
  <si>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</si>
  <si>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</si>
  <si>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</si>
  <si>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</si>
  <si>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</si>
  <si>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</si>
  <si>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</si>
  <si>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</si>
  <si>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</si>
  <si>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</si>
  <si>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</si>
  <si>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</si>
  <si>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</si>
  <si>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</si>
  <si>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</si>
  <si>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</si>
  <si>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</si>
  <si>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</si>
  <si>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</si>
  <si>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</si>
  <si>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</si>
  <si>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</si>
  <si>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</si>
  <si>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</si>
  <si>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</si>
  <si>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</si>
  <si>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</si>
  <si>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</si>
  <si>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</si>
  <si>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</si>
  <si>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</si>
  <si>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</si>
  <si>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</si>
  <si>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</si>
  <si>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</si>
  <si>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</si>
  <si>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</si>
  <si>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</si>
  <si>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</si>
  <si>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</si>
  <si>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</si>
  <si>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</si>
  <si>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</si>
  <si>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</si>
  <si>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</si>
  <si>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</si>
  <si>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</si>
  <si>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</si>
  <si>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</si>
  <si>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</si>
  <si>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</si>
  <si>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</si>
  <si>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</si>
  <si>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</si>
  <si>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</si>
  <si>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</si>
  <si>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</si>
  <si>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</si>
  <si>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</si>
  <si>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</si>
  <si>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</si>
  <si>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</si>
  <si>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</si>
  <si>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</si>
  <si>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</si>
  <si>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</si>
  <si>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</si>
  <si>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</si>
  <si>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</si>
  <si>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</si>
  <si>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</si>
  <si>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</si>
  <si>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</si>
  <si>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</si>
  <si>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</si>
  <si>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</si>
  <si>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</si>
  <si>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</si>
  <si>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</si>
  <si>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</si>
  <si>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</si>
  <si>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</si>
  <si>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</si>
  <si>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</si>
  <si>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</si>
  <si>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</si>
  <si>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</si>
  <si>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</si>
  <si>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</si>
  <si>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</si>
  <si>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</si>
  <si>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</si>
  <si>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</si>
  <si>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</si>
  <si>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</si>
  <si>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</si>
  <si>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</si>
  <si>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</si>
  <si>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</si>
  <si>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</si>
  <si>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</si>
  <si>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</si>
  <si>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</si>
  <si>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</si>
  <si>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</si>
  <si>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</si>
  <si>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</si>
  <si>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</si>
  <si>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</si>
  <si>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</si>
  <si>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</si>
  <si>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</si>
  <si>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</si>
  <si>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</si>
  <si>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</si>
  <si>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</si>
  <si>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</si>
  <si>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</si>
  <si>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</si>
  <si>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</si>
  <si>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</si>
  <si>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</si>
  <si>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</si>
  <si>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</si>
  <si>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</si>
  <si>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</si>
  <si>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</si>
  <si>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</si>
  <si>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</si>
  <si>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</si>
  <si>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</si>
  <si>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</si>
  <si>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</si>
  <si>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</si>
  <si>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</si>
  <si>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</si>
  <si>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</si>
  <si>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</si>
  <si>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</si>
  <si>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</si>
  <si>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</si>
  <si>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</si>
  <si>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</si>
  <si>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</si>
  <si>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</si>
  <si>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</si>
  <si>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</si>
  <si>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</si>
  <si>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</si>
  <si>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</si>
  <si>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</si>
  <si>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</si>
  <si>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</si>
  <si>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</si>
  <si>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</si>
  <si>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</si>
  <si>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</si>
  <si>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</si>
  <si>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</si>
  <si>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</si>
  <si>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</si>
  <si>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</si>
  <si>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</si>
  <si>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</si>
  <si>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</si>
  <si>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</si>
  <si>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</si>
  <si>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</si>
  <si>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</si>
  <si>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</si>
  <si>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</si>
  <si>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</si>
  <si>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</si>
  <si>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</si>
  <si>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</si>
  <si>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</si>
  <si>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</si>
  <si>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</si>
  <si>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</si>
  <si>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</si>
  <si>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</si>
  <si>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</si>
  <si>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</si>
  <si>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</si>
  <si>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</si>
  <si>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</si>
  <si>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</si>
  <si>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</si>
  <si>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</si>
  <si>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</si>
  <si>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</si>
  <si>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</si>
  <si>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</si>
  <si>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</si>
  <si>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</si>
  <si>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</si>
  <si>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</si>
  <si>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</si>
  <si>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</si>
  <si>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</si>
  <si>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</si>
  <si>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</si>
  <si>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</si>
  <si>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</si>
  <si>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</si>
  <si>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</si>
  <si>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</si>
  <si>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</si>
  <si>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</si>
  <si>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</si>
  <si>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</si>
  <si>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</si>
  <si>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</si>
  <si>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</si>
  <si>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</si>
  <si>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</si>
  <si>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</si>
  <si>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</si>
  <si>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</si>
  <si>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</si>
  <si>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</si>
  <si>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</si>
  <si>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</si>
  <si>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</si>
  <si>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</si>
  <si>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</si>
  <si>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</si>
  <si>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</si>
  <si>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</si>
  <si>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</si>
  <si>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</si>
  <si>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</si>
  <si>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</si>
  <si>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</si>
  <si>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</si>
  <si>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</si>
  <si>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</si>
  <si>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</si>
  <si>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</si>
  <si>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</si>
  <si>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</si>
  <si>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</si>
  <si>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</si>
  <si>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</si>
  <si>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</si>
  <si>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</si>
  <si>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</si>
  <si>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</si>
  <si>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</si>
  <si>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</si>
  <si>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</si>
  <si>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</si>
  <si>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</si>
  <si>
    <t>*fck de referência: a seção composta é homogeneizada para o concreto da laje (item 8)</t>
  </si>
  <si>
    <t>*Rigidez estática para carga uniformemente distribuída (carga total / flecha no meio do vão = 384EI/5L³). Para força concentrada no centro seria 48EI/L³. Considerando bi-apoiada</t>
  </si>
  <si>
    <t>*Frequência natural do elemento, com o engastamento semirrígido dos apoios (×R, item 2.2b)</t>
  </si>
  <si>
    <t>*Valor limite adotado com base em obra anterior (piso de fábrica de papel) - critério de projeto, não normativo</t>
  </si>
  <si>
    <t>*Frequência natural do pano, com o engastamento semirrígido dos apoios (×R, item 2.2b)</t>
  </si>
  <si>
    <t>*Cada tabela varia o vão L mantendo fixas as demais propriedades (Ecs, I, cargas, R), para ajuste de fn = a*L^b. Tabelas 5.2 e 5.3 incluem o engastamento semirrígido (×R)</t>
  </si>
  <si>
    <t>*Multiplicador sobre a frequência biapoiada = (u/π)². Sobre a rigidez modal equivaleria a (u/π)⁴</t>
  </si>
  <si>
    <t>7.</t>
  </si>
  <si>
    <t>w</t>
  </si>
  <si>
    <t>fviga</t>
  </si>
  <si>
    <t>*Critério: ap/g = P0·e^(−0,35·fn) / (β·W) ≤ a0/g. Vale para fn &lt; 9 Hz; acima disso a caminhada não entra em ressonância e o critério passa a ser a rigidez a uma força concentrada (≥ 1 kN/mm).</t>
  </si>
  <si>
    <t>q,uso</t>
  </si>
  <si>
    <t>*Sobrecarga realmente presente no uso, e não a de projeto (AISC: ≈ 50 kgf/m² escritórios, ≈ 30 kgf/m² residências). Aqui mais massa reduz a aceleração, então usar a carga de projeto ficaria contra a segurança</t>
  </si>
  <si>
    <t>fn,ac</t>
  </si>
  <si>
    <t>Ds</t>
  </si>
  <si>
    <t>m⁴/m</t>
  </si>
  <si>
    <t>*Rigidez transversal por metro de largura: só a capa (conservador, as juntas entre lajes não transmitem flexão)</t>
  </si>
  <si>
    <t>Dj</t>
  </si>
  <si>
    <t>*Rigidez longitudinal por metro de largura: inércia da seção composta / largura da laje</t>
  </si>
  <si>
    <t>Cj</t>
  </si>
  <si>
    <t>*2,0 para painel no meio do piso; 1,0 para painel junto a uma borda livre (sem laje do outro lado)</t>
  </si>
  <si>
    <t>Bj</t>
  </si>
  <si>
    <t>*Largura efetiva do piso que vibra junto com o ponto excitado, limitada a 2/3 da largura do pano</t>
  </si>
  <si>
    <t>W</t>
  </si>
  <si>
    <t>*Peso efetivo que participa da vibração: carga por m² × Bj × L</t>
  </si>
  <si>
    <t>*Taxa de amortecimento: 0,02 laje sem acabamentos/divisórias; 0,03 com forro, instalações e mobiliário; 0,05 com divisórias até o teto</t>
  </si>
  <si>
    <t>P0</t>
  </si>
  <si>
    <t>*Amplitude da força de uma pessoa caminhando (AISC: 0,29 kN)</t>
  </si>
  <si>
    <t>ap/g</t>
  </si>
  <si>
    <t>%g</t>
  </si>
  <si>
    <t>*Aceleração de pico estimada, em % da gravidade</t>
  </si>
  <si>
    <t>a0/g</t>
  </si>
  <si>
    <t>*Limite (AISC Tab. 4.1): 0,5% escritórios, residências, escolas, igrejas; 1,5% shoppings e passarelas internas; 5% passarelas externas</t>
  </si>
  <si>
    <t>kpontual</t>
  </si>
  <si>
    <t>kN/mm</t>
  </si>
  <si>
    <t>*Rigidez a força concentrada no meio do vão de uma laje isolada (48EI/L³, conservador). Usada só quando fn ≥ 9 Hz: exige ≥ 1 kN/mm</t>
  </si>
  <si>
    <t>αE,laje</t>
  </si>
  <si>
    <t>αE,capa</t>
  </si>
  <si>
    <t>fck,chav</t>
  </si>
  <si>
    <t>αE,chav</t>
  </si>
  <si>
    <t>daf,isol</t>
  </si>
  <si>
    <t>Ecs,capa</t>
  </si>
  <si>
    <t>Ecs,chav</t>
  </si>
  <si>
    <t>n,capa</t>
  </si>
  <si>
    <t>n,chav</t>
  </si>
  <si>
    <t>y,pré</t>
  </si>
  <si>
    <t>m⁴</t>
  </si>
  <si>
    <t>A,capa</t>
  </si>
  <si>
    <t>y,capa</t>
  </si>
  <si>
    <t>I,capa</t>
  </si>
  <si>
    <t>A,chav</t>
  </si>
  <si>
    <t>y,chav</t>
  </si>
  <si>
    <t>I,chav</t>
  </si>
  <si>
    <t>A,hom</t>
  </si>
  <si>
    <t>y,hom</t>
  </si>
  <si>
    <t>I,hom</t>
  </si>
  <si>
    <t>A,real</t>
  </si>
  <si>
    <t>cm²/m</t>
  </si>
  <si>
    <t>kN.m/rad</t>
  </si>
  <si>
    <t>As,malha</t>
  </si>
  <si>
    <t>φ,malha</t>
  </si>
  <si>
    <t>As,esq</t>
  </si>
  <si>
    <t>φ,esq</t>
  </si>
  <si>
    <t>As,dir</t>
  </si>
  <si>
    <t>φ,dir</t>
  </si>
  <si>
    <t>Rsec,esq</t>
  </si>
  <si>
    <t>Rsec,dir</t>
  </si>
  <si>
    <t>αR,esq</t>
  </si>
  <si>
    <t>αR,dir</t>
  </si>
  <si>
    <t>V.</t>
  </si>
  <si>
    <t>DESLOCAMENTO DAS VIGAS DE APOIO DAS LAJES (entrada do item 7.2 da aba Frequência)</t>
  </si>
  <si>
    <t>Viga esquerda</t>
  </si>
  <si>
    <t>Viga direita</t>
  </si>
  <si>
    <t>Unid.</t>
  </si>
  <si>
    <t>Considerar?</t>
  </si>
  <si>
    <t>*"Sim" para somar o deslocamento desta viga no item 7.2; "Não" = apoio indeformável</t>
  </si>
  <si>
    <t>Lviga</t>
  </si>
  <si>
    <t>*Vão da viga (entre apoios)</t>
  </si>
  <si>
    <t>*Largura da viga</t>
  </si>
  <si>
    <t>*Altura da viga</t>
  </si>
  <si>
    <t>*Classe do concreto da viga</t>
  </si>
  <si>
    <t>αE</t>
  </si>
  <si>
    <t>*Coeficiente do agregado (NBR 6118 8.2.8)</t>
  </si>
  <si>
    <t>*Majorador dinâmico do módulo (mesmo da laje)</t>
  </si>
  <si>
    <t>*Módulo secante majorado</t>
  </si>
  <si>
    <t>*Inércia bruta retangular (substituir por I da seção composta, se houver, em "I forçado")</t>
  </si>
  <si>
    <t>I forçado</t>
  </si>
  <si>
    <t>*Opcional: inércia da viga calculada externamente (seção T, composta, protendida)</t>
  </si>
  <si>
    <t>I adotado</t>
  </si>
  <si>
    <t>*Inércia usada</t>
  </si>
  <si>
    <t>qpiso</t>
  </si>
  <si>
    <t>*Carga do piso na combinação do item 3 da aba Frequência</t>
  </si>
  <si>
    <t>Llaje,1</t>
  </si>
  <si>
    <t>*Vão da laje calculada, apoiada nesta viga</t>
  </si>
  <si>
    <t>Llaje,2</t>
  </si>
  <si>
    <t>*Vão da laje do outro lado da viga (0 = viga de borda)</t>
  </si>
  <si>
    <t>wlaje</t>
  </si>
  <si>
    <t>*Reação das lajes na viga (metade do vão de cada lado)</t>
  </si>
  <si>
    <t>wpp</t>
  </si>
  <si>
    <t>*Peso próprio da viga</t>
  </si>
  <si>
    <t>*Carga total na viga</t>
  </si>
  <si>
    <t>Coef.</t>
  </si>
  <si>
    <t>*Condição de apoio da viga: 1,0 biapoiada; ≈ 0,42 vão extremo contínuo; ≈ 0,2 vão interno contínuo ou biengastada</t>
  </si>
  <si>
    <t>δcalc</t>
  </si>
  <si>
    <t>*Deslocamento no meio do vão da viga (5wL⁴/384EI × coef.)</t>
  </si>
  <si>
    <t>δ forçado</t>
  </si>
  <si>
    <t>*Opcional: deslocamento calculado externamente (sobrepõe o calculado)</t>
  </si>
  <si>
    <t>δ adotado</t>
  </si>
  <si>
    <t>*Frequência própria da viga com as lajes (informativo)</t>
  </si>
  <si>
    <t>fncomp+cargas+vigas</t>
  </si>
  <si>
    <t>Frequência do pano com cargas e deformação das vigas de apoio (usada nos critérios)</t>
  </si>
  <si>
    <t>*Frequência natural da laje isolada (montagem). Atenção: no ensaio de Morandini a laje solta, sem graute nos apoios, mediu cerca de 13% abaixo deste cálculo</t>
  </si>
  <si>
    <t>fn,sist</t>
  </si>
  <si>
    <t>3. Com todas as cargas e vigas</t>
  </si>
  <si>
    <t>Situação (fn,sist = C51)</t>
  </si>
  <si>
    <t>Majorador do módulo para avaliação de efeito dinâmico (calibrado em 1,0 com ensaios de campo)</t>
  </si>
  <si>
    <t>AUXILIAR: MATERIAIS E SEÇÃO COMPOSTA</t>
  </si>
  <si>
    <t>*Módulo secante da laje × daf da laje isolada (auxiliar em V2:X23)</t>
  </si>
  <si>
    <t>*Módulo secante da laje × daf da Geometria (H1290)</t>
  </si>
  <si>
    <t>*Área real de concreto: laje + capa (a chaveta é somada em C20). Auxiliar em V2:X23</t>
  </si>
  <si>
    <t>*Inércia da seção composta (laje + capa + chaveta) homogeneizada para o concreto da laje. Auxiliar em V2:X23</t>
  </si>
  <si>
    <t>δviga,méd</t>
  </si>
  <si>
    <t>*Frequência do pano com todas as cargas + deformação das vigas de apoio (aba Deslocamento viga; auxiliar em V47:X48). É o valor usado nos critérios</t>
  </si>
  <si>
    <t>AUXILIAR: ENGASTAMENTO PELA ARMADURA DA CAPA</t>
  </si>
  <si>
    <t>*Coeficiente de engastamento esquerdo para a frequência, pela armadura da capa sobre o apoio (auxiliar em V503:X516)</t>
  </si>
  <si>
    <t>*Coeficiente de engastamento direito para a frequência, pela armadura da capa sobre o apoio (auxiliar em V503:X516)</t>
  </si>
  <si>
    <t>ACELERAÇÃO DE PICO POR CAMINHADA - PESSOAS ANDANDO (AISC DG11, cap. 4)</t>
  </si>
  <si>
    <t>*Frequência do pano com a carga de uso real (mesma fórmula do item 3, com R e com as vigas de apoio)</t>
  </si>
  <si>
    <t>*A laje vibra junto com as vigas em que se apoia: o deslocamento da viga no ponto de apoio da laje soma-se à flecha da laje e reduz a frequência do conjunto (aba Frequência, linha 51 "fn,sist"). As cargas são as mesmas do item 3 da aba Frequência (peso próprio + g5 + ψ1·q1). Preencha os dados de cada viga ou force o deslocamento calculado externamente em "δ forçado". Enquanto "Considerar" estiver "Não", o deslocamento adotado é zero (apoio indeformável).</t>
  </si>
  <si>
    <t>*Valor enviado à aba Frequência (média dos dois lados, linha 51 "fn,sist")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</si>
</sst>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72" fillId="0" borderId="32" xfId="0" applyFont="1" applyBorder="1" applyAlignment="1">
      <alignment horizontal="center" wrapText="1"/>
    </xf>
    <xf numFmtId="0" fontId="70" fillId="13" borderId="47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/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-7.4717424639169492</c:v>
                </c:pt>
                <c:pt idx="2">
                  <c:v>-7.331754269301924</c:v>
                </c:pt>
                <c:pt idx="3">
                  <c:v>-5.6336714249903723</c:v>
                </c:pt>
                <c:pt idx="4">
                  <c:v>-4.1618506169090956</c:v>
                </c:pt>
                <c:pt idx="5">
                  <c:v>-2.9163557683493599</c:v>
                </c:pt>
                <c:pt idx="6">
                  <c:v>-1.8972409205160785</c:v>
                </c:pt>
                <c:pt idx="7">
                  <c:v>-1.1045502564425664</c:v>
                </c:pt>
                <c:pt idx="8">
                  <c:v>-0.53831812051364747</c:v>
                </c:pt>
                <c:pt idx="9">
                  <c:v>-0.19856903362328876</c:v>
                </c:pt>
                <c:pt idx="10">
                  <c:v>-8.5317703986961535E-2</c:v>
                </c:pt>
                <c:pt idx="11">
                  <c:v>-0.19856903362329059</c:v>
                </c:pt>
                <c:pt idx="12">
                  <c:v>-0.53831812051365202</c:v>
                </c:pt>
                <c:pt idx="13">
                  <c:v>-1.1045502564425682</c:v>
                </c:pt>
                <c:pt idx="14">
                  <c:v>-1.8972409205160847</c:v>
                </c:pt>
                <c:pt idx="15">
                  <c:v>-2.9163557683493693</c:v>
                </c:pt>
                <c:pt idx="16">
                  <c:v>-4.1618506169091107</c:v>
                </c:pt>
                <c:pt idx="17">
                  <c:v>-5.6336714249903856</c:v>
                </c:pt>
                <c:pt idx="18">
                  <c:v>-7.3317542693019417</c:v>
                </c:pt>
                <c:pt idx="19">
                  <c:v>-7.4717424639169723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0.2381285960049396</c:v>
                </c:pt>
                <c:pt idx="2">
                  <c:v>-1.8105724985691531</c:v>
                </c:pt>
                <c:pt idx="3">
                  <c:v>-3.6182935096849231</c:v>
                </c:pt>
                <c:pt idx="4">
                  <c:v>-5.1850180749313255</c:v>
                </c:pt>
                <c:pt idx="5">
                  <c:v>-6.5107320281628187</c:v>
                </c:pt>
                <c:pt idx="6">
                  <c:v>-7.5954233932192485</c:v>
                </c:pt>
                <c:pt idx="7">
                  <c:v>-8.4390823786260523</c:v>
                </c:pt>
                <c:pt idx="8">
                  <c:v>-9.0417013732677134</c:v>
                </c:pt>
                <c:pt idx="9">
                  <c:v>-9.4032749430286575</c:v>
                </c:pt>
                <c:pt idx="10">
                  <c:v>-9.5237998283971059</c:v>
                </c:pt>
                <c:pt idx="11">
                  <c:v>-9.4032749430286575</c:v>
                </c:pt>
                <c:pt idx="12">
                  <c:v>-9.0417013732677098</c:v>
                </c:pt>
                <c:pt idx="13">
                  <c:v>-8.4390823786260505</c:v>
                </c:pt>
                <c:pt idx="14">
                  <c:v>-7.5954233932192423</c:v>
                </c:pt>
                <c:pt idx="15">
                  <c:v>-6.5107320281628125</c:v>
                </c:pt>
                <c:pt idx="16">
                  <c:v>-5.1850180749313122</c:v>
                </c:pt>
                <c:pt idx="17">
                  <c:v>-3.6182935096849125</c:v>
                </c:pt>
                <c:pt idx="18">
                  <c:v>-1.8105724985691358</c:v>
                </c:pt>
                <c:pt idx="19">
                  <c:v>0.23812859600496109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-7.618856101264579</c:v>
                </c:pt>
                <c:pt idx="2">
                  <c:v>-7.6104958979605897</c:v>
                </c:pt>
                <c:pt idx="3">
                  <c:v>-6.0285553989234844</c:v>
                </c:pt>
                <c:pt idx="4">
                  <c:v>-4.6573912900800591</c:v>
                </c:pt>
                <c:pt idx="5">
                  <c:v>-3.4970674947215823</c:v>
                </c:pt>
                <c:pt idx="6">
                  <c:v>-2.5476380540529671</c:v>
                </c:pt>
                <c:pt idx="7">
                  <c:v>-1.8091471511075294</c:v>
                </c:pt>
                <c:pt idx="8">
                  <c:v>-1.281629130270092</c:v>
                </c:pt>
                <c:pt idx="9">
                  <c:v>-0.96510851243462137</c:v>
                </c:pt>
                <c:pt idx="10">
                  <c:v>-0.85960000581659102</c:v>
                </c:pt>
                <c:pt idx="11">
                  <c:v>-0.96510851243462326</c:v>
                </c:pt>
                <c:pt idx="12">
                  <c:v>-1.2816291302700962</c:v>
                </c:pt>
                <c:pt idx="13">
                  <c:v>-1.8091471511075312</c:v>
                </c:pt>
                <c:pt idx="14">
                  <c:v>-2.5476380540529737</c:v>
                </c:pt>
                <c:pt idx="15">
                  <c:v>-3.4970674947215907</c:v>
                </c:pt>
                <c:pt idx="16">
                  <c:v>-4.6573912900800734</c:v>
                </c:pt>
                <c:pt idx="17">
                  <c:v>-6.0285553989234959</c:v>
                </c:pt>
                <c:pt idx="18">
                  <c:v>-7.6104958979606074</c:v>
                </c:pt>
                <c:pt idx="19">
                  <c:v>-7.6188561012646003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0.5306989175710084</c:v>
                </c:pt>
                <c:pt idx="2">
                  <c:v>-1.2562287313913385</c:v>
                </c:pt>
                <c:pt idx="3">
                  <c:v>-2.8329731728496865</c:v>
                </c:pt>
                <c:pt idx="4">
                  <c:v>-4.1995180443929883</c:v>
                </c:pt>
                <c:pt idx="5">
                  <c:v>-5.3558491798757055</c:v>
                </c:pt>
                <c:pt idx="6">
                  <c:v>-6.3019546031376796</c:v>
                </c:pt>
                <c:pt idx="7">
                  <c:v>-7.0378245227043532</c:v>
                </c:pt>
                <c:pt idx="8">
                  <c:v>-7.563451327460208</c:v>
                </c:pt>
                <c:pt idx="9">
                  <c:v>-7.8788295832896678</c:v>
                </c:pt>
                <c:pt idx="10">
                  <c:v>-7.9839560306809547</c:v>
                </c:pt>
                <c:pt idx="11">
                  <c:v>-7.8788295832896669</c:v>
                </c:pt>
                <c:pt idx="12">
                  <c:v>-7.5634513274602053</c:v>
                </c:pt>
                <c:pt idx="13">
                  <c:v>-7.0378245227043514</c:v>
                </c:pt>
                <c:pt idx="14">
                  <c:v>-6.3019546031376752</c:v>
                </c:pt>
                <c:pt idx="15">
                  <c:v>-5.3558491798757002</c:v>
                </c:pt>
                <c:pt idx="16">
                  <c:v>-4.1995180443929758</c:v>
                </c:pt>
                <c:pt idx="17">
                  <c:v>-2.8329731728496763</c:v>
                </c:pt>
                <c:pt idx="18">
                  <c:v>-1.256228731391323</c:v>
                </c:pt>
                <c:pt idx="19">
                  <c:v>0.53069891757102783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-11.049487175611061</c:v>
                </c:pt>
                <c:pt idx="2">
                  <c:v>-12.465274457052278</c:v>
                </c:pt>
                <c:pt idx="3">
                  <c:v>-11.804209598246448</c:v>
                </c:pt>
                <c:pt idx="4">
                  <c:v>-11.231286720614735</c:v>
                </c:pt>
                <c:pt idx="5">
                  <c:v>-10.746505824157129</c:v>
                </c:pt>
                <c:pt idx="6">
                  <c:v>-10.349866908873627</c:v>
                </c:pt>
                <c:pt idx="7">
                  <c:v>-10.041369974764242</c:v>
                </c:pt>
                <c:pt idx="8">
                  <c:v>-9.8210150218289698</c:v>
                </c:pt>
                <c:pt idx="9">
                  <c:v>-9.6888020500678032</c:v>
                </c:pt>
                <c:pt idx="10">
                  <c:v>-9.6447310594807458</c:v>
                </c:pt>
                <c:pt idx="11">
                  <c:v>-9.6888020500678032</c:v>
                </c:pt>
                <c:pt idx="12">
                  <c:v>-9.8210150218289716</c:v>
                </c:pt>
                <c:pt idx="13">
                  <c:v>-10.041369974764244</c:v>
                </c:pt>
                <c:pt idx="14">
                  <c:v>-10.349866908873631</c:v>
                </c:pt>
                <c:pt idx="15">
                  <c:v>-10.746505824157131</c:v>
                </c:pt>
                <c:pt idx="16">
                  <c:v>-11.23128672061474</c:v>
                </c:pt>
                <c:pt idx="17">
                  <c:v>-11.804209598246455</c:v>
                </c:pt>
                <c:pt idx="18">
                  <c:v>-12.465274457052283</c:v>
                </c:pt>
                <c:pt idx="19">
                  <c:v>-11.049487175611068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2.1927946606436128</c:v>
                </c:pt>
                <c:pt idx="2">
                  <c:v>1.3685143319616138</c:v>
                </c:pt>
                <c:pt idx="3">
                  <c:v>0.64120815959514132</c:v>
                </c:pt>
                <c:pt idx="4">
                  <c:v>1.0876143544201113E-2</c:v>
                </c:pt>
                <c:pt idx="5">
                  <c:v>-0.52248171619121053</c:v>
                </c:pt>
                <c:pt idx="6">
                  <c:v>-0.95886541961109284</c:v>
                </c:pt>
                <c:pt idx="7">
                  <c:v>-1.2982749667154467</c:v>
                </c:pt>
                <c:pt idx="8">
                  <c:v>-1.5407103575042711</c:v>
                </c:pt>
                <c:pt idx="9">
                  <c:v>-1.6861715919775633</c:v>
                </c:pt>
                <c:pt idx="10">
                  <c:v>-1.7346586701353282</c:v>
                </c:pt>
                <c:pt idx="11">
                  <c:v>-1.6861715919775633</c:v>
                </c:pt>
                <c:pt idx="12">
                  <c:v>-1.5407103575042693</c:v>
                </c:pt>
                <c:pt idx="13">
                  <c:v>-1.298274966715445</c:v>
                </c:pt>
                <c:pt idx="14">
                  <c:v>-0.95886541961109106</c:v>
                </c:pt>
                <c:pt idx="15">
                  <c:v>-0.52248171619120831</c:v>
                </c:pt>
                <c:pt idx="16">
                  <c:v>1.0876143544206116E-2</c:v>
                </c:pt>
                <c:pt idx="17">
                  <c:v>0.64120815959514721</c:v>
                </c:pt>
                <c:pt idx="18">
                  <c:v>1.3685143319616195</c:v>
                </c:pt>
                <c:pt idx="19">
                  <c:v>2.1927946606436208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52.45</c:v>
                </c:pt>
                <c:pt idx="4">
                  <c:v>55.8</c:v>
                </c:pt>
                <c:pt idx="5">
                  <c:v>72.05</c:v>
                </c:pt>
                <c:pt idx="6">
                  <c:v>68.7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52.45</c:v>
                </c:pt>
                <c:pt idx="4">
                  <c:v>55.8</c:v>
                </c:pt>
                <c:pt idx="5">
                  <c:v>72.05</c:v>
                </c:pt>
                <c:pt idx="6">
                  <c:v>68.7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-55.025600000000011</c:v>
                </c:pt>
                <c:pt idx="2">
                  <c:v>-94.329600000000013</c:v>
                </c:pt>
                <c:pt idx="3">
                  <c:v>-117.91200000000001</c:v>
                </c:pt>
                <c:pt idx="4">
                  <c:v>-125.77280000000002</c:v>
                </c:pt>
                <c:pt idx="5">
                  <c:v>-117.91200000000003</c:v>
                </c:pt>
                <c:pt idx="6">
                  <c:v>-94.329600000000028</c:v>
                </c:pt>
                <c:pt idx="7">
                  <c:v>-55.025599999999997</c:v>
                </c:pt>
                <c:pt idx="8">
                  <c:v>-5.6843418860808015E-14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600" b="1" strike="noStrike" spc="-1">
                <a:solidFill>
                  <a:srgbClr val="000000"/>
                </a:solidFill>
                <a:latin typeface="Calibri Light (Títulos)"/>
              </a:rPr>
              <a:t>z</a:t>
            </a:r>
          </a:p>
        </c:rich>
      </c:tx>
      <c:layout>
        <c:manualLayout>
          <c:xMode val="edge"/>
          <c:yMode val="edge"/>
          <c:x val="0.10302001050892823"/>
          <c:y val="0.1764219680078903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40.366225519299299</c:v>
                </c:pt>
                <c:pt idx="1">
                  <c:v>31.89430164487846</c:v>
                </c:pt>
                <c:pt idx="2">
                  <c:v>25.834384332351554</c:v>
                </c:pt>
                <c:pt idx="3">
                  <c:v>21.350730853183101</c:v>
                </c:pt>
                <c:pt idx="4">
                  <c:v>17.940544675244134</c:v>
                </c:pt>
                <c:pt idx="5">
                  <c:v>15.286617948137012</c:v>
                </c:pt>
                <c:pt idx="6">
                  <c:v>13.180808332832425</c:v>
                </c:pt>
                <c:pt idx="7">
                  <c:v>11.481948592156245</c:v>
                </c:pt>
                <c:pt idx="8">
                  <c:v>10.091556379824825</c:v>
                </c:pt>
                <c:pt idx="9">
                  <c:v>8.9392333329936164</c:v>
                </c:pt>
                <c:pt idx="10">
                  <c:v>7.9735754112196151</c:v>
                </c:pt>
                <c:pt idx="11">
                  <c:v>7.1563391502358877</c:v>
                </c:pt>
                <c:pt idx="12">
                  <c:v>6.4585960830878886</c:v>
                </c:pt>
                <c:pt idx="13">
                  <c:v>5.8581370368144112</c:v>
                </c:pt>
                <c:pt idx="14">
                  <c:v>5.3376827132957754</c:v>
                </c:pt>
                <c:pt idx="15">
                  <c:v>4.8836265278547364</c:v>
                </c:pt>
                <c:pt idx="16">
                  <c:v>4.4851361688110334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67.914821013404691</c:v>
                </c:pt>
                <c:pt idx="1">
                  <c:v>53.661093146393824</c:v>
                </c:pt>
                <c:pt idx="2">
                  <c:v>43.465485448579003</c:v>
                </c:pt>
                <c:pt idx="3">
                  <c:v>35.921888800478513</c:v>
                </c:pt>
                <c:pt idx="4">
                  <c:v>30.184364894846528</c:v>
                </c:pt>
                <c:pt idx="5">
                  <c:v>25.719222158922484</c:v>
                </c:pt>
                <c:pt idx="6">
                  <c:v>22.176268086009696</c:v>
                </c:pt>
                <c:pt idx="7">
                  <c:v>19.317993532701777</c:v>
                </c:pt>
                <c:pt idx="8">
                  <c:v>16.978705253351173</c:v>
                </c:pt>
                <c:pt idx="9">
                  <c:v>15.039960362830106</c:v>
                </c:pt>
                <c:pt idx="10">
                  <c:v>13.415273286598456</c:v>
                </c:pt>
                <c:pt idx="11">
                  <c:v>12.040300678276731</c:v>
                </c:pt>
                <c:pt idx="12">
                  <c:v>10.866371362144751</c:v>
                </c:pt>
                <c:pt idx="13">
                  <c:v>9.8561191493376423</c:v>
                </c:pt>
                <c:pt idx="14">
                  <c:v>8.9804722001196282</c:v>
                </c:pt>
                <c:pt idx="15">
                  <c:v>8.2165378919809076</c:v>
                </c:pt>
                <c:pt idx="16">
                  <c:v>7.546091223711632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50.393359312825595</c:v>
                </c:pt>
                <c:pt idx="1">
                  <c:v>39.816975259516518</c:v>
                </c:pt>
                <c:pt idx="2">
                  <c:v>32.251749960208393</c:v>
                </c:pt>
                <c:pt idx="3">
                  <c:v>26.654338810089577</c:v>
                </c:pt>
                <c:pt idx="4">
                  <c:v>22.397048583478043</c:v>
                </c:pt>
                <c:pt idx="5">
                  <c:v>19.083875716099637</c:v>
                </c:pt>
                <c:pt idx="6">
                  <c:v>16.454974469494072</c:v>
                </c:pt>
                <c:pt idx="7">
                  <c:v>14.33411109342595</c:v>
                </c:pt>
                <c:pt idx="8">
                  <c:v>12.598339828206399</c:v>
                </c:pt>
                <c:pt idx="9">
                  <c:v>11.159775072736467</c:v>
                </c:pt>
                <c:pt idx="10">
                  <c:v>9.9542438148791295</c:v>
                </c:pt>
                <c:pt idx="11">
                  <c:v>8.9340027590604958</c:v>
                </c:pt>
                <c:pt idx="12">
                  <c:v>8.0629374900520983</c:v>
                </c:pt>
                <c:pt idx="13">
                  <c:v>7.313321986441812</c:v>
                </c:pt>
                <c:pt idx="14">
                  <c:v>6.6635847025223942</c:v>
                </c:pt>
                <c:pt idx="15">
                  <c:v>6.096739122912739</c:v>
                </c:pt>
                <c:pt idx="16">
                  <c:v>5.5992621458695107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4.5820484234169907E-3</c:v>
                </c:pt>
                <c:pt idx="2">
                  <c:v>9.1640968468339815E-3</c:v>
                </c:pt>
                <c:pt idx="3">
                  <c:v>1.3746145270250972E-2</c:v>
                </c:pt>
                <c:pt idx="4">
                  <c:v>1.8328193693667963E-2</c:v>
                </c:pt>
                <c:pt idx="5">
                  <c:v>2.2910242117084954E-2</c:v>
                </c:pt>
                <c:pt idx="6">
                  <c:v>2.7492290540501944E-2</c:v>
                </c:pt>
                <c:pt idx="7">
                  <c:v>3.2074338963918932E-2</c:v>
                </c:pt>
                <c:pt idx="8">
                  <c:v>3.6656387387335926E-2</c:v>
                </c:pt>
                <c:pt idx="9">
                  <c:v>4.123843581075292E-2</c:v>
                </c:pt>
                <c:pt idx="10">
                  <c:v>4.5820484234169907E-2</c:v>
                </c:pt>
                <c:pt idx="11">
                  <c:v>5.0402532657586901E-2</c:v>
                </c:pt>
                <c:pt idx="12">
                  <c:v>5.4984581081003889E-2</c:v>
                </c:pt>
                <c:pt idx="13">
                  <c:v>5.9566629504420883E-2</c:v>
                </c:pt>
                <c:pt idx="14">
                  <c:v>6.4148677927837863E-2</c:v>
                </c:pt>
                <c:pt idx="15">
                  <c:v>6.8730726351254864E-2</c:v>
                </c:pt>
                <c:pt idx="16">
                  <c:v>7.3312774774671852E-2</c:v>
                </c:pt>
                <c:pt idx="17">
                  <c:v>7.7894823198088839E-2</c:v>
                </c:pt>
                <c:pt idx="18">
                  <c:v>8.247687162150584E-2</c:v>
                </c:pt>
                <c:pt idx="19">
                  <c:v>8.7058920044922813E-2</c:v>
                </c:pt>
                <c:pt idx="20">
                  <c:v>9.1640968468339815E-2</c:v>
                </c:pt>
                <c:pt idx="21">
                  <c:v>9.6223016891756802E-2</c:v>
                </c:pt>
                <c:pt idx="22">
                  <c:v>0.1008050653151738</c:v>
                </c:pt>
                <c:pt idx="23">
                  <c:v>0.10538711373859078</c:v>
                </c:pt>
                <c:pt idx="24">
                  <c:v>0.10996916216200778</c:v>
                </c:pt>
                <c:pt idx="25">
                  <c:v>0.11455121058542476</c:v>
                </c:pt>
                <c:pt idx="26">
                  <c:v>0.11913325900884177</c:v>
                </c:pt>
                <c:pt idx="27">
                  <c:v>0.12371530743225875</c:v>
                </c:pt>
                <c:pt idx="28">
                  <c:v>0.12829735585567573</c:v>
                </c:pt>
                <c:pt idx="29">
                  <c:v>0.13287940427909273</c:v>
                </c:pt>
                <c:pt idx="30">
                  <c:v>0.13746145270250973</c:v>
                </c:pt>
                <c:pt idx="31">
                  <c:v>0.1420435011259267</c:v>
                </c:pt>
                <c:pt idx="32">
                  <c:v>0.1466255495493437</c:v>
                </c:pt>
                <c:pt idx="33">
                  <c:v>0.15120759797276068</c:v>
                </c:pt>
                <c:pt idx="34">
                  <c:v>0.15578964639617768</c:v>
                </c:pt>
                <c:pt idx="35">
                  <c:v>0.16037169481959468</c:v>
                </c:pt>
                <c:pt idx="36">
                  <c:v>0.16495374324301168</c:v>
                </c:pt>
                <c:pt idx="37">
                  <c:v>0.16953579166642865</c:v>
                </c:pt>
                <c:pt idx="38">
                  <c:v>0.17411784008984563</c:v>
                </c:pt>
                <c:pt idx="39">
                  <c:v>0.17869988851326263</c:v>
                </c:pt>
                <c:pt idx="40">
                  <c:v>0.18328193693667963</c:v>
                </c:pt>
                <c:pt idx="41">
                  <c:v>0.1878639853600966</c:v>
                </c:pt>
                <c:pt idx="42">
                  <c:v>0.1924460337835136</c:v>
                </c:pt>
                <c:pt idx="43">
                  <c:v>0.1970280822069306</c:v>
                </c:pt>
                <c:pt idx="44">
                  <c:v>0.20161013063034761</c:v>
                </c:pt>
                <c:pt idx="45">
                  <c:v>0.20619217905376458</c:v>
                </c:pt>
                <c:pt idx="46">
                  <c:v>0.21077422747718155</c:v>
                </c:pt>
                <c:pt idx="47">
                  <c:v>0.21535627590059858</c:v>
                </c:pt>
                <c:pt idx="48">
                  <c:v>0.21993832432401555</c:v>
                </c:pt>
                <c:pt idx="49">
                  <c:v>0.22452037274743256</c:v>
                </c:pt>
                <c:pt idx="50">
                  <c:v>0.22910242117084953</c:v>
                </c:pt>
                <c:pt idx="51">
                  <c:v>0.2336844695942665</c:v>
                </c:pt>
                <c:pt idx="52">
                  <c:v>0.23826651801768353</c:v>
                </c:pt>
                <c:pt idx="53">
                  <c:v>0.24284856644110051</c:v>
                </c:pt>
                <c:pt idx="54">
                  <c:v>0.24743061486451751</c:v>
                </c:pt>
                <c:pt idx="55">
                  <c:v>0.25201266328793448</c:v>
                </c:pt>
                <c:pt idx="56">
                  <c:v>0.25659471171135145</c:v>
                </c:pt>
                <c:pt idx="57">
                  <c:v>0.26117676013476848</c:v>
                </c:pt>
                <c:pt idx="58">
                  <c:v>0.26575880855818546</c:v>
                </c:pt>
                <c:pt idx="59">
                  <c:v>0.27034085698160248</c:v>
                </c:pt>
                <c:pt idx="60">
                  <c:v>0.27492290540501946</c:v>
                </c:pt>
                <c:pt idx="61">
                  <c:v>0.27950495382843643</c:v>
                </c:pt>
                <c:pt idx="62">
                  <c:v>0.2840870022518534</c:v>
                </c:pt>
                <c:pt idx="63">
                  <c:v>0.28866905067527038</c:v>
                </c:pt>
                <c:pt idx="64">
                  <c:v>0.29325109909868741</c:v>
                </c:pt>
                <c:pt idx="65">
                  <c:v>0.29783314752210438</c:v>
                </c:pt>
                <c:pt idx="66">
                  <c:v>0.30241519594552135</c:v>
                </c:pt>
                <c:pt idx="67">
                  <c:v>0.30699724436893838</c:v>
                </c:pt>
                <c:pt idx="68">
                  <c:v>0.31157929279235536</c:v>
                </c:pt>
                <c:pt idx="69">
                  <c:v>0.31616134121577238</c:v>
                </c:pt>
                <c:pt idx="70">
                  <c:v>0.32074338963918936</c:v>
                </c:pt>
                <c:pt idx="71">
                  <c:v>0.32532543806260633</c:v>
                </c:pt>
                <c:pt idx="72">
                  <c:v>0.32990748648602336</c:v>
                </c:pt>
                <c:pt idx="73">
                  <c:v>0.33448953490944033</c:v>
                </c:pt>
                <c:pt idx="74">
                  <c:v>0.33907158333285731</c:v>
                </c:pt>
                <c:pt idx="75">
                  <c:v>0.34365363175627428</c:v>
                </c:pt>
                <c:pt idx="76">
                  <c:v>0.34823568017969125</c:v>
                </c:pt>
                <c:pt idx="77">
                  <c:v>0.35281772860310828</c:v>
                </c:pt>
                <c:pt idx="78">
                  <c:v>0.35739977702652526</c:v>
                </c:pt>
                <c:pt idx="79">
                  <c:v>0.36198182544994228</c:v>
                </c:pt>
                <c:pt idx="80">
                  <c:v>0.36656387387335926</c:v>
                </c:pt>
                <c:pt idx="81">
                  <c:v>0.37114592229677623</c:v>
                </c:pt>
                <c:pt idx="82">
                  <c:v>0.37572797072019321</c:v>
                </c:pt>
                <c:pt idx="83">
                  <c:v>0.38031001914361023</c:v>
                </c:pt>
                <c:pt idx="84">
                  <c:v>0.38489206756702721</c:v>
                </c:pt>
                <c:pt idx="85">
                  <c:v>0.38947411599044418</c:v>
                </c:pt>
                <c:pt idx="86">
                  <c:v>0.39405616441386121</c:v>
                </c:pt>
                <c:pt idx="87">
                  <c:v>0.39863821283727818</c:v>
                </c:pt>
                <c:pt idx="88">
                  <c:v>0.40322026126069521</c:v>
                </c:pt>
                <c:pt idx="89">
                  <c:v>0.40780230968411219</c:v>
                </c:pt>
                <c:pt idx="90">
                  <c:v>0.41238435810752916</c:v>
                </c:pt>
                <c:pt idx="91">
                  <c:v>0.41696640653094613</c:v>
                </c:pt>
                <c:pt idx="92">
                  <c:v>0.42154845495436311</c:v>
                </c:pt>
                <c:pt idx="93">
                  <c:v>0.42613050337778019</c:v>
                </c:pt>
                <c:pt idx="94">
                  <c:v>0.43071255180119716</c:v>
                </c:pt>
                <c:pt idx="95">
                  <c:v>0.43529460022461414</c:v>
                </c:pt>
                <c:pt idx="96">
                  <c:v>0.43987664864803111</c:v>
                </c:pt>
                <c:pt idx="97">
                  <c:v>0.44445869707144808</c:v>
                </c:pt>
                <c:pt idx="98">
                  <c:v>0.44904074549486511</c:v>
                </c:pt>
                <c:pt idx="99">
                  <c:v>0.45362279391828209</c:v>
                </c:pt>
                <c:pt idx="100">
                  <c:v>0.45820484234169906</c:v>
                </c:pt>
                <c:pt idx="101">
                  <c:v>0.46278689076511603</c:v>
                </c:pt>
                <c:pt idx="102">
                  <c:v>0.46736893918853301</c:v>
                </c:pt>
                <c:pt idx="103">
                  <c:v>0.47195098761195009</c:v>
                </c:pt>
                <c:pt idx="104">
                  <c:v>0.47653303603536706</c:v>
                </c:pt>
                <c:pt idx="105">
                  <c:v>0.48111508445878404</c:v>
                </c:pt>
                <c:pt idx="106">
                  <c:v>0.48569713288220101</c:v>
                </c:pt>
                <c:pt idx="107">
                  <c:v>0.49027918130561798</c:v>
                </c:pt>
                <c:pt idx="108">
                  <c:v>0.49486122972903501</c:v>
                </c:pt>
                <c:pt idx="109">
                  <c:v>0.49944327815245199</c:v>
                </c:pt>
                <c:pt idx="110">
                  <c:v>0.50402532657586896</c:v>
                </c:pt>
                <c:pt idx="111">
                  <c:v>0.50860737499928599</c:v>
                </c:pt>
                <c:pt idx="112">
                  <c:v>0.51318942342270291</c:v>
                </c:pt>
                <c:pt idx="113">
                  <c:v>0.51777147184611994</c:v>
                </c:pt>
                <c:pt idx="114">
                  <c:v>0.52235352026953696</c:v>
                </c:pt>
                <c:pt idx="115">
                  <c:v>0.52693556869295388</c:v>
                </c:pt>
                <c:pt idx="116">
                  <c:v>0.53151761711637091</c:v>
                </c:pt>
                <c:pt idx="117">
                  <c:v>0.53609966553978783</c:v>
                </c:pt>
                <c:pt idx="118">
                  <c:v>0.54068171396320497</c:v>
                </c:pt>
                <c:pt idx="119">
                  <c:v>0.54526376238662189</c:v>
                </c:pt>
                <c:pt idx="120">
                  <c:v>0.54984581081003892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0.4539904997395468</c:v>
                </c:pt>
                <c:pt idx="4">
                  <c:v>0.58778525229247314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0.95105651629515353</c:v>
                </c:pt>
                <c:pt idx="13">
                  <c:v>0.89100652418836768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-0.58778525229247336</c:v>
                </c:pt>
                <c:pt idx="25">
                  <c:v>-0.70710678118654768</c:v>
                </c:pt>
                <c:pt idx="26">
                  <c:v>-0.8090169943749479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-0.70710678118654702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0.45399049973954736</c:v>
                </c:pt>
                <c:pt idx="44">
                  <c:v>0.58778525229247358</c:v>
                </c:pt>
                <c:pt idx="45">
                  <c:v>0.70710678118654791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0.95105651629515375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0.95105651629515309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0.15643446504022859</c:v>
                </c:pt>
                <c:pt idx="60">
                  <c:v>-1.4088123029276645E-15</c:v>
                </c:pt>
                <c:pt idx="61">
                  <c:v>-0.15643446504023137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0.80901699437494812</c:v>
                </c:pt>
                <c:pt idx="87">
                  <c:v>0.89100652418836801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0.98768834059513766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0.70710678118654602</c:v>
                </c:pt>
                <c:pt idx="96">
                  <c:v>0.58778525229247214</c:v>
                </c:pt>
                <c:pt idx="97">
                  <c:v>0.45399049973954653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-0.58778525229247547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-0.98768834059513744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-0.30901699437494307</c:v>
                </c:pt>
                <c:pt idx="119">
                  <c:v>-0.15643446504022895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2.723411432734153E-3</c:v>
                </c:pt>
                <c:pt idx="2">
                  <c:v>5.446822865468306E-3</c:v>
                </c:pt>
                <c:pt idx="3">
                  <c:v>8.1702342982024577E-3</c:v>
                </c:pt>
                <c:pt idx="4">
                  <c:v>1.0893645730936612E-2</c:v>
                </c:pt>
                <c:pt idx="5">
                  <c:v>1.3617057163670765E-2</c:v>
                </c:pt>
                <c:pt idx="6">
                  <c:v>1.6340468596404915E-2</c:v>
                </c:pt>
                <c:pt idx="7">
                  <c:v>1.9063880029139068E-2</c:v>
                </c:pt>
                <c:pt idx="8">
                  <c:v>2.1787291461873224E-2</c:v>
                </c:pt>
                <c:pt idx="9">
                  <c:v>2.4510702894607377E-2</c:v>
                </c:pt>
                <c:pt idx="10">
                  <c:v>2.7234114327341529E-2</c:v>
                </c:pt>
                <c:pt idx="11">
                  <c:v>2.9957525760075682E-2</c:v>
                </c:pt>
                <c:pt idx="12">
                  <c:v>3.2680937192809831E-2</c:v>
                </c:pt>
                <c:pt idx="13">
                  <c:v>3.5404348625543987E-2</c:v>
                </c:pt>
                <c:pt idx="14">
                  <c:v>3.8127760058278136E-2</c:v>
                </c:pt>
                <c:pt idx="15">
                  <c:v>4.0851171491012292E-2</c:v>
                </c:pt>
                <c:pt idx="16">
                  <c:v>4.3574582923746448E-2</c:v>
                </c:pt>
                <c:pt idx="17">
                  <c:v>4.6297994356480597E-2</c:v>
                </c:pt>
                <c:pt idx="18">
                  <c:v>4.9021405789214753E-2</c:v>
                </c:pt>
                <c:pt idx="19">
                  <c:v>5.1744817221948902E-2</c:v>
                </c:pt>
                <c:pt idx="20">
                  <c:v>5.4468228654683058E-2</c:v>
                </c:pt>
                <c:pt idx="21">
                  <c:v>5.7191640087417214E-2</c:v>
                </c:pt>
                <c:pt idx="22">
                  <c:v>5.9915051520151363E-2</c:v>
                </c:pt>
                <c:pt idx="23">
                  <c:v>6.2638462952885512E-2</c:v>
                </c:pt>
                <c:pt idx="24">
                  <c:v>6.5361874385619662E-2</c:v>
                </c:pt>
                <c:pt idx="25">
                  <c:v>6.8085285818353825E-2</c:v>
                </c:pt>
                <c:pt idx="26">
                  <c:v>7.0808697251087974E-2</c:v>
                </c:pt>
                <c:pt idx="27">
                  <c:v>7.3532108683822137E-2</c:v>
                </c:pt>
                <c:pt idx="28">
                  <c:v>7.6255520116556272E-2</c:v>
                </c:pt>
                <c:pt idx="29">
                  <c:v>7.8978931549290435E-2</c:v>
                </c:pt>
                <c:pt idx="30">
                  <c:v>8.1702342982024584E-2</c:v>
                </c:pt>
                <c:pt idx="31">
                  <c:v>8.4425754414758733E-2</c:v>
                </c:pt>
                <c:pt idx="32">
                  <c:v>8.7149165847492896E-2</c:v>
                </c:pt>
                <c:pt idx="33">
                  <c:v>8.9872577280227031E-2</c:v>
                </c:pt>
                <c:pt idx="34">
                  <c:v>9.2595988712961194E-2</c:v>
                </c:pt>
                <c:pt idx="35">
                  <c:v>9.5319400145695343E-2</c:v>
                </c:pt>
                <c:pt idx="36">
                  <c:v>9.8042811578429506E-2</c:v>
                </c:pt>
                <c:pt idx="37">
                  <c:v>0.10076622301116366</c:v>
                </c:pt>
                <c:pt idx="38">
                  <c:v>0.1034896344438978</c:v>
                </c:pt>
                <c:pt idx="39">
                  <c:v>0.10621304587663195</c:v>
                </c:pt>
                <c:pt idx="40">
                  <c:v>0.10893645730936612</c:v>
                </c:pt>
                <c:pt idx="41">
                  <c:v>0.11165986874210025</c:v>
                </c:pt>
                <c:pt idx="42">
                  <c:v>0.11438328017483443</c:v>
                </c:pt>
                <c:pt idx="43">
                  <c:v>0.11710669160756856</c:v>
                </c:pt>
                <c:pt idx="44">
                  <c:v>0.11983010304030273</c:v>
                </c:pt>
                <c:pt idx="45">
                  <c:v>0.12255351447303688</c:v>
                </c:pt>
                <c:pt idx="46">
                  <c:v>0.12527692590577102</c:v>
                </c:pt>
                <c:pt idx="47">
                  <c:v>0.12800033733850519</c:v>
                </c:pt>
                <c:pt idx="48">
                  <c:v>0.13072374877123932</c:v>
                </c:pt>
                <c:pt idx="49">
                  <c:v>0.13344716020397349</c:v>
                </c:pt>
                <c:pt idx="50">
                  <c:v>0.13617057163670765</c:v>
                </c:pt>
                <c:pt idx="51">
                  <c:v>0.13889398306944178</c:v>
                </c:pt>
                <c:pt idx="52">
                  <c:v>0.14161739450217595</c:v>
                </c:pt>
                <c:pt idx="53">
                  <c:v>0.14434080593491008</c:v>
                </c:pt>
                <c:pt idx="54">
                  <c:v>0.14706421736764427</c:v>
                </c:pt>
                <c:pt idx="55">
                  <c:v>0.14978762880037841</c:v>
                </c:pt>
                <c:pt idx="56">
                  <c:v>0.15251104023311254</c:v>
                </c:pt>
                <c:pt idx="57">
                  <c:v>0.15523445166584671</c:v>
                </c:pt>
                <c:pt idx="58">
                  <c:v>0.15795786309858087</c:v>
                </c:pt>
                <c:pt idx="59">
                  <c:v>0.16068127453131503</c:v>
                </c:pt>
                <c:pt idx="60">
                  <c:v>0.16340468596404917</c:v>
                </c:pt>
                <c:pt idx="61">
                  <c:v>0.1661280973967833</c:v>
                </c:pt>
                <c:pt idx="62">
                  <c:v>0.16885150882951747</c:v>
                </c:pt>
                <c:pt idx="63">
                  <c:v>0.17157492026225163</c:v>
                </c:pt>
                <c:pt idx="64">
                  <c:v>0.17429833169498579</c:v>
                </c:pt>
                <c:pt idx="65">
                  <c:v>0.17702174312771993</c:v>
                </c:pt>
                <c:pt idx="66">
                  <c:v>0.17974515456045406</c:v>
                </c:pt>
                <c:pt idx="67">
                  <c:v>0.18246856599318825</c:v>
                </c:pt>
                <c:pt idx="68">
                  <c:v>0.18519197742592239</c:v>
                </c:pt>
                <c:pt idx="69">
                  <c:v>0.18791538885865655</c:v>
                </c:pt>
                <c:pt idx="70">
                  <c:v>0.19063880029139069</c:v>
                </c:pt>
                <c:pt idx="71">
                  <c:v>0.19336221172412485</c:v>
                </c:pt>
                <c:pt idx="72">
                  <c:v>0.19608562315685901</c:v>
                </c:pt>
                <c:pt idx="73">
                  <c:v>0.19880903458959315</c:v>
                </c:pt>
                <c:pt idx="74">
                  <c:v>0.20153244602232731</c:v>
                </c:pt>
                <c:pt idx="75">
                  <c:v>0.20425585745506145</c:v>
                </c:pt>
                <c:pt idx="76">
                  <c:v>0.20697926888779561</c:v>
                </c:pt>
                <c:pt idx="77">
                  <c:v>0.20970268032052977</c:v>
                </c:pt>
                <c:pt idx="78">
                  <c:v>0.21242609175326391</c:v>
                </c:pt>
                <c:pt idx="79">
                  <c:v>0.21514950318599807</c:v>
                </c:pt>
                <c:pt idx="80">
                  <c:v>0.21787291461873223</c:v>
                </c:pt>
                <c:pt idx="81">
                  <c:v>0.22059632605146637</c:v>
                </c:pt>
                <c:pt idx="82">
                  <c:v>0.2233197374842005</c:v>
                </c:pt>
                <c:pt idx="83">
                  <c:v>0.22604314891693469</c:v>
                </c:pt>
                <c:pt idx="84">
                  <c:v>0.22876656034966886</c:v>
                </c:pt>
                <c:pt idx="85">
                  <c:v>0.23148997178240299</c:v>
                </c:pt>
                <c:pt idx="86">
                  <c:v>0.23421338321513713</c:v>
                </c:pt>
                <c:pt idx="87">
                  <c:v>0.23693679464787126</c:v>
                </c:pt>
                <c:pt idx="88">
                  <c:v>0.23966020608060545</c:v>
                </c:pt>
                <c:pt idx="89">
                  <c:v>0.24238361751333962</c:v>
                </c:pt>
                <c:pt idx="90">
                  <c:v>0.24510702894607375</c:v>
                </c:pt>
                <c:pt idx="91">
                  <c:v>0.24783044037880789</c:v>
                </c:pt>
                <c:pt idx="92">
                  <c:v>0.25055385181154205</c:v>
                </c:pt>
                <c:pt idx="93">
                  <c:v>0.25327726324427624</c:v>
                </c:pt>
                <c:pt idx="94">
                  <c:v>0.25600067467701038</c:v>
                </c:pt>
                <c:pt idx="95">
                  <c:v>0.25872408610974451</c:v>
                </c:pt>
                <c:pt idx="96">
                  <c:v>0.26144749754247865</c:v>
                </c:pt>
                <c:pt idx="97">
                  <c:v>0.26417090897521278</c:v>
                </c:pt>
                <c:pt idx="98">
                  <c:v>0.26689432040794697</c:v>
                </c:pt>
                <c:pt idx="99">
                  <c:v>0.26961773184068116</c:v>
                </c:pt>
                <c:pt idx="100">
                  <c:v>0.2723411432734153</c:v>
                </c:pt>
                <c:pt idx="101">
                  <c:v>0.27506455470614943</c:v>
                </c:pt>
                <c:pt idx="102">
                  <c:v>0.27778796613888357</c:v>
                </c:pt>
                <c:pt idx="103">
                  <c:v>0.28051137757161776</c:v>
                </c:pt>
                <c:pt idx="104">
                  <c:v>0.28323478900435189</c:v>
                </c:pt>
                <c:pt idx="105">
                  <c:v>0.28595820043708603</c:v>
                </c:pt>
                <c:pt idx="106">
                  <c:v>0.28868161186982016</c:v>
                </c:pt>
                <c:pt idx="107">
                  <c:v>0.29140502330255436</c:v>
                </c:pt>
                <c:pt idx="108">
                  <c:v>0.29412843473528855</c:v>
                </c:pt>
                <c:pt idx="109">
                  <c:v>0.29685184616802268</c:v>
                </c:pt>
                <c:pt idx="110">
                  <c:v>0.29957525760075682</c:v>
                </c:pt>
                <c:pt idx="111">
                  <c:v>0.30229866903349095</c:v>
                </c:pt>
                <c:pt idx="112">
                  <c:v>0.30502208046622509</c:v>
                </c:pt>
                <c:pt idx="113">
                  <c:v>0.30774549189895928</c:v>
                </c:pt>
                <c:pt idx="114">
                  <c:v>0.31046890333169341</c:v>
                </c:pt>
                <c:pt idx="115">
                  <c:v>0.31319231476442755</c:v>
                </c:pt>
                <c:pt idx="116">
                  <c:v>0.31591572619716174</c:v>
                </c:pt>
                <c:pt idx="117">
                  <c:v>0.31863913762989587</c:v>
                </c:pt>
                <c:pt idx="118">
                  <c:v>0.32136254906263007</c:v>
                </c:pt>
                <c:pt idx="119">
                  <c:v>0.3240859604953642</c:v>
                </c:pt>
                <c:pt idx="120">
                  <c:v>0.32680937192809834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0.1564344650402309</c:v>
                </c:pt>
                <c:pt idx="2">
                  <c:v>0.30901699437494745</c:v>
                </c:pt>
                <c:pt idx="3">
                  <c:v>0.45399049973954675</c:v>
                </c:pt>
                <c:pt idx="4">
                  <c:v>0.58778525229247325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0.95105651629515364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0.5877852522924728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-0.15643446504023117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-0.70710678118654768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-0.98768834059513788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-0.95105651629515331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0.30901699437494606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-0.45399049973954725</c:v>
                </c:pt>
                <c:pt idx="64">
                  <c:v>-0.58778525229247425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0.30901699437494801</c:v>
                </c:pt>
                <c:pt idx="99">
                  <c:v>0.15643446504022884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-0.89100652418836879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-0.58778525229247081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3.6703248706209178E-3</c:v>
                </c:pt>
                <c:pt idx="2">
                  <c:v>7.3406497412418356E-3</c:v>
                </c:pt>
                <c:pt idx="3">
                  <c:v>1.1010974611862753E-2</c:v>
                </c:pt>
                <c:pt idx="4">
                  <c:v>1.4681299482483671E-2</c:v>
                </c:pt>
                <c:pt idx="5">
                  <c:v>1.8351624353104588E-2</c:v>
                </c:pt>
                <c:pt idx="6">
                  <c:v>2.2021949223725506E-2</c:v>
                </c:pt>
                <c:pt idx="7">
                  <c:v>2.5692274094346421E-2</c:v>
                </c:pt>
                <c:pt idx="8">
                  <c:v>2.9362598964967342E-2</c:v>
                </c:pt>
                <c:pt idx="9">
                  <c:v>3.3032923835588257E-2</c:v>
                </c:pt>
                <c:pt idx="10">
                  <c:v>3.6703248706209175E-2</c:v>
                </c:pt>
                <c:pt idx="11">
                  <c:v>4.0373573576830094E-2</c:v>
                </c:pt>
                <c:pt idx="12">
                  <c:v>4.4043898447451012E-2</c:v>
                </c:pt>
                <c:pt idx="13">
                  <c:v>4.771422331807193E-2</c:v>
                </c:pt>
                <c:pt idx="14">
                  <c:v>5.1384548188692841E-2</c:v>
                </c:pt>
                <c:pt idx="15">
                  <c:v>5.5054873059313759E-2</c:v>
                </c:pt>
                <c:pt idx="16">
                  <c:v>5.8725197929934685E-2</c:v>
                </c:pt>
                <c:pt idx="17">
                  <c:v>6.2395522800555596E-2</c:v>
                </c:pt>
                <c:pt idx="18">
                  <c:v>6.6065847671176514E-2</c:v>
                </c:pt>
                <c:pt idx="19">
                  <c:v>6.9736172541797425E-2</c:v>
                </c:pt>
                <c:pt idx="20">
                  <c:v>7.3406497412418351E-2</c:v>
                </c:pt>
                <c:pt idx="21">
                  <c:v>7.7076822283039276E-2</c:v>
                </c:pt>
                <c:pt idx="22">
                  <c:v>8.0747147153660187E-2</c:v>
                </c:pt>
                <c:pt idx="23">
                  <c:v>8.4417472024281098E-2</c:v>
                </c:pt>
                <c:pt idx="24">
                  <c:v>8.8087796894902023E-2</c:v>
                </c:pt>
                <c:pt idx="25">
                  <c:v>9.1758121765522935E-2</c:v>
                </c:pt>
                <c:pt idx="26">
                  <c:v>9.542844663614386E-2</c:v>
                </c:pt>
                <c:pt idx="27">
                  <c:v>9.9098771506764785E-2</c:v>
                </c:pt>
                <c:pt idx="28">
                  <c:v>0.10276909637738568</c:v>
                </c:pt>
                <c:pt idx="29">
                  <c:v>0.10643942124800661</c:v>
                </c:pt>
                <c:pt idx="30">
                  <c:v>0.11010974611862752</c:v>
                </c:pt>
                <c:pt idx="31">
                  <c:v>0.11378007098924844</c:v>
                </c:pt>
                <c:pt idx="32">
                  <c:v>0.11745039585986937</c:v>
                </c:pt>
                <c:pt idx="33">
                  <c:v>0.12112072073049027</c:v>
                </c:pt>
                <c:pt idx="34">
                  <c:v>0.12479104560111119</c:v>
                </c:pt>
                <c:pt idx="35">
                  <c:v>0.12846137047173212</c:v>
                </c:pt>
                <c:pt idx="36">
                  <c:v>0.13213169534235303</c:v>
                </c:pt>
                <c:pt idx="37">
                  <c:v>0.13580202021297397</c:v>
                </c:pt>
                <c:pt idx="38">
                  <c:v>0.13947234508359485</c:v>
                </c:pt>
                <c:pt idx="39">
                  <c:v>0.14314266995421579</c:v>
                </c:pt>
                <c:pt idx="40">
                  <c:v>0.1468129948248367</c:v>
                </c:pt>
                <c:pt idx="41">
                  <c:v>0.15048331969545761</c:v>
                </c:pt>
                <c:pt idx="42">
                  <c:v>0.15415364456607855</c:v>
                </c:pt>
                <c:pt idx="43">
                  <c:v>0.15782396943669944</c:v>
                </c:pt>
                <c:pt idx="44">
                  <c:v>0.16149429430732037</c:v>
                </c:pt>
                <c:pt idx="45">
                  <c:v>0.16516461917794129</c:v>
                </c:pt>
                <c:pt idx="46">
                  <c:v>0.1688349440485622</c:v>
                </c:pt>
                <c:pt idx="47">
                  <c:v>0.17250526891918314</c:v>
                </c:pt>
                <c:pt idx="48">
                  <c:v>0.17617559378980405</c:v>
                </c:pt>
                <c:pt idx="49">
                  <c:v>0.17984591866042496</c:v>
                </c:pt>
                <c:pt idx="50">
                  <c:v>0.18351624353104587</c:v>
                </c:pt>
                <c:pt idx="51">
                  <c:v>0.18718656840166678</c:v>
                </c:pt>
                <c:pt idx="52">
                  <c:v>0.19085689327228772</c:v>
                </c:pt>
                <c:pt idx="53">
                  <c:v>0.19452721814290863</c:v>
                </c:pt>
                <c:pt idx="54">
                  <c:v>0.19819754301352957</c:v>
                </c:pt>
                <c:pt idx="55">
                  <c:v>0.20186786788415045</c:v>
                </c:pt>
                <c:pt idx="56">
                  <c:v>0.20553819275477136</c:v>
                </c:pt>
                <c:pt idx="57">
                  <c:v>0.2092085176253923</c:v>
                </c:pt>
                <c:pt idx="58">
                  <c:v>0.21287884249601322</c:v>
                </c:pt>
                <c:pt idx="59">
                  <c:v>0.21654916736663415</c:v>
                </c:pt>
                <c:pt idx="60">
                  <c:v>0.22021949223725504</c:v>
                </c:pt>
                <c:pt idx="61">
                  <c:v>0.22388981710787595</c:v>
                </c:pt>
                <c:pt idx="62">
                  <c:v>0.22756014197849689</c:v>
                </c:pt>
                <c:pt idx="63">
                  <c:v>0.2312304668491178</c:v>
                </c:pt>
                <c:pt idx="64">
                  <c:v>0.23490079171973874</c:v>
                </c:pt>
                <c:pt idx="65">
                  <c:v>0.23857111659035965</c:v>
                </c:pt>
                <c:pt idx="66">
                  <c:v>0.24224144146098053</c:v>
                </c:pt>
                <c:pt idx="67">
                  <c:v>0.24591176633160147</c:v>
                </c:pt>
                <c:pt idx="68">
                  <c:v>0.24958209120222238</c:v>
                </c:pt>
                <c:pt idx="69">
                  <c:v>0.25325241607284332</c:v>
                </c:pt>
                <c:pt idx="70">
                  <c:v>0.25692274094346423</c:v>
                </c:pt>
                <c:pt idx="71">
                  <c:v>0.26059306581408515</c:v>
                </c:pt>
                <c:pt idx="72">
                  <c:v>0.26426339068470606</c:v>
                </c:pt>
                <c:pt idx="73">
                  <c:v>0.26793371555532697</c:v>
                </c:pt>
                <c:pt idx="74">
                  <c:v>0.27160404042594793</c:v>
                </c:pt>
                <c:pt idx="75">
                  <c:v>0.27527436529656879</c:v>
                </c:pt>
                <c:pt idx="76">
                  <c:v>0.2789446901671897</c:v>
                </c:pt>
                <c:pt idx="77">
                  <c:v>0.28261501503781067</c:v>
                </c:pt>
                <c:pt idx="78">
                  <c:v>0.28628533990843158</c:v>
                </c:pt>
                <c:pt idx="79">
                  <c:v>0.28995566477905249</c:v>
                </c:pt>
                <c:pt idx="80">
                  <c:v>0.2936259896496734</c:v>
                </c:pt>
                <c:pt idx="81">
                  <c:v>0.29729631452029431</c:v>
                </c:pt>
                <c:pt idx="82">
                  <c:v>0.30096663939091522</c:v>
                </c:pt>
                <c:pt idx="83">
                  <c:v>0.30463696426153619</c:v>
                </c:pt>
                <c:pt idx="84">
                  <c:v>0.3083072891321571</c:v>
                </c:pt>
                <c:pt idx="85">
                  <c:v>0.31197761400277801</c:v>
                </c:pt>
                <c:pt idx="86">
                  <c:v>0.31564793887339887</c:v>
                </c:pt>
                <c:pt idx="87">
                  <c:v>0.31931826374401978</c:v>
                </c:pt>
                <c:pt idx="88">
                  <c:v>0.32298858861464075</c:v>
                </c:pt>
                <c:pt idx="89">
                  <c:v>0.32665891348526166</c:v>
                </c:pt>
                <c:pt idx="90">
                  <c:v>0.33032923835588257</c:v>
                </c:pt>
                <c:pt idx="91">
                  <c:v>0.33399956322650348</c:v>
                </c:pt>
                <c:pt idx="92">
                  <c:v>0.33766988809712439</c:v>
                </c:pt>
                <c:pt idx="93">
                  <c:v>0.34134021296774536</c:v>
                </c:pt>
                <c:pt idx="94">
                  <c:v>0.34501053783836627</c:v>
                </c:pt>
                <c:pt idx="95">
                  <c:v>0.34868086270898718</c:v>
                </c:pt>
                <c:pt idx="96">
                  <c:v>0.35235118757960809</c:v>
                </c:pt>
                <c:pt idx="97">
                  <c:v>0.35602151245022895</c:v>
                </c:pt>
                <c:pt idx="98">
                  <c:v>0.35969183732084992</c:v>
                </c:pt>
                <c:pt idx="99">
                  <c:v>0.36336216219147083</c:v>
                </c:pt>
                <c:pt idx="100">
                  <c:v>0.36703248706209174</c:v>
                </c:pt>
                <c:pt idx="101">
                  <c:v>0.37070281193271265</c:v>
                </c:pt>
                <c:pt idx="102">
                  <c:v>0.37437313680333356</c:v>
                </c:pt>
                <c:pt idx="103">
                  <c:v>0.37804346167395453</c:v>
                </c:pt>
                <c:pt idx="104">
                  <c:v>0.38171378654457544</c:v>
                </c:pt>
                <c:pt idx="105">
                  <c:v>0.38538411141519635</c:v>
                </c:pt>
                <c:pt idx="106">
                  <c:v>0.38905443628581726</c:v>
                </c:pt>
                <c:pt idx="107">
                  <c:v>0.39272476115643817</c:v>
                </c:pt>
                <c:pt idx="108">
                  <c:v>0.39639508602705914</c:v>
                </c:pt>
                <c:pt idx="109">
                  <c:v>0.40006541089768</c:v>
                </c:pt>
                <c:pt idx="110">
                  <c:v>0.40373573576830091</c:v>
                </c:pt>
                <c:pt idx="111">
                  <c:v>0.40740606063892182</c:v>
                </c:pt>
                <c:pt idx="112">
                  <c:v>0.41107638550954273</c:v>
                </c:pt>
                <c:pt idx="113">
                  <c:v>0.4147467103801637</c:v>
                </c:pt>
                <c:pt idx="114">
                  <c:v>0.41841703525078461</c:v>
                </c:pt>
                <c:pt idx="115">
                  <c:v>0.42208736012140552</c:v>
                </c:pt>
                <c:pt idx="116">
                  <c:v>0.42575768499202643</c:v>
                </c:pt>
                <c:pt idx="117">
                  <c:v>0.42942800986264734</c:v>
                </c:pt>
                <c:pt idx="118">
                  <c:v>0.43309833473326831</c:v>
                </c:pt>
                <c:pt idx="119">
                  <c:v>0.43676865960388922</c:v>
                </c:pt>
                <c:pt idx="120">
                  <c:v>0.44043898447451008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-0.15643446504023117</c:v>
                </c:pt>
                <c:pt idx="22">
                  <c:v>-0.30901699437494728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0.45399049973954575</c:v>
                </c:pt>
                <c:pt idx="44">
                  <c:v>0.58778525229247292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0.89100652418836768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6.1257422745431001E-16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-7.4717424639169492</c:v>
                </c:pt>
                <c:pt idx="2">
                  <c:v>-7.331754269301924</c:v>
                </c:pt>
                <c:pt idx="3">
                  <c:v>-5.6336714249903723</c:v>
                </c:pt>
                <c:pt idx="4">
                  <c:v>-4.1618506169090956</c:v>
                </c:pt>
                <c:pt idx="5">
                  <c:v>-2.9163557683493599</c:v>
                </c:pt>
                <c:pt idx="6">
                  <c:v>-1.8972409205160785</c:v>
                </c:pt>
                <c:pt idx="7">
                  <c:v>-1.1045502564425664</c:v>
                </c:pt>
                <c:pt idx="8">
                  <c:v>-0.53831812051364747</c:v>
                </c:pt>
                <c:pt idx="9">
                  <c:v>-0.19856903362328876</c:v>
                </c:pt>
                <c:pt idx="10">
                  <c:v>-8.5317703986961535E-2</c:v>
                </c:pt>
                <c:pt idx="11">
                  <c:v>-0.19856903362329059</c:v>
                </c:pt>
                <c:pt idx="12">
                  <c:v>-0.53831812051365202</c:v>
                </c:pt>
                <c:pt idx="13">
                  <c:v>-1.1045502564425682</c:v>
                </c:pt>
                <c:pt idx="14">
                  <c:v>-1.8972409205160847</c:v>
                </c:pt>
                <c:pt idx="15">
                  <c:v>-2.9163557683493693</c:v>
                </c:pt>
                <c:pt idx="16">
                  <c:v>-4.1618506169091107</c:v>
                </c:pt>
                <c:pt idx="17">
                  <c:v>-5.6336714249903856</c:v>
                </c:pt>
                <c:pt idx="18">
                  <c:v>-7.3317542693019417</c:v>
                </c:pt>
                <c:pt idx="19">
                  <c:v>-7.4717424639169723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0.5168385081152802</c:v>
                </c:pt>
                <c:pt idx="2">
                  <c:v>-1.282490559833771</c:v>
                </c:pt>
                <c:pt idx="3">
                  <c:v>-2.8701774298097988</c:v>
                </c:pt>
                <c:pt idx="4">
                  <c:v>-4.2462057394017574</c:v>
                </c:pt>
                <c:pt idx="5">
                  <c:v>-5.4105613224641065</c:v>
                </c:pt>
                <c:pt idx="6">
                  <c:v>-6.3632322028366888</c:v>
                </c:pt>
                <c:pt idx="7">
                  <c:v>-7.1042085890449469</c:v>
                </c:pt>
                <c:pt idx="8">
                  <c:v>-7.6334828699733617</c:v>
                </c:pt>
                <c:pt idx="9">
                  <c:v>-7.9510496115063578</c:v>
                </c:pt>
                <c:pt idx="10">
                  <c:v>-8.0569055541321557</c:v>
                </c:pt>
                <c:pt idx="11">
                  <c:v>-7.951049611506356</c:v>
                </c:pt>
                <c:pt idx="12">
                  <c:v>-7.6334828699733581</c:v>
                </c:pt>
                <c:pt idx="13">
                  <c:v>-7.1042085890449451</c:v>
                </c:pt>
                <c:pt idx="14">
                  <c:v>-6.3632322028366852</c:v>
                </c:pt>
                <c:pt idx="15">
                  <c:v>-5.410561322464102</c:v>
                </c:pt>
                <c:pt idx="16">
                  <c:v>-4.2462057394017458</c:v>
                </c:pt>
                <c:pt idx="17">
                  <c:v>-2.8701774298097895</c:v>
                </c:pt>
                <c:pt idx="18">
                  <c:v>-1.2824905598337555</c:v>
                </c:pt>
                <c:pt idx="19">
                  <c:v>0.51683850811529941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 e vigas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5.4560750323447351</c:v>
                </c:pt>
                <c:pt idx="1">
                  <c:v>9.1796633073914204</c:v>
                </c:pt>
                <c:pt idx="2">
                  <c:v>6.8113861527932515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40.366225519299299</c:v>
                </c:pt>
                <c:pt idx="1">
                  <c:v>31.89430164487846</c:v>
                </c:pt>
                <c:pt idx="2">
                  <c:v>25.834384332351554</c:v>
                </c:pt>
                <c:pt idx="3">
                  <c:v>21.350730853183101</c:v>
                </c:pt>
                <c:pt idx="4">
                  <c:v>17.940544675244134</c:v>
                </c:pt>
                <c:pt idx="5">
                  <c:v>15.286617948137012</c:v>
                </c:pt>
                <c:pt idx="6">
                  <c:v>13.180808332832425</c:v>
                </c:pt>
                <c:pt idx="7">
                  <c:v>11.481948592156245</c:v>
                </c:pt>
                <c:pt idx="8">
                  <c:v>10.091556379824825</c:v>
                </c:pt>
                <c:pt idx="9">
                  <c:v>8.9392333329936164</c:v>
                </c:pt>
                <c:pt idx="10">
                  <c:v>7.9735754112196151</c:v>
                </c:pt>
                <c:pt idx="11">
                  <c:v>7.1563391502358877</c:v>
                </c:pt>
                <c:pt idx="12">
                  <c:v>6.4585960830878886</c:v>
                </c:pt>
                <c:pt idx="13">
                  <c:v>5.8581370368144112</c:v>
                </c:pt>
                <c:pt idx="14">
                  <c:v>5.3376827132957754</c:v>
                </c:pt>
                <c:pt idx="15">
                  <c:v>4.8836265278547364</c:v>
                </c:pt>
                <c:pt idx="16">
                  <c:v>4.4851361688110334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67.914821013404691</c:v>
                </c:pt>
                <c:pt idx="1">
                  <c:v>53.661093146393824</c:v>
                </c:pt>
                <c:pt idx="2">
                  <c:v>43.465485448579003</c:v>
                </c:pt>
                <c:pt idx="3">
                  <c:v>35.921888800478513</c:v>
                </c:pt>
                <c:pt idx="4">
                  <c:v>30.184364894846528</c:v>
                </c:pt>
                <c:pt idx="5">
                  <c:v>25.719222158922484</c:v>
                </c:pt>
                <c:pt idx="6">
                  <c:v>22.176268086009696</c:v>
                </c:pt>
                <c:pt idx="7">
                  <c:v>19.317993532701777</c:v>
                </c:pt>
                <c:pt idx="8">
                  <c:v>16.978705253351173</c:v>
                </c:pt>
                <c:pt idx="9">
                  <c:v>15.039960362830106</c:v>
                </c:pt>
                <c:pt idx="10">
                  <c:v>13.415273286598456</c:v>
                </c:pt>
                <c:pt idx="11">
                  <c:v>12.040300678276731</c:v>
                </c:pt>
                <c:pt idx="12">
                  <c:v>10.866371362144751</c:v>
                </c:pt>
                <c:pt idx="13">
                  <c:v>9.8561191493376423</c:v>
                </c:pt>
                <c:pt idx="14">
                  <c:v>8.9804722001196282</c:v>
                </c:pt>
                <c:pt idx="15">
                  <c:v>8.2165378919809076</c:v>
                </c:pt>
                <c:pt idx="16">
                  <c:v>7.546091223711632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50.393359312825595</c:v>
                </c:pt>
                <c:pt idx="1">
                  <c:v>39.816975259516518</c:v>
                </c:pt>
                <c:pt idx="2">
                  <c:v>32.251749960208393</c:v>
                </c:pt>
                <c:pt idx="3">
                  <c:v>26.654338810089577</c:v>
                </c:pt>
                <c:pt idx="4">
                  <c:v>22.397048583478043</c:v>
                </c:pt>
                <c:pt idx="5">
                  <c:v>19.083875716099637</c:v>
                </c:pt>
                <c:pt idx="6">
                  <c:v>16.454974469494072</c:v>
                </c:pt>
                <c:pt idx="7">
                  <c:v>14.33411109342595</c:v>
                </c:pt>
                <c:pt idx="8">
                  <c:v>12.598339828206399</c:v>
                </c:pt>
                <c:pt idx="9">
                  <c:v>11.159775072736467</c:v>
                </c:pt>
                <c:pt idx="10">
                  <c:v>9.9542438148791295</c:v>
                </c:pt>
                <c:pt idx="11">
                  <c:v>8.9340027590604958</c:v>
                </c:pt>
                <c:pt idx="12">
                  <c:v>8.0629374900520983</c:v>
                </c:pt>
                <c:pt idx="13">
                  <c:v>7.313321986441812</c:v>
                </c:pt>
                <c:pt idx="14">
                  <c:v>6.6635847025223942</c:v>
                </c:pt>
                <c:pt idx="15">
                  <c:v>6.096739122912739</c:v>
                </c:pt>
                <c:pt idx="16">
                  <c:v>5.5992621458695107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4.5820484234169907E-3</c:v>
                </c:pt>
                <c:pt idx="2">
                  <c:v>9.1640968468339815E-3</c:v>
                </c:pt>
                <c:pt idx="3">
                  <c:v>1.3746145270250972E-2</c:v>
                </c:pt>
                <c:pt idx="4">
                  <c:v>1.8328193693667963E-2</c:v>
                </c:pt>
                <c:pt idx="5">
                  <c:v>2.2910242117084954E-2</c:v>
                </c:pt>
                <c:pt idx="6">
                  <c:v>2.7492290540501944E-2</c:v>
                </c:pt>
                <c:pt idx="7">
                  <c:v>3.2074338963918932E-2</c:v>
                </c:pt>
                <c:pt idx="8">
                  <c:v>3.6656387387335926E-2</c:v>
                </c:pt>
                <c:pt idx="9">
                  <c:v>4.123843581075292E-2</c:v>
                </c:pt>
                <c:pt idx="10">
                  <c:v>4.5820484234169907E-2</c:v>
                </c:pt>
                <c:pt idx="11">
                  <c:v>5.0402532657586901E-2</c:v>
                </c:pt>
                <c:pt idx="12">
                  <c:v>5.4984581081003889E-2</c:v>
                </c:pt>
                <c:pt idx="13">
                  <c:v>5.9566629504420883E-2</c:v>
                </c:pt>
                <c:pt idx="14">
                  <c:v>6.4148677927837863E-2</c:v>
                </c:pt>
                <c:pt idx="15">
                  <c:v>6.8730726351254864E-2</c:v>
                </c:pt>
                <c:pt idx="16">
                  <c:v>7.3312774774671852E-2</c:v>
                </c:pt>
                <c:pt idx="17">
                  <c:v>7.7894823198088839E-2</c:v>
                </c:pt>
                <c:pt idx="18">
                  <c:v>8.247687162150584E-2</c:v>
                </c:pt>
                <c:pt idx="19">
                  <c:v>8.7058920044922813E-2</c:v>
                </c:pt>
                <c:pt idx="20">
                  <c:v>9.1640968468339815E-2</c:v>
                </c:pt>
                <c:pt idx="21">
                  <c:v>9.6223016891756802E-2</c:v>
                </c:pt>
                <c:pt idx="22">
                  <c:v>0.1008050653151738</c:v>
                </c:pt>
                <c:pt idx="23">
                  <c:v>0.10538711373859078</c:v>
                </c:pt>
                <c:pt idx="24">
                  <c:v>0.10996916216200778</c:v>
                </c:pt>
                <c:pt idx="25">
                  <c:v>0.11455121058542476</c:v>
                </c:pt>
                <c:pt idx="26">
                  <c:v>0.11913325900884177</c:v>
                </c:pt>
                <c:pt idx="27">
                  <c:v>0.12371530743225875</c:v>
                </c:pt>
                <c:pt idx="28">
                  <c:v>0.12829735585567573</c:v>
                </c:pt>
                <c:pt idx="29">
                  <c:v>0.13287940427909273</c:v>
                </c:pt>
                <c:pt idx="30">
                  <c:v>0.13746145270250973</c:v>
                </c:pt>
                <c:pt idx="31">
                  <c:v>0.1420435011259267</c:v>
                </c:pt>
                <c:pt idx="32">
                  <c:v>0.1466255495493437</c:v>
                </c:pt>
                <c:pt idx="33">
                  <c:v>0.15120759797276068</c:v>
                </c:pt>
                <c:pt idx="34">
                  <c:v>0.15578964639617768</c:v>
                </c:pt>
                <c:pt idx="35">
                  <c:v>0.16037169481959468</c:v>
                </c:pt>
                <c:pt idx="36">
                  <c:v>0.16495374324301168</c:v>
                </c:pt>
                <c:pt idx="37">
                  <c:v>0.16953579166642865</c:v>
                </c:pt>
                <c:pt idx="38">
                  <c:v>0.17411784008984563</c:v>
                </c:pt>
                <c:pt idx="39">
                  <c:v>0.17869988851326263</c:v>
                </c:pt>
                <c:pt idx="40">
                  <c:v>0.18328193693667963</c:v>
                </c:pt>
                <c:pt idx="41">
                  <c:v>0.1878639853600966</c:v>
                </c:pt>
                <c:pt idx="42">
                  <c:v>0.1924460337835136</c:v>
                </c:pt>
                <c:pt idx="43">
                  <c:v>0.1970280822069306</c:v>
                </c:pt>
                <c:pt idx="44">
                  <c:v>0.20161013063034761</c:v>
                </c:pt>
                <c:pt idx="45">
                  <c:v>0.20619217905376458</c:v>
                </c:pt>
                <c:pt idx="46">
                  <c:v>0.21077422747718155</c:v>
                </c:pt>
                <c:pt idx="47">
                  <c:v>0.21535627590059858</c:v>
                </c:pt>
                <c:pt idx="48">
                  <c:v>0.21993832432401555</c:v>
                </c:pt>
                <c:pt idx="49">
                  <c:v>0.22452037274743256</c:v>
                </c:pt>
                <c:pt idx="50">
                  <c:v>0.22910242117084953</c:v>
                </c:pt>
                <c:pt idx="51">
                  <c:v>0.2336844695942665</c:v>
                </c:pt>
                <c:pt idx="52">
                  <c:v>0.23826651801768353</c:v>
                </c:pt>
                <c:pt idx="53">
                  <c:v>0.24284856644110051</c:v>
                </c:pt>
                <c:pt idx="54">
                  <c:v>0.24743061486451751</c:v>
                </c:pt>
                <c:pt idx="55">
                  <c:v>0.25201266328793448</c:v>
                </c:pt>
                <c:pt idx="56">
                  <c:v>0.25659471171135145</c:v>
                </c:pt>
                <c:pt idx="57">
                  <c:v>0.26117676013476848</c:v>
                </c:pt>
                <c:pt idx="58">
                  <c:v>0.26575880855818546</c:v>
                </c:pt>
                <c:pt idx="59">
                  <c:v>0.27034085698160248</c:v>
                </c:pt>
                <c:pt idx="60">
                  <c:v>0.27492290540501946</c:v>
                </c:pt>
                <c:pt idx="61">
                  <c:v>0.27950495382843643</c:v>
                </c:pt>
                <c:pt idx="62">
                  <c:v>0.2840870022518534</c:v>
                </c:pt>
                <c:pt idx="63">
                  <c:v>0.28866905067527038</c:v>
                </c:pt>
                <c:pt idx="64">
                  <c:v>0.29325109909868741</c:v>
                </c:pt>
                <c:pt idx="65">
                  <c:v>0.29783314752210438</c:v>
                </c:pt>
                <c:pt idx="66">
                  <c:v>0.30241519594552135</c:v>
                </c:pt>
                <c:pt idx="67">
                  <c:v>0.30699724436893838</c:v>
                </c:pt>
                <c:pt idx="68">
                  <c:v>0.31157929279235536</c:v>
                </c:pt>
                <c:pt idx="69">
                  <c:v>0.31616134121577238</c:v>
                </c:pt>
                <c:pt idx="70">
                  <c:v>0.32074338963918936</c:v>
                </c:pt>
                <c:pt idx="71">
                  <c:v>0.32532543806260633</c:v>
                </c:pt>
                <c:pt idx="72">
                  <c:v>0.32990748648602336</c:v>
                </c:pt>
                <c:pt idx="73">
                  <c:v>0.33448953490944033</c:v>
                </c:pt>
                <c:pt idx="74">
                  <c:v>0.33907158333285731</c:v>
                </c:pt>
                <c:pt idx="75">
                  <c:v>0.34365363175627428</c:v>
                </c:pt>
                <c:pt idx="76">
                  <c:v>0.34823568017969125</c:v>
                </c:pt>
                <c:pt idx="77">
                  <c:v>0.35281772860310828</c:v>
                </c:pt>
                <c:pt idx="78">
                  <c:v>0.35739977702652526</c:v>
                </c:pt>
                <c:pt idx="79">
                  <c:v>0.36198182544994228</c:v>
                </c:pt>
                <c:pt idx="80">
                  <c:v>0.36656387387335926</c:v>
                </c:pt>
                <c:pt idx="81">
                  <c:v>0.37114592229677623</c:v>
                </c:pt>
                <c:pt idx="82">
                  <c:v>0.37572797072019321</c:v>
                </c:pt>
                <c:pt idx="83">
                  <c:v>0.38031001914361023</c:v>
                </c:pt>
                <c:pt idx="84">
                  <c:v>0.38489206756702721</c:v>
                </c:pt>
                <c:pt idx="85">
                  <c:v>0.38947411599044418</c:v>
                </c:pt>
                <c:pt idx="86">
                  <c:v>0.39405616441386121</c:v>
                </c:pt>
                <c:pt idx="87">
                  <c:v>0.39863821283727818</c:v>
                </c:pt>
                <c:pt idx="88">
                  <c:v>0.40322026126069521</c:v>
                </c:pt>
                <c:pt idx="89">
                  <c:v>0.40780230968411219</c:v>
                </c:pt>
                <c:pt idx="90">
                  <c:v>0.41238435810752916</c:v>
                </c:pt>
                <c:pt idx="91">
                  <c:v>0.41696640653094613</c:v>
                </c:pt>
                <c:pt idx="92">
                  <c:v>0.42154845495436311</c:v>
                </c:pt>
                <c:pt idx="93">
                  <c:v>0.42613050337778019</c:v>
                </c:pt>
                <c:pt idx="94">
                  <c:v>0.43071255180119716</c:v>
                </c:pt>
                <c:pt idx="95">
                  <c:v>0.43529460022461414</c:v>
                </c:pt>
                <c:pt idx="96">
                  <c:v>0.43987664864803111</c:v>
                </c:pt>
                <c:pt idx="97">
                  <c:v>0.44445869707144808</c:v>
                </c:pt>
                <c:pt idx="98">
                  <c:v>0.44904074549486511</c:v>
                </c:pt>
                <c:pt idx="99">
                  <c:v>0.45362279391828209</c:v>
                </c:pt>
                <c:pt idx="100">
                  <c:v>0.45820484234169906</c:v>
                </c:pt>
                <c:pt idx="101">
                  <c:v>0.46278689076511603</c:v>
                </c:pt>
                <c:pt idx="102">
                  <c:v>0.46736893918853301</c:v>
                </c:pt>
                <c:pt idx="103">
                  <c:v>0.47195098761195009</c:v>
                </c:pt>
                <c:pt idx="104">
                  <c:v>0.47653303603536706</c:v>
                </c:pt>
                <c:pt idx="105">
                  <c:v>0.48111508445878404</c:v>
                </c:pt>
                <c:pt idx="106">
                  <c:v>0.48569713288220101</c:v>
                </c:pt>
                <c:pt idx="107">
                  <c:v>0.49027918130561798</c:v>
                </c:pt>
                <c:pt idx="108">
                  <c:v>0.49486122972903501</c:v>
                </c:pt>
                <c:pt idx="109">
                  <c:v>0.49944327815245199</c:v>
                </c:pt>
                <c:pt idx="110">
                  <c:v>0.50402532657586896</c:v>
                </c:pt>
                <c:pt idx="111">
                  <c:v>0.50860737499928599</c:v>
                </c:pt>
                <c:pt idx="112">
                  <c:v>0.51318942342270291</c:v>
                </c:pt>
                <c:pt idx="113">
                  <c:v>0.51777147184611994</c:v>
                </c:pt>
                <c:pt idx="114">
                  <c:v>0.52235352026953696</c:v>
                </c:pt>
                <c:pt idx="115">
                  <c:v>0.52693556869295388</c:v>
                </c:pt>
                <c:pt idx="116">
                  <c:v>0.53151761711637091</c:v>
                </c:pt>
                <c:pt idx="117">
                  <c:v>0.53609966553978783</c:v>
                </c:pt>
                <c:pt idx="118">
                  <c:v>0.54068171396320497</c:v>
                </c:pt>
                <c:pt idx="119">
                  <c:v>0.54526376238662189</c:v>
                </c:pt>
                <c:pt idx="120">
                  <c:v>0.54984581081003892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0.4539904997395468</c:v>
                </c:pt>
                <c:pt idx="4">
                  <c:v>0.58778525229247314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0.95105651629515353</c:v>
                </c:pt>
                <c:pt idx="13">
                  <c:v>0.89100652418836768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-0.58778525229247336</c:v>
                </c:pt>
                <c:pt idx="25">
                  <c:v>-0.70710678118654768</c:v>
                </c:pt>
                <c:pt idx="26">
                  <c:v>-0.8090169943749479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-0.70710678118654702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0.45399049973954736</c:v>
                </c:pt>
                <c:pt idx="44">
                  <c:v>0.58778525229247358</c:v>
                </c:pt>
                <c:pt idx="45">
                  <c:v>0.70710678118654791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0.95105651629515375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0.95105651629515309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0.15643446504022859</c:v>
                </c:pt>
                <c:pt idx="60">
                  <c:v>-1.4088123029276645E-15</c:v>
                </c:pt>
                <c:pt idx="61">
                  <c:v>-0.15643446504023137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0.80901699437494812</c:v>
                </c:pt>
                <c:pt idx="87">
                  <c:v>0.89100652418836801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0.98768834059513766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0.70710678118654602</c:v>
                </c:pt>
                <c:pt idx="96">
                  <c:v>0.58778525229247214</c:v>
                </c:pt>
                <c:pt idx="97">
                  <c:v>0.45399049973954653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-0.58778525229247547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-0.98768834059513744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-0.30901699437494307</c:v>
                </c:pt>
                <c:pt idx="119">
                  <c:v>-0.15643446504022895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2.723411432734153E-3</c:v>
                </c:pt>
                <c:pt idx="2">
                  <c:v>5.446822865468306E-3</c:v>
                </c:pt>
                <c:pt idx="3">
                  <c:v>8.1702342982024577E-3</c:v>
                </c:pt>
                <c:pt idx="4">
                  <c:v>1.0893645730936612E-2</c:v>
                </c:pt>
                <c:pt idx="5">
                  <c:v>1.3617057163670765E-2</c:v>
                </c:pt>
                <c:pt idx="6">
                  <c:v>1.6340468596404915E-2</c:v>
                </c:pt>
                <c:pt idx="7">
                  <c:v>1.9063880029139068E-2</c:v>
                </c:pt>
                <c:pt idx="8">
                  <c:v>2.1787291461873224E-2</c:v>
                </c:pt>
                <c:pt idx="9">
                  <c:v>2.4510702894607377E-2</c:v>
                </c:pt>
                <c:pt idx="10">
                  <c:v>2.7234114327341529E-2</c:v>
                </c:pt>
                <c:pt idx="11">
                  <c:v>2.9957525760075682E-2</c:v>
                </c:pt>
                <c:pt idx="12">
                  <c:v>3.2680937192809831E-2</c:v>
                </c:pt>
                <c:pt idx="13">
                  <c:v>3.5404348625543987E-2</c:v>
                </c:pt>
                <c:pt idx="14">
                  <c:v>3.8127760058278136E-2</c:v>
                </c:pt>
                <c:pt idx="15">
                  <c:v>4.0851171491012292E-2</c:v>
                </c:pt>
                <c:pt idx="16">
                  <c:v>4.3574582923746448E-2</c:v>
                </c:pt>
                <c:pt idx="17">
                  <c:v>4.6297994356480597E-2</c:v>
                </c:pt>
                <c:pt idx="18">
                  <c:v>4.9021405789214753E-2</c:v>
                </c:pt>
                <c:pt idx="19">
                  <c:v>5.1744817221948902E-2</c:v>
                </c:pt>
                <c:pt idx="20">
                  <c:v>5.4468228654683058E-2</c:v>
                </c:pt>
                <c:pt idx="21">
                  <c:v>5.7191640087417214E-2</c:v>
                </c:pt>
                <c:pt idx="22">
                  <c:v>5.9915051520151363E-2</c:v>
                </c:pt>
                <c:pt idx="23">
                  <c:v>6.2638462952885512E-2</c:v>
                </c:pt>
                <c:pt idx="24">
                  <c:v>6.5361874385619662E-2</c:v>
                </c:pt>
                <c:pt idx="25">
                  <c:v>6.8085285818353825E-2</c:v>
                </c:pt>
                <c:pt idx="26">
                  <c:v>7.0808697251087974E-2</c:v>
                </c:pt>
                <c:pt idx="27">
                  <c:v>7.3532108683822137E-2</c:v>
                </c:pt>
                <c:pt idx="28">
                  <c:v>7.6255520116556272E-2</c:v>
                </c:pt>
                <c:pt idx="29">
                  <c:v>7.8978931549290435E-2</c:v>
                </c:pt>
                <c:pt idx="30">
                  <c:v>8.1702342982024584E-2</c:v>
                </c:pt>
                <c:pt idx="31">
                  <c:v>8.4425754414758733E-2</c:v>
                </c:pt>
                <c:pt idx="32">
                  <c:v>8.7149165847492896E-2</c:v>
                </c:pt>
                <c:pt idx="33">
                  <c:v>8.9872577280227031E-2</c:v>
                </c:pt>
                <c:pt idx="34">
                  <c:v>9.2595988712961194E-2</c:v>
                </c:pt>
                <c:pt idx="35">
                  <c:v>9.5319400145695343E-2</c:v>
                </c:pt>
                <c:pt idx="36">
                  <c:v>9.8042811578429506E-2</c:v>
                </c:pt>
                <c:pt idx="37">
                  <c:v>0.10076622301116366</c:v>
                </c:pt>
                <c:pt idx="38">
                  <c:v>0.1034896344438978</c:v>
                </c:pt>
                <c:pt idx="39">
                  <c:v>0.10621304587663195</c:v>
                </c:pt>
                <c:pt idx="40">
                  <c:v>0.10893645730936612</c:v>
                </c:pt>
                <c:pt idx="41">
                  <c:v>0.11165986874210025</c:v>
                </c:pt>
                <c:pt idx="42">
                  <c:v>0.11438328017483443</c:v>
                </c:pt>
                <c:pt idx="43">
                  <c:v>0.11710669160756856</c:v>
                </c:pt>
                <c:pt idx="44">
                  <c:v>0.11983010304030273</c:v>
                </c:pt>
                <c:pt idx="45">
                  <c:v>0.12255351447303688</c:v>
                </c:pt>
                <c:pt idx="46">
                  <c:v>0.12527692590577102</c:v>
                </c:pt>
                <c:pt idx="47">
                  <c:v>0.12800033733850519</c:v>
                </c:pt>
                <c:pt idx="48">
                  <c:v>0.13072374877123932</c:v>
                </c:pt>
                <c:pt idx="49">
                  <c:v>0.13344716020397349</c:v>
                </c:pt>
                <c:pt idx="50">
                  <c:v>0.13617057163670765</c:v>
                </c:pt>
                <c:pt idx="51">
                  <c:v>0.13889398306944178</c:v>
                </c:pt>
                <c:pt idx="52">
                  <c:v>0.14161739450217595</c:v>
                </c:pt>
                <c:pt idx="53">
                  <c:v>0.14434080593491008</c:v>
                </c:pt>
                <c:pt idx="54">
                  <c:v>0.14706421736764427</c:v>
                </c:pt>
                <c:pt idx="55">
                  <c:v>0.14978762880037841</c:v>
                </c:pt>
                <c:pt idx="56">
                  <c:v>0.15251104023311254</c:v>
                </c:pt>
                <c:pt idx="57">
                  <c:v>0.15523445166584671</c:v>
                </c:pt>
                <c:pt idx="58">
                  <c:v>0.15795786309858087</c:v>
                </c:pt>
                <c:pt idx="59">
                  <c:v>0.16068127453131503</c:v>
                </c:pt>
                <c:pt idx="60">
                  <c:v>0.16340468596404917</c:v>
                </c:pt>
                <c:pt idx="61">
                  <c:v>0.1661280973967833</c:v>
                </c:pt>
                <c:pt idx="62">
                  <c:v>0.16885150882951747</c:v>
                </c:pt>
                <c:pt idx="63">
                  <c:v>0.17157492026225163</c:v>
                </c:pt>
                <c:pt idx="64">
                  <c:v>0.17429833169498579</c:v>
                </c:pt>
                <c:pt idx="65">
                  <c:v>0.17702174312771993</c:v>
                </c:pt>
                <c:pt idx="66">
                  <c:v>0.17974515456045406</c:v>
                </c:pt>
                <c:pt idx="67">
                  <c:v>0.18246856599318825</c:v>
                </c:pt>
                <c:pt idx="68">
                  <c:v>0.18519197742592239</c:v>
                </c:pt>
                <c:pt idx="69">
                  <c:v>0.18791538885865655</c:v>
                </c:pt>
                <c:pt idx="70">
                  <c:v>0.19063880029139069</c:v>
                </c:pt>
                <c:pt idx="71">
                  <c:v>0.19336221172412485</c:v>
                </c:pt>
                <c:pt idx="72">
                  <c:v>0.19608562315685901</c:v>
                </c:pt>
                <c:pt idx="73">
                  <c:v>0.19880903458959315</c:v>
                </c:pt>
                <c:pt idx="74">
                  <c:v>0.20153244602232731</c:v>
                </c:pt>
                <c:pt idx="75">
                  <c:v>0.20425585745506145</c:v>
                </c:pt>
                <c:pt idx="76">
                  <c:v>0.20697926888779561</c:v>
                </c:pt>
                <c:pt idx="77">
                  <c:v>0.20970268032052977</c:v>
                </c:pt>
                <c:pt idx="78">
                  <c:v>0.21242609175326391</c:v>
                </c:pt>
                <c:pt idx="79">
                  <c:v>0.21514950318599807</c:v>
                </c:pt>
                <c:pt idx="80">
                  <c:v>0.21787291461873223</c:v>
                </c:pt>
                <c:pt idx="81">
                  <c:v>0.22059632605146637</c:v>
                </c:pt>
                <c:pt idx="82">
                  <c:v>0.2233197374842005</c:v>
                </c:pt>
                <c:pt idx="83">
                  <c:v>0.22604314891693469</c:v>
                </c:pt>
                <c:pt idx="84">
                  <c:v>0.22876656034966886</c:v>
                </c:pt>
                <c:pt idx="85">
                  <c:v>0.23148997178240299</c:v>
                </c:pt>
                <c:pt idx="86">
                  <c:v>0.23421338321513713</c:v>
                </c:pt>
                <c:pt idx="87">
                  <c:v>0.23693679464787126</c:v>
                </c:pt>
                <c:pt idx="88">
                  <c:v>0.23966020608060545</c:v>
                </c:pt>
                <c:pt idx="89">
                  <c:v>0.24238361751333962</c:v>
                </c:pt>
                <c:pt idx="90">
                  <c:v>0.24510702894607375</c:v>
                </c:pt>
                <c:pt idx="91">
                  <c:v>0.24783044037880789</c:v>
                </c:pt>
                <c:pt idx="92">
                  <c:v>0.25055385181154205</c:v>
                </c:pt>
                <c:pt idx="93">
                  <c:v>0.25327726324427624</c:v>
                </c:pt>
                <c:pt idx="94">
                  <c:v>0.25600067467701038</c:v>
                </c:pt>
                <c:pt idx="95">
                  <c:v>0.25872408610974451</c:v>
                </c:pt>
                <c:pt idx="96">
                  <c:v>0.26144749754247865</c:v>
                </c:pt>
                <c:pt idx="97">
                  <c:v>0.26417090897521278</c:v>
                </c:pt>
                <c:pt idx="98">
                  <c:v>0.26689432040794697</c:v>
                </c:pt>
                <c:pt idx="99">
                  <c:v>0.26961773184068116</c:v>
                </c:pt>
                <c:pt idx="100">
                  <c:v>0.2723411432734153</c:v>
                </c:pt>
                <c:pt idx="101">
                  <c:v>0.27506455470614943</c:v>
                </c:pt>
                <c:pt idx="102">
                  <c:v>0.27778796613888357</c:v>
                </c:pt>
                <c:pt idx="103">
                  <c:v>0.28051137757161776</c:v>
                </c:pt>
                <c:pt idx="104">
                  <c:v>0.28323478900435189</c:v>
                </c:pt>
                <c:pt idx="105">
                  <c:v>0.28595820043708603</c:v>
                </c:pt>
                <c:pt idx="106">
                  <c:v>0.28868161186982016</c:v>
                </c:pt>
                <c:pt idx="107">
                  <c:v>0.29140502330255436</c:v>
                </c:pt>
                <c:pt idx="108">
                  <c:v>0.29412843473528855</c:v>
                </c:pt>
                <c:pt idx="109">
                  <c:v>0.29685184616802268</c:v>
                </c:pt>
                <c:pt idx="110">
                  <c:v>0.29957525760075682</c:v>
                </c:pt>
                <c:pt idx="111">
                  <c:v>0.30229866903349095</c:v>
                </c:pt>
                <c:pt idx="112">
                  <c:v>0.30502208046622509</c:v>
                </c:pt>
                <c:pt idx="113">
                  <c:v>0.30774549189895928</c:v>
                </c:pt>
                <c:pt idx="114">
                  <c:v>0.31046890333169341</c:v>
                </c:pt>
                <c:pt idx="115">
                  <c:v>0.31319231476442755</c:v>
                </c:pt>
                <c:pt idx="116">
                  <c:v>0.31591572619716174</c:v>
                </c:pt>
                <c:pt idx="117">
                  <c:v>0.31863913762989587</c:v>
                </c:pt>
                <c:pt idx="118">
                  <c:v>0.32136254906263007</c:v>
                </c:pt>
                <c:pt idx="119">
                  <c:v>0.3240859604953642</c:v>
                </c:pt>
                <c:pt idx="120">
                  <c:v>0.32680937192809834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0.1564344650402309</c:v>
                </c:pt>
                <c:pt idx="2">
                  <c:v>0.30901699437494745</c:v>
                </c:pt>
                <c:pt idx="3">
                  <c:v>0.45399049973954675</c:v>
                </c:pt>
                <c:pt idx="4">
                  <c:v>0.58778525229247325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0.95105651629515364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0.5877852522924728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-0.15643446504023117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-0.70710678118654768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-0.98768834059513788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-0.95105651629515331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0.30901699437494606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-0.45399049973954725</c:v>
                </c:pt>
                <c:pt idx="64">
                  <c:v>-0.58778525229247425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0.30901699437494801</c:v>
                </c:pt>
                <c:pt idx="99">
                  <c:v>0.15643446504022884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-0.89100652418836879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-0.58778525229247081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3.6703248706209178E-3</c:v>
                </c:pt>
                <c:pt idx="2">
                  <c:v>7.3406497412418356E-3</c:v>
                </c:pt>
                <c:pt idx="3">
                  <c:v>1.1010974611862753E-2</c:v>
                </c:pt>
                <c:pt idx="4">
                  <c:v>1.4681299482483671E-2</c:v>
                </c:pt>
                <c:pt idx="5">
                  <c:v>1.8351624353104588E-2</c:v>
                </c:pt>
                <c:pt idx="6">
                  <c:v>2.2021949223725506E-2</c:v>
                </c:pt>
                <c:pt idx="7">
                  <c:v>2.5692274094346421E-2</c:v>
                </c:pt>
                <c:pt idx="8">
                  <c:v>2.9362598964967342E-2</c:v>
                </c:pt>
                <c:pt idx="9">
                  <c:v>3.3032923835588257E-2</c:v>
                </c:pt>
                <c:pt idx="10">
                  <c:v>3.6703248706209175E-2</c:v>
                </c:pt>
                <c:pt idx="11">
                  <c:v>4.0373573576830094E-2</c:v>
                </c:pt>
                <c:pt idx="12">
                  <c:v>4.4043898447451012E-2</c:v>
                </c:pt>
                <c:pt idx="13">
                  <c:v>4.771422331807193E-2</c:v>
                </c:pt>
                <c:pt idx="14">
                  <c:v>5.1384548188692841E-2</c:v>
                </c:pt>
                <c:pt idx="15">
                  <c:v>5.5054873059313759E-2</c:v>
                </c:pt>
                <c:pt idx="16">
                  <c:v>5.8725197929934685E-2</c:v>
                </c:pt>
                <c:pt idx="17">
                  <c:v>6.2395522800555596E-2</c:v>
                </c:pt>
                <c:pt idx="18">
                  <c:v>6.6065847671176514E-2</c:v>
                </c:pt>
                <c:pt idx="19">
                  <c:v>6.9736172541797425E-2</c:v>
                </c:pt>
                <c:pt idx="20">
                  <c:v>7.3406497412418351E-2</c:v>
                </c:pt>
                <c:pt idx="21">
                  <c:v>7.7076822283039276E-2</c:v>
                </c:pt>
                <c:pt idx="22">
                  <c:v>8.0747147153660187E-2</c:v>
                </c:pt>
                <c:pt idx="23">
                  <c:v>8.4417472024281098E-2</c:v>
                </c:pt>
                <c:pt idx="24">
                  <c:v>8.8087796894902023E-2</c:v>
                </c:pt>
                <c:pt idx="25">
                  <c:v>9.1758121765522935E-2</c:v>
                </c:pt>
                <c:pt idx="26">
                  <c:v>9.542844663614386E-2</c:v>
                </c:pt>
                <c:pt idx="27">
                  <c:v>9.9098771506764785E-2</c:v>
                </c:pt>
                <c:pt idx="28">
                  <c:v>0.10276909637738568</c:v>
                </c:pt>
                <c:pt idx="29">
                  <c:v>0.10643942124800661</c:v>
                </c:pt>
                <c:pt idx="30">
                  <c:v>0.11010974611862752</c:v>
                </c:pt>
                <c:pt idx="31">
                  <c:v>0.11378007098924844</c:v>
                </c:pt>
                <c:pt idx="32">
                  <c:v>0.11745039585986937</c:v>
                </c:pt>
                <c:pt idx="33">
                  <c:v>0.12112072073049027</c:v>
                </c:pt>
                <c:pt idx="34">
                  <c:v>0.12479104560111119</c:v>
                </c:pt>
                <c:pt idx="35">
                  <c:v>0.12846137047173212</c:v>
                </c:pt>
                <c:pt idx="36">
                  <c:v>0.13213169534235303</c:v>
                </c:pt>
                <c:pt idx="37">
                  <c:v>0.13580202021297397</c:v>
                </c:pt>
                <c:pt idx="38">
                  <c:v>0.13947234508359485</c:v>
                </c:pt>
                <c:pt idx="39">
                  <c:v>0.14314266995421579</c:v>
                </c:pt>
                <c:pt idx="40">
                  <c:v>0.1468129948248367</c:v>
                </c:pt>
                <c:pt idx="41">
                  <c:v>0.15048331969545761</c:v>
                </c:pt>
                <c:pt idx="42">
                  <c:v>0.15415364456607855</c:v>
                </c:pt>
                <c:pt idx="43">
                  <c:v>0.15782396943669944</c:v>
                </c:pt>
                <c:pt idx="44">
                  <c:v>0.16149429430732037</c:v>
                </c:pt>
                <c:pt idx="45">
                  <c:v>0.16516461917794129</c:v>
                </c:pt>
                <c:pt idx="46">
                  <c:v>0.1688349440485622</c:v>
                </c:pt>
                <c:pt idx="47">
                  <c:v>0.17250526891918314</c:v>
                </c:pt>
                <c:pt idx="48">
                  <c:v>0.17617559378980405</c:v>
                </c:pt>
                <c:pt idx="49">
                  <c:v>0.17984591866042496</c:v>
                </c:pt>
                <c:pt idx="50">
                  <c:v>0.18351624353104587</c:v>
                </c:pt>
                <c:pt idx="51">
                  <c:v>0.18718656840166678</c:v>
                </c:pt>
                <c:pt idx="52">
                  <c:v>0.19085689327228772</c:v>
                </c:pt>
                <c:pt idx="53">
                  <c:v>0.19452721814290863</c:v>
                </c:pt>
                <c:pt idx="54">
                  <c:v>0.19819754301352957</c:v>
                </c:pt>
                <c:pt idx="55">
                  <c:v>0.20186786788415045</c:v>
                </c:pt>
                <c:pt idx="56">
                  <c:v>0.20553819275477136</c:v>
                </c:pt>
                <c:pt idx="57">
                  <c:v>0.2092085176253923</c:v>
                </c:pt>
                <c:pt idx="58">
                  <c:v>0.21287884249601322</c:v>
                </c:pt>
                <c:pt idx="59">
                  <c:v>0.21654916736663415</c:v>
                </c:pt>
                <c:pt idx="60">
                  <c:v>0.22021949223725504</c:v>
                </c:pt>
                <c:pt idx="61">
                  <c:v>0.22388981710787595</c:v>
                </c:pt>
                <c:pt idx="62">
                  <c:v>0.22756014197849689</c:v>
                </c:pt>
                <c:pt idx="63">
                  <c:v>0.2312304668491178</c:v>
                </c:pt>
                <c:pt idx="64">
                  <c:v>0.23490079171973874</c:v>
                </c:pt>
                <c:pt idx="65">
                  <c:v>0.23857111659035965</c:v>
                </c:pt>
                <c:pt idx="66">
                  <c:v>0.24224144146098053</c:v>
                </c:pt>
                <c:pt idx="67">
                  <c:v>0.24591176633160147</c:v>
                </c:pt>
                <c:pt idx="68">
                  <c:v>0.24958209120222238</c:v>
                </c:pt>
                <c:pt idx="69">
                  <c:v>0.25325241607284332</c:v>
                </c:pt>
                <c:pt idx="70">
                  <c:v>0.25692274094346423</c:v>
                </c:pt>
                <c:pt idx="71">
                  <c:v>0.26059306581408515</c:v>
                </c:pt>
                <c:pt idx="72">
                  <c:v>0.26426339068470606</c:v>
                </c:pt>
                <c:pt idx="73">
                  <c:v>0.26793371555532697</c:v>
                </c:pt>
                <c:pt idx="74">
                  <c:v>0.27160404042594793</c:v>
                </c:pt>
                <c:pt idx="75">
                  <c:v>0.27527436529656879</c:v>
                </c:pt>
                <c:pt idx="76">
                  <c:v>0.2789446901671897</c:v>
                </c:pt>
                <c:pt idx="77">
                  <c:v>0.28261501503781067</c:v>
                </c:pt>
                <c:pt idx="78">
                  <c:v>0.28628533990843158</c:v>
                </c:pt>
                <c:pt idx="79">
                  <c:v>0.28995566477905249</c:v>
                </c:pt>
                <c:pt idx="80">
                  <c:v>0.2936259896496734</c:v>
                </c:pt>
                <c:pt idx="81">
                  <c:v>0.29729631452029431</c:v>
                </c:pt>
                <c:pt idx="82">
                  <c:v>0.30096663939091522</c:v>
                </c:pt>
                <c:pt idx="83">
                  <c:v>0.30463696426153619</c:v>
                </c:pt>
                <c:pt idx="84">
                  <c:v>0.3083072891321571</c:v>
                </c:pt>
                <c:pt idx="85">
                  <c:v>0.31197761400277801</c:v>
                </c:pt>
                <c:pt idx="86">
                  <c:v>0.31564793887339887</c:v>
                </c:pt>
                <c:pt idx="87">
                  <c:v>0.31931826374401978</c:v>
                </c:pt>
                <c:pt idx="88">
                  <c:v>0.32298858861464075</c:v>
                </c:pt>
                <c:pt idx="89">
                  <c:v>0.32665891348526166</c:v>
                </c:pt>
                <c:pt idx="90">
                  <c:v>0.33032923835588257</c:v>
                </c:pt>
                <c:pt idx="91">
                  <c:v>0.33399956322650348</c:v>
                </c:pt>
                <c:pt idx="92">
                  <c:v>0.33766988809712439</c:v>
                </c:pt>
                <c:pt idx="93">
                  <c:v>0.34134021296774536</c:v>
                </c:pt>
                <c:pt idx="94">
                  <c:v>0.34501053783836627</c:v>
                </c:pt>
                <c:pt idx="95">
                  <c:v>0.34868086270898718</c:v>
                </c:pt>
                <c:pt idx="96">
                  <c:v>0.35235118757960809</c:v>
                </c:pt>
                <c:pt idx="97">
                  <c:v>0.35602151245022895</c:v>
                </c:pt>
                <c:pt idx="98">
                  <c:v>0.35969183732084992</c:v>
                </c:pt>
                <c:pt idx="99">
                  <c:v>0.36336216219147083</c:v>
                </c:pt>
                <c:pt idx="100">
                  <c:v>0.36703248706209174</c:v>
                </c:pt>
                <c:pt idx="101">
                  <c:v>0.37070281193271265</c:v>
                </c:pt>
                <c:pt idx="102">
                  <c:v>0.37437313680333356</c:v>
                </c:pt>
                <c:pt idx="103">
                  <c:v>0.37804346167395453</c:v>
                </c:pt>
                <c:pt idx="104">
                  <c:v>0.38171378654457544</c:v>
                </c:pt>
                <c:pt idx="105">
                  <c:v>0.38538411141519635</c:v>
                </c:pt>
                <c:pt idx="106">
                  <c:v>0.38905443628581726</c:v>
                </c:pt>
                <c:pt idx="107">
                  <c:v>0.39272476115643817</c:v>
                </c:pt>
                <c:pt idx="108">
                  <c:v>0.39639508602705914</c:v>
                </c:pt>
                <c:pt idx="109">
                  <c:v>0.40006541089768</c:v>
                </c:pt>
                <c:pt idx="110">
                  <c:v>0.40373573576830091</c:v>
                </c:pt>
                <c:pt idx="111">
                  <c:v>0.40740606063892182</c:v>
                </c:pt>
                <c:pt idx="112">
                  <c:v>0.41107638550954273</c:v>
                </c:pt>
                <c:pt idx="113">
                  <c:v>0.4147467103801637</c:v>
                </c:pt>
                <c:pt idx="114">
                  <c:v>0.41841703525078461</c:v>
                </c:pt>
                <c:pt idx="115">
                  <c:v>0.42208736012140552</c:v>
                </c:pt>
                <c:pt idx="116">
                  <c:v>0.42575768499202643</c:v>
                </c:pt>
                <c:pt idx="117">
                  <c:v>0.42942800986264734</c:v>
                </c:pt>
                <c:pt idx="118">
                  <c:v>0.43309833473326831</c:v>
                </c:pt>
                <c:pt idx="119">
                  <c:v>0.43676865960388922</c:v>
                </c:pt>
                <c:pt idx="120">
                  <c:v>0.44043898447451008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-0.15643446504023117</c:v>
                </c:pt>
                <c:pt idx="22">
                  <c:v>-0.30901699437494728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0.45399049973954575</c:v>
                </c:pt>
                <c:pt idx="44">
                  <c:v>0.58778525229247292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0.89100652418836768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6.1257422745431001E-16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-7.4717424639169492</c:v>
                </c:pt>
                <c:pt idx="2">
                  <c:v>-7.331754269301924</c:v>
                </c:pt>
                <c:pt idx="3">
                  <c:v>-5.6336714249903723</c:v>
                </c:pt>
                <c:pt idx="4">
                  <c:v>-4.1618506169090956</c:v>
                </c:pt>
                <c:pt idx="5">
                  <c:v>-2.9163557683493599</c:v>
                </c:pt>
                <c:pt idx="6">
                  <c:v>-1.8972409205160785</c:v>
                </c:pt>
                <c:pt idx="7">
                  <c:v>-1.1045502564425664</c:v>
                </c:pt>
                <c:pt idx="8">
                  <c:v>-0.53831812051364747</c:v>
                </c:pt>
                <c:pt idx="9">
                  <c:v>-0.19856903362328876</c:v>
                </c:pt>
                <c:pt idx="10">
                  <c:v>-8.5317703986961535E-2</c:v>
                </c:pt>
                <c:pt idx="11">
                  <c:v>-0.19856903362329059</c:v>
                </c:pt>
                <c:pt idx="12">
                  <c:v>-0.53831812051365202</c:v>
                </c:pt>
                <c:pt idx="13">
                  <c:v>-1.1045502564425682</c:v>
                </c:pt>
                <c:pt idx="14">
                  <c:v>-1.8972409205160847</c:v>
                </c:pt>
                <c:pt idx="15">
                  <c:v>-2.9163557683493693</c:v>
                </c:pt>
                <c:pt idx="16">
                  <c:v>-4.1618506169091107</c:v>
                </c:pt>
                <c:pt idx="17">
                  <c:v>-5.6336714249903856</c:v>
                </c:pt>
                <c:pt idx="18">
                  <c:v>-7.3317542693019417</c:v>
                </c:pt>
                <c:pt idx="19">
                  <c:v>-7.4717424639169723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0.2381285960049396</c:v>
                </c:pt>
                <c:pt idx="2">
                  <c:v>-1.8105724985691531</c:v>
                </c:pt>
                <c:pt idx="3">
                  <c:v>-3.6182935096849231</c:v>
                </c:pt>
                <c:pt idx="4">
                  <c:v>-5.1850180749313255</c:v>
                </c:pt>
                <c:pt idx="5">
                  <c:v>-6.5107320281628187</c:v>
                </c:pt>
                <c:pt idx="6">
                  <c:v>-7.5954233932192485</c:v>
                </c:pt>
                <c:pt idx="7">
                  <c:v>-8.4390823786260523</c:v>
                </c:pt>
                <c:pt idx="8">
                  <c:v>-9.0417013732677134</c:v>
                </c:pt>
                <c:pt idx="9">
                  <c:v>-9.4032749430286575</c:v>
                </c:pt>
                <c:pt idx="10">
                  <c:v>-9.5237998283971059</c:v>
                </c:pt>
                <c:pt idx="11">
                  <c:v>-9.4032749430286575</c:v>
                </c:pt>
                <c:pt idx="12">
                  <c:v>-9.0417013732677098</c:v>
                </c:pt>
                <c:pt idx="13">
                  <c:v>-8.4390823786260505</c:v>
                </c:pt>
                <c:pt idx="14">
                  <c:v>-7.5954233932192423</c:v>
                </c:pt>
                <c:pt idx="15">
                  <c:v>-6.5107320281628125</c:v>
                </c:pt>
                <c:pt idx="16">
                  <c:v>-5.1850180749313122</c:v>
                </c:pt>
                <c:pt idx="17">
                  <c:v>-3.6182935096849125</c:v>
                </c:pt>
                <c:pt idx="18">
                  <c:v>-1.8105724985691358</c:v>
                </c:pt>
                <c:pt idx="19">
                  <c:v>0.23812859600496109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-7.618856101264579</c:v>
                </c:pt>
                <c:pt idx="2">
                  <c:v>-7.6104958979605897</c:v>
                </c:pt>
                <c:pt idx="3">
                  <c:v>-6.0285553989234844</c:v>
                </c:pt>
                <c:pt idx="4">
                  <c:v>-4.6573912900800591</c:v>
                </c:pt>
                <c:pt idx="5">
                  <c:v>-3.4970674947215823</c:v>
                </c:pt>
                <c:pt idx="6">
                  <c:v>-2.5476380540529671</c:v>
                </c:pt>
                <c:pt idx="7">
                  <c:v>-1.8091471511075294</c:v>
                </c:pt>
                <c:pt idx="8">
                  <c:v>-1.281629130270092</c:v>
                </c:pt>
                <c:pt idx="9">
                  <c:v>-0.96510851243462137</c:v>
                </c:pt>
                <c:pt idx="10">
                  <c:v>-0.85960000581659102</c:v>
                </c:pt>
                <c:pt idx="11">
                  <c:v>-0.96510851243462326</c:v>
                </c:pt>
                <c:pt idx="12">
                  <c:v>-1.2816291302700962</c:v>
                </c:pt>
                <c:pt idx="13">
                  <c:v>-1.8091471511075312</c:v>
                </c:pt>
                <c:pt idx="14">
                  <c:v>-2.5476380540529737</c:v>
                </c:pt>
                <c:pt idx="15">
                  <c:v>-3.4970674947215907</c:v>
                </c:pt>
                <c:pt idx="16">
                  <c:v>-4.6573912900800734</c:v>
                </c:pt>
                <c:pt idx="17">
                  <c:v>-6.0285553989234959</c:v>
                </c:pt>
                <c:pt idx="18">
                  <c:v>-7.6104958979606074</c:v>
                </c:pt>
                <c:pt idx="19">
                  <c:v>-7.6188561012646003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0.5306989175710084</c:v>
                </c:pt>
                <c:pt idx="2">
                  <c:v>-1.2562287313913385</c:v>
                </c:pt>
                <c:pt idx="3">
                  <c:v>-2.8329731728496865</c:v>
                </c:pt>
                <c:pt idx="4">
                  <c:v>-4.1995180443929883</c:v>
                </c:pt>
                <c:pt idx="5">
                  <c:v>-5.3558491798757055</c:v>
                </c:pt>
                <c:pt idx="6">
                  <c:v>-6.3019546031376796</c:v>
                </c:pt>
                <c:pt idx="7">
                  <c:v>-7.0378245227043532</c:v>
                </c:pt>
                <c:pt idx="8">
                  <c:v>-7.563451327460208</c:v>
                </c:pt>
                <c:pt idx="9">
                  <c:v>-7.8788295832896678</c:v>
                </c:pt>
                <c:pt idx="10">
                  <c:v>-7.9839560306809547</c:v>
                </c:pt>
                <c:pt idx="11">
                  <c:v>-7.8788295832896669</c:v>
                </c:pt>
                <c:pt idx="12">
                  <c:v>-7.5634513274602053</c:v>
                </c:pt>
                <c:pt idx="13">
                  <c:v>-7.0378245227043514</c:v>
                </c:pt>
                <c:pt idx="14">
                  <c:v>-6.3019546031376752</c:v>
                </c:pt>
                <c:pt idx="15">
                  <c:v>-5.3558491798757002</c:v>
                </c:pt>
                <c:pt idx="16">
                  <c:v>-4.1995180443929758</c:v>
                </c:pt>
                <c:pt idx="17">
                  <c:v>-2.8329731728496763</c:v>
                </c:pt>
                <c:pt idx="18">
                  <c:v>-1.256228731391323</c:v>
                </c:pt>
                <c:pt idx="19">
                  <c:v>0.53069891757102783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-11.049487175611061</c:v>
                </c:pt>
                <c:pt idx="2">
                  <c:v>-12.465274457052278</c:v>
                </c:pt>
                <c:pt idx="3">
                  <c:v>-11.804209598246448</c:v>
                </c:pt>
                <c:pt idx="4">
                  <c:v>-11.231286720614735</c:v>
                </c:pt>
                <c:pt idx="5">
                  <c:v>-10.746505824157129</c:v>
                </c:pt>
                <c:pt idx="6">
                  <c:v>-10.349866908873627</c:v>
                </c:pt>
                <c:pt idx="7">
                  <c:v>-10.041369974764242</c:v>
                </c:pt>
                <c:pt idx="8">
                  <c:v>-9.8210150218289698</c:v>
                </c:pt>
                <c:pt idx="9">
                  <c:v>-9.6888020500678032</c:v>
                </c:pt>
                <c:pt idx="10">
                  <c:v>-9.6447310594807458</c:v>
                </c:pt>
                <c:pt idx="11">
                  <c:v>-9.6888020500678032</c:v>
                </c:pt>
                <c:pt idx="12">
                  <c:v>-9.8210150218289716</c:v>
                </c:pt>
                <c:pt idx="13">
                  <c:v>-10.041369974764244</c:v>
                </c:pt>
                <c:pt idx="14">
                  <c:v>-10.349866908873631</c:v>
                </c:pt>
                <c:pt idx="15">
                  <c:v>-10.746505824157131</c:v>
                </c:pt>
                <c:pt idx="16">
                  <c:v>-11.23128672061474</c:v>
                </c:pt>
                <c:pt idx="17">
                  <c:v>-11.804209598246455</c:v>
                </c:pt>
                <c:pt idx="18">
                  <c:v>-12.465274457052283</c:v>
                </c:pt>
                <c:pt idx="19">
                  <c:v>-11.049487175611068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2.1927946606436128</c:v>
                </c:pt>
                <c:pt idx="2">
                  <c:v>1.3685143319616138</c:v>
                </c:pt>
                <c:pt idx="3">
                  <c:v>0.64120815959514132</c:v>
                </c:pt>
                <c:pt idx="4">
                  <c:v>1.0876143544201113E-2</c:v>
                </c:pt>
                <c:pt idx="5">
                  <c:v>-0.52248171619121053</c:v>
                </c:pt>
                <c:pt idx="6">
                  <c:v>-0.95886541961109284</c:v>
                </c:pt>
                <c:pt idx="7">
                  <c:v>-1.2982749667154467</c:v>
                </c:pt>
                <c:pt idx="8">
                  <c:v>-1.5407103575042711</c:v>
                </c:pt>
                <c:pt idx="9">
                  <c:v>-1.6861715919775633</c:v>
                </c:pt>
                <c:pt idx="10">
                  <c:v>-1.7346586701353282</c:v>
                </c:pt>
                <c:pt idx="11">
                  <c:v>-1.6861715919775633</c:v>
                </c:pt>
                <c:pt idx="12">
                  <c:v>-1.5407103575042693</c:v>
                </c:pt>
                <c:pt idx="13">
                  <c:v>-1.298274966715445</c:v>
                </c:pt>
                <c:pt idx="14">
                  <c:v>-0.95886541961109106</c:v>
                </c:pt>
                <c:pt idx="15">
                  <c:v>-0.52248171619120831</c:v>
                </c:pt>
                <c:pt idx="16">
                  <c:v>1.0876143544206116E-2</c:v>
                </c:pt>
                <c:pt idx="17">
                  <c:v>0.64120815959514721</c:v>
                </c:pt>
                <c:pt idx="18">
                  <c:v>1.3685143319616195</c:v>
                </c:pt>
                <c:pt idx="19">
                  <c:v>2.1927946606436208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52.45</c:v>
                </c:pt>
                <c:pt idx="4">
                  <c:v>55.8</c:v>
                </c:pt>
                <c:pt idx="5">
                  <c:v>72.05</c:v>
                </c:pt>
                <c:pt idx="6">
                  <c:v>68.7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VERIFICAC&#807;A&#771;O%20COMPLETA%20-%20LAJE%20ALVEOLAR%20-%20NBR%2014861-2022%20(1).xlsx" TargetMode="External"/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/Users/carlos.ferreira/Downloads/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652" t="s">
        <v>1282</v>
      </c>
      <c r="D2" s="653"/>
      <c r="F2" s="654" t="s">
        <v>1283</v>
      </c>
      <c r="G2" s="655"/>
      <c r="I2" s="656"/>
      <c r="J2" s="656"/>
    </row>
    <row r="3" spans="3:10" ht="18" x14ac:dyDescent="0.35">
      <c r="C3" s="3" t="s">
        <v>1284</v>
      </c>
      <c r="D3" s="559">
        <f ca="1">Geometria!I73</f>
        <v>4.6740739928404489</v>
      </c>
      <c r="F3" s="560" t="s">
        <v>1285</v>
      </c>
      <c r="G3" s="561">
        <f>Geometria!K51</f>
        <v>1.3</v>
      </c>
      <c r="I3" s="1"/>
      <c r="J3" s="562"/>
    </row>
    <row r="4" spans="3:10" ht="18" x14ac:dyDescent="0.35">
      <c r="C4" s="3" t="s">
        <v>1286</v>
      </c>
      <c r="D4" s="559">
        <f ca="1">Geometria!I75+Geometria!I74</f>
        <v>2.3825525000000001</v>
      </c>
      <c r="F4" s="563" t="s">
        <v>1287</v>
      </c>
      <c r="G4" s="155">
        <f>Geometria!K52</f>
        <v>1.4</v>
      </c>
      <c r="I4" s="1"/>
      <c r="J4" s="562"/>
    </row>
    <row r="5" spans="3:10" ht="18" x14ac:dyDescent="0.35">
      <c r="C5" s="3" t="s">
        <v>1288</v>
      </c>
      <c r="D5" s="559">
        <f>Geometria!I76</f>
        <v>3.75</v>
      </c>
      <c r="F5" s="563" t="s">
        <v>1289</v>
      </c>
      <c r="G5" s="155">
        <f>G4</f>
        <v>1.4</v>
      </c>
      <c r="I5" s="1"/>
      <c r="J5" s="562"/>
    </row>
    <row r="6" spans="3:10" ht="18" x14ac:dyDescent="0.35">
      <c r="C6" s="3" t="s">
        <v>1290</v>
      </c>
      <c r="D6" s="559">
        <f>Geometria!I77</f>
        <v>0</v>
      </c>
      <c r="F6" s="563" t="s">
        <v>1291</v>
      </c>
      <c r="G6" s="155">
        <f>G5</f>
        <v>1.4</v>
      </c>
      <c r="I6" s="1"/>
      <c r="J6" s="562"/>
    </row>
    <row r="7" spans="3:10" ht="18" x14ac:dyDescent="0.35">
      <c r="C7" s="3" t="s">
        <v>1292</v>
      </c>
      <c r="D7" s="559"/>
      <c r="F7" s="563" t="s">
        <v>1293</v>
      </c>
      <c r="G7" s="155">
        <f>G3</f>
        <v>1.3</v>
      </c>
      <c r="I7" s="1"/>
      <c r="J7" s="562"/>
    </row>
    <row r="8" spans="3:10" ht="18" x14ac:dyDescent="0.35">
      <c r="C8" s="3" t="s">
        <v>1294</v>
      </c>
      <c r="D8" s="559">
        <f>Geometria!I78</f>
        <v>4.75</v>
      </c>
      <c r="F8" s="563" t="s">
        <v>1295</v>
      </c>
      <c r="G8" s="155">
        <f>G5</f>
        <v>1.4</v>
      </c>
      <c r="I8" s="1"/>
      <c r="J8" s="562"/>
    </row>
    <row r="9" spans="3:10" ht="18.75" thickBot="1" x14ac:dyDescent="0.4">
      <c r="C9" s="564" t="s">
        <v>1296</v>
      </c>
      <c r="D9" s="559">
        <v>0</v>
      </c>
      <c r="F9" s="563" t="s">
        <v>1297</v>
      </c>
      <c r="G9" s="155">
        <v>1.1000000000000001</v>
      </c>
      <c r="I9" s="1"/>
      <c r="J9" s="562"/>
    </row>
    <row r="10" spans="3:10" ht="18.75" thickBot="1" x14ac:dyDescent="0.4">
      <c r="C10" s="565" t="s">
        <v>1298</v>
      </c>
      <c r="D10" s="566">
        <f ca="1">SUM(D3:D9)</f>
        <v>15.556626492840449</v>
      </c>
      <c r="F10" s="567" t="s">
        <v>1299</v>
      </c>
      <c r="G10" s="167">
        <v>0.9</v>
      </c>
      <c r="I10" s="1"/>
      <c r="J10" s="562"/>
    </row>
    <row r="12" spans="3:10" x14ac:dyDescent="0.25">
      <c r="C12" s="529" t="s">
        <v>1300</v>
      </c>
    </row>
    <row r="14" spans="3:10" x14ac:dyDescent="0.25">
      <c r="C14" s="215" t="s">
        <v>72</v>
      </c>
      <c r="D14" s="568">
        <v>0.45</v>
      </c>
      <c r="F14" s="569" t="s">
        <v>1301</v>
      </c>
      <c r="G14" s="570">
        <f>[1]Entrada!K993</f>
        <v>0.56966490701150641</v>
      </c>
    </row>
    <row r="15" spans="3:10" ht="18" x14ac:dyDescent="0.25">
      <c r="C15" s="215" t="s">
        <v>1302</v>
      </c>
      <c r="D15" s="215">
        <f>Geometria!H59</f>
        <v>30</v>
      </c>
      <c r="F15" s="215" t="s">
        <v>3</v>
      </c>
      <c r="G15" s="571">
        <f>Geometria!H23</f>
        <v>30</v>
      </c>
    </row>
    <row r="16" spans="3:10" ht="18" x14ac:dyDescent="0.35">
      <c r="C16" s="1" t="s">
        <v>1303</v>
      </c>
      <c r="D16" s="572">
        <f>0.3*D15^(2/3)</f>
        <v>2.896468153816889</v>
      </c>
      <c r="F16" s="215" t="s">
        <v>1304</v>
      </c>
      <c r="G16" s="571">
        <f>0.5*G15</f>
        <v>15</v>
      </c>
    </row>
    <row r="17" spans="3:7" ht="18" x14ac:dyDescent="0.35">
      <c r="C17" s="1" t="s">
        <v>1305</v>
      </c>
      <c r="D17" s="572">
        <f>2.12*LN(1+0.1*(D15+8))</f>
        <v>3.3254657459773527</v>
      </c>
      <c r="F17" s="215" t="s">
        <v>1306</v>
      </c>
      <c r="G17" s="573">
        <f ca="1">(D3*G3+D4*G4+(D5+D6+D7)*G5+G6*(D8+D9))*(D30-2*G16)/200</f>
        <v>112.73979066376376</v>
      </c>
    </row>
    <row r="18" spans="3:7" ht="18" x14ac:dyDescent="0.35">
      <c r="C18" s="1" t="s">
        <v>1307</v>
      </c>
      <c r="D18" s="572">
        <f>IF(D15&lt;=50,D16,D17)</f>
        <v>2.896468153816889</v>
      </c>
      <c r="F18" s="215" t="s">
        <v>1308</v>
      </c>
      <c r="G18" s="571">
        <f>Geometria!H23+Geometria!H33-Geometria!N52</f>
        <v>31.5</v>
      </c>
    </row>
    <row r="19" spans="3:7" ht="18" x14ac:dyDescent="0.35">
      <c r="C19" s="1" t="s">
        <v>1309</v>
      </c>
      <c r="D19" s="572">
        <f>0.7*D18</f>
        <v>2.0275277076718221</v>
      </c>
      <c r="F19" s="215" t="s">
        <v>1310</v>
      </c>
      <c r="G19" s="571">
        <f>G18-('[1]ELU-Flexão'!E43*'[1]ELU-Flexão'!F51*0.5)</f>
        <v>27.989164111421026</v>
      </c>
    </row>
    <row r="20" spans="3:7" ht="18" x14ac:dyDescent="0.35">
      <c r="C20" s="1" t="s">
        <v>1311</v>
      </c>
      <c r="D20" s="572">
        <f>D19/G4</f>
        <v>1.4482340769084445</v>
      </c>
      <c r="F20" s="215" t="s">
        <v>1312</v>
      </c>
      <c r="G20" s="571">
        <f>'[1]Dados de Entrada'!C8</f>
        <v>121.2</v>
      </c>
    </row>
    <row r="21" spans="3:7" ht="18" x14ac:dyDescent="0.35">
      <c r="C21" s="1" t="s">
        <v>1311</v>
      </c>
      <c r="D21" s="574">
        <f>D20/10</f>
        <v>0.14482340769084445</v>
      </c>
      <c r="F21" s="575" t="s">
        <v>1313</v>
      </c>
      <c r="G21" s="576">
        <f ca="1">G14*G17/(G19*G20)</f>
        <v>1.8932333327997673E-2</v>
      </c>
    </row>
    <row r="22" spans="3:7" ht="18" x14ac:dyDescent="0.25">
      <c r="C22" s="575" t="s">
        <v>1314</v>
      </c>
      <c r="D22" s="576">
        <f>D21*D14</f>
        <v>6.5170533460880004E-2</v>
      </c>
      <c r="F22" s="215" t="s">
        <v>1268</v>
      </c>
      <c r="G22" s="529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1315</v>
      </c>
      <c r="D24" s="568" t="s">
        <v>1316</v>
      </c>
    </row>
    <row r="26" spans="3:7" ht="17.25" x14ac:dyDescent="0.25">
      <c r="C26" s="577" t="s">
        <v>1317</v>
      </c>
    </row>
    <row r="27" spans="3:7" x14ac:dyDescent="0.25">
      <c r="C27" s="577"/>
    </row>
    <row r="28" spans="3:7" x14ac:dyDescent="0.25">
      <c r="C28" s="529" t="s">
        <v>1318</v>
      </c>
    </row>
    <row r="29" spans="3:7" x14ac:dyDescent="0.25">
      <c r="C29" s="577"/>
    </row>
    <row r="30" spans="3:7" x14ac:dyDescent="0.25">
      <c r="C30" s="215" t="s">
        <v>1319</v>
      </c>
      <c r="D30" s="571">
        <f>Geometria!H21</f>
        <v>1088</v>
      </c>
    </row>
    <row r="31" spans="3:7" x14ac:dyDescent="0.25">
      <c r="C31" s="215" t="s">
        <v>1320</v>
      </c>
      <c r="D31" s="571">
        <v>0</v>
      </c>
    </row>
    <row r="32" spans="3:7" x14ac:dyDescent="0.25">
      <c r="C32" s="215" t="s">
        <v>3</v>
      </c>
      <c r="D32" s="571">
        <f>Geometria!H23</f>
        <v>30</v>
      </c>
    </row>
    <row r="33" spans="3:7" x14ac:dyDescent="0.25">
      <c r="C33" s="215" t="s">
        <v>1304</v>
      </c>
      <c r="D33" s="571">
        <f>0.5*D32</f>
        <v>15</v>
      </c>
    </row>
    <row r="34" spans="3:7" ht="15.75" thickBot="1" x14ac:dyDescent="0.3">
      <c r="C34" s="215" t="s">
        <v>1321</v>
      </c>
      <c r="D34" s="571">
        <f>D30-D31-2*D33</f>
        <v>1058</v>
      </c>
    </row>
    <row r="35" spans="3:7" ht="18.75" thickBot="1" x14ac:dyDescent="0.3">
      <c r="C35" s="578" t="s">
        <v>1322</v>
      </c>
      <c r="D35" s="579">
        <f ca="1">(D34)*0.01*(G3*D3+G4*D4+G5*(D5+D6+D7)+G6*(D8+D9))*0.5</f>
        <v>112.73979066376376</v>
      </c>
    </row>
    <row r="36" spans="3:7" x14ac:dyDescent="0.25">
      <c r="D36" s="580"/>
    </row>
    <row r="37" spans="3:7" x14ac:dyDescent="0.25">
      <c r="C37" s="529" t="s">
        <v>1323</v>
      </c>
      <c r="D37" s="580"/>
    </row>
    <row r="38" spans="3:7" x14ac:dyDescent="0.25">
      <c r="D38" s="580"/>
    </row>
    <row r="39" spans="3:7" x14ac:dyDescent="0.25">
      <c r="C39" s="529" t="s">
        <v>1324</v>
      </c>
    </row>
    <row r="41" spans="3:7" x14ac:dyDescent="0.25">
      <c r="C41" s="215" t="s">
        <v>1325</v>
      </c>
      <c r="D41" s="571">
        <f>Geometria!H23-Geometria!N52</f>
        <v>26.5</v>
      </c>
      <c r="F41" s="581"/>
      <c r="G41" s="120"/>
    </row>
    <row r="42" spans="3:7" ht="18" x14ac:dyDescent="0.25">
      <c r="C42" s="215" t="s">
        <v>1326</v>
      </c>
      <c r="D42" s="582">
        <f>Geometria!H58</f>
        <v>50</v>
      </c>
    </row>
    <row r="43" spans="3:7" x14ac:dyDescent="0.25">
      <c r="C43" s="569" t="s">
        <v>1327</v>
      </c>
      <c r="D43" s="451">
        <f>IF(0.7-D42/200&lt;0.5,0.5,0.7-D42/200)</f>
        <v>0.5</v>
      </c>
    </row>
    <row r="44" spans="3:7" ht="18" x14ac:dyDescent="0.25">
      <c r="C44" s="569" t="s">
        <v>1328</v>
      </c>
      <c r="D44" s="582">
        <f>D42/G7</f>
        <v>38.46153846153846</v>
      </c>
    </row>
    <row r="45" spans="3:7" ht="18" x14ac:dyDescent="0.25">
      <c r="C45" s="569" t="s">
        <v>1329</v>
      </c>
      <c r="D45" s="571">
        <f>Geometria!H27</f>
        <v>31</v>
      </c>
    </row>
    <row r="46" spans="3:7" ht="18" x14ac:dyDescent="0.25">
      <c r="C46" s="215" t="s">
        <v>1330</v>
      </c>
      <c r="D46" s="580">
        <f>0.5*D43*(D44/10)*0.9*D41*D45</f>
        <v>710.91346153846155</v>
      </c>
    </row>
    <row r="47" spans="3:7" x14ac:dyDescent="0.25">
      <c r="C47" s="215" t="s">
        <v>1268</v>
      </c>
      <c r="D47" s="580" t="str">
        <f ca="1">IF(D46&gt;=D35,"Ok, Resiste!","Não Ok!""")</f>
        <v>Ok, Resiste!</v>
      </c>
    </row>
    <row r="49" spans="3:5" x14ac:dyDescent="0.25">
      <c r="C49" s="215" t="s">
        <v>1331</v>
      </c>
      <c r="D49" s="571">
        <f>G18</f>
        <v>31.5</v>
      </c>
    </row>
    <row r="50" spans="3:5" ht="18" x14ac:dyDescent="0.25">
      <c r="C50" s="215" t="s">
        <v>1326</v>
      </c>
      <c r="D50" s="582">
        <f>D42</f>
        <v>50</v>
      </c>
    </row>
    <row r="51" spans="3:5" x14ac:dyDescent="0.25">
      <c r="C51" s="569" t="s">
        <v>1327</v>
      </c>
      <c r="D51" s="451">
        <f>IF(0.7-D50/200&lt;0.5,0.5,0.7-D50/200)</f>
        <v>0.5</v>
      </c>
    </row>
    <row r="52" spans="3:5" ht="18" x14ac:dyDescent="0.25">
      <c r="C52" s="569" t="s">
        <v>1328</v>
      </c>
      <c r="D52" s="582">
        <f>D50/G7</f>
        <v>38.46153846153846</v>
      </c>
    </row>
    <row r="53" spans="3:5" ht="18" x14ac:dyDescent="0.25">
      <c r="C53" s="569" t="s">
        <v>1332</v>
      </c>
      <c r="D53" s="571">
        <f>D45</f>
        <v>31</v>
      </c>
    </row>
    <row r="54" spans="3:5" ht="18" x14ac:dyDescent="0.25">
      <c r="C54" s="583" t="s">
        <v>1333</v>
      </c>
      <c r="D54" s="584">
        <f>0.5*D51*(D52/10)*0.9*D49*D53</f>
        <v>845.04807692307691</v>
      </c>
      <c r="E54" s="583" t="str">
        <f ca="1">IF(D54&gt;=D35,"Ok, Resiste!","Não Ok!""")</f>
        <v>Ok, Resiste!</v>
      </c>
    </row>
    <row r="56" spans="3:5" x14ac:dyDescent="0.25">
      <c r="C56" s="529" t="s">
        <v>1334</v>
      </c>
    </row>
    <row r="58" spans="3:5" ht="18" x14ac:dyDescent="0.25">
      <c r="C58" s="215" t="s">
        <v>1335</v>
      </c>
      <c r="D58" s="571">
        <f>G18</f>
        <v>31.5</v>
      </c>
    </row>
    <row r="59" spans="3:5" ht="18" x14ac:dyDescent="0.25">
      <c r="C59" s="583" t="s">
        <v>1336</v>
      </c>
      <c r="D59" s="584">
        <f>0.5*D51*(D52/10)*0.9*D58*D53</f>
        <v>845.04807692307691</v>
      </c>
      <c r="E59" s="583" t="str">
        <f ca="1">IF(D59&gt;=D35,"Ok, Resiste!","Não Ok!""")</f>
        <v>Ok, Resiste!</v>
      </c>
    </row>
    <row r="61" spans="3:5" x14ac:dyDescent="0.25">
      <c r="C61" s="529" t="s">
        <v>1337</v>
      </c>
    </row>
    <row r="63" spans="3:5" x14ac:dyDescent="0.25">
      <c r="C63" s="215" t="s">
        <v>1338</v>
      </c>
      <c r="D63" s="568">
        <v>2</v>
      </c>
    </row>
    <row r="64" spans="3:5" x14ac:dyDescent="0.25">
      <c r="C64" s="215" t="s">
        <v>1339</v>
      </c>
      <c r="D64" s="585">
        <f>Geometria!H58</f>
        <v>50</v>
      </c>
    </row>
    <row r="65" spans="3:5" x14ac:dyDescent="0.25">
      <c r="C65" s="1" t="s">
        <v>1340</v>
      </c>
      <c r="D65" s="586" t="s">
        <v>1341</v>
      </c>
    </row>
    <row r="66" spans="3:5" ht="18" x14ac:dyDescent="0.25">
      <c r="C66" s="569" t="s">
        <v>1342</v>
      </c>
      <c r="D66" s="571">
        <f>D53</f>
        <v>31</v>
      </c>
    </row>
    <row r="67" spans="3:5" ht="18" x14ac:dyDescent="0.25">
      <c r="C67" s="569" t="s">
        <v>1343</v>
      </c>
      <c r="D67" s="571">
        <f>D108*VLOOKUP('[1]Dados de Entrada'!C3,'[1]Dados Lajes'!A4:O11,15,FALSE)</f>
        <v>25</v>
      </c>
    </row>
    <row r="68" spans="3:5" ht="16.5" x14ac:dyDescent="0.3">
      <c r="C68" s="587" t="s">
        <v>1344</v>
      </c>
      <c r="D68" s="1">
        <v>1.2</v>
      </c>
    </row>
    <row r="69" spans="3:5" ht="16.5" x14ac:dyDescent="0.25">
      <c r="C69" s="588" t="s">
        <v>1345</v>
      </c>
      <c r="D69" s="582">
        <f>D68*5600*SQRT(D64)</f>
        <v>47517.575695735999</v>
      </c>
    </row>
    <row r="70" spans="3:5" ht="16.5" x14ac:dyDescent="0.25">
      <c r="C70" s="588" t="s">
        <v>1346</v>
      </c>
      <c r="D70" s="582">
        <f>21500*D68*(D64/10+1.25)^(1/3)</f>
        <v>47524.006332460987</v>
      </c>
    </row>
    <row r="71" spans="3:5" ht="16.5" x14ac:dyDescent="0.25">
      <c r="C71" s="588" t="s">
        <v>1347</v>
      </c>
      <c r="D71" s="582">
        <f>IF(D64&gt;50,D70,D69)</f>
        <v>47517.575695735999</v>
      </c>
    </row>
    <row r="72" spans="3:5" ht="16.5" x14ac:dyDescent="0.25">
      <c r="C72" s="588" t="s">
        <v>1348</v>
      </c>
      <c r="D72" s="215">
        <f>IF(0.8+0.2*D64/80&gt;1,1,0.8+0.2*D64/80)</f>
        <v>0.92500000000000004</v>
      </c>
    </row>
    <row r="73" spans="3:5" ht="18" x14ac:dyDescent="0.25">
      <c r="C73" s="569" t="s">
        <v>1349</v>
      </c>
      <c r="D73" s="589">
        <f>D72*D71/10</f>
        <v>4395.3757518555803</v>
      </c>
    </row>
    <row r="74" spans="3:5" ht="18" x14ac:dyDescent="0.25">
      <c r="C74" s="569" t="s">
        <v>1350</v>
      </c>
      <c r="D74" s="589">
        <f>Geometria!H867*100</f>
        <v>3662.8131265463162</v>
      </c>
    </row>
    <row r="75" spans="3:5" ht="18" x14ac:dyDescent="0.25">
      <c r="C75" s="569" t="s">
        <v>1351</v>
      </c>
      <c r="D75" s="571">
        <f>D66+0.5*D67*D73/D74</f>
        <v>46</v>
      </c>
    </row>
    <row r="76" spans="3:5" ht="18" x14ac:dyDescent="0.25">
      <c r="C76" s="583" t="s">
        <v>1336</v>
      </c>
      <c r="D76" s="584">
        <f>0.5*D51*(D52/10)*0.9*D58*D75</f>
        <v>1253.9423076923076</v>
      </c>
      <c r="E76" s="583" t="str">
        <f>IF(D76&gt;=D52,"Ok, Resiste!","Não Ok!""")</f>
        <v>Ok, Resiste!</v>
      </c>
    </row>
    <row r="78" spans="3:5" x14ac:dyDescent="0.25">
      <c r="C78" s="529" t="s">
        <v>1352</v>
      </c>
    </row>
    <row r="80" spans="3:5" x14ac:dyDescent="0.25">
      <c r="C80" s="529" t="s">
        <v>1353</v>
      </c>
    </row>
    <row r="82" spans="2:12" x14ac:dyDescent="0.25">
      <c r="C82" s="215" t="s">
        <v>476</v>
      </c>
      <c r="D82" s="590">
        <v>0</v>
      </c>
    </row>
    <row r="83" spans="2:12" x14ac:dyDescent="0.25">
      <c r="C83" s="215" t="s">
        <v>220</v>
      </c>
      <c r="D83" s="591">
        <f>'[1]ELS-Tensões'!C28</f>
        <v>9.8699999999999992</v>
      </c>
    </row>
    <row r="84" spans="2:12" ht="18" x14ac:dyDescent="0.25">
      <c r="C84" s="215" t="s">
        <v>1354</v>
      </c>
      <c r="D84" s="592">
        <f>'[1]ELS-Tensões'!C39/10</f>
        <v>0.21924142287881931</v>
      </c>
    </row>
    <row r="85" spans="2:12" ht="18" x14ac:dyDescent="0.25">
      <c r="C85" s="569" t="s">
        <v>1329</v>
      </c>
      <c r="D85" s="571">
        <f>VLOOKUP('[1]Dados de Entrada'!C3,'[1]Dados Lajes'!A4:N11,14,FALSE)</f>
        <v>31</v>
      </c>
    </row>
    <row r="86" spans="2:12" x14ac:dyDescent="0.25">
      <c r="B86" s="419"/>
      <c r="C86" s="215" t="s">
        <v>1331</v>
      </c>
      <c r="D86" s="571">
        <f>IF(D24=[1]Auxílio!Z6,'[1]Dados de Entrada'!F59-'[1]ELS-Tensões'!C26,'[1]Dados de Entrada'!C56-'[1]ELS-Tensões'!C26)</f>
        <v>32</v>
      </c>
    </row>
    <row r="87" spans="2:12" ht="18" x14ac:dyDescent="0.25">
      <c r="C87" s="569" t="s">
        <v>1355</v>
      </c>
      <c r="D87" s="593">
        <f>(D82+D83)/(D85*D86)</f>
        <v>9.9495967741935476E-3</v>
      </c>
      <c r="J87" s="583"/>
      <c r="K87" s="583"/>
      <c r="L87" s="583"/>
    </row>
    <row r="88" spans="2:12" x14ac:dyDescent="0.25">
      <c r="C88" s="215" t="s">
        <v>1132</v>
      </c>
      <c r="D88" s="451">
        <f>IF((1.6-D86/100)&lt;1,1,1.6-D86/100)</f>
        <v>1.28</v>
      </c>
    </row>
    <row r="89" spans="2:12" ht="18" x14ac:dyDescent="0.25">
      <c r="C89" s="215" t="s">
        <v>1356</v>
      </c>
      <c r="D89" s="573">
        <f>0.25*D84*D88*(1.2+40*D87)*D85*D86</f>
        <v>111.21328113520138</v>
      </c>
    </row>
    <row r="91" spans="2:12" ht="18" x14ac:dyDescent="0.25">
      <c r="C91" s="215" t="s">
        <v>1357</v>
      </c>
      <c r="D91" s="591">
        <f>'[1]ELS-Tensões'!Y422/'[1]ELS-Tensões'!Y418</f>
        <v>9.8699999999999992</v>
      </c>
    </row>
    <row r="92" spans="2:12" ht="18" x14ac:dyDescent="0.25">
      <c r="C92" s="215" t="s">
        <v>1358</v>
      </c>
      <c r="D92" s="591">
        <f>'[1]ELS-Tensões'!C78</f>
        <v>0</v>
      </c>
    </row>
    <row r="93" spans="2:12" ht="18" x14ac:dyDescent="0.25">
      <c r="C93" s="215" t="s">
        <v>1359</v>
      </c>
      <c r="D93" s="592">
        <f>'[1]ELS-Tensões'!C11</f>
        <v>117.04000000000002</v>
      </c>
    </row>
    <row r="94" spans="2:12" ht="18" x14ac:dyDescent="0.25">
      <c r="C94" s="215" t="s">
        <v>1360</v>
      </c>
      <c r="D94" s="592">
        <f>'[1]ELS-Tensões'!G11</f>
        <v>91.218050000000019</v>
      </c>
    </row>
    <row r="95" spans="2:12" ht="18" x14ac:dyDescent="0.25">
      <c r="C95" s="215" t="s">
        <v>1361</v>
      </c>
      <c r="D95" s="594">
        <f>D93*D91</f>
        <v>1155.1848000000002</v>
      </c>
    </row>
    <row r="96" spans="2:12" ht="18" x14ac:dyDescent="0.25">
      <c r="C96" s="215" t="s">
        <v>1362</v>
      </c>
      <c r="D96" s="594">
        <f>D94*D92</f>
        <v>0</v>
      </c>
    </row>
    <row r="97" spans="3:5" x14ac:dyDescent="0.25">
      <c r="C97" s="215" t="s">
        <v>1363</v>
      </c>
      <c r="D97" s="595">
        <f>'[1]ELS-Tensões'!Y416</f>
        <v>0.21591394564517474</v>
      </c>
    </row>
    <row r="98" spans="3:5" x14ac:dyDescent="0.25">
      <c r="C98" s="215" t="s">
        <v>1364</v>
      </c>
      <c r="D98" s="595">
        <f>'[1]ELS-Tensões'!Y417</f>
        <v>6.362590091564968E-2</v>
      </c>
    </row>
    <row r="99" spans="3:5" ht="18" x14ac:dyDescent="0.25">
      <c r="C99" s="215" t="s">
        <v>1365</v>
      </c>
      <c r="D99" s="573">
        <f>D95*(1-D97)+D96*(1-D98)</f>
        <v>905.76429188266809</v>
      </c>
    </row>
    <row r="100" spans="3:5" ht="18" x14ac:dyDescent="0.25">
      <c r="C100" s="215" t="s">
        <v>296</v>
      </c>
      <c r="D100" s="591">
        <f>VLOOKUP('[1]Dados de Entrada'!C3,'[1]Dados Lajes'!A4:C11,3,FALSE)</f>
        <v>1811.6405999999999</v>
      </c>
    </row>
    <row r="101" spans="3:5" ht="18" x14ac:dyDescent="0.25">
      <c r="C101" s="569" t="s">
        <v>1366</v>
      </c>
      <c r="D101" s="592">
        <f>D99/D100</f>
        <v>0.49996908431102072</v>
      </c>
    </row>
    <row r="102" spans="3:5" ht="18" x14ac:dyDescent="0.25">
      <c r="C102" s="215" t="s">
        <v>1367</v>
      </c>
      <c r="D102" s="573">
        <f>0.15*D101*D85*D86</f>
        <v>74.395399745479878</v>
      </c>
    </row>
    <row r="104" spans="3:5" ht="18" x14ac:dyDescent="0.25">
      <c r="C104" s="583" t="s">
        <v>1368</v>
      </c>
      <c r="D104" s="596">
        <f>D102+D89</f>
        <v>185.60868088068128</v>
      </c>
      <c r="E104" s="583" t="str">
        <f ca="1">IF(D104&gt;=D35,"Ok!","Não Ok!")</f>
        <v>Ok!</v>
      </c>
    </row>
    <row r="106" spans="3:5" x14ac:dyDescent="0.25">
      <c r="C106" s="529" t="s">
        <v>1369</v>
      </c>
    </row>
    <row r="108" spans="3:5" x14ac:dyDescent="0.25">
      <c r="C108" s="215" t="s">
        <v>1338</v>
      </c>
      <c r="D108" s="568">
        <v>2</v>
      </c>
    </row>
    <row r="109" spans="3:5" ht="18" x14ac:dyDescent="0.25">
      <c r="C109" s="215" t="s">
        <v>1370</v>
      </c>
      <c r="D109" s="585">
        <v>50</v>
      </c>
    </row>
    <row r="110" spans="3:5" x14ac:dyDescent="0.25">
      <c r="C110" s="1" t="s">
        <v>1371</v>
      </c>
      <c r="D110" s="586" t="s">
        <v>1341</v>
      </c>
    </row>
    <row r="111" spans="3:5" ht="18" x14ac:dyDescent="0.25">
      <c r="C111" s="215" t="s">
        <v>1372</v>
      </c>
      <c r="D111" s="590">
        <v>0</v>
      </c>
    </row>
    <row r="112" spans="3:5" ht="18" x14ac:dyDescent="0.25">
      <c r="C112" s="215" t="s">
        <v>1373</v>
      </c>
      <c r="D112" s="591">
        <f>D83</f>
        <v>9.8699999999999992</v>
      </c>
    </row>
    <row r="113" spans="3:4" ht="18" x14ac:dyDescent="0.25">
      <c r="C113" s="215" t="s">
        <v>1354</v>
      </c>
      <c r="D113" s="592">
        <f>D84</f>
        <v>0.21924142287881931</v>
      </c>
    </row>
    <row r="114" spans="3:4" ht="18" x14ac:dyDescent="0.25">
      <c r="C114" s="569" t="s">
        <v>1342</v>
      </c>
      <c r="D114" s="571">
        <f>VLOOKUP('[1]Dados de Entrada'!C3,'[1]Dados Lajes'!A4:O11,14,FALSE)</f>
        <v>31</v>
      </c>
    </row>
    <row r="115" spans="3:4" ht="18" x14ac:dyDescent="0.25">
      <c r="C115" s="569" t="s">
        <v>1343</v>
      </c>
      <c r="D115" s="571">
        <f>D108*VLOOKUP('[1]Dados de Entrada'!C3,'[1]Dados Lajes'!A4:O11,15,FALSE)</f>
        <v>25</v>
      </c>
    </row>
    <row r="116" spans="3:4" ht="16.5" x14ac:dyDescent="0.3">
      <c r="C116" s="587" t="s">
        <v>1344</v>
      </c>
      <c r="D116" s="1">
        <f>VLOOKUP(D110,[1]Auxílio!N4:O9,2,FALSE)</f>
        <v>1.2</v>
      </c>
    </row>
    <row r="117" spans="3:4" ht="16.5" x14ac:dyDescent="0.25">
      <c r="C117" s="588" t="s">
        <v>1345</v>
      </c>
      <c r="D117" s="582">
        <f>D116*5600*SQRT(D109)</f>
        <v>47517.575695735999</v>
      </c>
    </row>
    <row r="118" spans="3:4" ht="16.5" x14ac:dyDescent="0.25">
      <c r="C118" s="588" t="s">
        <v>1346</v>
      </c>
      <c r="D118" s="582">
        <f>21500*D116*(D109/10+1.25)^(1/3)</f>
        <v>47524.006332460987</v>
      </c>
    </row>
    <row r="119" spans="3:4" ht="16.5" x14ac:dyDescent="0.25">
      <c r="C119" s="588" t="s">
        <v>1347</v>
      </c>
      <c r="D119" s="582">
        <f>IF(D109&gt;50,D118,D117)</f>
        <v>47517.575695735999</v>
      </c>
    </row>
    <row r="120" spans="3:4" ht="16.5" x14ac:dyDescent="0.25">
      <c r="C120" s="588" t="s">
        <v>1348</v>
      </c>
      <c r="D120" s="215">
        <f>IF(0.8+0.2*D109/80&gt;1,1,0.8+0.2*D109/80)</f>
        <v>0.92500000000000004</v>
      </c>
    </row>
    <row r="121" spans="3:4" ht="18" x14ac:dyDescent="0.25">
      <c r="C121" s="569" t="s">
        <v>1349</v>
      </c>
      <c r="D121" s="589">
        <f>D120*D119/10</f>
        <v>4395.3757518555803</v>
      </c>
    </row>
    <row r="122" spans="3:4" ht="18" x14ac:dyDescent="0.25">
      <c r="C122" s="569" t="s">
        <v>1350</v>
      </c>
      <c r="D122" s="589">
        <f>'[1]ELU-Flexão'!F9</f>
        <v>3662.8131265463162</v>
      </c>
    </row>
    <row r="123" spans="3:4" ht="18" x14ac:dyDescent="0.25">
      <c r="C123" s="569" t="s">
        <v>1351</v>
      </c>
      <c r="D123" s="571">
        <f>D114+0.5*D115*D121/D122</f>
        <v>46</v>
      </c>
    </row>
    <row r="124" spans="3:4" x14ac:dyDescent="0.25">
      <c r="C124" s="215" t="s">
        <v>1331</v>
      </c>
      <c r="D124" s="571">
        <f>D86</f>
        <v>32</v>
      </c>
    </row>
    <row r="125" spans="3:4" ht="18" x14ac:dyDescent="0.25">
      <c r="C125" s="569" t="s">
        <v>1374</v>
      </c>
      <c r="D125" s="597">
        <f>(D111+D112)/(D123*D124)</f>
        <v>6.7051630434782602E-3</v>
      </c>
    </row>
    <row r="126" spans="3:4" x14ac:dyDescent="0.25">
      <c r="C126" s="215" t="s">
        <v>1132</v>
      </c>
      <c r="D126" s="451">
        <f>IF((1.6-D124/100)&lt;1,1,1.6-D124/100)</f>
        <v>1.28</v>
      </c>
    </row>
    <row r="127" spans="3:4" ht="18" x14ac:dyDescent="0.25">
      <c r="C127" s="215" t="s">
        <v>1356</v>
      </c>
      <c r="D127" s="573">
        <f>0.25*D113*D126*(1.2+40*D125)*D123*D124</f>
        <v>151.62386020022538</v>
      </c>
    </row>
    <row r="129" spans="3:5" ht="18" x14ac:dyDescent="0.25">
      <c r="C129" s="215" t="s">
        <v>1365</v>
      </c>
      <c r="D129" s="573">
        <f>D99</f>
        <v>905.76429188266809</v>
      </c>
    </row>
    <row r="130" spans="3:5" ht="18" x14ac:dyDescent="0.25">
      <c r="C130" s="215" t="s">
        <v>1375</v>
      </c>
      <c r="D130" s="591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69" t="s">
        <v>1376</v>
      </c>
      <c r="D131" s="592">
        <f>D129/D130</f>
        <v>0.39032758380401078</v>
      </c>
    </row>
    <row r="132" spans="3:5" ht="18" x14ac:dyDescent="0.25">
      <c r="C132" s="215" t="s">
        <v>1377</v>
      </c>
      <c r="D132" s="573">
        <f>0.15*D131*D123*D124</f>
        <v>86.18433050392558</v>
      </c>
    </row>
    <row r="134" spans="3:5" ht="18" x14ac:dyDescent="0.25">
      <c r="C134" s="583" t="s">
        <v>1368</v>
      </c>
      <c r="D134" s="596">
        <f>D132+D127</f>
        <v>237.80819070415095</v>
      </c>
      <c r="E134" s="583" t="str">
        <f ca="1">IF(D134&gt;=D35,"Ok!","Não Ok!")</f>
        <v>Ok!</v>
      </c>
    </row>
    <row r="135" spans="3:5" x14ac:dyDescent="0.25">
      <c r="D135" s="573"/>
    </row>
    <row r="136" spans="3:5" x14ac:dyDescent="0.25">
      <c r="C136" s="529" t="s">
        <v>1378</v>
      </c>
      <c r="D136" s="573"/>
    </row>
    <row r="137" spans="3:5" x14ac:dyDescent="0.25">
      <c r="D137" s="573"/>
    </row>
    <row r="138" spans="3:5" x14ac:dyDescent="0.25">
      <c r="C138" s="215" t="s">
        <v>1338</v>
      </c>
      <c r="D138" s="568">
        <v>2</v>
      </c>
    </row>
    <row r="139" spans="3:5" ht="18" x14ac:dyDescent="0.25">
      <c r="C139" s="215" t="s">
        <v>1370</v>
      </c>
      <c r="D139" s="585">
        <v>50</v>
      </c>
    </row>
    <row r="140" spans="3:5" x14ac:dyDescent="0.25">
      <c r="C140" s="1" t="s">
        <v>1371</v>
      </c>
      <c r="D140" s="586" t="s">
        <v>1341</v>
      </c>
    </row>
    <row r="141" spans="3:5" ht="18" x14ac:dyDescent="0.25">
      <c r="C141" s="215" t="s">
        <v>1372</v>
      </c>
      <c r="D141" s="590">
        <v>0</v>
      </c>
    </row>
    <row r="142" spans="3:5" ht="18" x14ac:dyDescent="0.25">
      <c r="C142" s="215" t="s">
        <v>1373</v>
      </c>
      <c r="D142" s="591">
        <f>D112</f>
        <v>9.8699999999999992</v>
      </c>
    </row>
    <row r="143" spans="3:5" ht="18" x14ac:dyDescent="0.25">
      <c r="C143" s="215" t="s">
        <v>1354</v>
      </c>
      <c r="D143" s="592">
        <f>D113</f>
        <v>0.21924142287881931</v>
      </c>
    </row>
    <row r="144" spans="3:5" ht="18" x14ac:dyDescent="0.25">
      <c r="C144" s="569" t="s">
        <v>1342</v>
      </c>
      <c r="D144" s="571">
        <f>VLOOKUP('[1]Dados de Entrada'!C3,'[1]Dados Lajes'!A4:O11,14,FALSE)</f>
        <v>31</v>
      </c>
    </row>
    <row r="145" spans="3:4" ht="18" x14ac:dyDescent="0.25">
      <c r="C145" s="569" t="s">
        <v>1343</v>
      </c>
      <c r="D145" s="571">
        <f>D138*VLOOKUP('[1]Dados de Entrada'!C3,'[1]Dados Lajes'!A4:O11,15,FALSE)</f>
        <v>25</v>
      </c>
    </row>
    <row r="146" spans="3:4" ht="16.5" x14ac:dyDescent="0.3">
      <c r="C146" s="587" t="s">
        <v>1344</v>
      </c>
      <c r="D146" s="1">
        <f>VLOOKUP(D140,[1]Auxílio!N4:O9,2,FALSE)</f>
        <v>1.2</v>
      </c>
    </row>
    <row r="147" spans="3:4" ht="16.5" x14ac:dyDescent="0.25">
      <c r="C147" s="588" t="s">
        <v>1345</v>
      </c>
      <c r="D147" s="582">
        <f>D146*5600*SQRT(D139)</f>
        <v>47517.575695735999</v>
      </c>
    </row>
    <row r="148" spans="3:4" ht="16.5" x14ac:dyDescent="0.25">
      <c r="C148" s="588" t="s">
        <v>1346</v>
      </c>
      <c r="D148" s="582">
        <f>21500*D146*(D139/10+1.25)^(1/3)</f>
        <v>47524.006332460987</v>
      </c>
    </row>
    <row r="149" spans="3:4" ht="16.5" x14ac:dyDescent="0.25">
      <c r="C149" s="588" t="s">
        <v>1347</v>
      </c>
      <c r="D149" s="582">
        <f>IF(D139&gt;50,D148,D147)</f>
        <v>47517.575695735999</v>
      </c>
    </row>
    <row r="150" spans="3:4" ht="16.5" x14ac:dyDescent="0.25">
      <c r="C150" s="588" t="s">
        <v>1348</v>
      </c>
      <c r="D150" s="215">
        <f>IF(0.8+0.2*D139/80&gt;1,1,0.8+0.2*D139/80)</f>
        <v>0.92500000000000004</v>
      </c>
    </row>
    <row r="151" spans="3:4" ht="18" x14ac:dyDescent="0.25">
      <c r="C151" s="569" t="s">
        <v>1349</v>
      </c>
      <c r="D151" s="589">
        <f>D150*D149/10</f>
        <v>4395.3757518555803</v>
      </c>
    </row>
    <row r="152" spans="3:4" ht="18" x14ac:dyDescent="0.25">
      <c r="C152" s="569" t="s">
        <v>1350</v>
      </c>
      <c r="D152" s="589">
        <f>D122</f>
        <v>3662.8131265463162</v>
      </c>
    </row>
    <row r="153" spans="3:4" ht="18" x14ac:dyDescent="0.25">
      <c r="C153" s="569" t="s">
        <v>1351</v>
      </c>
      <c r="D153" s="571">
        <f>D144+0.5*D145*D151/D152</f>
        <v>46</v>
      </c>
    </row>
    <row r="154" spans="3:4" x14ac:dyDescent="0.25">
      <c r="C154" s="215" t="s">
        <v>1331</v>
      </c>
      <c r="D154" s="571">
        <f>D124</f>
        <v>32</v>
      </c>
    </row>
    <row r="155" spans="3:4" ht="18" x14ac:dyDescent="0.25">
      <c r="C155" s="569" t="s">
        <v>1374</v>
      </c>
      <c r="D155" s="597">
        <f>(D141+D142)/(D153*D154)</f>
        <v>6.7051630434782602E-3</v>
      </c>
    </row>
    <row r="156" spans="3:4" x14ac:dyDescent="0.25">
      <c r="C156" s="215" t="s">
        <v>1132</v>
      </c>
      <c r="D156" s="451">
        <f>IF((1.6-D154/100)&lt;1,1,1.6-D154/100)</f>
        <v>1.28</v>
      </c>
    </row>
    <row r="157" spans="3:4" ht="18" x14ac:dyDescent="0.25">
      <c r="C157" s="215" t="s">
        <v>1356</v>
      </c>
      <c r="D157" s="573">
        <f>0.25*D143*D156*(1.2+40*D155)*D153*D154</f>
        <v>151.62386020022538</v>
      </c>
    </row>
    <row r="159" spans="3:4" ht="18" x14ac:dyDescent="0.25">
      <c r="C159" s="215" t="s">
        <v>1365</v>
      </c>
      <c r="D159" s="573">
        <f>D129</f>
        <v>905.76429188266809</v>
      </c>
    </row>
    <row r="160" spans="3:4" ht="18" x14ac:dyDescent="0.25">
      <c r="C160" s="215" t="s">
        <v>1375</v>
      </c>
      <c r="D160" s="591">
        <f>D100</f>
        <v>1811.6405999999999</v>
      </c>
    </row>
    <row r="161" spans="3:5" ht="18" x14ac:dyDescent="0.25">
      <c r="C161" s="569" t="s">
        <v>1366</v>
      </c>
      <c r="D161" s="592">
        <f>D159/D160</f>
        <v>0.49996908431102072</v>
      </c>
    </row>
    <row r="162" spans="3:5" ht="18" x14ac:dyDescent="0.25">
      <c r="C162" s="215" t="s">
        <v>1367</v>
      </c>
      <c r="D162" s="573">
        <f>0.15*D161*D45*D154</f>
        <v>74.395399745479878</v>
      </c>
    </row>
    <row r="164" spans="3:5" ht="18" x14ac:dyDescent="0.25">
      <c r="C164" s="583" t="s">
        <v>1368</v>
      </c>
      <c r="D164" s="596">
        <f>D162+D157</f>
        <v>226.01925994570524</v>
      </c>
      <c r="E164" s="583" t="str">
        <f ca="1">IF(D164&gt;=D35,"Ok!","Não Ok!")</f>
        <v>Ok!</v>
      </c>
    </row>
    <row r="165" spans="3:5" x14ac:dyDescent="0.25">
      <c r="D165" s="573"/>
    </row>
    <row r="166" spans="3:5" x14ac:dyDescent="0.25">
      <c r="C166" s="529" t="s">
        <v>1379</v>
      </c>
    </row>
    <row r="168" spans="3:5" x14ac:dyDescent="0.25">
      <c r="C168" s="215" t="s">
        <v>1380</v>
      </c>
      <c r="D168" s="215">
        <f>D30-'[1]Dados de Entrada'!C5</f>
        <v>1074</v>
      </c>
    </row>
    <row r="169" spans="3:5" x14ac:dyDescent="0.25">
      <c r="C169" s="215" t="s">
        <v>183</v>
      </c>
      <c r="D169" s="598">
        <f>D33</f>
        <v>15</v>
      </c>
    </row>
    <row r="170" spans="3:5" ht="18" x14ac:dyDescent="0.25">
      <c r="C170" s="215" t="s">
        <v>1381</v>
      </c>
      <c r="D170" s="599">
        <f ca="1">((D3*G3+D4*G4+(D5+D6+D7)*G5+G6*(D8+D9))*D168*D169/2-(D3*G3+D4*G4+(D5+D6+D7)*G5+G6*(D8+D9))*D169^2/2)/10000</f>
        <v>16.926952501832584</v>
      </c>
    </row>
    <row r="171" spans="3:5" x14ac:dyDescent="0.25">
      <c r="C171" s="215" t="s">
        <v>1331</v>
      </c>
      <c r="D171" s="571">
        <f>'[1]ELU-Flexão'!J43</f>
        <v>32</v>
      </c>
    </row>
    <row r="172" spans="3:5" ht="18" x14ac:dyDescent="0.25">
      <c r="C172" s="215" t="s">
        <v>1306</v>
      </c>
      <c r="D172" s="573">
        <f ca="1">(D3*G3+D4*G4+(D5+D6+D7)*G5+G6*(D8+D9))*(D168-2*D169)/200</f>
        <v>111.24795978541528</v>
      </c>
    </row>
    <row r="173" spans="3:5" ht="18" x14ac:dyDescent="0.25">
      <c r="C173" s="215" t="s">
        <v>1382</v>
      </c>
      <c r="D173" s="599">
        <f ca="1">D170+1.35*D171*D172/100</f>
        <v>64.986071129131986</v>
      </c>
    </row>
    <row r="174" spans="3:5" ht="18" x14ac:dyDescent="0.25">
      <c r="C174" s="215" t="s">
        <v>1383</v>
      </c>
      <c r="D174" s="600">
        <f>D134</f>
        <v>237.80819070415095</v>
      </c>
    </row>
    <row r="175" spans="3:5" ht="18" x14ac:dyDescent="0.25">
      <c r="C175" s="215" t="s">
        <v>1373</v>
      </c>
      <c r="D175" s="590">
        <f>'[1]ELS-Tensões'!G287*'[1]ELS-Tensões'!C27</f>
        <v>9.8699999999999992</v>
      </c>
    </row>
    <row r="176" spans="3:5" ht="18" x14ac:dyDescent="0.25">
      <c r="C176" s="569" t="s">
        <v>1384</v>
      </c>
      <c r="D176" s="601">
        <f>'[1]ELU-Flexão'!E67</f>
        <v>156.957470760425</v>
      </c>
    </row>
    <row r="177" spans="3:4" x14ac:dyDescent="0.25">
      <c r="C177" s="215" t="s">
        <v>1331</v>
      </c>
      <c r="D177" s="598">
        <f>'[1]ELU-Flexão'!J43</f>
        <v>32</v>
      </c>
    </row>
    <row r="178" spans="3:4" ht="18" x14ac:dyDescent="0.25">
      <c r="C178" s="215" t="s">
        <v>1385</v>
      </c>
      <c r="D178" s="599">
        <f>D175*D176*0.9*D177/100</f>
        <v>446.1610280847537</v>
      </c>
    </row>
    <row r="180" spans="3:4" ht="18" x14ac:dyDescent="0.25">
      <c r="C180" s="575" t="s">
        <v>1386</v>
      </c>
      <c r="D180" s="602">
        <f ca="1">((D172/D174)^4+(D173/D178)^4)^(1/4)</f>
        <v>0.46890071892052387</v>
      </c>
    </row>
    <row r="181" spans="3:4" ht="18" x14ac:dyDescent="0.25">
      <c r="C181" s="575" t="s">
        <v>1387</v>
      </c>
      <c r="D181" s="603">
        <v>1</v>
      </c>
    </row>
    <row r="182" spans="3:4" x14ac:dyDescent="0.25">
      <c r="C182" s="583" t="s">
        <v>1268</v>
      </c>
      <c r="D182" s="583" t="str">
        <f ca="1">IF(D180&lt;=D181,"Ok!","Não Ok!")</f>
        <v>Ok!</v>
      </c>
    </row>
    <row r="184" spans="3:4" x14ac:dyDescent="0.25">
      <c r="C184" s="529" t="s">
        <v>1388</v>
      </c>
    </row>
    <row r="186" spans="3:4" x14ac:dyDescent="0.25">
      <c r="C186" s="529" t="s">
        <v>1389</v>
      </c>
    </row>
    <row r="188" spans="3:4" x14ac:dyDescent="0.25">
      <c r="C188" s="215" t="s">
        <v>1319</v>
      </c>
      <c r="D188" s="571">
        <f>D30</f>
        <v>1088</v>
      </c>
    </row>
    <row r="189" spans="3:4" x14ac:dyDescent="0.25">
      <c r="C189" s="215" t="s">
        <v>3</v>
      </c>
      <c r="D189" s="571">
        <f>VLOOKUP('[1]Dados de Entrada'!C3,'[1]Dados Lajes'!A4:B11,2,FALSE)</f>
        <v>30</v>
      </c>
    </row>
    <row r="190" spans="3:4" x14ac:dyDescent="0.25">
      <c r="C190" s="215" t="s">
        <v>1320</v>
      </c>
      <c r="D190" s="571">
        <f>'[1]Dados de Entrada'!C5</f>
        <v>14</v>
      </c>
    </row>
    <row r="191" spans="3:4" ht="18" x14ac:dyDescent="0.25">
      <c r="C191" s="215" t="s">
        <v>1390</v>
      </c>
      <c r="D191" s="571">
        <f>VLOOKUP('[1]Dados de Entrada'!C3,'[1]Dados Lajes'!A4:AE11,31,FALSE)</f>
        <v>7.5</v>
      </c>
    </row>
    <row r="192" spans="3:4" ht="18" x14ac:dyDescent="0.25">
      <c r="C192" s="215" t="s">
        <v>1391</v>
      </c>
      <c r="D192" s="571">
        <f>D191/TAN(RADIANS(30))</f>
        <v>12.99038105676658</v>
      </c>
    </row>
    <row r="193" spans="3:4" ht="15.75" thickBot="1" x14ac:dyDescent="0.3">
      <c r="C193" s="215" t="s">
        <v>1321</v>
      </c>
      <c r="D193" s="571">
        <f>D188-D190-D192*2</f>
        <v>1048.0192378864667</v>
      </c>
    </row>
    <row r="194" spans="3:4" ht="18.75" thickBot="1" x14ac:dyDescent="0.3">
      <c r="C194" s="578" t="s">
        <v>1322</v>
      </c>
      <c r="D194" s="579">
        <f ca="1">(D193)*0.01*(G3*D3+G4*D4+G5*(D5+D6+D7)+G6*(D8+D9))*0.5</f>
        <v>111.67624715587665</v>
      </c>
    </row>
    <row r="196" spans="3:4" x14ac:dyDescent="0.25">
      <c r="C196" s="529" t="s">
        <v>1392</v>
      </c>
    </row>
    <row r="197" spans="3:4" x14ac:dyDescent="0.25">
      <c r="C197" s="529"/>
    </row>
    <row r="198" spans="3:4" ht="18" x14ac:dyDescent="0.25">
      <c r="C198" s="215" t="s">
        <v>1393</v>
      </c>
      <c r="D198" s="580">
        <f ca="1">(D193)*0.01*(G3*D3+G4*D4)*0.5</f>
        <v>49.319102501631889</v>
      </c>
    </row>
    <row r="199" spans="3:4" ht="18" x14ac:dyDescent="0.25">
      <c r="C199" s="215" t="s">
        <v>1394</v>
      </c>
      <c r="D199" s="580">
        <f>(D193)*0.01*(G5*(D5+D6+D7)+G6*(D8+D9))*0.5</f>
        <v>62.35714465424477</v>
      </c>
    </row>
    <row r="200" spans="3:4" x14ac:dyDescent="0.25">
      <c r="C200" s="215" t="s">
        <v>109</v>
      </c>
      <c r="D200" s="591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4">
        <f>VLOOKUP('[1]Dados de Entrada'!C3,'[1]Dados Lajes'!A4:AC11,29,FALSE)</f>
        <v>9.8848000000000003</v>
      </c>
    </row>
    <row r="202" spans="3:4" x14ac:dyDescent="0.25">
      <c r="C202" s="215" t="s">
        <v>1395</v>
      </c>
      <c r="D202" s="605">
        <f>D200*D201</f>
        <v>8941.2058883200007</v>
      </c>
    </row>
    <row r="203" spans="3:4" x14ac:dyDescent="0.25">
      <c r="C203" s="215" t="s">
        <v>1056</v>
      </c>
      <c r="D203" s="606">
        <f>VLOOKUP('[1]Dados de Entrada'!C3,'[1]Dados Lajes'!A4:F11,6,FALSE)</f>
        <v>207551.86040000001</v>
      </c>
    </row>
    <row r="204" spans="3:4" x14ac:dyDescent="0.25">
      <c r="C204" s="215" t="s">
        <v>115</v>
      </c>
      <c r="D204" s="590">
        <v>1191.4762000000001</v>
      </c>
    </row>
    <row r="205" spans="3:4" x14ac:dyDescent="0.25">
      <c r="C205" s="215" t="s">
        <v>1396</v>
      </c>
      <c r="D205" s="607">
        <v>9.9438999999999993</v>
      </c>
    </row>
    <row r="206" spans="3:4" x14ac:dyDescent="0.25">
      <c r="C206" s="215" t="s">
        <v>1397</v>
      </c>
      <c r="D206" s="605">
        <f>D204*D205</f>
        <v>11847.920185179999</v>
      </c>
    </row>
    <row r="207" spans="3:4" x14ac:dyDescent="0.25">
      <c r="C207" s="215" t="s">
        <v>1398</v>
      </c>
      <c r="D207" s="608">
        <v>305315.92229999998</v>
      </c>
    </row>
    <row r="208" spans="3:4" ht="18" x14ac:dyDescent="0.25">
      <c r="C208" s="215" t="s">
        <v>1399</v>
      </c>
      <c r="D208" s="571">
        <f>VLOOKUP('[1]Dados de Entrada'!C3,'[1]Dados Lajes'!A4:N11,14,FALSE)</f>
        <v>31</v>
      </c>
    </row>
    <row r="209" spans="3:4" ht="18" x14ac:dyDescent="0.25">
      <c r="C209" s="609" t="s">
        <v>1400</v>
      </c>
      <c r="D209" s="610">
        <f ca="1">D198*D202/(D203*D208)+D199*D206/(D207*D208)</f>
        <v>0.14659461925090211</v>
      </c>
    </row>
    <row r="211" spans="3:4" ht="18" x14ac:dyDescent="0.25">
      <c r="C211" s="215" t="s">
        <v>1354</v>
      </c>
      <c r="D211" s="592">
        <f>D280</f>
        <v>0.21924142287881931</v>
      </c>
    </row>
    <row r="212" spans="3:4" ht="18" x14ac:dyDescent="0.25">
      <c r="C212" s="215" t="s">
        <v>1401</v>
      </c>
      <c r="D212" s="571">
        <f>D192+D190</f>
        <v>26.99038105676658</v>
      </c>
    </row>
    <row r="213" spans="3:4" ht="18" x14ac:dyDescent="0.25">
      <c r="C213" s="215" t="s">
        <v>1402</v>
      </c>
      <c r="D213" s="571">
        <f>'[1]ELS-Tensões'!C186</f>
        <v>71.084256617825332</v>
      </c>
    </row>
    <row r="214" spans="3:4" ht="18" x14ac:dyDescent="0.25">
      <c r="C214" s="215" t="s">
        <v>1403</v>
      </c>
      <c r="D214" s="571">
        <f>'[1]ELS-Tensões'!G186</f>
        <v>63.607909037953391</v>
      </c>
    </row>
    <row r="215" spans="3:4" ht="18" x14ac:dyDescent="0.25">
      <c r="C215" s="215" t="s">
        <v>1404</v>
      </c>
      <c r="D215" s="594">
        <f>D212/D213</f>
        <v>0.37969562236370608</v>
      </c>
    </row>
    <row r="216" spans="3:4" ht="18" x14ac:dyDescent="0.25">
      <c r="C216" s="215" t="s">
        <v>1405</v>
      </c>
      <c r="D216" s="594">
        <f>D212/D214</f>
        <v>0.42432429339348404</v>
      </c>
    </row>
    <row r="217" spans="3:4" ht="18" x14ac:dyDescent="0.25">
      <c r="C217" s="215" t="s">
        <v>1357</v>
      </c>
      <c r="D217" s="591">
        <f>D283</f>
        <v>9.870000000000001</v>
      </c>
    </row>
    <row r="218" spans="3:4" ht="18" x14ac:dyDescent="0.25">
      <c r="C218" s="215" t="s">
        <v>1358</v>
      </c>
      <c r="D218" s="591">
        <f>D284</f>
        <v>0</v>
      </c>
    </row>
    <row r="219" spans="3:4" ht="18" x14ac:dyDescent="0.25">
      <c r="C219" s="215" t="s">
        <v>1359</v>
      </c>
      <c r="D219" s="592">
        <f>D285</f>
        <v>117.04000000000002</v>
      </c>
    </row>
    <row r="220" spans="3:4" ht="18" x14ac:dyDescent="0.25">
      <c r="C220" s="215" t="s">
        <v>1360</v>
      </c>
      <c r="D220" s="592">
        <f>D286</f>
        <v>91.218050000000019</v>
      </c>
    </row>
    <row r="221" spans="3:4" ht="18" x14ac:dyDescent="0.25">
      <c r="C221" s="215" t="s">
        <v>1361</v>
      </c>
      <c r="D221" s="594">
        <f>D219*D217</f>
        <v>1155.1848000000002</v>
      </c>
    </row>
    <row r="222" spans="3:4" ht="18" x14ac:dyDescent="0.25">
      <c r="C222" s="215" t="s">
        <v>1362</v>
      </c>
      <c r="D222" s="594">
        <f>D220*D218</f>
        <v>0</v>
      </c>
    </row>
    <row r="223" spans="3:4" x14ac:dyDescent="0.25">
      <c r="C223" s="215" t="s">
        <v>1363</v>
      </c>
      <c r="D223" s="595">
        <f>'[1]ELS-Tensões'!Z416</f>
        <v>0.23184206258116258</v>
      </c>
    </row>
    <row r="224" spans="3:4" x14ac:dyDescent="0.25">
      <c r="C224" s="215" t="s">
        <v>1406</v>
      </c>
      <c r="D224" s="595">
        <f>'[1]ELS-Tensões'!Z417</f>
        <v>6.5607871413660312E-2</v>
      </c>
    </row>
    <row r="225" spans="3:5" ht="18" x14ac:dyDescent="0.25">
      <c r="C225" s="215" t="s">
        <v>296</v>
      </c>
      <c r="D225" s="591">
        <f>VLOOKUP('[1]Dados de Entrada'!C3,'[1]Dados Lajes'!A4:C11,3,FALSE)</f>
        <v>1811.6405999999999</v>
      </c>
    </row>
    <row r="226" spans="3:5" ht="18" x14ac:dyDescent="0.25">
      <c r="C226" s="569" t="s">
        <v>1407</v>
      </c>
      <c r="D226" s="592">
        <f>(D221*(1-D223)*D215+D222*(1-D224)*D216)/D225</f>
        <v>0.18597969596488781</v>
      </c>
    </row>
    <row r="227" spans="3:5" x14ac:dyDescent="0.25">
      <c r="C227" s="569"/>
      <c r="D227" s="592"/>
    </row>
    <row r="228" spans="3:5" x14ac:dyDescent="0.25">
      <c r="C228" s="529" t="s">
        <v>1408</v>
      </c>
    </row>
    <row r="230" spans="3:5" ht="18" x14ac:dyDescent="0.25">
      <c r="C230" s="611" t="s">
        <v>1409</v>
      </c>
      <c r="D230" s="592">
        <f>SQRT(D211^2+D226*D211)</f>
        <v>0.2980625012909901</v>
      </c>
      <c r="E230" s="583" t="str">
        <f ca="1">IF(D230&gt;=D209,"Ok!","Não Ok!")</f>
        <v>Ok!</v>
      </c>
    </row>
    <row r="231" spans="3:5" x14ac:dyDescent="0.25">
      <c r="C231" s="611"/>
      <c r="D231" s="592"/>
      <c r="E231" s="583"/>
    </row>
    <row r="232" spans="3:5" x14ac:dyDescent="0.25">
      <c r="C232" s="215" t="s">
        <v>1268</v>
      </c>
      <c r="D232" s="529" t="str">
        <f ca="1">IF(G21&lt;=D22,IF(D230&gt;=D209,"Pode-se considerar seção composta!","Considerar laje sem capa!"),"Considerar laje sem capa!")</f>
        <v>Pode-se considerar seção composta!</v>
      </c>
      <c r="E232" s="583"/>
    </row>
    <row r="234" spans="3:5" x14ac:dyDescent="0.25">
      <c r="C234" s="529" t="s">
        <v>1410</v>
      </c>
    </row>
    <row r="235" spans="3:5" x14ac:dyDescent="0.25">
      <c r="C235" s="529"/>
    </row>
    <row r="236" spans="3:5" ht="18" x14ac:dyDescent="0.25">
      <c r="C236" s="611" t="s">
        <v>1409</v>
      </c>
      <c r="D236" s="592">
        <f>SQRT(D211^2+0.9*D226*D211)</f>
        <v>0.29114224935390309</v>
      </c>
      <c r="E236" s="583" t="str">
        <f ca="1">IF(D236&gt;=D209,"Ok!","Não Ok!")</f>
        <v>Ok!</v>
      </c>
    </row>
    <row r="237" spans="3:5" x14ac:dyDescent="0.25">
      <c r="C237" s="611"/>
      <c r="D237" s="592"/>
      <c r="E237" s="583"/>
    </row>
    <row r="238" spans="3:5" x14ac:dyDescent="0.25">
      <c r="C238" s="215" t="s">
        <v>1268</v>
      </c>
      <c r="D238" s="529" t="str">
        <f ca="1">IF(G21&lt;=D22,IF(D236&gt;=D209,"Pode-se considerar seção composta!","Considerar laje sem capa!"),"Considerar laje sem capa!")</f>
        <v>Pode-se considerar seção composta!</v>
      </c>
      <c r="E238" s="583"/>
    </row>
    <row r="239" spans="3:5" x14ac:dyDescent="0.25">
      <c r="C239" s="529"/>
    </row>
    <row r="240" spans="3:5" x14ac:dyDescent="0.25">
      <c r="C240" s="420" t="s">
        <v>1315</v>
      </c>
      <c r="D240" s="568" t="s">
        <v>1316</v>
      </c>
    </row>
    <row r="242" spans="3:5" x14ac:dyDescent="0.25">
      <c r="C242" s="529" t="s">
        <v>1411</v>
      </c>
    </row>
    <row r="244" spans="3:5" x14ac:dyDescent="0.25">
      <c r="C244" s="529" t="s">
        <v>1412</v>
      </c>
    </row>
    <row r="245" spans="3:5" x14ac:dyDescent="0.25">
      <c r="C245" s="529"/>
    </row>
    <row r="246" spans="3:5" ht="18.75" x14ac:dyDescent="0.25">
      <c r="C246" s="569" t="s">
        <v>1413</v>
      </c>
      <c r="D246" s="215">
        <f>IF(0.5+D191/D189&lt;=1,0.5+D191/D189,1)</f>
        <v>0.75</v>
      </c>
    </row>
    <row r="247" spans="3:5" x14ac:dyDescent="0.25">
      <c r="C247" s="215" t="s">
        <v>1056</v>
      </c>
      <c r="D247" s="606">
        <f>VLOOKUP('[1]Dados de Entrada'!C3,'[1]Dados Lajes'!A4:F11,6,FALSE)</f>
        <v>207551.86040000001</v>
      </c>
    </row>
    <row r="248" spans="3:5" ht="18" x14ac:dyDescent="0.25">
      <c r="C248" s="215" t="s">
        <v>1399</v>
      </c>
      <c r="D248" s="571">
        <f>D276</f>
        <v>31</v>
      </c>
    </row>
    <row r="249" spans="3:5" x14ac:dyDescent="0.25">
      <c r="C249" s="215" t="s">
        <v>1395</v>
      </c>
      <c r="D249" s="605">
        <f>D202</f>
        <v>8941.2058883200007</v>
      </c>
    </row>
    <row r="251" spans="3:5" ht="18" x14ac:dyDescent="0.25">
      <c r="C251" s="215" t="s">
        <v>1414</v>
      </c>
      <c r="D251" s="580">
        <f>(D246*D247*D248/D249)*SQRT(D211^2+0.9*D226*D211)</f>
        <v>157.1298606467706</v>
      </c>
      <c r="E251" s="583" t="str">
        <f ca="1">IF(D251&gt;=$D$194,"Ok!","Não Ok!")</f>
        <v>Ok!</v>
      </c>
    </row>
    <row r="253" spans="3:5" x14ac:dyDescent="0.25">
      <c r="C253" s="529" t="s">
        <v>1415</v>
      </c>
    </row>
    <row r="255" spans="3:5" x14ac:dyDescent="0.25">
      <c r="C255" s="215" t="s">
        <v>1338</v>
      </c>
      <c r="D255" s="568">
        <v>2</v>
      </c>
    </row>
    <row r="256" spans="3:5" ht="18" x14ac:dyDescent="0.25">
      <c r="C256" s="215" t="s">
        <v>1416</v>
      </c>
      <c r="D256" s="378">
        <f>VLOOKUP('[1]Dados de Entrada'!C3,'[1]Dados Lajes'!A4:O11,15,FALSE)</f>
        <v>12.5</v>
      </c>
    </row>
    <row r="257" spans="3:11" ht="18" x14ac:dyDescent="0.25">
      <c r="C257" s="215" t="s">
        <v>1417</v>
      </c>
      <c r="D257" s="378">
        <f>VLOOKUP('[1]Dados de Entrada'!C3,'[1]Dados Lajes'!A4:AD11,30,FALSE)</f>
        <v>23</v>
      </c>
    </row>
    <row r="258" spans="3:11" ht="18" x14ac:dyDescent="0.25">
      <c r="C258" s="215" t="s">
        <v>1418</v>
      </c>
      <c r="D258" s="584">
        <f>D251+(2/3)*D255*D256*D257*D211</f>
        <v>241.17240608365131</v>
      </c>
      <c r="E258" s="583" t="str">
        <f ca="1">IF(D258&gt;=$D$194,"Ok!","Não Ok!")</f>
        <v>Ok!</v>
      </c>
    </row>
    <row r="260" spans="3:11" x14ac:dyDescent="0.25">
      <c r="C260" s="529" t="s">
        <v>1419</v>
      </c>
      <c r="J260" s="612"/>
      <c r="K260" s="451"/>
    </row>
    <row r="261" spans="3:11" x14ac:dyDescent="0.25">
      <c r="J261" s="613"/>
    </row>
    <row r="262" spans="3:11" ht="18" x14ac:dyDescent="0.25">
      <c r="C262" s="215" t="s">
        <v>1420</v>
      </c>
      <c r="D262" s="573">
        <f ca="1">D304</f>
        <v>49.319102501631889</v>
      </c>
      <c r="J262" s="613"/>
    </row>
    <row r="263" spans="3:11" x14ac:dyDescent="0.25">
      <c r="C263" s="215" t="s">
        <v>1398</v>
      </c>
      <c r="D263" s="606">
        <f>D207</f>
        <v>305315.92229999998</v>
      </c>
      <c r="J263" s="457"/>
    </row>
    <row r="264" spans="3:11" x14ac:dyDescent="0.25">
      <c r="C264" s="215" t="s">
        <v>1397</v>
      </c>
      <c r="D264" s="605">
        <f>D206</f>
        <v>11847.920185179999</v>
      </c>
      <c r="J264" s="378"/>
      <c r="K264" s="378"/>
    </row>
    <row r="265" spans="3:11" ht="18" x14ac:dyDescent="0.25">
      <c r="C265" s="215" t="s">
        <v>1421</v>
      </c>
      <c r="D265" s="584">
        <f ca="1">D251*D249*D263/(D264*D247)+D262*(1-D249*D263/(D264*D247))</f>
        <v>169.00387499774124</v>
      </c>
      <c r="E265" s="583" t="str">
        <f ca="1">IF(D265&gt;=$D$194,"Ok!","Não Ok!")</f>
        <v>Ok!</v>
      </c>
      <c r="K265" s="378"/>
    </row>
    <row r="267" spans="3:11" x14ac:dyDescent="0.25">
      <c r="C267" s="529" t="s">
        <v>1422</v>
      </c>
    </row>
    <row r="269" spans="3:11" ht="18" x14ac:dyDescent="0.25">
      <c r="C269" s="583" t="s">
        <v>1423</v>
      </c>
      <c r="D269" s="584">
        <f ca="1">D251+D258+D265-2*D251</f>
        <v>253.04642043462201</v>
      </c>
      <c r="E269" s="583" t="str">
        <f ca="1">IF(D269&gt;=$D$194,"Ok!","Não Ok!")</f>
        <v>Ok!</v>
      </c>
      <c r="G269" s="614"/>
    </row>
    <row r="271" spans="3:11" x14ac:dyDescent="0.25">
      <c r="C271" s="529" t="s">
        <v>1424</v>
      </c>
    </row>
    <row r="272" spans="3:11" x14ac:dyDescent="0.25">
      <c r="C272" s="529"/>
    </row>
    <row r="273" spans="2:4" x14ac:dyDescent="0.25">
      <c r="C273" s="529" t="s">
        <v>1425</v>
      </c>
    </row>
    <row r="275" spans="2:4" x14ac:dyDescent="0.25">
      <c r="C275" s="215" t="s">
        <v>1056</v>
      </c>
      <c r="D275" s="606">
        <f>VLOOKUP('[1]Dados de Entrada'!C3,'[1]Dados Lajes'!A4:F11,6,FALSE)</f>
        <v>207551.86040000001</v>
      </c>
    </row>
    <row r="276" spans="2:4" ht="18" x14ac:dyDescent="0.25">
      <c r="C276" s="215" t="s">
        <v>1399</v>
      </c>
      <c r="D276" s="571">
        <f>VLOOKUP('[1]Dados de Entrada'!C3,'[1]Dados Lajes'!A4:N11,14,FALSE)</f>
        <v>31</v>
      </c>
    </row>
    <row r="277" spans="2:4" x14ac:dyDescent="0.25">
      <c r="C277" s="215" t="s">
        <v>109</v>
      </c>
      <c r="D277" s="591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1">
        <f>VLOOKUP('[1]Dados de Entrada'!C3,'[1]Dados Lajes'!A4:AC11,29,FALSE)</f>
        <v>9.8848000000000003</v>
      </c>
    </row>
    <row r="279" spans="2:4" x14ac:dyDescent="0.25">
      <c r="B279" s="457"/>
      <c r="C279" s="215" t="s">
        <v>1395</v>
      </c>
      <c r="D279" s="605">
        <f>D278*D277</f>
        <v>8941.2058883200007</v>
      </c>
    </row>
    <row r="280" spans="2:4" ht="18" x14ac:dyDescent="0.25">
      <c r="C280" s="215" t="s">
        <v>1354</v>
      </c>
      <c r="D280" s="592">
        <f>D84</f>
        <v>0.21924142287881931</v>
      </c>
    </row>
    <row r="281" spans="2:4" ht="18" x14ac:dyDescent="0.25">
      <c r="C281" s="215" t="s">
        <v>1404</v>
      </c>
      <c r="D281" s="594">
        <f>D212/D213</f>
        <v>0.37969562236370608</v>
      </c>
    </row>
    <row r="282" spans="2:4" ht="18" x14ac:dyDescent="0.25">
      <c r="C282" s="215" t="s">
        <v>1405</v>
      </c>
      <c r="D282" s="594">
        <f>D212/D214</f>
        <v>0.42432429339348404</v>
      </c>
    </row>
    <row r="283" spans="2:4" ht="18" x14ac:dyDescent="0.25">
      <c r="C283" s="215" t="s">
        <v>1357</v>
      </c>
      <c r="D283" s="591">
        <f>'[1]ELS-Tensões'!O301/'[1]ELS-Tensões'!O297</f>
        <v>9.870000000000001</v>
      </c>
    </row>
    <row r="284" spans="2:4" ht="18" x14ac:dyDescent="0.25">
      <c r="C284" s="215" t="s">
        <v>1358</v>
      </c>
      <c r="D284" s="591">
        <f>'[1]ELS-Tensões'!C78</f>
        <v>0</v>
      </c>
    </row>
    <row r="285" spans="2:4" ht="18" x14ac:dyDescent="0.25">
      <c r="C285" s="215" t="s">
        <v>1359</v>
      </c>
      <c r="D285" s="592">
        <f>'[1]ELS-Tensões'!C11</f>
        <v>117.04000000000002</v>
      </c>
    </row>
    <row r="286" spans="2:4" ht="18" x14ac:dyDescent="0.25">
      <c r="C286" s="215" t="s">
        <v>1360</v>
      </c>
      <c r="D286" s="592">
        <f>'[1]ELS-Tensões'!G11</f>
        <v>91.218050000000019</v>
      </c>
    </row>
    <row r="287" spans="2:4" ht="18" x14ac:dyDescent="0.25">
      <c r="C287" s="215" t="s">
        <v>1361</v>
      </c>
      <c r="D287" s="594">
        <f>D285*D283</f>
        <v>1155.1848000000002</v>
      </c>
    </row>
    <row r="288" spans="2:4" ht="18" x14ac:dyDescent="0.25">
      <c r="C288" s="215" t="s">
        <v>1362</v>
      </c>
      <c r="D288" s="594">
        <f>D286*D284</f>
        <v>0</v>
      </c>
    </row>
    <row r="289" spans="3:5" x14ac:dyDescent="0.25">
      <c r="C289" s="215" t="s">
        <v>1363</v>
      </c>
      <c r="D289" s="595">
        <f>'[1]ELS-Tensões'!Z416</f>
        <v>0.23184206258116258</v>
      </c>
    </row>
    <row r="290" spans="3:5" x14ac:dyDescent="0.25">
      <c r="C290" s="215" t="s">
        <v>1406</v>
      </c>
      <c r="D290" s="595">
        <f>'[1]ELS-Tensões'!Z417</f>
        <v>6.5607871413660312E-2</v>
      </c>
    </row>
    <row r="291" spans="3:5" ht="18" x14ac:dyDescent="0.25">
      <c r="C291" s="215" t="s">
        <v>296</v>
      </c>
      <c r="D291" s="591">
        <f>VLOOKUP('[1]Dados de Entrada'!C3,'[1]Dados Lajes'!A4:C11,3,FALSE)</f>
        <v>1811.6405999999999</v>
      </c>
    </row>
    <row r="292" spans="3:5" ht="18" x14ac:dyDescent="0.25">
      <c r="C292" s="215" t="s">
        <v>1426</v>
      </c>
      <c r="D292" s="592">
        <f>(D287*(1-D289)*D281+D288*(1-D290)*D282)/D291</f>
        <v>0.18597969596488781</v>
      </c>
    </row>
    <row r="293" spans="3:5" ht="18" x14ac:dyDescent="0.25">
      <c r="C293" s="583" t="s">
        <v>1427</v>
      </c>
      <c r="D293" s="584">
        <f>(0.95*D275*D276/D279)*SQRT(D280^2+D292*D280)</f>
        <v>203.76199115048672</v>
      </c>
      <c r="E293" s="583" t="str">
        <f ca="1">IF(D293&gt;=$D$194,"Ok!","Não Ok!")</f>
        <v>Ok!</v>
      </c>
    </row>
    <row r="294" spans="3:5" x14ac:dyDescent="0.25">
      <c r="D294" s="580"/>
    </row>
    <row r="295" spans="3:5" x14ac:dyDescent="0.25">
      <c r="C295" s="529" t="s">
        <v>1428</v>
      </c>
      <c r="D295" s="580"/>
    </row>
    <row r="296" spans="3:5" x14ac:dyDescent="0.25">
      <c r="D296" s="580"/>
    </row>
    <row r="297" spans="3:5" x14ac:dyDescent="0.25">
      <c r="C297" s="215" t="s">
        <v>1338</v>
      </c>
      <c r="D297" s="568">
        <v>2</v>
      </c>
    </row>
    <row r="298" spans="3:5" ht="18" x14ac:dyDescent="0.25">
      <c r="C298" s="215" t="s">
        <v>1416</v>
      </c>
      <c r="D298" s="378">
        <f>VLOOKUP('[1]Dados de Entrada'!C3,'[1]Dados Lajes'!A4:O11,15,FALSE)</f>
        <v>12.5</v>
      </c>
    </row>
    <row r="299" spans="3:5" ht="18" x14ac:dyDescent="0.25">
      <c r="C299" s="215" t="s">
        <v>1417</v>
      </c>
      <c r="D299" s="378">
        <f>VLOOKUP('[1]Dados de Entrada'!C3,'[1]Dados Lajes'!A4:AD11,30,FALSE)</f>
        <v>23</v>
      </c>
    </row>
    <row r="300" spans="3:5" ht="18" x14ac:dyDescent="0.25">
      <c r="C300" s="583" t="s">
        <v>1429</v>
      </c>
      <c r="D300" s="584">
        <f>D293+(2/3)*D297*D298*D299*D280</f>
        <v>287.80453658736747</v>
      </c>
    </row>
    <row r="301" spans="3:5" x14ac:dyDescent="0.25">
      <c r="D301" s="580"/>
    </row>
    <row r="302" spans="3:5" x14ac:dyDescent="0.25">
      <c r="C302" s="529" t="s">
        <v>1430</v>
      </c>
      <c r="D302" s="580"/>
    </row>
    <row r="303" spans="3:5" x14ac:dyDescent="0.25">
      <c r="D303" s="580"/>
    </row>
    <row r="304" spans="3:5" ht="18" x14ac:dyDescent="0.25">
      <c r="C304" s="215" t="s">
        <v>1420</v>
      </c>
      <c r="D304" s="573">
        <f ca="1">(G3*D3+G4*D4)*D193*0.5/100</f>
        <v>49.319102501631889</v>
      </c>
    </row>
    <row r="305" spans="3:5" x14ac:dyDescent="0.25">
      <c r="C305" s="215" t="s">
        <v>1398</v>
      </c>
      <c r="D305" s="608">
        <v>0</v>
      </c>
    </row>
    <row r="306" spans="3:5" x14ac:dyDescent="0.25">
      <c r="C306" s="215" t="s">
        <v>115</v>
      </c>
      <c r="D306" s="608">
        <v>0</v>
      </c>
    </row>
    <row r="307" spans="3:5" x14ac:dyDescent="0.25">
      <c r="C307" s="215" t="s">
        <v>1396</v>
      </c>
      <c r="D307" s="608">
        <v>0</v>
      </c>
    </row>
    <row r="308" spans="3:5" x14ac:dyDescent="0.25">
      <c r="C308" s="215" t="s">
        <v>1397</v>
      </c>
      <c r="D308" s="605">
        <f>D307*D306</f>
        <v>0</v>
      </c>
    </row>
    <row r="309" spans="3:5" ht="18" x14ac:dyDescent="0.25">
      <c r="C309" s="583" t="s">
        <v>1431</v>
      </c>
      <c r="D309" s="584" t="e">
        <f ca="1">D293*D279*D305/(D308*D275)+D304*(1-D279*D305/(D308*D275))</f>
        <v>#DIV/0!</v>
      </c>
      <c r="E309" s="583" t="e">
        <f ca="1">IF(D309&gt;=$D$194,"Ok!","Não Ok!")</f>
        <v>#DIV/0!</v>
      </c>
    </row>
    <row r="310" spans="3:5" x14ac:dyDescent="0.25">
      <c r="D310" s="605"/>
    </row>
    <row r="311" spans="3:5" x14ac:dyDescent="0.25">
      <c r="C311" s="529" t="s">
        <v>1432</v>
      </c>
    </row>
    <row r="313" spans="3:5" ht="18" x14ac:dyDescent="0.25">
      <c r="C313" s="583" t="s">
        <v>1423</v>
      </c>
      <c r="D313" s="583" t="e">
        <f ca="1">D293+D300+D309-2*D293</f>
        <v>#DIV/0!</v>
      </c>
      <c r="E313" s="583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F1" zoomScale="85" zoomScaleNormal="85" zoomScaleSheetLayoutView="85" workbookViewId="0">
      <pane ySplit="3" topLeftCell="A4" activePane="bottomLeft" state="frozen"/>
      <selection pane="bottomLeft" activeCell="J124" sqref="J124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68" t="s">
        <v>759</v>
      </c>
      <c r="H1" s="771" t="b">
        <v>1</v>
      </c>
      <c r="I1" s="774" t="s">
        <v>689</v>
      </c>
      <c r="J1" s="775"/>
      <c r="K1" s="524">
        <f ca="1">L1000</f>
        <v>-1.5957836077096723</v>
      </c>
      <c r="L1" s="416" t="str">
        <f>IF(H23=20,"CALCULAR PELO MÉTODO ANTIGO","Método de cálculo")</f>
        <v>Método de cálculo</v>
      </c>
      <c r="M1" s="776" t="s">
        <v>964</v>
      </c>
      <c r="N1" s="777"/>
    </row>
    <row r="2" spans="7:36" x14ac:dyDescent="0.25">
      <c r="G2" s="769"/>
      <c r="H2" s="772"/>
      <c r="I2" s="778" t="s">
        <v>690</v>
      </c>
      <c r="J2" s="779"/>
      <c r="K2" s="405">
        <f ca="1">H1000</f>
        <v>-0.80320193140836271</v>
      </c>
      <c r="L2" s="406" t="s">
        <v>760</v>
      </c>
      <c r="M2" s="780">
        <f ca="1">M13</f>
        <v>112.1620024226159</v>
      </c>
      <c r="N2" s="781"/>
    </row>
    <row r="3" spans="7:36" ht="15.75" thickBot="1" x14ac:dyDescent="0.3">
      <c r="G3" s="770"/>
      <c r="H3" s="773"/>
      <c r="I3" s="782" t="s">
        <v>476</v>
      </c>
      <c r="J3" s="783"/>
      <c r="K3" s="408" t="str">
        <f>CONCATENATE(L24, " + ",L20)</f>
        <v>10Ø12,7mm + 0</v>
      </c>
      <c r="L3" s="407" t="s">
        <v>761</v>
      </c>
      <c r="M3" s="784">
        <f ca="1">M15</f>
        <v>162.19627086958582</v>
      </c>
      <c r="N3" s="785"/>
    </row>
    <row r="5" spans="7:36" x14ac:dyDescent="0.25">
      <c r="G5" s="675" t="s">
        <v>430</v>
      </c>
      <c r="H5" s="728"/>
      <c r="I5" s="675"/>
    </row>
    <row r="6" spans="7:36" x14ac:dyDescent="0.25">
      <c r="G6" s="124" t="s">
        <v>27</v>
      </c>
      <c r="H6" s="333">
        <v>300</v>
      </c>
      <c r="I6" s="124" t="s">
        <v>21</v>
      </c>
      <c r="L6" s="663" t="str">
        <f ca="1">H857</f>
        <v>Domínio 3</v>
      </c>
      <c r="M6" s="718"/>
    </row>
    <row r="7" spans="7:36" x14ac:dyDescent="0.25">
      <c r="G7" s="115" t="s">
        <v>46</v>
      </c>
      <c r="H7" s="333"/>
      <c r="I7" s="115" t="s">
        <v>21</v>
      </c>
      <c r="L7" s="718"/>
      <c r="M7" s="718"/>
      <c r="O7" s="181"/>
    </row>
    <row r="8" spans="7:36" ht="15.75" thickBot="1" x14ac:dyDescent="0.3">
      <c r="G8" s="115" t="s">
        <v>22</v>
      </c>
      <c r="H8" s="333">
        <v>300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58" t="s">
        <v>704</v>
      </c>
      <c r="M9" s="660" t="str">
        <f>IF(L1="CALCULAR PELO MÉTODO ANTIGO","NBR 14861/2002",M1)</f>
        <v>NBR 14861/2022</v>
      </c>
    </row>
    <row r="10" spans="7:36" ht="14.25" customHeight="1" thickBot="1" x14ac:dyDescent="0.3">
      <c r="L10" s="659"/>
      <c r="M10" s="661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65" t="s">
        <v>688</v>
      </c>
      <c r="M11" s="660">
        <v>0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66"/>
      <c r="M12" s="661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87" t="s">
        <v>495</v>
      </c>
      <c r="M13" s="791">
        <f ca="1">IF(M9="NBR 14861/2022",'Cisalhamento 14861'!$C$132,((I73*K51)+(I74+I75+I76+I77+I78)*K52)*(H21/100)/2)</f>
        <v>112.1620024226159</v>
      </c>
    </row>
    <row r="14" spans="7:36" ht="14.25" customHeight="1" thickBot="1" x14ac:dyDescent="0.3">
      <c r="G14" s="119"/>
      <c r="H14" s="134"/>
      <c r="L14" s="788"/>
      <c r="M14" s="792"/>
    </row>
    <row r="15" spans="7:36" ht="14.25" customHeight="1" x14ac:dyDescent="0.25">
      <c r="G15" s="789" t="s">
        <v>355</v>
      </c>
      <c r="H15" s="789"/>
      <c r="I15" s="333" t="s">
        <v>732</v>
      </c>
      <c r="L15" s="787" t="s">
        <v>1447</v>
      </c>
      <c r="M15" s="791">
        <f ca="1">IF(M9="NBR 14861/2022",'Cisalhamento 14861'!$C$133,H1214)</f>
        <v>162.19627086958582</v>
      </c>
      <c r="N15" s="118"/>
    </row>
    <row r="16" spans="7:36" ht="14.25" customHeight="1" thickBot="1" x14ac:dyDescent="0.3">
      <c r="G16" s="790" t="s">
        <v>259</v>
      </c>
      <c r="H16" s="790"/>
      <c r="I16" s="333" t="s">
        <v>473</v>
      </c>
      <c r="L16" s="788"/>
      <c r="M16" s="792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67" t="s">
        <v>483</v>
      </c>
      <c r="H17" s="746"/>
      <c r="I17" s="333" t="s">
        <v>605</v>
      </c>
      <c r="L17" s="747" t="str">
        <f ca="1">IF(M9="NBR 14861/2022",IF('Cisalhamento 14861'!$C$135="Ok!","Cisalhamento Ok","Reprova no cisalhamento"),IF(M13&gt;M15,"Reprova no cisalhamento","Cisalhamento Ok"))</f>
        <v>Cisalhamento Ok</v>
      </c>
      <c r="M17" s="747"/>
      <c r="AC17"/>
      <c r="AD17" s="123" t="s">
        <v>417</v>
      </c>
      <c r="AH17"/>
      <c r="AI17"/>
      <c r="AJ17"/>
    </row>
    <row r="18" spans="5:43" ht="14.25" customHeight="1" x14ac:dyDescent="0.25">
      <c r="L18" s="748"/>
      <c r="M18" s="748"/>
      <c r="AC18"/>
      <c r="AD18" s="123"/>
      <c r="AH18"/>
      <c r="AI18"/>
      <c r="AJ18"/>
    </row>
    <row r="19" spans="5:43" ht="14.25" customHeight="1" x14ac:dyDescent="0.25">
      <c r="G19" s="667" t="s">
        <v>431</v>
      </c>
      <c r="H19" s="667"/>
      <c r="I19" s="667"/>
      <c r="L19" s="662" t="s">
        <v>474</v>
      </c>
      <c r="M19" s="662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718">
        <f>IF(SUM(J131,J133,J135,J137)&gt;0,(CONCATENATE(SUM(J131,J133,J135,J137),"Ø",H138,"mm")),)</f>
        <v>0</v>
      </c>
      <c r="M20" s="718"/>
      <c r="Y20"/>
      <c r="Z20"/>
      <c r="AA20"/>
      <c r="AJ20"/>
      <c r="AK20" s="700" t="s">
        <v>418</v>
      </c>
      <c r="AL20" s="715" t="s">
        <v>419</v>
      </c>
      <c r="AM20" s="716"/>
      <c r="AN20" s="717"/>
      <c r="AO20"/>
      <c r="AP20"/>
      <c r="AQ20"/>
    </row>
    <row r="21" spans="5:43" ht="14.25" customHeight="1" x14ac:dyDescent="0.25">
      <c r="G21" s="119" t="s">
        <v>2</v>
      </c>
      <c r="H21" s="336">
        <v>1088</v>
      </c>
      <c r="J21" s="231" t="s">
        <v>505</v>
      </c>
      <c r="L21" s="718"/>
      <c r="M21" s="718"/>
      <c r="Y21"/>
      <c r="Z21"/>
      <c r="AA21"/>
      <c r="AJ21"/>
      <c r="AK21" s="700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700" t="s">
        <v>420</v>
      </c>
      <c r="AL22" s="700"/>
      <c r="AM22" s="700"/>
      <c r="AN22" s="700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719" t="s">
        <v>476</v>
      </c>
      <c r="M23" s="720"/>
      <c r="Y23"/>
      <c r="Z23"/>
      <c r="AA23"/>
      <c r="AJ23"/>
      <c r="AK23" s="721" t="s">
        <v>421</v>
      </c>
      <c r="AL23" s="701">
        <v>0.5</v>
      </c>
      <c r="AM23" s="701">
        <v>0.4</v>
      </c>
      <c r="AN23" s="701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14.670803680538116</v>
      </c>
      <c r="I24" s="339">
        <f ca="1">IF(H1=TRUE,Homogeneização!L34,IF(I15="1 - Sim",'Propriedades geométricas LA '!M7,H24))</f>
        <v>18.335419624589498</v>
      </c>
      <c r="J24" s="232" t="s">
        <v>508</v>
      </c>
      <c r="L24" s="706" t="str">
        <f>CONCATENATE(SUM(J118,J120,J122,J124),"Ø",H121,"mm")</f>
        <v>10Ø12,7mm</v>
      </c>
      <c r="M24" s="707"/>
      <c r="Y24"/>
      <c r="Z24"/>
      <c r="AA24"/>
      <c r="AJ24"/>
      <c r="AK24" s="721"/>
      <c r="AL24" s="702"/>
      <c r="AM24" s="702"/>
      <c r="AN24" s="702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15.329196319461884</v>
      </c>
      <c r="I25" s="339">
        <f ca="1">IF(H1=TRUE,Homogeneização!L33,IF(I15="1 - Sim",'Propriedades geométricas LA '!M8,H25))</f>
        <v>16.664580375410502</v>
      </c>
      <c r="J25" s="232" t="s">
        <v>509</v>
      </c>
      <c r="L25" s="708"/>
      <c r="M25" s="709"/>
      <c r="Y25"/>
      <c r="Z25"/>
      <c r="AA25"/>
      <c r="AJ25"/>
      <c r="AK25" s="721"/>
      <c r="AL25" s="702"/>
      <c r="AM25" s="702"/>
      <c r="AN25" s="702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721"/>
      <c r="AL26" s="703"/>
      <c r="AM26" s="703"/>
      <c r="AN26" s="703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62" t="s">
        <v>689</v>
      </c>
      <c r="M27" s="662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710" t="s">
        <v>422</v>
      </c>
      <c r="AL27" s="701">
        <v>0.7</v>
      </c>
      <c r="AM27" s="701">
        <v>0.6</v>
      </c>
      <c r="AN27" s="701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63">
        <f ca="1">L1000</f>
        <v>-1.5957836077096723</v>
      </c>
      <c r="M28" s="663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711"/>
      <c r="AL28" s="703"/>
      <c r="AM28" s="703"/>
      <c r="AN28" s="703"/>
      <c r="AO28"/>
      <c r="AP28"/>
      <c r="AQ28"/>
    </row>
    <row r="29" spans="5:43" x14ac:dyDescent="0.25">
      <c r="G29" s="667" t="s">
        <v>356</v>
      </c>
      <c r="H29" s="694"/>
      <c r="I29" s="667"/>
      <c r="J29" s="232"/>
      <c r="K29" s="143"/>
      <c r="L29" s="663"/>
      <c r="M29" s="663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701" t="s">
        <v>423</v>
      </c>
      <c r="AL29" s="701">
        <v>0.8</v>
      </c>
      <c r="AM29" s="701">
        <v>0.7</v>
      </c>
      <c r="AN29" s="701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703"/>
      <c r="AL30" s="703"/>
      <c r="AM30" s="703"/>
      <c r="AN30" s="703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62" t="s">
        <v>690</v>
      </c>
      <c r="M31" s="662"/>
      <c r="P31" s="143"/>
      <c r="Y31"/>
      <c r="Z31"/>
      <c r="AA31"/>
      <c r="AD31"/>
      <c r="AE31"/>
      <c r="AF31"/>
      <c r="AG31"/>
      <c r="AH31"/>
      <c r="AI31"/>
      <c r="AJ31"/>
      <c r="AK31" s="715" t="s">
        <v>424</v>
      </c>
      <c r="AL31" s="716"/>
      <c r="AM31" s="716"/>
      <c r="AN31" s="717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63">
        <f ca="1">H1000</f>
        <v>-0.80320193140836271</v>
      </c>
      <c r="M32" s="663"/>
      <c r="P32" s="143"/>
      <c r="Q32" s="143"/>
      <c r="Y32"/>
      <c r="Z32"/>
      <c r="AA32"/>
      <c r="AD32"/>
      <c r="AE32"/>
      <c r="AF32"/>
      <c r="AG32"/>
      <c r="AH32"/>
      <c r="AI32"/>
      <c r="AJ32"/>
      <c r="AK32" s="701" t="s">
        <v>425</v>
      </c>
      <c r="AL32" s="712">
        <v>0.6</v>
      </c>
      <c r="AM32" s="712">
        <v>0.3</v>
      </c>
      <c r="AN32" s="712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63"/>
      <c r="M33" s="663"/>
      <c r="Q33" s="143"/>
      <c r="Y33"/>
      <c r="Z33"/>
      <c r="AA33"/>
      <c r="AD33"/>
      <c r="AE33"/>
      <c r="AF33"/>
      <c r="AG33"/>
      <c r="AH33"/>
      <c r="AI33"/>
      <c r="AJ33"/>
      <c r="AK33" s="703"/>
      <c r="AL33" s="713"/>
      <c r="AM33" s="713"/>
      <c r="AN33" s="713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715" t="s">
        <v>426</v>
      </c>
      <c r="AL34" s="716"/>
      <c r="AM34" s="716"/>
      <c r="AN34" s="717"/>
      <c r="AO34"/>
      <c r="AP34"/>
      <c r="AQ34"/>
    </row>
    <row r="35" spans="7:46" x14ac:dyDescent="0.25">
      <c r="G35" s="667" t="s">
        <v>358</v>
      </c>
      <c r="H35" s="672"/>
      <c r="I35" s="672"/>
      <c r="J35" s="232"/>
      <c r="Q35" s="143"/>
      <c r="Z35"/>
      <c r="AA35"/>
      <c r="AD35"/>
      <c r="AE35"/>
      <c r="AF35"/>
      <c r="AG35"/>
      <c r="AH35"/>
      <c r="AI35"/>
      <c r="AJ35"/>
      <c r="AK35" s="734" t="s">
        <v>427</v>
      </c>
      <c r="AL35" s="701">
        <v>0.6</v>
      </c>
      <c r="AM35" s="701">
        <v>0.5</v>
      </c>
      <c r="AN35" s="701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1869.6295971361794</v>
      </c>
      <c r="I36" s="248">
        <f ca="1">IF(H1=TRUE,Homogeneização!L30,IF(I15="1 - Sim",'Propriedades geométricas LA '!M6,H36))</f>
        <v>2325.7532550497435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35"/>
      <c r="AL36" s="703"/>
      <c r="AM36" s="703"/>
      <c r="AN36" s="703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215733.36466301672</v>
      </c>
      <c r="I37" s="340">
        <f ca="1">IF(H1=TRUE,Homogeneização!L36,IF(I15="1 - Sim",'Propriedades geométricas LA '!M9,H37))</f>
        <v>332876.34191951604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0.11670803680538117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0.15329196319461885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14073.364328247433</v>
      </c>
      <c r="I40" s="343">
        <f ca="1">IF(H1=TRUE,Homogeneização!L41,IF(I15="1 - Sim",'Propriedades geométricas LA '!M11,H40))</f>
        <v>19975.080945374015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14704.945234132105</v>
      </c>
      <c r="I41" s="343">
        <f ca="1">IF(H1=TRUE,Homogeneização!L42,IF(I15="1 - Sim",'Propriedades geométricas LA '!M10,H41))</f>
        <v>18154.825399965102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7.8651649806231809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7.5273542683558414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0.51308397496596736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64" t="s">
        <v>529</v>
      </c>
      <c r="H48" s="714"/>
      <c r="I48" s="714"/>
      <c r="J48" s="714"/>
      <c r="K48" s="714"/>
      <c r="L48" s="714"/>
      <c r="M48" s="714"/>
      <c r="N48" s="714"/>
    </row>
    <row r="49" spans="7:14" x14ac:dyDescent="0.25">
      <c r="K49" s="143"/>
    </row>
    <row r="50" spans="7:14" x14ac:dyDescent="0.25">
      <c r="G50" s="675" t="s">
        <v>428</v>
      </c>
      <c r="H50" s="675"/>
      <c r="J50" s="705" t="s">
        <v>429</v>
      </c>
      <c r="K50" s="705"/>
      <c r="M50" s="675" t="s">
        <v>357</v>
      </c>
      <c r="N50" s="675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64" t="s">
        <v>530</v>
      </c>
      <c r="H55" s="664"/>
      <c r="I55" s="664"/>
      <c r="J55" s="664"/>
      <c r="K55" s="664"/>
      <c r="L55" s="664"/>
      <c r="M55" s="664"/>
      <c r="N55" s="664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64" t="s">
        <v>545</v>
      </c>
      <c r="H65" s="664"/>
      <c r="I65" s="664"/>
      <c r="J65" s="664"/>
      <c r="K65" s="664"/>
      <c r="L65" s="664"/>
      <c r="M65" s="664"/>
      <c r="N65" s="664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64" t="s">
        <v>472</v>
      </c>
      <c r="H69" s="664"/>
      <c r="I69" s="664"/>
      <c r="J69" s="664"/>
      <c r="K69" s="664"/>
      <c r="L69" s="664"/>
      <c r="M69" s="664"/>
      <c r="N69" s="664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67" t="s">
        <v>18</v>
      </c>
      <c r="I72" s="667"/>
      <c r="J72" s="667"/>
      <c r="K72" s="667" t="s">
        <v>720</v>
      </c>
      <c r="L72" s="667"/>
      <c r="M72" s="667"/>
    </row>
    <row r="73" spans="3:25" x14ac:dyDescent="0.25">
      <c r="H73" s="119" t="s">
        <v>17</v>
      </c>
      <c r="I73" s="237">
        <f ca="1">(H36/100^2)*25+K73</f>
        <v>4.6740739928404489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0.19505250000000002</v>
      </c>
      <c r="J74" s="273" t="s">
        <v>47</v>
      </c>
      <c r="K74" s="266">
        <v>0</v>
      </c>
      <c r="L74" s="273" t="s">
        <v>47</v>
      </c>
      <c r="M74" s="231" t="s">
        <v>1260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3.75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4.75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15.556626492840449</v>
      </c>
    </row>
    <row r="80" spans="3:25" x14ac:dyDescent="0.25">
      <c r="I80" s="704" t="s">
        <v>28</v>
      </c>
      <c r="J80" s="704"/>
      <c r="K80" s="704"/>
      <c r="L80" s="704"/>
      <c r="M80" s="704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69.161338057261574</v>
      </c>
      <c r="K81" s="276" t="s">
        <v>33</v>
      </c>
      <c r="L81" s="126">
        <f t="shared" ref="L81:L86" ca="1" si="0">J81*100</f>
        <v>6916.1338057261573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2.8861528320000009</v>
      </c>
      <c r="K82" s="276" t="s">
        <v>33</v>
      </c>
      <c r="L82" s="126">
        <f t="shared" ca="1" si="0"/>
        <v>288.61528320000008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32.368000000000009</v>
      </c>
      <c r="K83" s="276" t="s">
        <v>33</v>
      </c>
      <c r="L83" s="126">
        <f t="shared" si="0"/>
        <v>3236.8000000000011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55.488000000000014</v>
      </c>
      <c r="K84" s="276" t="s">
        <v>33</v>
      </c>
      <c r="L84" s="126">
        <f t="shared" si="0"/>
        <v>5548.8000000000011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70.284800000000018</v>
      </c>
      <c r="K86" s="277" t="s">
        <v>33</v>
      </c>
      <c r="L86" s="129">
        <f t="shared" si="0"/>
        <v>7028.4800000000014</v>
      </c>
      <c r="M86" s="277" t="s">
        <v>35</v>
      </c>
    </row>
    <row r="87" spans="7:32" x14ac:dyDescent="0.25">
      <c r="J87" s="144">
        <f ca="1">SUM(J81:J86)</f>
        <v>230.18829088926162</v>
      </c>
    </row>
    <row r="90" spans="7:32" x14ac:dyDescent="0.25">
      <c r="G90" s="664" t="s">
        <v>56</v>
      </c>
      <c r="H90" s="664"/>
      <c r="I90" s="664"/>
      <c r="J90" s="664"/>
      <c r="K90" s="664"/>
      <c r="L90" s="664"/>
      <c r="M90" s="664"/>
      <c r="N90" s="664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73" t="s">
        <v>547</v>
      </c>
      <c r="I94" s="237">
        <f>(0.21*(H58*H58)^(1/3))</f>
        <v>2.8501384974246515</v>
      </c>
      <c r="J94" s="231" t="s">
        <v>50</v>
      </c>
      <c r="K94" s="722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73"/>
      <c r="I95" s="239">
        <f>I94*1000</f>
        <v>2850.1384974246516</v>
      </c>
      <c r="J95" s="231" t="s">
        <v>63</v>
      </c>
      <c r="K95" s="722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50" t="s">
        <v>497</v>
      </c>
      <c r="AR97" s="751"/>
      <c r="AS97" s="751"/>
      <c r="AT97" s="752"/>
      <c r="AU97" s="750" t="s">
        <v>498</v>
      </c>
      <c r="AV97" s="751"/>
      <c r="AW97" s="751"/>
      <c r="AX97" s="752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0</v>
      </c>
      <c r="AV98" s="219">
        <v>5.13</v>
      </c>
      <c r="AW98" s="219" t="e">
        <f t="shared" ref="AW98:AW107" si="2">IF(AU98=0,NA(),AU98)</f>
        <v>#N/A</v>
      </c>
      <c r="AX98" s="225">
        <f>AV98</f>
        <v>5.13</v>
      </c>
    </row>
    <row r="99" spans="7:50" x14ac:dyDescent="0.25">
      <c r="G99" s="664" t="s">
        <v>440</v>
      </c>
      <c r="H99" s="664"/>
      <c r="I99" s="664"/>
      <c r="J99" s="664"/>
      <c r="K99" s="664"/>
      <c r="L99" s="664"/>
      <c r="M99" s="664"/>
      <c r="N99" s="664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>
        <f>IF(J137=0,0,(IF(AX99=0,,H23-L137)))</f>
        <v>0</v>
      </c>
      <c r="AV99" s="219">
        <v>21.63</v>
      </c>
      <c r="AW99" s="219" t="e">
        <f t="shared" si="2"/>
        <v>#N/A</v>
      </c>
      <c r="AX99" s="225">
        <f>IF(J137=4,NA(),AR99)</f>
        <v>21.63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0</v>
      </c>
      <c r="AV100" s="219">
        <v>37.880000000000003</v>
      </c>
      <c r="AW100" s="219" t="e">
        <f t="shared" si="2"/>
        <v>#N/A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33" t="s">
        <v>550</v>
      </c>
      <c r="L101" s="672" t="s">
        <v>675</v>
      </c>
      <c r="M101" s="672"/>
      <c r="N101" s="672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3.5</v>
      </c>
      <c r="AR101" s="219">
        <v>52.45</v>
      </c>
      <c r="AS101" s="219">
        <f t="shared" si="1"/>
        <v>3.5</v>
      </c>
      <c r="AT101" s="225">
        <f>IF(J124=8,(AR101+AR102)/2,IF(J124=4,NA(),IF(J124=10,AR101)))</f>
        <v>52.45</v>
      </c>
      <c r="AU101" s="224">
        <f>IF(AX101=FALSE,,H23-L124)</f>
        <v>0</v>
      </c>
      <c r="AV101" s="219">
        <v>52.45</v>
      </c>
      <c r="AW101" s="219" t="e">
        <f t="shared" si="2"/>
        <v>#N/A</v>
      </c>
      <c r="AX101" s="225" t="b">
        <f>IF(J137=8,(AV101+AV102)/2,IF(J137=4,NA(),IF(J137=10,AV101)))</f>
        <v>0</v>
      </c>
    </row>
    <row r="102" spans="7:50" x14ac:dyDescent="0.25">
      <c r="H102" s="380"/>
      <c r="I102" s="119"/>
      <c r="J102" s="231"/>
      <c r="K102" s="733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3.5</v>
      </c>
      <c r="AR102" s="219">
        <v>55.8</v>
      </c>
      <c r="AS102" s="219">
        <f t="shared" si="1"/>
        <v>3.5</v>
      </c>
      <c r="AT102" s="225">
        <f>IF(J124=8,(AR101+AR102)/2,IF(J124=4,NA(),IF(J124=10,AR102)))</f>
        <v>55.8</v>
      </c>
      <c r="AU102" s="224">
        <f>IF(AX102=FALSE,,H23-L124)</f>
        <v>0</v>
      </c>
      <c r="AV102" s="219">
        <v>55.8</v>
      </c>
      <c r="AW102" s="219" t="e">
        <f t="shared" si="2"/>
        <v>#N/A</v>
      </c>
      <c r="AX102" s="225" t="b">
        <f>IF(J137=8,(AV101+AV102)/2,IF(J137=4,NA(),IF(J137=10,AV102)))</f>
        <v>0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33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3.5</v>
      </c>
      <c r="AR103" s="219">
        <v>68.7</v>
      </c>
      <c r="AS103" s="219">
        <f t="shared" si="1"/>
        <v>3.5</v>
      </c>
      <c r="AT103" s="225">
        <f>IF(J124=8,(AR103+AR104)/2,IF(J124=4,NA(),IF(J124=10,AR104)))</f>
        <v>72.05</v>
      </c>
      <c r="AU103" s="224">
        <f>IF(AX103=FALSE,,H23-L137)</f>
        <v>0</v>
      </c>
      <c r="AV103" s="219">
        <v>68.7</v>
      </c>
      <c r="AW103" s="219" t="e">
        <f t="shared" si="2"/>
        <v>#N/A</v>
      </c>
      <c r="AX103" s="225" t="b">
        <f>IF(J137=8,(AV103+AV104)/2,IF(J137=4,NA(),IF(J137=10,AV104)))</f>
        <v>0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33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3.5</v>
      </c>
      <c r="AR104" s="219">
        <v>72.05</v>
      </c>
      <c r="AS104" s="219">
        <f t="shared" si="1"/>
        <v>3.5</v>
      </c>
      <c r="AT104" s="225">
        <f>IF(J124=8,(AR103+AR104)/2,IF(J124=4,NA(),IF(J124=10,AR103)))</f>
        <v>68.7</v>
      </c>
      <c r="AU104" s="224">
        <f>IF(AX104=FALSE,,H23-L137)</f>
        <v>0</v>
      </c>
      <c r="AV104" s="219">
        <v>72.05</v>
      </c>
      <c r="AW104" s="219" t="e">
        <f t="shared" si="2"/>
        <v>#N/A</v>
      </c>
      <c r="AX104" s="225" t="b">
        <f>IF(J137=8,(AV103+AV104)/2,IF(J137=4,NA(),IF(J137=10,AV103)))</f>
        <v>0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33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0</v>
      </c>
      <c r="AV105" s="219">
        <v>86.63</v>
      </c>
      <c r="AW105" s="219" t="e">
        <f t="shared" si="2"/>
        <v>#N/A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>
        <f>IF(J137=0,0,(IF(AX106=0,,H23-L137)))</f>
        <v>0</v>
      </c>
      <c r="AV106" s="219">
        <v>102.88</v>
      </c>
      <c r="AW106" s="219" t="e">
        <f t="shared" si="2"/>
        <v>#N/A</v>
      </c>
      <c r="AX106" s="225">
        <f>IF(J137=4,NA(),AV106)</f>
        <v>102.88</v>
      </c>
    </row>
    <row r="107" spans="7:50" ht="15.75" thickBot="1" x14ac:dyDescent="0.3">
      <c r="G107" s="664" t="s">
        <v>62</v>
      </c>
      <c r="H107" s="664"/>
      <c r="I107" s="664"/>
      <c r="J107" s="664"/>
      <c r="K107" s="664"/>
      <c r="L107" s="664"/>
      <c r="M107" s="664"/>
      <c r="N107" s="664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0</v>
      </c>
      <c r="AV107" s="227">
        <v>119.38</v>
      </c>
      <c r="AW107" s="227" t="e">
        <f t="shared" si="2"/>
        <v>#N/A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86" t="s">
        <v>553</v>
      </c>
      <c r="L109" s="686"/>
      <c r="M109" s="686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72" t="s">
        <v>65</v>
      </c>
      <c r="H114" s="672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6.5203902621401042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723" t="s">
        <v>272</v>
      </c>
      <c r="K116" s="724"/>
      <c r="L116" s="724"/>
      <c r="M116" s="725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7.9259650481999522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9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10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9.8699999999999992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7.0211101571731618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10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31" t="s">
        <v>554</v>
      </c>
      <c r="K126" s="732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726" t="str">
        <f>G912</f>
        <v>€p (%)</v>
      </c>
      <c r="K127" s="727"/>
      <c r="L127" s="242">
        <f ca="1">H912</f>
        <v>4.7912891091509149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723" t="s">
        <v>273</v>
      </c>
      <c r="K129" s="724"/>
      <c r="L129" s="724"/>
      <c r="M129" s="725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722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722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0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-3.5011944126748817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-7</v>
      </c>
      <c r="H137" s="347">
        <v>9.5</v>
      </c>
      <c r="I137" s="231" t="s">
        <v>275</v>
      </c>
      <c r="J137" s="403">
        <v>0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0</v>
      </c>
      <c r="H138" s="347">
        <f>K137</f>
        <v>9.5</v>
      </c>
      <c r="I138" s="231" t="s">
        <v>274</v>
      </c>
      <c r="J138" s="729" t="str">
        <f>G917</f>
        <v>€p (%)</v>
      </c>
      <c r="K138" s="730"/>
      <c r="L138" s="348">
        <f ca="1">H917</f>
        <v>1.8171442697615929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0</v>
      </c>
      <c r="J139" s="731" t="s">
        <v>554</v>
      </c>
      <c r="K139" s="732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64" t="s">
        <v>75</v>
      </c>
      <c r="H141" s="664"/>
      <c r="I141" s="664"/>
      <c r="J141" s="664"/>
      <c r="K141" s="664"/>
      <c r="L141" s="664"/>
      <c r="M141" s="664"/>
      <c r="N141" s="664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64" t="s">
        <v>81</v>
      </c>
      <c r="H147" s="664"/>
      <c r="I147" s="664"/>
      <c r="J147" s="664"/>
      <c r="K147" s="664"/>
      <c r="L147" s="664"/>
      <c r="M147" s="664"/>
      <c r="N147" s="664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98" t="s">
        <v>85</v>
      </c>
      <c r="H155" s="698"/>
      <c r="L155" s="698" t="s">
        <v>105</v>
      </c>
      <c r="M155" s="698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1869.6295971361794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2325.7532550497435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9.8699999999999992</v>
      </c>
      <c r="I166" s="231" t="s">
        <v>14</v>
      </c>
      <c r="L166" s="209" t="s">
        <v>95</v>
      </c>
      <c r="M166" s="239">
        <f ca="1">H166*I194+H168*I195</f>
        <v>1079.990369273642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11.670803680538116</v>
      </c>
      <c r="I167" s="231" t="s">
        <v>94</v>
      </c>
      <c r="L167" s="209" t="s">
        <v>97</v>
      </c>
      <c r="M167" s="239">
        <f ca="1">H166*I194*H167/100-H168*I195*H169/100</f>
        <v>126.0435557666454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0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15.329196319461884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18539.983169238909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3501.2805023281639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3336.2080311078221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1565.9495132919328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1136.6833396764496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132.66008104302264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73" t="s">
        <v>114</v>
      </c>
      <c r="M177" s="239">
        <f ca="1">(M176*(M170-M171-M172-M173))</f>
        <v>51197.284242363887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73"/>
      <c r="M178" s="237">
        <f ca="1">M177/100^2</f>
        <v>5.1197284242363885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9514.8974764231334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1567.7444558710904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3632.4311894674984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4598.8106439656813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2537.6199465418217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1191.1081932404347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73" t="s">
        <v>139</v>
      </c>
      <c r="M187" s="239">
        <f ca="1">M176*(M182+M183+M184+M185)</f>
        <v>60406.970506058031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5.7439686325033117</v>
      </c>
      <c r="I188" s="231" t="s">
        <v>61</v>
      </c>
      <c r="J188" s="119"/>
      <c r="L188" s="673"/>
      <c r="M188" s="237">
        <f ca="1">M187/100^2</f>
        <v>6.0406970506058029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0.94641849800463929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1448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1449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87.53721331498619</v>
      </c>
      <c r="J193" s="279" t="s">
        <v>61</v>
      </c>
      <c r="K193" s="249">
        <f ca="1">100-(I193*100)/I105</f>
        <v>25.207439067851865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109.42151664373274</v>
      </c>
      <c r="J194" s="279" t="s">
        <v>61</v>
      </c>
      <c r="K194" s="249">
        <f ca="1">100-(I194*100)/I105</f>
        <v>6.5092988348148282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48.13050457891844</v>
      </c>
      <c r="J195" s="279" t="s">
        <v>61</v>
      </c>
      <c r="K195" s="249">
        <f ca="1">100-(I195*100)/L105</f>
        <v>3.7389908421631048</v>
      </c>
      <c r="L195" s="115" t="s">
        <v>1450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64" t="s">
        <v>469</v>
      </c>
      <c r="H198" s="664"/>
      <c r="I198" s="664"/>
      <c r="J198" s="664"/>
      <c r="K198" s="664"/>
      <c r="L198" s="664"/>
      <c r="M198" s="664"/>
      <c r="N198" s="664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1451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1452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2.0940322450779969</v>
      </c>
      <c r="K201" s="139" t="s">
        <v>288</v>
      </c>
      <c r="L201" s="139" t="s">
        <v>288</v>
      </c>
      <c r="M201" s="176">
        <f ca="1">AVERAGE(J201,L201)</f>
        <v>2.0940322450779969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2.0940322450779969</v>
      </c>
      <c r="K202" s="137" t="s">
        <v>288</v>
      </c>
      <c r="L202" s="137" t="s">
        <v>288</v>
      </c>
      <c r="M202" s="179">
        <f ca="1">AVERAGE(J202,L202)</f>
        <v>2.0940322450779969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1.2007817228764388</v>
      </c>
      <c r="K203" s="137" t="s">
        <v>288</v>
      </c>
      <c r="L203" s="137" t="s">
        <v>288</v>
      </c>
      <c r="M203" s="179">
        <f ca="1">AVERAGE(J203,L203)</f>
        <v>1.2007817228764388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1.0191326830942975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1.8924585423584261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0.93621958393266191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1.4523606645942131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36" t="s">
        <v>293</v>
      </c>
      <c r="BF205" s="737"/>
      <c r="BG205" s="737"/>
      <c r="BH205" s="738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0.90166641909162915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1.3050925727448055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53" t="s">
        <v>276</v>
      </c>
      <c r="AQ206" s="754"/>
      <c r="AR206" s="754"/>
      <c r="AS206" s="755"/>
      <c r="AT206" s="755"/>
      <c r="AU206" s="755"/>
      <c r="AV206" s="755"/>
      <c r="AW206" s="755"/>
      <c r="AX206" s="755"/>
      <c r="AY206" s="755"/>
      <c r="AZ206" s="756"/>
      <c r="BA206" s="736" t="s">
        <v>292</v>
      </c>
      <c r="BB206" s="737"/>
      <c r="BC206" s="737"/>
      <c r="BD206" s="738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0.86443845537610053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1.2090482076356228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42" t="s">
        <v>277</v>
      </c>
      <c r="AQ207" s="700"/>
      <c r="AR207" s="715"/>
      <c r="AS207" s="740">
        <v>40</v>
      </c>
      <c r="AT207" s="741"/>
      <c r="AU207" s="740">
        <v>55</v>
      </c>
      <c r="AV207" s="741"/>
      <c r="AW207" s="740">
        <v>75</v>
      </c>
      <c r="AX207" s="741"/>
      <c r="AY207" s="740">
        <v>90</v>
      </c>
      <c r="AZ207" s="744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38.381933411168305</v>
      </c>
      <c r="BF207" s="153">
        <f ca="1">(2*M162)/M163</f>
        <v>38.381933411168305</v>
      </c>
      <c r="BG207" s="154">
        <f ca="1">(2*M162)/M163</f>
        <v>38.381933411168305</v>
      </c>
      <c r="BH207" s="155">
        <f ca="1">(2*M162)/M163</f>
        <v>38.381933411168305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0.86443845537610053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1.2090482076356228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42" t="s">
        <v>278</v>
      </c>
      <c r="AQ208" s="700"/>
      <c r="AR208" s="715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29.91407355417887</v>
      </c>
      <c r="BB208" s="153">
        <f ca="1">(2*M158)/M159</f>
        <v>29.91407355417887</v>
      </c>
      <c r="BC208" s="154">
        <f ca="1">(2*M158)/M159</f>
        <v>29.91407355417887</v>
      </c>
      <c r="BD208" s="155">
        <f ca="1">(2*M158)/M159</f>
        <v>29.91407355417887</v>
      </c>
      <c r="BE208" s="152">
        <f ca="1">((AX209-AU209)/(AX208-AW208))*(BE207-AU208)+AU209</f>
        <v>3.2106774970811887</v>
      </c>
      <c r="BF208" s="153">
        <f ca="1">((BH208-BH208)/(BH206-BG206))*(BF206-BG206)+BG208</f>
        <v>2.6161806658883169</v>
      </c>
      <c r="BG208" s="154">
        <f ca="1">((AX209-AW209)/(AX208-AW208))*(BG207-AW208)+AW209</f>
        <v>2.6161806658883169</v>
      </c>
      <c r="BH208" s="155">
        <f ca="1">((AZ209-AY209)/(AZ208-AY208))*(BH207-AY208)+AY209</f>
        <v>1.9540451664720793</v>
      </c>
    </row>
    <row r="209" spans="7:60" x14ac:dyDescent="0.25">
      <c r="G209" s="209" t="s">
        <v>1453</v>
      </c>
      <c r="H209" s="333">
        <v>70</v>
      </c>
      <c r="I209" s="115" t="s">
        <v>641</v>
      </c>
      <c r="K209" s="209" t="s">
        <v>1454</v>
      </c>
      <c r="L209" s="333">
        <v>20</v>
      </c>
      <c r="M209" s="115" t="s">
        <v>1455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42" t="s">
        <v>279</v>
      </c>
      <c r="AQ209" s="686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3.751288896687317</v>
      </c>
      <c r="BB209" s="153">
        <f ca="1">((BD209-BC209)/(BD207-BC207))*(BB207-BC207)+BC209</f>
        <v>2.9427407472394309</v>
      </c>
      <c r="BC209" s="154">
        <f ca="1">((AX209-AW209)/(AX208-AW208))*(BC208-AW208)+AW209</f>
        <v>2.7008592644582112</v>
      </c>
      <c r="BD209" s="155">
        <f ca="1">((AZ209-AY209)/(AZ208-AY208))*(BD208-AY208)+AY209</f>
        <v>1.9752148161145529</v>
      </c>
      <c r="BE209" s="152">
        <f ca="1">((AV210-AU210)/(AV208-AU208))*(BE207-AU208)+AU210</f>
        <v>2.7621354994162379</v>
      </c>
      <c r="BF209" s="153">
        <f ca="1">((BH209-BG209)/(BH206-BG206))*(BF206-BG206)+BG209</f>
        <v>2.2927720551015183</v>
      </c>
      <c r="BG209" s="154">
        <f ca="1">((AX210-AW210)/(AX208-AW208))*(BG207-AW208)+AW210</f>
        <v>2.1080903329441587</v>
      </c>
      <c r="BH209" s="155">
        <f ca="1">((AZ210-AY210)/(AZ208-AY208))*(BH207-AY208)+AY210</f>
        <v>1.5540451664720794</v>
      </c>
    </row>
    <row r="210" spans="7:60" ht="15.75" thickBot="1" x14ac:dyDescent="0.3">
      <c r="G210" s="209" t="s">
        <v>1456</v>
      </c>
      <c r="H210" s="333">
        <v>4</v>
      </c>
      <c r="I210" s="115" t="s">
        <v>80</v>
      </c>
      <c r="K210" s="209" t="s">
        <v>1457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42"/>
      <c r="AQ210" s="686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2.8256444483436582</v>
      </c>
      <c r="BB210" s="153">
        <f ca="1">((BD210-BC210)/(BD207-BC207))*(BB207-BC207)+BC210</f>
        <v>2.3421679042672903</v>
      </c>
      <c r="BC210" s="154">
        <f ca="1">((AX210-AW210)/(AX208-AW208))*(BC208-AW208)+AW210</f>
        <v>2.1504296322291059</v>
      </c>
      <c r="BD210" s="155">
        <f ca="1">((AZ210-AY210)/(AZ208-AY208))*(BD208-AY208)+AY210</f>
        <v>1.5752148161145529</v>
      </c>
      <c r="BE210" s="164">
        <f ca="1">((AV211-AU211)/(AV208-AU208))*(BE207-AU208)+AU211</f>
        <v>2.4080903329441585</v>
      </c>
      <c r="BF210" s="165">
        <f ca="1">((BH210-BH210)/(BH206-BG206))*(BF206-BG206)+BG210</f>
        <v>1.8540451664720792</v>
      </c>
      <c r="BG210" s="166">
        <f ca="1">((AX211-AW211)/(AX208-AW208))*(BG207-AW208)+AW211</f>
        <v>1.8540451664720792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42"/>
      <c r="AQ211" s="686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2.4504296322291057</v>
      </c>
      <c r="BB211" s="165">
        <f ca="1">((BD211-BC211)/(BD207-BC207))*(BB207-BC207)+BC211</f>
        <v>2.0336197548194037</v>
      </c>
      <c r="BC211" s="166">
        <f ca="1">((AX211-AW211)/(AX208-AW208))*(BC208-AW208)+AW211</f>
        <v>1.8752148161145528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42" t="s">
        <v>280</v>
      </c>
      <c r="AQ212" s="686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-7.7005157953489265</v>
      </c>
      <c r="I213" s="231" t="s">
        <v>61</v>
      </c>
      <c r="K213" s="209" t="s">
        <v>132</v>
      </c>
      <c r="L213" s="237">
        <f ca="1">1+H224</f>
        <v>1.0249777465632177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42"/>
      <c r="AQ213" s="686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1458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42"/>
      <c r="AQ214" s="686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42" t="s">
        <v>281</v>
      </c>
      <c r="AQ215" s="686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2.0470161225389987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42"/>
      <c r="AQ216" s="686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2.1804287676078835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43"/>
      <c r="AQ217" s="745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0.57590271917754077</v>
      </c>
      <c r="I218" s="231"/>
      <c r="K218" s="209" t="s">
        <v>135</v>
      </c>
      <c r="L218" s="237">
        <f ca="1">1+(H169/100)^2*((H36/100^2)/(H37/100^4))</f>
        <v>3.0364653732193951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0.25331844515220231</v>
      </c>
      <c r="I219" s="231"/>
      <c r="K219" s="209" t="s">
        <v>136</v>
      </c>
      <c r="L219" s="271">
        <f ca="1">(H166+H168)/(H36)</f>
        <v>5.2791205354891972E-3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2.4668383732700754</v>
      </c>
      <c r="I221" s="231"/>
      <c r="K221" s="124" t="s">
        <v>137</v>
      </c>
      <c r="L221" s="186">
        <f ca="1">(H213-M178-H227)/(L213+L216*M176*L217*L219)</f>
        <v>-13.595734460714453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-11.787619183686584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728" t="s">
        <v>471</v>
      </c>
      <c r="L223" s="728"/>
      <c r="M223" s="728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2.4977746563217648E-2</v>
      </c>
      <c r="I224" s="231"/>
      <c r="K224" s="119"/>
      <c r="L224" s="126" t="s">
        <v>120</v>
      </c>
      <c r="M224" s="722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39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2.7331029112900582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0.57590271917754077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0.9867353493080302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0.25331844515220231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64" t="s">
        <v>140</v>
      </c>
      <c r="H234" s="664"/>
      <c r="I234" s="664"/>
      <c r="J234" s="664"/>
      <c r="K234" s="664"/>
      <c r="L234" s="664"/>
      <c r="M234" s="664"/>
      <c r="N234" s="664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75"/>
      <c r="J235" s="675"/>
      <c r="K235" s="675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95.825782183018291</v>
      </c>
      <c r="K237" s="253">
        <f ca="1">100-(J237*100)/I105</f>
        <v>18.125613309109468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36.34288539523186</v>
      </c>
      <c r="K238" s="253">
        <f ca="1">100-(J238*100)/L105</f>
        <v>27.314229209536279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64" t="s">
        <v>202</v>
      </c>
      <c r="H240" s="664"/>
      <c r="I240" s="664"/>
      <c r="J240" s="664"/>
      <c r="K240" s="664"/>
      <c r="L240" s="664"/>
      <c r="M240" s="664"/>
      <c r="N240" s="664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945.80047014639047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110.38251608039174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75" t="s">
        <v>144</v>
      </c>
      <c r="I245" s="675"/>
      <c r="J245" s="675"/>
      <c r="K245" s="675"/>
      <c r="L245" s="675"/>
      <c r="M245" s="675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64" t="s">
        <v>147</v>
      </c>
      <c r="H250" s="664"/>
      <c r="I250" s="664"/>
      <c r="J250" s="664"/>
      <c r="K250" s="664"/>
      <c r="L250" s="664"/>
      <c r="M250" s="664"/>
      <c r="N250" s="664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75" t="s">
        <v>149</v>
      </c>
      <c r="H252" s="675"/>
      <c r="I252" s="675"/>
      <c r="J252" s="675"/>
      <c r="K252" s="674" t="s">
        <v>155</v>
      </c>
      <c r="L252" s="675"/>
      <c r="M252" s="675"/>
      <c r="N252" s="675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85.317703986961078</v>
      </c>
      <c r="I253" s="280" t="s">
        <v>63</v>
      </c>
      <c r="J253" s="361">
        <f ca="1">H253/1000</f>
        <v>8.5317703986961077E-2</v>
      </c>
      <c r="K253" s="117" t="s">
        <v>148</v>
      </c>
      <c r="L253" s="239">
        <f ca="1">L256+L257-L258-L259</f>
        <v>2408.1646094758498</v>
      </c>
      <c r="M253" s="280" t="s">
        <v>63</v>
      </c>
      <c r="N253" s="361">
        <f ca="1">L253/1000</f>
        <v>2.40816460947585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5058.7585455168664</v>
      </c>
      <c r="K256" s="209" t="s">
        <v>150</v>
      </c>
      <c r="L256" s="239">
        <f ca="1">J242/(H36/100^2)</f>
        <v>5058.7585455168664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7506.4894375926988</v>
      </c>
      <c r="K257" s="209" t="s">
        <v>151</v>
      </c>
      <c r="L257" s="239">
        <f ca="1">J243/(H41/100^3)</f>
        <v>7506.4894375926988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7100.7058664114948</v>
      </c>
      <c r="J258" s="121"/>
      <c r="K258" s="209" t="s">
        <v>153</v>
      </c>
      <c r="L258" s="239">
        <f ca="1">(J81+J82+J83)/(H41/100^3)</f>
        <v>7100.7058664114948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3056.3775072222215</v>
      </c>
      <c r="K259" s="209" t="s">
        <v>152</v>
      </c>
      <c r="L259" s="239">
        <f ca="1">(J84+J85)/(I41/100^3)</f>
        <v>3056.3775072222215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2322.8469054888888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64" t="s">
        <v>156</v>
      </c>
      <c r="H263" s="664"/>
      <c r="I263" s="664"/>
      <c r="J263" s="664"/>
      <c r="K263" s="664"/>
      <c r="L263" s="664"/>
      <c r="M263" s="664"/>
      <c r="N263" s="664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0.11664580375410502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2.8537361071405143E-2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728" t="s">
        <v>149</v>
      </c>
      <c r="H268" s="728"/>
      <c r="I268" s="728"/>
      <c r="J268" s="728"/>
      <c r="K268" s="674" t="s">
        <v>155</v>
      </c>
      <c r="L268" s="675"/>
      <c r="M268" s="675"/>
      <c r="N268" s="675"/>
    </row>
    <row r="269" spans="7:32" hidden="1" x14ac:dyDescent="0.25">
      <c r="G269" s="117" t="s">
        <v>148</v>
      </c>
      <c r="H269" s="239">
        <f ca="1">H271-H272+H273+H274+H275</f>
        <v>8056.9055541321559</v>
      </c>
      <c r="I269" s="117" t="s">
        <v>63</v>
      </c>
      <c r="J269" s="361">
        <f ca="1">H269/1000</f>
        <v>8.0569055541321557</v>
      </c>
      <c r="K269" s="117" t="s">
        <v>148</v>
      </c>
      <c r="L269" s="239">
        <f ca="1">L271-L272+L273+L274</f>
        <v>6579.1627490254896</v>
      </c>
      <c r="M269" s="117" t="s">
        <v>63</v>
      </c>
      <c r="N269" s="361">
        <f ca="1">L269/1000</f>
        <v>6.5791627490254898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5058.7585455168664</v>
      </c>
      <c r="K271" s="209" t="s">
        <v>150</v>
      </c>
      <c r="L271" s="239">
        <f ca="1">J242/(H36/100^2)</f>
        <v>5058.7585455168664</v>
      </c>
    </row>
    <row r="272" spans="7:32" hidden="1" x14ac:dyDescent="0.25">
      <c r="G272" s="209" t="s">
        <v>160</v>
      </c>
      <c r="H272" s="239">
        <f ca="1">J243/(H40/100^3)</f>
        <v>7843.3637832310542</v>
      </c>
      <c r="K272" s="209" t="s">
        <v>160</v>
      </c>
      <c r="L272" s="239">
        <f ca="1">J243/(H40/100^3)</f>
        <v>7843.3637832310542</v>
      </c>
    </row>
    <row r="273" spans="7:17" hidden="1" x14ac:dyDescent="0.25">
      <c r="G273" s="209" t="s">
        <v>161</v>
      </c>
      <c r="H273" s="239">
        <f ca="1">(J81+J82+J83)/(H40/100^3)</f>
        <v>7419.3695589677482</v>
      </c>
      <c r="J273" s="121"/>
      <c r="K273" s="209" t="s">
        <v>161</v>
      </c>
      <c r="L273" s="239">
        <f ca="1">(J81+J82+J83)/(H40/100^3)</f>
        <v>7419.3695589677482</v>
      </c>
    </row>
    <row r="274" spans="7:17" hidden="1" x14ac:dyDescent="0.25">
      <c r="G274" s="209" t="s">
        <v>162</v>
      </c>
      <c r="H274" s="239">
        <f ca="1">(J84+J85)/(H266)</f>
        <v>1944.3984277719292</v>
      </c>
      <c r="K274" s="209" t="s">
        <v>162</v>
      </c>
      <c r="L274" s="239">
        <f ca="1">(J84+J85)/(H266)</f>
        <v>1944.3984277719292</v>
      </c>
    </row>
    <row r="275" spans="7:17" hidden="1" x14ac:dyDescent="0.25">
      <c r="G275" s="209" t="s">
        <v>163</v>
      </c>
      <c r="H275" s="239">
        <f ca="1">(H52*J86)/(H266)</f>
        <v>1477.7428051066661</v>
      </c>
    </row>
    <row r="276" spans="7:17" hidden="1" x14ac:dyDescent="0.25"/>
    <row r="277" spans="7:17" x14ac:dyDescent="0.25">
      <c r="G277" s="664" t="s">
        <v>757</v>
      </c>
      <c r="H277" s="664"/>
      <c r="I277" s="664"/>
      <c r="J277" s="664"/>
      <c r="K277" s="664"/>
      <c r="L277" s="664"/>
      <c r="M277" s="664"/>
      <c r="N277" s="664"/>
    </row>
    <row r="278" spans="7:17" x14ac:dyDescent="0.25">
      <c r="G278" s="674" t="s">
        <v>205</v>
      </c>
      <c r="H278" s="675"/>
      <c r="I278" s="675"/>
      <c r="J278" s="675"/>
      <c r="K278" s="675"/>
      <c r="L278" s="675"/>
      <c r="M278" s="675"/>
      <c r="N278" s="676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0.54400000000000004</v>
      </c>
      <c r="I280" s="204">
        <f>(($H$21/100)/20)+$H$280</f>
        <v>1.0880000000000001</v>
      </c>
      <c r="J280" s="204">
        <f>(($H$21/100)/20)+$I$280</f>
        <v>1.6320000000000001</v>
      </c>
      <c r="K280" s="204">
        <f>(($H$21/100)/20)+$J$280</f>
        <v>2.1760000000000002</v>
      </c>
      <c r="L280" s="204">
        <f>(($H$21/100)/20)+$K$280</f>
        <v>2.72</v>
      </c>
      <c r="M280" s="204">
        <f>(($H$21/100)/20)+$L$280</f>
        <v>3.2640000000000002</v>
      </c>
      <c r="N280" s="204">
        <f>(($H$21/100)/20)+$M$280</f>
        <v>3.8080000000000003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19.838943268959699</v>
      </c>
      <c r="I281" s="144">
        <f t="shared" ca="1" si="3"/>
        <v>37.589576720134168</v>
      </c>
      <c r="J281" s="144">
        <f t="shared" ca="1" si="3"/>
        <v>53.251900353523396</v>
      </c>
      <c r="K281" s="144">
        <f t="shared" ca="1" si="3"/>
        <v>66.825914169127401</v>
      </c>
      <c r="L281" s="144">
        <f t="shared" ca="1" si="3"/>
        <v>78.311618166946175</v>
      </c>
      <c r="M281" s="144">
        <f t="shared" ca="1" si="3"/>
        <v>87.709012346979705</v>
      </c>
      <c r="N281" s="144">
        <f t="shared" ca="1" si="3"/>
        <v>95.018096709228018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72"/>
    </row>
    <row r="283" spans="7:17" x14ac:dyDescent="0.25">
      <c r="G283" s="204">
        <f>(($H$21/100)/20)+$N$280</f>
        <v>4.3520000000000003</v>
      </c>
      <c r="H283" s="204">
        <f>(($H$21/100)/20)+$G$283</f>
        <v>4.8960000000000008</v>
      </c>
      <c r="I283" s="204">
        <f>(($H$21/100)/20)+$H$283</f>
        <v>5.4400000000000013</v>
      </c>
      <c r="J283" s="204">
        <f>(($H$21/100)/20)+$I$283</f>
        <v>5.9840000000000018</v>
      </c>
      <c r="K283" s="204">
        <f>(($H$21/100)/20)+$J$283</f>
        <v>6.5280000000000022</v>
      </c>
      <c r="L283" s="204">
        <f>(($H$21/100)/20)+$K$283</f>
        <v>7.0720000000000027</v>
      </c>
      <c r="M283" s="204">
        <f>(($H$21/100)/20)+$L$283</f>
        <v>7.6160000000000032</v>
      </c>
      <c r="N283" s="204">
        <f>(($H$21/100)/20)+$M$283</f>
        <v>8.1600000000000037</v>
      </c>
      <c r="Q283" s="672"/>
    </row>
    <row r="284" spans="7:17" x14ac:dyDescent="0.25">
      <c r="G284" s="144">
        <f t="shared" ref="G284:N284" ca="1" si="4">(($I$73+$I$74+$I$75)*($H$21/100)*G283/2)-(($I$73+$I$74+$I$75)*G283^2/2)</f>
        <v>100.23887125369112</v>
      </c>
      <c r="H284" s="144">
        <f t="shared" ca="1" si="4"/>
        <v>103.37133598036897</v>
      </c>
      <c r="I284" s="144">
        <f t="shared" ca="1" si="4"/>
        <v>104.41549088926158</v>
      </c>
      <c r="J284" s="144">
        <f t="shared" ca="1" si="4"/>
        <v>103.37133598036895</v>
      </c>
      <c r="K284" s="144">
        <f t="shared" ca="1" si="4"/>
        <v>100.23887125369109</v>
      </c>
      <c r="L284" s="144">
        <f t="shared" ca="1" si="4"/>
        <v>95.01809670922799</v>
      </c>
      <c r="M284" s="144">
        <f t="shared" ca="1" si="4"/>
        <v>87.709012346979648</v>
      </c>
      <c r="N284" s="144">
        <f t="shared" ca="1" si="4"/>
        <v>78.311618166946118</v>
      </c>
      <c r="Q284" s="672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8.7040000000000042</v>
      </c>
      <c r="H286" s="204">
        <f>(($H$21/100)/20)+$G$286</f>
        <v>9.2480000000000047</v>
      </c>
      <c r="I286" s="204">
        <f>(($H$21/100)/20)+$H$286</f>
        <v>9.7920000000000051</v>
      </c>
      <c r="J286" s="204">
        <f>(($H$21/100)/20)+$I$286</f>
        <v>10.336000000000006</v>
      </c>
      <c r="K286" s="204">
        <f>(($H$21/100)/20)+$J$286</f>
        <v>10.880000000000006</v>
      </c>
    </row>
    <row r="287" spans="7:17" x14ac:dyDescent="0.25">
      <c r="G287" s="144">
        <f ca="1">(($I$73+$I$74+$I$75)*($H$21/100)*G286/2)-(($I$73+$I$74+$I$75)*G286^2/2)</f>
        <v>66.825914169127259</v>
      </c>
      <c r="H287" s="144">
        <f ca="1">(($I$73+$I$74+$I$75)*($H$21/100)*H286/2)-(($I$73+$I$74+$I$75)*H286^2/2)</f>
        <v>53.251900353523297</v>
      </c>
      <c r="I287" s="144">
        <f ca="1">(($I$73+$I$74+$I$75)*($H$21/100)*I286/2)-(($I$73+$I$74+$I$75)*I286^2/2)</f>
        <v>37.589576720134005</v>
      </c>
      <c r="J287" s="144">
        <f ca="1">(($I$73+$I$74+$I$75)*($H$21/100)*J286/2)-(($I$73+$I$74+$I$75)*J286^2/2)</f>
        <v>19.838943268959497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74" t="s">
        <v>204</v>
      </c>
      <c r="H289" s="675"/>
      <c r="I289" s="675"/>
      <c r="J289" s="675"/>
      <c r="K289" s="675"/>
      <c r="L289" s="675"/>
      <c r="M289" s="675"/>
      <c r="N289" s="676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0.54400000000000004</v>
      </c>
      <c r="I291" s="204">
        <f t="shared" ref="I291:N291" si="5">(($H$21/100)/20)+H291</f>
        <v>1.0880000000000001</v>
      </c>
      <c r="J291" s="204">
        <f t="shared" si="5"/>
        <v>1.6320000000000001</v>
      </c>
      <c r="K291" s="204">
        <f t="shared" si="5"/>
        <v>2.1760000000000002</v>
      </c>
      <c r="L291" s="204">
        <f t="shared" si="5"/>
        <v>2.72</v>
      </c>
      <c r="M291" s="204">
        <f t="shared" si="5"/>
        <v>3.2640000000000002</v>
      </c>
      <c r="N291" s="204">
        <f t="shared" si="5"/>
        <v>3.8080000000000003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10.542720000000001</v>
      </c>
      <c r="I292" s="144">
        <f t="shared" si="6"/>
        <v>19.975680000000004</v>
      </c>
      <c r="J292" s="144">
        <f t="shared" si="6"/>
        <v>28.298880000000004</v>
      </c>
      <c r="K292" s="144">
        <f t="shared" si="6"/>
        <v>35.512320000000003</v>
      </c>
      <c r="L292" s="144">
        <f t="shared" si="6"/>
        <v>41.616</v>
      </c>
      <c r="M292" s="144">
        <f t="shared" si="6"/>
        <v>46.60992000000001</v>
      </c>
      <c r="N292" s="144">
        <f t="shared" si="6"/>
        <v>50.494080000000011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4.3520000000000003</v>
      </c>
      <c r="H294" s="204">
        <f t="shared" ref="H294:N294" si="7">(($H$21/100)/20)+G294</f>
        <v>4.8960000000000008</v>
      </c>
      <c r="I294" s="204">
        <f>(($H$21/100)/20)+H294</f>
        <v>5.4400000000000013</v>
      </c>
      <c r="J294" s="204">
        <f t="shared" si="7"/>
        <v>5.9840000000000018</v>
      </c>
      <c r="K294" s="204">
        <f t="shared" si="7"/>
        <v>6.5280000000000022</v>
      </c>
      <c r="L294" s="204">
        <f t="shared" si="7"/>
        <v>7.0720000000000027</v>
      </c>
      <c r="M294" s="204">
        <f t="shared" si="7"/>
        <v>7.6160000000000032</v>
      </c>
      <c r="N294" s="204">
        <f t="shared" si="7"/>
        <v>8.1600000000000037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53.268480000000011</v>
      </c>
      <c r="H295" s="144">
        <f t="shared" si="8"/>
        <v>54.933120000000017</v>
      </c>
      <c r="I295" s="144">
        <f t="shared" si="8"/>
        <v>55.488000000000021</v>
      </c>
      <c r="J295" s="144">
        <f t="shared" si="8"/>
        <v>54.933120000000002</v>
      </c>
      <c r="K295" s="144">
        <f t="shared" si="8"/>
        <v>53.268479999999997</v>
      </c>
      <c r="L295" s="144">
        <f t="shared" si="8"/>
        <v>50.494080000000011</v>
      </c>
      <c r="M295" s="144">
        <f t="shared" si="8"/>
        <v>46.609919999999988</v>
      </c>
      <c r="N295" s="144">
        <f t="shared" si="8"/>
        <v>41.615999999999985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8.7040000000000042</v>
      </c>
      <c r="H297" s="204">
        <f>(($H$21/100)/20)+G297</f>
        <v>9.2480000000000047</v>
      </c>
      <c r="I297" s="204">
        <f>(($H$21/100)/20)+H297</f>
        <v>9.7920000000000051</v>
      </c>
      <c r="J297" s="204">
        <f>(($H$21/100)/20)+I297</f>
        <v>10.336000000000006</v>
      </c>
      <c r="K297" s="204">
        <f>(($H$21/100)/20)+J297</f>
        <v>10.880000000000006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35.51231999999996</v>
      </c>
      <c r="H298" s="144">
        <f>(($I$76+$I$77)*($H$21/100)*H297/2)-(($I$76+$I$77)*H297^2/2)</f>
        <v>28.298879999999969</v>
      </c>
      <c r="I298" s="144">
        <f>(($I$76+$I$77)*($H$21/100)*I297/2)-(($I$76+$I$77)*I297^2/2)</f>
        <v>19.975679999999926</v>
      </c>
      <c r="J298" s="144">
        <f>(($I$76+$I$77)*($H$21/100)*J297/2)-(($I$76+$I$77)*J297^2/2)</f>
        <v>10.542719999999917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74" t="s">
        <v>203</v>
      </c>
      <c r="H300" s="675"/>
      <c r="I300" s="675"/>
      <c r="J300" s="675"/>
      <c r="K300" s="675"/>
      <c r="L300" s="675"/>
      <c r="M300" s="675"/>
      <c r="N300" s="676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0.54400000000000004</v>
      </c>
      <c r="I302" s="204">
        <f t="shared" ref="I302:N302" si="9">(($H$21/100)/20)+H302</f>
        <v>1.0880000000000001</v>
      </c>
      <c r="J302" s="204">
        <f t="shared" si="9"/>
        <v>1.6320000000000001</v>
      </c>
      <c r="K302" s="204">
        <f t="shared" si="9"/>
        <v>2.1760000000000002</v>
      </c>
      <c r="L302" s="204">
        <f t="shared" si="9"/>
        <v>2.72</v>
      </c>
      <c r="M302" s="204">
        <f t="shared" si="9"/>
        <v>3.2640000000000002</v>
      </c>
      <c r="N302" s="204">
        <f t="shared" si="9"/>
        <v>3.8080000000000003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13.354112000000004</v>
      </c>
      <c r="I303" s="144">
        <f t="shared" si="10"/>
        <v>25.302528000000006</v>
      </c>
      <c r="J303" s="144">
        <f t="shared" si="10"/>
        <v>35.845248000000012</v>
      </c>
      <c r="K303" s="144">
        <f t="shared" si="10"/>
        <v>44.982272000000016</v>
      </c>
      <c r="L303" s="144">
        <f t="shared" si="10"/>
        <v>52.713600000000014</v>
      </c>
      <c r="M303" s="144">
        <f t="shared" si="10"/>
        <v>59.039232000000013</v>
      </c>
      <c r="N303" s="144">
        <f t="shared" si="10"/>
        <v>63.95916800000002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4.3520000000000003</v>
      </c>
      <c r="H305" s="204">
        <f t="shared" ref="H305:N305" si="11">(($H$21/100)/20)+G305</f>
        <v>4.8960000000000008</v>
      </c>
      <c r="I305" s="204">
        <f t="shared" si="11"/>
        <v>5.4400000000000013</v>
      </c>
      <c r="J305" s="204">
        <f t="shared" si="11"/>
        <v>5.9840000000000018</v>
      </c>
      <c r="K305" s="204">
        <f t="shared" si="11"/>
        <v>6.5280000000000022</v>
      </c>
      <c r="L305" s="204">
        <f t="shared" si="11"/>
        <v>7.0720000000000027</v>
      </c>
      <c r="M305" s="204">
        <f t="shared" si="11"/>
        <v>7.6160000000000032</v>
      </c>
      <c r="N305" s="204">
        <f t="shared" si="11"/>
        <v>8.1600000000000037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67.473408000000035</v>
      </c>
      <c r="H306" s="144">
        <f t="shared" si="12"/>
        <v>69.581952000000015</v>
      </c>
      <c r="I306" s="144">
        <f t="shared" si="12"/>
        <v>70.284800000000033</v>
      </c>
      <c r="J306" s="144">
        <f t="shared" si="12"/>
        <v>69.581952000000015</v>
      </c>
      <c r="K306" s="144">
        <f t="shared" si="12"/>
        <v>67.473408000000006</v>
      </c>
      <c r="L306" s="144">
        <f t="shared" si="12"/>
        <v>63.95916800000002</v>
      </c>
      <c r="M306" s="144">
        <f t="shared" si="12"/>
        <v>59.039231999999998</v>
      </c>
      <c r="N306" s="144">
        <f t="shared" si="12"/>
        <v>52.713599999999985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8.7040000000000042</v>
      </c>
      <c r="H308" s="204">
        <f>(($H$21/100)/20)+G308</f>
        <v>9.2480000000000047</v>
      </c>
      <c r="I308" s="204">
        <f>(($H$21/100)/20)+H308</f>
        <v>9.7920000000000051</v>
      </c>
      <c r="J308" s="204">
        <f>(($H$21/100)/20)+I308</f>
        <v>10.336000000000006</v>
      </c>
      <c r="K308" s="204">
        <f>(($H$21/100)/20)+J308</f>
        <v>10.880000000000006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44.982271999999966</v>
      </c>
      <c r="H309" s="144">
        <f>(($I$78)*($H$21/100)*H308/2)-(($I$78)*H308^2/2)</f>
        <v>35.845247999999941</v>
      </c>
      <c r="I309" s="144">
        <f>(($I$78)*($H$21/100)*I308/2)-(($I$78)*I308^2/2)</f>
        <v>25.302527999999938</v>
      </c>
      <c r="J309" s="144">
        <f>(($I$78)*($H$21/100)*J308/2)-(($I$78)*J308^2/2)</f>
        <v>13.354111999999901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67" t="s">
        <v>199</v>
      </c>
      <c r="I311" s="667"/>
      <c r="J311" s="667"/>
      <c r="K311" s="667"/>
      <c r="L311" s="667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72" t="s">
        <v>180</v>
      </c>
      <c r="Q312" s="672"/>
      <c r="R312" s="672"/>
      <c r="S312" s="672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238.1285960049396</v>
      </c>
      <c r="J313" s="231" t="s">
        <v>63</v>
      </c>
      <c r="K313" s="353">
        <f t="shared" ref="K313:K322" ca="1" si="13">I313/1000</f>
        <v>0.2381285960049396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-1810.5724985691531</v>
      </c>
      <c r="J314" s="231" t="s">
        <v>63</v>
      </c>
      <c r="K314" s="354">
        <f t="shared" ca="1" si="13"/>
        <v>-1.8105724985691531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-3618.2935096849233</v>
      </c>
      <c r="J315" s="231" t="s">
        <v>63</v>
      </c>
      <c r="K315" s="354">
        <f t="shared" ca="1" si="13"/>
        <v>-3.6182935096849231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-5185.0180749313258</v>
      </c>
      <c r="J316" s="231" t="s">
        <v>63</v>
      </c>
      <c r="K316" s="354">
        <f t="shared" ca="1" si="13"/>
        <v>-5.1850180749313255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-6510.732028162819</v>
      </c>
      <c r="J317" s="231" t="s">
        <v>63</v>
      </c>
      <c r="K317" s="354">
        <f t="shared" ca="1" si="13"/>
        <v>-6.5107320281628187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-7595.4233932192483</v>
      </c>
      <c r="J318" s="231" t="s">
        <v>63</v>
      </c>
      <c r="K318" s="354">
        <f t="shared" ca="1" si="13"/>
        <v>-7.5954233932192485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-8439.0823786260516</v>
      </c>
      <c r="J319" s="231" t="s">
        <v>63</v>
      </c>
      <c r="K319" s="354">
        <f t="shared" ca="1" si="13"/>
        <v>-8.4390823786260523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-9041.7013732677133</v>
      </c>
      <c r="J320" s="231" t="s">
        <v>63</v>
      </c>
      <c r="K320" s="354">
        <f t="shared" ca="1" si="13"/>
        <v>-9.0417013732677134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-9403.2749430286567</v>
      </c>
      <c r="J321" s="231" t="s">
        <v>63</v>
      </c>
      <c r="K321" s="354">
        <f t="shared" ca="1" si="13"/>
        <v>-9.4032749430286575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-9523.7998283971065</v>
      </c>
      <c r="J322" s="231" t="s">
        <v>63</v>
      </c>
      <c r="K322" s="354">
        <f t="shared" ca="1" si="13"/>
        <v>-9.5237998283971059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-9403.2749430286567</v>
      </c>
      <c r="J323" s="231" t="str">
        <f>J322</f>
        <v>kN/m²</v>
      </c>
      <c r="K323" s="354">
        <f t="shared" ref="K323:K332" ca="1" si="15">I323/1000</f>
        <v>-9.4032749430286575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-9041.7013732677096</v>
      </c>
      <c r="J324" s="231" t="str">
        <f t="shared" ref="J324:J331" si="16">J323</f>
        <v>kN/m²</v>
      </c>
      <c r="K324" s="354">
        <f t="shared" ca="1" si="15"/>
        <v>-9.0417013732677098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-8439.0823786260498</v>
      </c>
      <c r="J325" s="231" t="str">
        <f t="shared" si="16"/>
        <v>kN/m²</v>
      </c>
      <c r="K325" s="354">
        <f t="shared" ca="1" si="15"/>
        <v>-8.4390823786260505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-7595.4233932192419</v>
      </c>
      <c r="J326" s="231" t="str">
        <f t="shared" si="16"/>
        <v>kN/m²</v>
      </c>
      <c r="K326" s="354">
        <f t="shared" ca="1" si="15"/>
        <v>-7.5954233932192423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-6510.7320281628126</v>
      </c>
      <c r="J327" s="231" t="str">
        <f t="shared" si="16"/>
        <v>kN/m²</v>
      </c>
      <c r="K327" s="354">
        <f t="shared" ca="1" si="15"/>
        <v>-6.5107320281628125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-5185.0180749313122</v>
      </c>
      <c r="J328" s="231" t="str">
        <f t="shared" si="16"/>
        <v>kN/m²</v>
      </c>
      <c r="K328" s="354">
        <f t="shared" ca="1" si="15"/>
        <v>-5.1850180749313122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-3618.2935096849124</v>
      </c>
      <c r="J329" s="231" t="str">
        <f t="shared" si="16"/>
        <v>kN/m²</v>
      </c>
      <c r="K329" s="354">
        <f t="shared" ca="1" si="15"/>
        <v>-3.6182935096849125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-1810.5724985691359</v>
      </c>
      <c r="J330" s="231" t="str">
        <f t="shared" si="16"/>
        <v>kN/m²</v>
      </c>
      <c r="K330" s="354">
        <f t="shared" ca="1" si="15"/>
        <v>-1.8105724985691358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238.12859600496108</v>
      </c>
      <c r="J331" s="231" t="str">
        <f t="shared" si="16"/>
        <v>kN/m²</v>
      </c>
      <c r="K331" s="355">
        <f t="shared" ca="1" si="15"/>
        <v>0.23812859600496109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67" t="s">
        <v>197</v>
      </c>
      <c r="I334" s="667"/>
      <c r="J334" s="667"/>
      <c r="K334" s="667"/>
      <c r="L334" s="667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-7471.7424639169494</v>
      </c>
      <c r="J336" s="231" t="s">
        <v>63</v>
      </c>
      <c r="K336" s="353">
        <f t="shared" ref="K336:K345" ca="1" si="17">I336/1000</f>
        <v>-7.4717424639169492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-7331.7542693019241</v>
      </c>
      <c r="J337" s="231" t="s">
        <v>63</v>
      </c>
      <c r="K337" s="354">
        <f t="shared" ca="1" si="17"/>
        <v>-7.331754269301924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-5633.6714249903725</v>
      </c>
      <c r="J338" s="231" t="s">
        <v>63</v>
      </c>
      <c r="K338" s="354">
        <f t="shared" ca="1" si="17"/>
        <v>-5.6336714249903723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-4161.8506169090961</v>
      </c>
      <c r="J339" s="231" t="s">
        <v>63</v>
      </c>
      <c r="K339" s="354">
        <f t="shared" ca="1" si="17"/>
        <v>-4.1618506169090956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-2916.35576834936</v>
      </c>
      <c r="J340" s="231" t="s">
        <v>63</v>
      </c>
      <c r="K340" s="354">
        <f t="shared" ca="1" si="17"/>
        <v>-2.9163557683493599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-1897.2409205160784</v>
      </c>
      <c r="J341" s="231" t="s">
        <v>63</v>
      </c>
      <c r="K341" s="354">
        <f t="shared" ca="1" si="17"/>
        <v>-1.8972409205160785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-1104.5502564425665</v>
      </c>
      <c r="J342" s="231" t="s">
        <v>63</v>
      </c>
      <c r="K342" s="354">
        <f t="shared" ca="1" si="17"/>
        <v>-1.1045502564425664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-538.3181205136475</v>
      </c>
      <c r="J343" s="231" t="s">
        <v>63</v>
      </c>
      <c r="K343" s="354">
        <f ca="1">I343/1000</f>
        <v>-0.53831812051364747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-198.56903362328876</v>
      </c>
      <c r="J344" s="231" t="s">
        <v>63</v>
      </c>
      <c r="K344" s="354">
        <f t="shared" ca="1" si="17"/>
        <v>-0.19856903362328876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-85.317703986961533</v>
      </c>
      <c r="J345" s="231" t="s">
        <v>63</v>
      </c>
      <c r="K345" s="354">
        <f t="shared" ca="1" si="17"/>
        <v>-8.5317703986961535E-2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-198.56903362329058</v>
      </c>
      <c r="J346" s="231" t="s">
        <v>63</v>
      </c>
      <c r="K346" s="354">
        <f t="shared" ref="K346:K355" ca="1" si="19">I346/1000</f>
        <v>-0.19856903362329059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-538.31812051365205</v>
      </c>
      <c r="J347" s="231" t="s">
        <v>63</v>
      </c>
      <c r="K347" s="354">
        <f t="shared" ca="1" si="19"/>
        <v>-0.53831812051365202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-1104.5502564425683</v>
      </c>
      <c r="J348" s="231" t="s">
        <v>63</v>
      </c>
      <c r="K348" s="354">
        <f t="shared" ca="1" si="19"/>
        <v>-1.1045502564425682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-1897.2409205160848</v>
      </c>
      <c r="J349" s="231" t="s">
        <v>63</v>
      </c>
      <c r="K349" s="354">
        <f t="shared" ca="1" si="19"/>
        <v>-1.8972409205160847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-2916.3557683493691</v>
      </c>
      <c r="J350" s="231" t="s">
        <v>63</v>
      </c>
      <c r="K350" s="354">
        <f t="shared" ca="1" si="19"/>
        <v>-2.9163557683493693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-4161.8506169091106</v>
      </c>
      <c r="J351" s="231" t="s">
        <v>63</v>
      </c>
      <c r="K351" s="354">
        <f t="shared" ca="1" si="19"/>
        <v>-4.1618506169091107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-5633.6714249903853</v>
      </c>
      <c r="J352" s="231" t="s">
        <v>63</v>
      </c>
      <c r="K352" s="354">
        <f t="shared" ca="1" si="19"/>
        <v>-5.6336714249903856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-7331.7542693019413</v>
      </c>
      <c r="J353" s="231" t="s">
        <v>63</v>
      </c>
      <c r="K353" s="354">
        <f t="shared" ca="1" si="19"/>
        <v>-7.3317542693019417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-7471.7424639169722</v>
      </c>
      <c r="J354" s="231" t="s">
        <v>63</v>
      </c>
      <c r="K354" s="355">
        <f t="shared" ca="1" si="19"/>
        <v>-7.4717424639169723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67" t="s">
        <v>200</v>
      </c>
      <c r="I392" s="667"/>
      <c r="J392" s="667"/>
      <c r="K392" s="667"/>
      <c r="L392" s="667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797.60964108554674</v>
      </c>
      <c r="J394" s="231" t="s">
        <v>63</v>
      </c>
      <c r="K394" s="353">
        <f t="shared" ref="K394:K403" ca="1" si="20">I394/1000</f>
        <v>0.79760964108554677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-750.50314999537136</v>
      </c>
      <c r="J395" s="231" t="s">
        <v>63</v>
      </c>
      <c r="K395" s="354">
        <f t="shared" ca="1" si="20"/>
        <v>-0.75050314999537138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-2116.5285992053991</v>
      </c>
      <c r="J396" s="231" t="s">
        <v>63</v>
      </c>
      <c r="K396" s="354">
        <f t="shared" ca="1" si="20"/>
        <v>-2.1165285992053993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-3300.4503441334909</v>
      </c>
      <c r="J397" s="231" t="s">
        <v>63</v>
      </c>
      <c r="K397" s="354">
        <f t="shared" ca="1" si="20"/>
        <v>-3.3004503441334911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-4302.254218634107</v>
      </c>
      <c r="J398" s="231" t="s">
        <v>63</v>
      </c>
      <c r="K398" s="354">
        <f t="shared" ca="1" si="20"/>
        <v>-4.3022542186341068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-5121.9282465470897</v>
      </c>
      <c r="J399" s="231" t="s">
        <v>63</v>
      </c>
      <c r="K399" s="354">
        <f t="shared" ca="1" si="20"/>
        <v>-5.1219282465470899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-5759.4626363978805</v>
      </c>
      <c r="J400" s="231" t="s">
        <v>63</v>
      </c>
      <c r="K400" s="354">
        <f t="shared" ca="1" si="20"/>
        <v>-5.7594626363978803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-6214.849777070961</v>
      </c>
      <c r="J401" s="231" t="s">
        <v>63</v>
      </c>
      <c r="K401" s="354">
        <f t="shared" ca="1" si="20"/>
        <v>-6.2148497770709605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-6488.0842344507582</v>
      </c>
      <c r="J402" s="231" t="s">
        <v>63</v>
      </c>
      <c r="K402" s="354">
        <f t="shared" ca="1" si="20"/>
        <v>-6.4880842344507581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-6579.1627490254887</v>
      </c>
      <c r="J403" s="231" t="s">
        <v>63</v>
      </c>
      <c r="K403" s="354">
        <f t="shared" ca="1" si="20"/>
        <v>-6.5791627490254889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-6488.0842344507564</v>
      </c>
      <c r="J404" s="231" t="s">
        <v>63</v>
      </c>
      <c r="K404" s="354">
        <f t="shared" ref="K404:K412" ca="1" si="22">I404/1000</f>
        <v>-6.4880842344507563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-6214.8497770709591</v>
      </c>
      <c r="J405" s="231" t="s">
        <v>63</v>
      </c>
      <c r="K405" s="354">
        <f t="shared" ca="1" si="22"/>
        <v>-6.2148497770709588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-5759.4626363978787</v>
      </c>
      <c r="J406" s="231" t="s">
        <v>63</v>
      </c>
      <c r="K406" s="354">
        <f t="shared" ca="1" si="22"/>
        <v>-5.7594626363978785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-5121.928246547086</v>
      </c>
      <c r="J407" s="231" t="s">
        <v>63</v>
      </c>
      <c r="K407" s="354">
        <f t="shared" ca="1" si="22"/>
        <v>-5.1219282465470863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-4302.2542186341025</v>
      </c>
      <c r="J408" s="231" t="s">
        <v>63</v>
      </c>
      <c r="K408" s="354">
        <f t="shared" ca="1" si="22"/>
        <v>-4.3022542186341024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-3300.45034413348</v>
      </c>
      <c r="J409" s="231" t="s">
        <v>63</v>
      </c>
      <c r="K409" s="354">
        <f t="shared" ca="1" si="22"/>
        <v>-3.30045034413348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-2116.5285992053909</v>
      </c>
      <c r="J410" s="231" t="s">
        <v>63</v>
      </c>
      <c r="K410" s="354">
        <f t="shared" ca="1" si="22"/>
        <v>-2.1165285992053908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-750.50314999535715</v>
      </c>
      <c r="J411" s="231" t="s">
        <v>63</v>
      </c>
      <c r="K411" s="354">
        <f t="shared" ca="1" si="22"/>
        <v>-0.75050314999535717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797.60964108556391</v>
      </c>
      <c r="J412" s="231" t="s">
        <v>63</v>
      </c>
      <c r="K412" s="355">
        <f t="shared" ca="1" si="22"/>
        <v>0.79760964108556387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67" t="s">
        <v>198</v>
      </c>
      <c r="I415" s="667"/>
      <c r="J415" s="667"/>
      <c r="K415" s="667"/>
      <c r="L415" s="667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-7913.0833759598381</v>
      </c>
      <c r="J417" s="231" t="s">
        <v>63</v>
      </c>
      <c r="K417" s="353">
        <f t="shared" ref="K417:K426" ca="1" si="23">I417/1000</f>
        <v>-7.9130833759598378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-8167.9791552779234</v>
      </c>
      <c r="J418" s="231" t="s">
        <v>63</v>
      </c>
      <c r="K418" s="354">
        <f t="shared" ca="1" si="23"/>
        <v>-8.1679791552779228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-6818.3233467897062</v>
      </c>
      <c r="J419" s="231" t="s">
        <v>63</v>
      </c>
      <c r="K419" s="354">
        <f t="shared" ca="1" si="23"/>
        <v>-6.8183233467897058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-5648.472636421985</v>
      </c>
      <c r="J420" s="231" t="s">
        <v>63</v>
      </c>
      <c r="K420" s="354">
        <f t="shared" ca="1" si="23"/>
        <v>-5.6484726364219853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-4658.4909474660262</v>
      </c>
      <c r="J421" s="231" t="s">
        <v>63</v>
      </c>
      <c r="K421" s="354">
        <f t="shared" ca="1" si="23"/>
        <v>-4.6584909474660261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-3848.4323211267447</v>
      </c>
      <c r="J422" s="231" t="s">
        <v>63</v>
      </c>
      <c r="K422" s="354">
        <f t="shared" ca="1" si="23"/>
        <v>-3.8484323211267446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-3218.3409404374552</v>
      </c>
      <c r="J423" s="231" t="s">
        <v>63</v>
      </c>
      <c r="K423" s="354">
        <f t="shared" ca="1" si="23"/>
        <v>-3.218340940437455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-2768.251149782981</v>
      </c>
      <c r="J424" s="231" t="s">
        <v>63</v>
      </c>
      <c r="K424" s="354">
        <f t="shared" ca="1" si="23"/>
        <v>-2.7682511497829809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-2498.187470057288</v>
      </c>
      <c r="J425" s="231" t="s">
        <v>63</v>
      </c>
      <c r="K425" s="354">
        <f t="shared" ca="1" si="23"/>
        <v>-2.4981874700572879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0.11664580375410502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-2408.1646094758503</v>
      </c>
      <c r="J426" s="231" t="s">
        <v>63</v>
      </c>
      <c r="K426" s="354">
        <f t="shared" ca="1" si="23"/>
        <v>-2.4081646094758504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-2498.1874700572898</v>
      </c>
      <c r="J427" s="231" t="s">
        <v>63</v>
      </c>
      <c r="K427" s="354">
        <f t="shared" ref="K427:K436" ca="1" si="25">I427/1000</f>
        <v>-2.4981874700572897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-2768.2511497829846</v>
      </c>
      <c r="J428" s="231" t="s">
        <v>63</v>
      </c>
      <c r="K428" s="354">
        <f t="shared" ca="1" si="25"/>
        <v>-2.7682511497829845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-3218.340940437457</v>
      </c>
      <c r="J429" s="231" t="s">
        <v>63</v>
      </c>
      <c r="K429" s="354">
        <f t="shared" ca="1" si="25"/>
        <v>-3.2183409404374568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-3848.4323211267506</v>
      </c>
      <c r="J430" s="231" t="s">
        <v>63</v>
      </c>
      <c r="K430" s="354">
        <f t="shared" ca="1" si="25"/>
        <v>-3.8484323211267504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-4658.4909474660344</v>
      </c>
      <c r="J431" s="231" t="s">
        <v>63</v>
      </c>
      <c r="K431" s="354">
        <f t="shared" ca="1" si="25"/>
        <v>-4.6584909474660341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-5648.4726364219978</v>
      </c>
      <c r="J432" s="231" t="s">
        <v>63</v>
      </c>
      <c r="K432" s="354">
        <f t="shared" ca="1" si="25"/>
        <v>-5.6484726364219977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-6818.3233467897162</v>
      </c>
      <c r="J433" s="231" t="s">
        <v>63</v>
      </c>
      <c r="K433" s="354">
        <f t="shared" ca="1" si="25"/>
        <v>-6.8183233467897164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-8167.9791552779388</v>
      </c>
      <c r="J434" s="231" t="s">
        <v>63</v>
      </c>
      <c r="K434" s="354">
        <f t="shared" ca="1" si="25"/>
        <v>-8.1679791552779388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-7913.0833759598572</v>
      </c>
      <c r="J435" s="231" t="s">
        <v>63</v>
      </c>
      <c r="K435" s="355">
        <f t="shared" ca="1" si="25"/>
        <v>-7.9130833759598573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99" t="s">
        <v>149</v>
      </c>
      <c r="J475" s="699"/>
      <c r="K475" s="699"/>
      <c r="L475" s="699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0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0</v>
      </c>
      <c r="K478" s="231" t="s">
        <v>96</v>
      </c>
      <c r="L478" s="685" t="str">
        <f>IF($I$16="1 - Retângular","Ok",IF((#REF!/100)&lt;J477,"OBS: Valor da linha neutra é MAIOR que hf1 - armadura ativa necessita verificação","Ok"))</f>
        <v>Ok</v>
      </c>
      <c r="M478" s="685"/>
      <c r="N478" s="685"/>
    </row>
    <row r="479" spans="9:14" hidden="1" x14ac:dyDescent="0.25">
      <c r="I479" s="121" t="s">
        <v>185</v>
      </c>
      <c r="J479" s="237">
        <f ca="1">J478/((250/1.15)/10)</f>
        <v>0</v>
      </c>
      <c r="K479" s="231" t="s">
        <v>14</v>
      </c>
      <c r="L479" s="685"/>
      <c r="M479" s="685"/>
      <c r="N479" s="685"/>
    </row>
    <row r="480" spans="9:14" hidden="1" x14ac:dyDescent="0.25">
      <c r="J480" s="121"/>
      <c r="L480" s="685"/>
      <c r="M480" s="685"/>
      <c r="N480" s="685"/>
    </row>
    <row r="481" spans="7:14" hidden="1" x14ac:dyDescent="0.25">
      <c r="I481" s="117">
        <f ca="1">ROUNDUP(J479/VLOOKUP(K481,$M$836:$N$843,2),0)</f>
        <v>0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99" t="s">
        <v>155</v>
      </c>
      <c r="J484" s="699"/>
      <c r="K484" s="699"/>
      <c r="L484" s="699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85" t="str">
        <f>IF($I$16="1 - Retângular","Ok",IF((#REF!/100)&lt;J486,"OBS: Valor da linha neutra é MAIOR que hf1 - armadura ativa necessita verificação","Ok"))</f>
        <v>Ok</v>
      </c>
      <c r="M487" s="685"/>
      <c r="N487" s="685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85"/>
      <c r="M488" s="685"/>
      <c r="N488" s="685"/>
    </row>
    <row r="489" spans="7:14" hidden="1" x14ac:dyDescent="0.25">
      <c r="J489" s="121"/>
      <c r="L489" s="685"/>
      <c r="M489" s="685"/>
      <c r="N489" s="685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64" t="s">
        <v>165</v>
      </c>
      <c r="H494" s="664"/>
      <c r="I494" s="664"/>
      <c r="J494" s="664"/>
      <c r="K494" s="664"/>
      <c r="L494" s="664"/>
      <c r="M494" s="664"/>
      <c r="N494" s="664"/>
    </row>
    <row r="495" spans="7:14" hidden="1" x14ac:dyDescent="0.25">
      <c r="H495" s="667" t="s">
        <v>166</v>
      </c>
      <c r="I495" s="667"/>
      <c r="J495" s="667"/>
      <c r="K495" s="667"/>
      <c r="L495" s="667"/>
      <c r="M495" s="667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98" t="s">
        <v>147</v>
      </c>
      <c r="H500" s="698"/>
      <c r="I500" s="698"/>
      <c r="J500" s="123"/>
      <c r="K500" s="698" t="s">
        <v>156</v>
      </c>
      <c r="L500" s="698"/>
      <c r="M500" s="698"/>
      <c r="N500" s="698"/>
    </row>
    <row r="501" spans="7:14" hidden="1" x14ac:dyDescent="0.25">
      <c r="G501" s="698" t="s">
        <v>149</v>
      </c>
      <c r="H501" s="698"/>
      <c r="I501" s="698"/>
      <c r="J501" s="123"/>
      <c r="K501" s="698" t="s">
        <v>149</v>
      </c>
      <c r="L501" s="698"/>
      <c r="M501" s="698"/>
      <c r="N501" s="698"/>
    </row>
    <row r="502" spans="7:14" hidden="1" x14ac:dyDescent="0.25">
      <c r="G502" s="673" t="s">
        <v>148</v>
      </c>
      <c r="H502" s="239">
        <f ca="1">H505+H506-H507-H508-H509</f>
        <v>1297.4420704830459</v>
      </c>
      <c r="I502" s="231" t="s">
        <v>63</v>
      </c>
      <c r="K502" s="673" t="s">
        <v>148</v>
      </c>
      <c r="L502" s="239">
        <f ca="1">L505-L506+L507+L508+L509</f>
        <v>7564.3246190966001</v>
      </c>
      <c r="M502" s="231" t="s">
        <v>63</v>
      </c>
    </row>
    <row r="503" spans="7:14" hidden="1" x14ac:dyDescent="0.25">
      <c r="G503" s="673"/>
      <c r="H503" s="237">
        <f ca="1">H502/1000</f>
        <v>1.2974420704830458</v>
      </c>
      <c r="I503" s="281" t="s">
        <v>50</v>
      </c>
      <c r="K503" s="673"/>
      <c r="L503" s="237">
        <f ca="1">L502/1000</f>
        <v>7.5643246190965998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5058.7585455168664</v>
      </c>
      <c r="K505" s="209" t="s">
        <v>150</v>
      </c>
      <c r="L505" s="239">
        <f ca="1">(J242/(H36/100^2))</f>
        <v>5058.7585455168664</v>
      </c>
    </row>
    <row r="506" spans="7:14" hidden="1" x14ac:dyDescent="0.25">
      <c r="G506" s="209" t="s">
        <v>151</v>
      </c>
      <c r="H506" s="239">
        <f ca="1">(J243/(H40/100^3))</f>
        <v>7843.3637832310542</v>
      </c>
      <c r="K506" s="209" t="s">
        <v>160</v>
      </c>
      <c r="L506" s="239">
        <f ca="1">(J243/(H40/100^3))</f>
        <v>7843.3637832310542</v>
      </c>
    </row>
    <row r="507" spans="7:14" hidden="1" x14ac:dyDescent="0.25">
      <c r="G507" s="209" t="s">
        <v>153</v>
      </c>
      <c r="H507" s="239">
        <f ca="1">((J81+J82+J83)/(H40/100^3))</f>
        <v>7419.3695589677482</v>
      </c>
      <c r="K507" s="209" t="s">
        <v>161</v>
      </c>
      <c r="L507" s="239">
        <f ca="1">((J81+J82+J83)/(H40/100^3))</f>
        <v>7419.3695589677482</v>
      </c>
    </row>
    <row r="508" spans="7:14" hidden="1" x14ac:dyDescent="0.25">
      <c r="G508" s="209" t="s">
        <v>152</v>
      </c>
      <c r="H508" s="239">
        <f ca="1">((J84+J85)/(I40/100^3))</f>
        <v>2777.8610836042876</v>
      </c>
      <c r="K508" s="209" t="s">
        <v>162</v>
      </c>
      <c r="L508" s="239">
        <f ca="1">((J84+J85)/(H266))</f>
        <v>1944.3984277719292</v>
      </c>
    </row>
    <row r="509" spans="7:14" hidden="1" x14ac:dyDescent="0.25">
      <c r="G509" s="209" t="s">
        <v>201</v>
      </c>
      <c r="H509" s="239">
        <f ca="1">((H53*J86)/(I40/100^3))</f>
        <v>1407.449615692839</v>
      </c>
      <c r="K509" s="209" t="s">
        <v>163</v>
      </c>
      <c r="L509" s="239">
        <f ca="1">((H53*J86)/(H266))</f>
        <v>985.1618700711108</v>
      </c>
    </row>
    <row r="510" spans="7:14" hidden="1" x14ac:dyDescent="0.25"/>
    <row r="511" spans="7:14" hidden="1" x14ac:dyDescent="0.25"/>
    <row r="512" spans="7:14" hidden="1" x14ac:dyDescent="0.25">
      <c r="G512" s="698" t="s">
        <v>155</v>
      </c>
      <c r="H512" s="698"/>
      <c r="I512" s="698"/>
      <c r="J512" s="123"/>
      <c r="K512" s="698" t="s">
        <v>155</v>
      </c>
      <c r="L512" s="698"/>
      <c r="M512" s="698"/>
      <c r="N512" s="123"/>
    </row>
    <row r="513" spans="7:14" hidden="1" x14ac:dyDescent="0.25">
      <c r="G513" s="722" t="s">
        <v>148</v>
      </c>
      <c r="H513" s="239">
        <f ca="1">H516+H517-H518-H519</f>
        <v>2704.8916861758848</v>
      </c>
      <c r="I513" s="231" t="s">
        <v>63</v>
      </c>
      <c r="K513" s="673" t="s">
        <v>148</v>
      </c>
      <c r="L513" s="239">
        <f ca="1">L516-L517+L518+L519</f>
        <v>6579.1627490254896</v>
      </c>
      <c r="M513" s="231" t="s">
        <v>63</v>
      </c>
    </row>
    <row r="514" spans="7:14" hidden="1" x14ac:dyDescent="0.25">
      <c r="G514" s="722"/>
      <c r="H514" s="237">
        <f ca="1">H513/1000</f>
        <v>2.7048916861758849</v>
      </c>
      <c r="I514" s="281" t="s">
        <v>50</v>
      </c>
      <c r="K514" s="673"/>
      <c r="L514" s="237">
        <f ca="1">L513/1000</f>
        <v>6.5791627490254898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5058.7585455168664</v>
      </c>
      <c r="K516" s="209" t="s">
        <v>150</v>
      </c>
      <c r="L516" s="239">
        <f ca="1">(J242/(H36/100^2))</f>
        <v>5058.7585455168664</v>
      </c>
    </row>
    <row r="517" spans="7:14" hidden="1" x14ac:dyDescent="0.25">
      <c r="G517" s="209" t="s">
        <v>151</v>
      </c>
      <c r="H517" s="239">
        <f ca="1">J243/(H40/100^3)</f>
        <v>7843.3637832310542</v>
      </c>
      <c r="K517" s="209" t="s">
        <v>160</v>
      </c>
      <c r="L517" s="239">
        <f ca="1">(J243/(H40/100^3))</f>
        <v>7843.3637832310542</v>
      </c>
    </row>
    <row r="518" spans="7:14" hidden="1" x14ac:dyDescent="0.25">
      <c r="G518" s="209" t="s">
        <v>153</v>
      </c>
      <c r="H518" s="239">
        <f ca="1">(J81+J82+J83)/(H40/100^3)</f>
        <v>7419.3695589677482</v>
      </c>
      <c r="K518" s="209" t="s">
        <v>161</v>
      </c>
      <c r="L518" s="239">
        <f ca="1">((J81+J82+J83)/(H40/100^3))</f>
        <v>7419.3695589677482</v>
      </c>
    </row>
    <row r="519" spans="7:14" hidden="1" x14ac:dyDescent="0.25">
      <c r="G519" s="209" t="s">
        <v>152</v>
      </c>
      <c r="H519" s="239">
        <f ca="1">(J84+J85)/(I40/100^3)</f>
        <v>2777.8610836042876</v>
      </c>
      <c r="K519" s="209" t="s">
        <v>162</v>
      </c>
      <c r="L519" s="239">
        <f ca="1">((J84+J85)/(H266))</f>
        <v>1944.3984277719292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74" t="s">
        <v>194</v>
      </c>
      <c r="H528" s="675"/>
      <c r="I528" s="675"/>
      <c r="J528" s="675"/>
      <c r="K528" s="675"/>
      <c r="L528" s="675"/>
      <c r="M528" s="675"/>
      <c r="N528" s="676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0.54400000000000004</v>
      </c>
      <c r="I530" s="204">
        <f>(($H$21/100)/20)+$H$530</f>
        <v>1.0880000000000001</v>
      </c>
      <c r="J530" s="204">
        <f>(($H$21/100)/20)+$I$530</f>
        <v>1.6320000000000001</v>
      </c>
      <c r="K530" s="204">
        <f>(($H$21/100)/20)+$J$530</f>
        <v>2.1760000000000002</v>
      </c>
      <c r="L530" s="204">
        <f>(($H$21/100)/20)+$K$530</f>
        <v>2.72</v>
      </c>
      <c r="M530" s="204">
        <f>(($H$21/100)/20)+$L$530</f>
        <v>3.2640000000000002</v>
      </c>
      <c r="N530" s="204">
        <f>(($H$21/100)/20)+$M$530</f>
        <v>3.8080000000000003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19.838943268959699</v>
      </c>
      <c r="I531" s="144">
        <f ca="1">(($I$73+$I$74+$I$75)*($H$21/100)*$I$530/2)-(($I$73+$I$74+$I$75)*$I$530^2/2)</f>
        <v>37.589576720134168</v>
      </c>
      <c r="J531" s="144">
        <f ca="1">(($I$73+$I$74+$I$75)*($H$21/100)*$J$530/2)-(($I$73+$I$74+$I$75)*$J$530^2/2)</f>
        <v>53.251900353523396</v>
      </c>
      <c r="K531" s="144">
        <f ca="1">(($I$73+$I$74+$I$75)*($H$21/100)*$K$530/2)-(($I$73+$I$74+$I$75)*$K$530^2/2)</f>
        <v>66.825914169127401</v>
      </c>
      <c r="L531" s="144">
        <f ca="1">(($I$73+$I$74+$I$75)*($H$21/100)*$L$530/2)-(($I$73+$I$74+$I$75)*$L$530^2/2)</f>
        <v>78.311618166946175</v>
      </c>
      <c r="M531" s="144">
        <f ca="1">(($I$73+$I$74+$I$75)*($H$21/100)*$M$530/2)-(($I$73+$I$74+$I$75)*$M$530^2/2)</f>
        <v>87.709012346979705</v>
      </c>
      <c r="N531" s="144">
        <f ca="1">(($I$73+$I$74+$I$75)*($H$21/100)*$N$530/2)-(($I$73+$I$74+$I$75)*$N$530^2/2)</f>
        <v>95.018096709228018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4.3520000000000003</v>
      </c>
      <c r="H533" s="204">
        <f>(($H$21/100)/20)+$G$533</f>
        <v>4.8960000000000008</v>
      </c>
      <c r="I533" s="204">
        <f>(($H$21/100)/20)+$H$533</f>
        <v>5.4400000000000013</v>
      </c>
      <c r="J533" s="204">
        <f>(($H$21/100)/20)+$I$533</f>
        <v>5.9840000000000018</v>
      </c>
      <c r="K533" s="204">
        <f>(($H$21/100)/20)+$J$533</f>
        <v>6.5280000000000022</v>
      </c>
      <c r="L533" s="204">
        <f>(($H$21/100)/20)+$K$533</f>
        <v>7.0720000000000027</v>
      </c>
      <c r="M533" s="204">
        <f>(($H$21/100)/20)+$L$533</f>
        <v>7.6160000000000032</v>
      </c>
      <c r="N533" s="204">
        <f>(($H$21/100)/20)+$M$533</f>
        <v>8.1600000000000037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100.23887125369112</v>
      </c>
      <c r="H534" s="144">
        <f ca="1">(($I$73+$I$74+$I$75)*($H$21/100)*$H$533/2)-(($I$73+$I$74+$I$75)*$H$533^2/2)</f>
        <v>103.37133598036897</v>
      </c>
      <c r="I534" s="144">
        <f t="shared" ref="I534:N534" ca="1" si="26">(($I$73+$I$74+$I$75)*($H$21/100)*I533/2)-(($I$73+$I$74+$I$75)*I533^2/2)</f>
        <v>104.41549088926158</v>
      </c>
      <c r="J534" s="144">
        <f t="shared" ca="1" si="26"/>
        <v>103.37133598036895</v>
      </c>
      <c r="K534" s="144">
        <f t="shared" ca="1" si="26"/>
        <v>100.23887125369109</v>
      </c>
      <c r="L534" s="144">
        <f t="shared" ca="1" si="26"/>
        <v>95.01809670922799</v>
      </c>
      <c r="M534" s="144">
        <f t="shared" ca="1" si="26"/>
        <v>87.709012346979648</v>
      </c>
      <c r="N534" s="144">
        <f t="shared" ca="1" si="26"/>
        <v>78.311618166946118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8.7040000000000042</v>
      </c>
      <c r="H536" s="204">
        <f>(($H$21/100)/20)+$G$536</f>
        <v>9.2480000000000047</v>
      </c>
      <c r="I536" s="204">
        <f>(($H$21/100)/20)+$H$536</f>
        <v>9.7920000000000051</v>
      </c>
      <c r="J536" s="204">
        <f>(($H$21/100)/20)+$I$536</f>
        <v>10.336000000000006</v>
      </c>
      <c r="K536" s="204">
        <f>(($H$21/100)/20)+$J$536</f>
        <v>10.880000000000006</v>
      </c>
    </row>
    <row r="537" spans="7:27" x14ac:dyDescent="0.25">
      <c r="G537" s="144">
        <f ca="1">(($I$73+$I$74+$I$75)*($H$21/100)*G536/2)-(($I$73+$I$74+$I$75)*G536^2/2)</f>
        <v>66.825914169127259</v>
      </c>
      <c r="H537" s="144">
        <f ca="1">(($I$73+$I$74+$I$75)*($H$21/100)*H536/2)-(($I$73+$I$74+$I$75)*H536^2/2)</f>
        <v>53.251900353523297</v>
      </c>
      <c r="I537" s="144">
        <f ca="1">(($I$73+$I$74+$I$75)*($H$21/100)*I536/2)-(($I$73+$I$74+$I$75)*I536^2/2)</f>
        <v>37.589576720134005</v>
      </c>
      <c r="J537" s="144">
        <f ca="1">(($I$73+$I$74+$I$75)*($H$21/100)*J536/2)-(($I$73+$I$74+$I$75)*J536^2/2)</f>
        <v>19.838943268959497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74" t="s">
        <v>195</v>
      </c>
      <c r="H539" s="675"/>
      <c r="I539" s="675"/>
      <c r="J539" s="675"/>
      <c r="K539" s="675"/>
      <c r="L539" s="675"/>
      <c r="M539" s="675"/>
      <c r="N539" s="676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0.54400000000000004</v>
      </c>
      <c r="I541" s="204">
        <f>(($H$21/100)/20)+$H$541</f>
        <v>1.0880000000000001</v>
      </c>
      <c r="J541" s="204">
        <f>(($H$21/100)/20)+$I$541</f>
        <v>1.6320000000000001</v>
      </c>
      <c r="K541" s="204">
        <f>(($H$21/100)/20)+$J$541</f>
        <v>2.1760000000000002</v>
      </c>
      <c r="L541" s="204">
        <f>(($H$21/100)/20)+$K$541</f>
        <v>2.72</v>
      </c>
      <c r="M541" s="204">
        <f>(($H$21/100)/20)+$L$541</f>
        <v>3.2640000000000002</v>
      </c>
      <c r="N541" s="204">
        <f>(($H$21/100)/20)+$M$541</f>
        <v>3.8080000000000003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10.542720000000001</v>
      </c>
      <c r="I542" s="144">
        <f>(($I$76+$I$77)*($H$21/100)*$I$541/2)-(($I$76+$I$77)*$I$541^2/2)</f>
        <v>19.975680000000004</v>
      </c>
      <c r="J542" s="144">
        <f>(($I$76+$I$77)*($H$21/100)*$J$541/2)-(($I$76+$I$77)*$J$541^2/2)</f>
        <v>28.298880000000004</v>
      </c>
      <c r="K542" s="144">
        <f>(($I$76+$I$77)*($H$21/100)*$K$541/2)-(($I$76+$I$77)*$K$541^2/2)</f>
        <v>35.512320000000003</v>
      </c>
      <c r="L542" s="144">
        <f>(($I$76+$I$77)*($H$21/100)*$L$541/2)-(($I$76+$I$77)*$L$541^2/2)</f>
        <v>41.616</v>
      </c>
      <c r="M542" s="144">
        <f>(($I$76+$I$77)*($H$21/100)*$M$541/2)-(($I$76+$I$77)*$M$541^2/2)</f>
        <v>46.60992000000001</v>
      </c>
      <c r="N542" s="144">
        <f>(($I$76+$I$77)*($H$21/100)*$N$541/2)-(($I$76+$I$77)*$N$541^2/2)</f>
        <v>50.494080000000011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4.3520000000000003</v>
      </c>
      <c r="H544" s="204">
        <f>(($H$21/100)/20)+$G$544</f>
        <v>4.8960000000000008</v>
      </c>
      <c r="I544" s="204">
        <f>(($H$21/100)/20)+$H$544</f>
        <v>5.4400000000000013</v>
      </c>
      <c r="J544" s="204">
        <f>(($H$21/100)/20)+$I$544</f>
        <v>5.9840000000000018</v>
      </c>
      <c r="K544" s="204">
        <f>(($H$21/100)/20)+$J$544</f>
        <v>6.5280000000000022</v>
      </c>
      <c r="L544" s="204">
        <f>(($H$21/100)/20)+$K$544</f>
        <v>7.0720000000000027</v>
      </c>
      <c r="M544" s="204">
        <f>(($H$21/100)/20)+$L$544</f>
        <v>7.6160000000000032</v>
      </c>
      <c r="N544" s="204">
        <f>(($H$21/100)/20)+$M$544</f>
        <v>8.1600000000000037</v>
      </c>
      <c r="Q544" s="144"/>
    </row>
    <row r="545" spans="7:27" x14ac:dyDescent="0.25">
      <c r="G545" s="144">
        <f>(($I$76+$I$77)*($H$21/100)*$G$544/2)-(($I$76+$I$77)*$G$544^2/2)</f>
        <v>53.268480000000011</v>
      </c>
      <c r="H545" s="144">
        <f>(($I$76+$I$77)*($H$21/100)*$H$544/2)-(($I$76+$I$77)*$H$544^2/2)</f>
        <v>54.933120000000017</v>
      </c>
      <c r="I545" s="144">
        <f t="shared" ref="I545:N545" si="27">(($I$76+$I$77)*($H$21/100)*I544/2)-(($I$76+$I$77)*I544^2/2)</f>
        <v>55.488000000000021</v>
      </c>
      <c r="J545" s="144">
        <f t="shared" si="27"/>
        <v>54.933120000000002</v>
      </c>
      <c r="K545" s="144">
        <f t="shared" si="27"/>
        <v>53.268479999999997</v>
      </c>
      <c r="L545" s="144">
        <f t="shared" si="27"/>
        <v>50.494080000000011</v>
      </c>
      <c r="M545" s="144">
        <f t="shared" si="27"/>
        <v>46.609919999999988</v>
      </c>
      <c r="N545" s="144">
        <f t="shared" si="27"/>
        <v>41.615999999999985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8.7040000000000042</v>
      </c>
      <c r="H547" s="204">
        <f>(($H$21/100)/20)+$G$547</f>
        <v>9.2480000000000047</v>
      </c>
      <c r="I547" s="204">
        <f>(($H$21/100)/20)+$H$547</f>
        <v>9.7920000000000051</v>
      </c>
      <c r="J547" s="204">
        <f>(($H$21/100)/20)+$I$547</f>
        <v>10.336000000000006</v>
      </c>
      <c r="K547" s="204">
        <f>(($H$21/100)/20)+$J$547</f>
        <v>10.880000000000006</v>
      </c>
      <c r="Q547" s="144"/>
      <c r="R547" s="144"/>
    </row>
    <row r="548" spans="7:27" x14ac:dyDescent="0.25">
      <c r="G548" s="144">
        <f>(($I$76+$I$77)*($H$21/100)*G547/2)-(($I$76+$I$77)*G547^2/2)</f>
        <v>35.51231999999996</v>
      </c>
      <c r="H548" s="144">
        <f>(($I$76+$I$77)*($H$21/100)*H547/2)-(($I$76+$I$77)*H547^2/2)</f>
        <v>28.298879999999969</v>
      </c>
      <c r="I548" s="144">
        <f>(($I$76+$I$77)*($H$21/100)*I547/2)-(($I$76+$I$77)*I547^2/2)</f>
        <v>19.975679999999926</v>
      </c>
      <c r="J548" s="144">
        <f>(($I$76+$I$77)*($H$21/100)*J547/2)-(($I$76+$I$77)*J547^2/2)</f>
        <v>10.542719999999917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74" t="s">
        <v>196</v>
      </c>
      <c r="H550" s="675"/>
      <c r="I550" s="675"/>
      <c r="J550" s="675"/>
      <c r="K550" s="675"/>
      <c r="L550" s="675"/>
      <c r="M550" s="675"/>
      <c r="N550" s="676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0.54400000000000004</v>
      </c>
      <c r="I552" s="204">
        <f>(($H$21/100)/20)+$H$552</f>
        <v>1.0880000000000001</v>
      </c>
      <c r="J552" s="204">
        <f>(($H$21/100)/20)+$I$552</f>
        <v>1.6320000000000001</v>
      </c>
      <c r="K552" s="204">
        <f>(($H$21/100)/20)+$J$552</f>
        <v>2.1760000000000002</v>
      </c>
      <c r="L552" s="204">
        <f>(($H$21/100)/20)+$K$552</f>
        <v>2.72</v>
      </c>
      <c r="M552" s="204">
        <f>(($H$21/100)/20)+$L$552</f>
        <v>3.2640000000000002</v>
      </c>
      <c r="N552" s="204">
        <f>(($H$21/100)/20)+$M$552</f>
        <v>3.8080000000000003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13.354112000000004</v>
      </c>
      <c r="I553" s="144">
        <f>(($I$78)*($H$21/100)*$I$552/2)-(($I$78)*$I$552^2/2)</f>
        <v>25.302528000000006</v>
      </c>
      <c r="J553" s="144">
        <f>(($I$78)*($H$21/100)*$J$552/2)-(($I$78)*$J$552^2/2)</f>
        <v>35.845248000000012</v>
      </c>
      <c r="K553" s="144">
        <f>(($I$78)*($H$21/100)*$K$552/2)-(($I$78)*$K$552^2/2)</f>
        <v>44.982272000000016</v>
      </c>
      <c r="L553" s="144">
        <f>(($I$78)*($H$21/100)*$L$552/2)-(($I$78)*$L$552^2/2)</f>
        <v>52.713600000000014</v>
      </c>
      <c r="M553" s="144">
        <f>(($I$78)*($H$21/100)*$M$552/2)-(($I$78)*$M$552^2/2)</f>
        <v>59.039232000000013</v>
      </c>
      <c r="N553" s="144">
        <f>(($I$78)*($H$21/100)*$N$552/2)-(($I$78)*$N$552^2/2)</f>
        <v>63.95916800000002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4.3520000000000003</v>
      </c>
      <c r="H555" s="204">
        <f>(($H$21/100)/20)+$G$555</f>
        <v>4.8960000000000008</v>
      </c>
      <c r="I555" s="204">
        <f>(($H$21/100)/20)+$H$555</f>
        <v>5.4400000000000013</v>
      </c>
      <c r="J555" s="204">
        <f>(($H$21/100)/20)+$I$555</f>
        <v>5.9840000000000018</v>
      </c>
      <c r="K555" s="204">
        <f>(($H$21/100)/20)+$J$555</f>
        <v>6.5280000000000022</v>
      </c>
      <c r="L555" s="204">
        <f>(($H$21/100)/20)+$K$555</f>
        <v>7.0720000000000027</v>
      </c>
      <c r="M555" s="204">
        <f>(($H$21/100)/20)+$L$555</f>
        <v>7.6160000000000032</v>
      </c>
      <c r="N555" s="204">
        <f>(($H$21/100)/20)+$M$555</f>
        <v>8.1600000000000037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67.473408000000035</v>
      </c>
      <c r="H556" s="144">
        <f>(($I$78)*($H$21/100)*$H$555/2)-(($I$78)*$H$555^2/2)</f>
        <v>69.581952000000015</v>
      </c>
      <c r="I556" s="144">
        <f t="shared" ref="I556:N556" si="28">(($I$78)*($H$21/100)*I555/2)-(($I$78)*I555^2/2)</f>
        <v>70.284800000000033</v>
      </c>
      <c r="J556" s="144">
        <f t="shared" si="28"/>
        <v>69.581952000000015</v>
      </c>
      <c r="K556" s="144">
        <f t="shared" si="28"/>
        <v>67.473408000000006</v>
      </c>
      <c r="L556" s="144">
        <f t="shared" si="28"/>
        <v>63.95916800000002</v>
      </c>
      <c r="M556" s="144">
        <f t="shared" si="28"/>
        <v>59.039231999999998</v>
      </c>
      <c r="N556" s="144">
        <f t="shared" si="28"/>
        <v>52.713599999999985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8.7040000000000042</v>
      </c>
      <c r="H558" s="204">
        <f>(($H$21/100)/20)+$G$558</f>
        <v>9.2480000000000047</v>
      </c>
      <c r="I558" s="204">
        <f>(($H$21/100)/20)+$H$558</f>
        <v>9.7920000000000051</v>
      </c>
      <c r="J558" s="204">
        <f>(($H$21/100)/20)+$I$558</f>
        <v>10.336000000000006</v>
      </c>
      <c r="K558" s="204">
        <f>(($H$21/100)/20)+$J$558</f>
        <v>10.880000000000006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44.982271999999966</v>
      </c>
      <c r="H559" s="144">
        <f>(($I$78)*($H$21/100)*H558/2)-(($I$78)*H558^2/2)</f>
        <v>35.845247999999941</v>
      </c>
      <c r="I559" s="144">
        <f>(($I$78)*($H$21/100)*I558/2)-(($I$78)*I558^2/2)</f>
        <v>25.302527999999938</v>
      </c>
      <c r="J559" s="144">
        <f>(($I$78)*($H$21/100)*J558/2)-(($I$78)*J558^2/2)</f>
        <v>13.354111999999901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358.70427885093841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110.38251608039174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64" t="s">
        <v>149</v>
      </c>
      <c r="H565" s="664"/>
      <c r="I565" s="664"/>
      <c r="J565" s="664"/>
      <c r="K565" s="664"/>
      <c r="L565" s="664"/>
      <c r="M565" s="664"/>
      <c r="N565" s="664"/>
    </row>
    <row r="567" spans="7:17" x14ac:dyDescent="0.25">
      <c r="H567" s="667" t="s">
        <v>199</v>
      </c>
      <c r="I567" s="667"/>
      <c r="J567" s="667"/>
      <c r="K567" s="667"/>
      <c r="L567" s="667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530.69891757100845</v>
      </c>
      <c r="J569" s="231" t="s">
        <v>63</v>
      </c>
      <c r="K569" s="353">
        <f t="shared" ref="K569:K578" ca="1" si="29">I569/1000</f>
        <v>0.5306989175710084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-1256.2287313913384</v>
      </c>
      <c r="J570" s="231" t="s">
        <v>63</v>
      </c>
      <c r="K570" s="354">
        <f t="shared" ca="1" si="29"/>
        <v>-1.2562287313913385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-2832.9731728496863</v>
      </c>
      <c r="J571" s="231" t="s">
        <v>63</v>
      </c>
      <c r="K571" s="354">
        <f t="shared" ca="1" si="29"/>
        <v>-2.8329731728496865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-4199.5180443929885</v>
      </c>
      <c r="J572" s="231" t="s">
        <v>63</v>
      </c>
      <c r="K572" s="354">
        <f t="shared" ca="1" si="29"/>
        <v>-4.1995180443929883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-5355.8491798757059</v>
      </c>
      <c r="J573" s="231" t="s">
        <v>63</v>
      </c>
      <c r="K573" s="354">
        <f t="shared" ca="1" si="29"/>
        <v>-5.3558491798757055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-6301.9546031376794</v>
      </c>
      <c r="J574" s="231" t="s">
        <v>63</v>
      </c>
      <c r="K574" s="354">
        <f t="shared" ca="1" si="29"/>
        <v>-6.3019546031376796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-7037.8245227043535</v>
      </c>
      <c r="J575" s="231" t="s">
        <v>63</v>
      </c>
      <c r="K575" s="354">
        <f t="shared" ca="1" si="29"/>
        <v>-7.0378245227043532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-7563.4513274602077</v>
      </c>
      <c r="J576" s="231" t="s">
        <v>63</v>
      </c>
      <c r="K576" s="354">
        <f t="shared" ca="1" si="29"/>
        <v>-7.563451327460208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-7878.8295832896674</v>
      </c>
      <c r="J577" s="231" t="s">
        <v>63</v>
      </c>
      <c r="K577" s="354">
        <f t="shared" ca="1" si="29"/>
        <v>-7.8788295832896678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-7983.9560306809544</v>
      </c>
      <c r="J578" s="231" t="s">
        <v>63</v>
      </c>
      <c r="K578" s="354">
        <f t="shared" ca="1" si="29"/>
        <v>-7.9839560306809547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-7878.8295832896665</v>
      </c>
      <c r="J579" s="231" t="s">
        <v>63</v>
      </c>
      <c r="K579" s="354">
        <f t="shared" ref="K579:K588" ca="1" si="31">I579/1000</f>
        <v>-7.8788295832896669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-7563.451327460205</v>
      </c>
      <c r="J580" s="231" t="s">
        <v>63</v>
      </c>
      <c r="K580" s="354">
        <f t="shared" ca="1" si="31"/>
        <v>-7.5634513274602053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-7037.8245227043517</v>
      </c>
      <c r="J581" s="231" t="s">
        <v>63</v>
      </c>
      <c r="K581" s="354">
        <f t="shared" ca="1" si="31"/>
        <v>-7.0378245227043514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-6301.9546031376749</v>
      </c>
      <c r="J582" s="231" t="s">
        <v>63</v>
      </c>
      <c r="K582" s="354">
        <f t="shared" ca="1" si="31"/>
        <v>-6.3019546031376752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-5355.8491798757004</v>
      </c>
      <c r="J583" s="231" t="s">
        <v>63</v>
      </c>
      <c r="K583" s="354">
        <f t="shared" ca="1" si="31"/>
        <v>-5.3558491798757002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-4199.5180443929758</v>
      </c>
      <c r="J584" s="231" t="s">
        <v>63</v>
      </c>
      <c r="K584" s="354">
        <f t="shared" ca="1" si="31"/>
        <v>-4.1995180443929758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-2832.9731728496763</v>
      </c>
      <c r="J585" s="231" t="s">
        <v>63</v>
      </c>
      <c r="K585" s="354">
        <f t="shared" ca="1" si="31"/>
        <v>-2.8329731728496763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-1256.228731391323</v>
      </c>
      <c r="J586" s="231" t="s">
        <v>63</v>
      </c>
      <c r="K586" s="354">
        <f t="shared" ca="1" si="31"/>
        <v>-1.256228731391323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530.69891757102778</v>
      </c>
      <c r="J587" s="231" t="s">
        <v>63</v>
      </c>
      <c r="K587" s="355">
        <f t="shared" ca="1" si="31"/>
        <v>0.53069891757102783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67" t="s">
        <v>197</v>
      </c>
      <c r="I590" s="667"/>
      <c r="J590" s="667"/>
      <c r="K590" s="667"/>
      <c r="L590" s="667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-7618.8561012645787</v>
      </c>
      <c r="J592" s="231" t="s">
        <v>63</v>
      </c>
      <c r="K592" s="353">
        <f ca="1">I592/1000</f>
        <v>-7.618856101264579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-7610.4958979605899</v>
      </c>
      <c r="J593" s="231" t="s">
        <v>63</v>
      </c>
      <c r="K593" s="354">
        <f ca="1">I593/1000</f>
        <v>-7.6104958979605897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-6028.5553989234841</v>
      </c>
      <c r="J594" s="231" t="s">
        <v>63</v>
      </c>
      <c r="K594" s="354">
        <f t="shared" ref="K594:K611" ca="1" si="33">I594/1000</f>
        <v>-6.0285553989234844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-4657.3912900800588</v>
      </c>
      <c r="J595" s="231" t="s">
        <v>63</v>
      </c>
      <c r="K595" s="354">
        <f t="shared" ca="1" si="33"/>
        <v>-4.6573912900800591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-3497.0674947215821</v>
      </c>
      <c r="J596" s="231" t="s">
        <v>63</v>
      </c>
      <c r="K596" s="354">
        <f t="shared" ca="1" si="33"/>
        <v>-3.4970674947215823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-2547.6380540529672</v>
      </c>
      <c r="J597" s="231" t="s">
        <v>63</v>
      </c>
      <c r="K597" s="354">
        <f t="shared" ca="1" si="33"/>
        <v>-2.5476380540529671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-1809.1471511075295</v>
      </c>
      <c r="J598" s="231" t="s">
        <v>63</v>
      </c>
      <c r="K598" s="354">
        <f t="shared" ca="1" si="33"/>
        <v>-1.8091471511075294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-1281.629130270092</v>
      </c>
      <c r="J599" s="231" t="s">
        <v>63</v>
      </c>
      <c r="K599" s="354">
        <f t="shared" ca="1" si="33"/>
        <v>-1.281629130270092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-965.10851243462139</v>
      </c>
      <c r="J600" s="231" t="s">
        <v>63</v>
      </c>
      <c r="K600" s="354">
        <f t="shared" ca="1" si="33"/>
        <v>-0.96510851243462137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-859.60000581659096</v>
      </c>
      <c r="J601" s="231" t="s">
        <v>63</v>
      </c>
      <c r="K601" s="354">
        <f t="shared" ca="1" si="33"/>
        <v>-0.85960000581659102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-965.10851243462321</v>
      </c>
      <c r="J602" s="231" t="s">
        <v>63</v>
      </c>
      <c r="K602" s="354">
        <f t="shared" ca="1" si="33"/>
        <v>-0.96510851243462326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-1281.6291302700961</v>
      </c>
      <c r="J603" s="231" t="s">
        <v>63</v>
      </c>
      <c r="K603" s="354">
        <f t="shared" ca="1" si="33"/>
        <v>-1.2816291302700962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-1809.1471511075313</v>
      </c>
      <c r="J604" s="231" t="s">
        <v>63</v>
      </c>
      <c r="K604" s="354">
        <f t="shared" ca="1" si="33"/>
        <v>-1.8091471511075312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-2547.6380540529735</v>
      </c>
      <c r="J605" s="231" t="s">
        <v>63</v>
      </c>
      <c r="K605" s="354">
        <f t="shared" ca="1" si="33"/>
        <v>-2.5476380540529737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-3497.0674947215907</v>
      </c>
      <c r="J606" s="231" t="s">
        <v>63</v>
      </c>
      <c r="K606" s="354">
        <f t="shared" ca="1" si="33"/>
        <v>-3.4970674947215907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-4657.3912900800733</v>
      </c>
      <c r="J607" s="231" t="s">
        <v>63</v>
      </c>
      <c r="K607" s="354">
        <f t="shared" ca="1" si="33"/>
        <v>-4.6573912900800734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-6028.5553989234959</v>
      </c>
      <c r="J608" s="231" t="s">
        <v>63</v>
      </c>
      <c r="K608" s="354">
        <f t="shared" ca="1" si="33"/>
        <v>-6.0285553989234959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-7610.4958979606072</v>
      </c>
      <c r="J609" s="231" t="s">
        <v>63</v>
      </c>
      <c r="K609" s="354">
        <f t="shared" ca="1" si="33"/>
        <v>-7.6104958979606074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-7618.8561012646005</v>
      </c>
      <c r="J610" s="231" t="s">
        <v>63</v>
      </c>
      <c r="K610" s="355">
        <f t="shared" ca="1" si="33"/>
        <v>-7.6188561012646003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64" t="s">
        <v>149</v>
      </c>
      <c r="H638" s="664"/>
      <c r="I638" s="664"/>
      <c r="J638" s="664"/>
      <c r="K638" s="664"/>
      <c r="L638" s="664"/>
      <c r="M638" s="664"/>
      <c r="N638" s="664"/>
    </row>
    <row r="639" spans="7:17" x14ac:dyDescent="0.25">
      <c r="L639" s="144"/>
      <c r="M639" s="144"/>
      <c r="N639" s="144"/>
    </row>
    <row r="640" spans="7:17" x14ac:dyDescent="0.25">
      <c r="H640" s="667" t="s">
        <v>200</v>
      </c>
      <c r="I640" s="667"/>
      <c r="J640" s="667"/>
      <c r="K640" s="667"/>
      <c r="L640" s="667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797.60964108554674</v>
      </c>
      <c r="J642" s="231" t="s">
        <v>63</v>
      </c>
      <c r="K642" s="353">
        <f t="shared" ref="K642:K651" ca="1" si="34">I642/1000</f>
        <v>0.79760964108554677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-750.50314999537136</v>
      </c>
      <c r="J643" s="231" t="s">
        <v>63</v>
      </c>
      <c r="K643" s="354">
        <f t="shared" ca="1" si="34"/>
        <v>-0.75050314999537138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-2116.5285992053991</v>
      </c>
      <c r="J644" s="231" t="s">
        <v>63</v>
      </c>
      <c r="K644" s="354">
        <f t="shared" ca="1" si="34"/>
        <v>-2.1165285992053993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-3300.4503441334909</v>
      </c>
      <c r="J645" s="231" t="s">
        <v>63</v>
      </c>
      <c r="K645" s="354">
        <f t="shared" ca="1" si="34"/>
        <v>-3.3004503441334911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-4302.254218634107</v>
      </c>
      <c r="J646" s="231" t="s">
        <v>63</v>
      </c>
      <c r="K646" s="354">
        <f t="shared" ca="1" si="34"/>
        <v>-4.3022542186341068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-5121.9282465470897</v>
      </c>
      <c r="J647" s="231" t="s">
        <v>63</v>
      </c>
      <c r="K647" s="354">
        <f t="shared" ca="1" si="34"/>
        <v>-5.1219282465470899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-5759.4626363978805</v>
      </c>
      <c r="J648" s="231" t="s">
        <v>63</v>
      </c>
      <c r="K648" s="354">
        <f t="shared" ca="1" si="34"/>
        <v>-5.7594626363978803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-6214.849777070961</v>
      </c>
      <c r="J649" s="231" t="s">
        <v>63</v>
      </c>
      <c r="K649" s="354">
        <f t="shared" ca="1" si="34"/>
        <v>-6.2148497770709605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-6488.0842344507582</v>
      </c>
      <c r="J650" s="231" t="s">
        <v>63</v>
      </c>
      <c r="K650" s="354">
        <f t="shared" ca="1" si="34"/>
        <v>-6.4880842344507581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-6579.1627490254887</v>
      </c>
      <c r="J651" s="231" t="s">
        <v>63</v>
      </c>
      <c r="K651" s="354">
        <f t="shared" ca="1" si="34"/>
        <v>-6.5791627490254889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-6488.0842344507564</v>
      </c>
      <c r="J652" s="231" t="s">
        <v>63</v>
      </c>
      <c r="K652" s="354">
        <f t="shared" ref="K652:K661" ca="1" si="36">I652/1000</f>
        <v>-6.4880842344507563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-6214.8497770709591</v>
      </c>
      <c r="J653" s="231" t="s">
        <v>63</v>
      </c>
      <c r="K653" s="354">
        <f t="shared" ca="1" si="36"/>
        <v>-6.2148497770709588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-5759.4626363978787</v>
      </c>
      <c r="J654" s="231" t="s">
        <v>63</v>
      </c>
      <c r="K654" s="354">
        <f t="shared" ca="1" si="36"/>
        <v>-5.7594626363978785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-5121.928246547086</v>
      </c>
      <c r="J655" s="231" t="s">
        <v>63</v>
      </c>
      <c r="K655" s="354">
        <f t="shared" ca="1" si="36"/>
        <v>-5.1219282465470863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-4302.2542186341025</v>
      </c>
      <c r="J656" s="231" t="s">
        <v>63</v>
      </c>
      <c r="K656" s="354">
        <f t="shared" ca="1" si="36"/>
        <v>-4.3022542186341024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-3300.45034413348</v>
      </c>
      <c r="J657" s="231" t="s">
        <v>63</v>
      </c>
      <c r="K657" s="354">
        <f t="shared" ca="1" si="36"/>
        <v>-3.30045034413348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-2116.5285992053909</v>
      </c>
      <c r="J658" s="231" t="s">
        <v>63</v>
      </c>
      <c r="K658" s="354">
        <f t="shared" ca="1" si="36"/>
        <v>-2.1165285992053908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-750.50314999535715</v>
      </c>
      <c r="J659" s="231" t="s">
        <v>63</v>
      </c>
      <c r="K659" s="354">
        <f t="shared" ca="1" si="36"/>
        <v>-0.75050314999535717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797.60964108556391</v>
      </c>
      <c r="J660" s="231" t="s">
        <v>63</v>
      </c>
      <c r="K660" s="355">
        <f t="shared" ca="1" si="36"/>
        <v>0.79760964108556387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67" t="s">
        <v>198</v>
      </c>
      <c r="I664" s="667"/>
      <c r="J664" s="667"/>
      <c r="K664" s="667"/>
      <c r="L664" s="667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-7913.0833759598381</v>
      </c>
      <c r="J666" s="231" t="s">
        <v>63</v>
      </c>
      <c r="K666" s="353">
        <f t="shared" ref="K666:K675" ca="1" si="37">I666/1000</f>
        <v>-7.9130833759598378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-8167.9791552779234</v>
      </c>
      <c r="J667" s="231" t="s">
        <v>63</v>
      </c>
      <c r="K667" s="354">
        <f t="shared" ca="1" si="37"/>
        <v>-8.1679791552779228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-6818.3233467897062</v>
      </c>
      <c r="J668" s="231" t="s">
        <v>63</v>
      </c>
      <c r="K668" s="354">
        <f t="shared" ca="1" si="37"/>
        <v>-6.8183233467897058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-5648.472636421985</v>
      </c>
      <c r="J669" s="231" t="s">
        <v>63</v>
      </c>
      <c r="K669" s="354">
        <f t="shared" ca="1" si="37"/>
        <v>-5.6484726364219853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-4658.4909474660262</v>
      </c>
      <c r="J670" s="231" t="s">
        <v>63</v>
      </c>
      <c r="K670" s="354">
        <f t="shared" ca="1" si="37"/>
        <v>-4.6584909474660261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-3848.4323211267447</v>
      </c>
      <c r="J671" s="231" t="s">
        <v>63</v>
      </c>
      <c r="K671" s="354">
        <f t="shared" ca="1" si="37"/>
        <v>-3.8484323211267446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-3218.3409404374552</v>
      </c>
      <c r="J672" s="231" t="s">
        <v>63</v>
      </c>
      <c r="K672" s="354">
        <f t="shared" ca="1" si="37"/>
        <v>-3.218340940437455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-2768.251149782981</v>
      </c>
      <c r="J673" s="231" t="s">
        <v>63</v>
      </c>
      <c r="K673" s="354">
        <f t="shared" ca="1" si="37"/>
        <v>-2.7682511497829809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-2498.187470057288</v>
      </c>
      <c r="J674" s="231" t="s">
        <v>63</v>
      </c>
      <c r="K674" s="354">
        <f t="shared" ca="1" si="37"/>
        <v>-2.4981874700572879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-2408.1646094758503</v>
      </c>
      <c r="J675" s="231" t="s">
        <v>63</v>
      </c>
      <c r="K675" s="354">
        <f t="shared" ca="1" si="37"/>
        <v>-2.4081646094758504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-2498.1874700572898</v>
      </c>
      <c r="J676" s="231" t="s">
        <v>63</v>
      </c>
      <c r="K676" s="354">
        <f t="shared" ref="K676:K685" ca="1" si="39">I676/1000</f>
        <v>-2.4981874700572897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-2768.2511497829846</v>
      </c>
      <c r="J677" s="231" t="s">
        <v>63</v>
      </c>
      <c r="K677" s="354">
        <f t="shared" ca="1" si="39"/>
        <v>-2.7682511497829845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-3218.340940437457</v>
      </c>
      <c r="J678" s="231" t="s">
        <v>63</v>
      </c>
      <c r="K678" s="354">
        <f t="shared" ca="1" si="39"/>
        <v>-3.2183409404374568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-3848.4323211267506</v>
      </c>
      <c r="J679" s="231" t="s">
        <v>63</v>
      </c>
      <c r="K679" s="354">
        <f t="shared" ca="1" si="39"/>
        <v>-3.8484323211267504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-4658.4909474660344</v>
      </c>
      <c r="J680" s="231" t="s">
        <v>63</v>
      </c>
      <c r="K680" s="354">
        <f t="shared" ca="1" si="39"/>
        <v>-4.6584909474660341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-5648.4726364219978</v>
      </c>
      <c r="J681" s="231" t="s">
        <v>63</v>
      </c>
      <c r="K681" s="354">
        <f t="shared" ca="1" si="39"/>
        <v>-5.6484726364219977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-6818.3233467897162</v>
      </c>
      <c r="J682" s="231" t="s">
        <v>63</v>
      </c>
      <c r="K682" s="354">
        <f t="shared" ca="1" si="39"/>
        <v>-6.8183233467897164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-8167.9791552779388</v>
      </c>
      <c r="J683" s="231" t="s">
        <v>63</v>
      </c>
      <c r="K683" s="354">
        <f t="shared" ca="1" si="39"/>
        <v>-8.1679791552779388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-7913.0833759598572</v>
      </c>
      <c r="J684" s="231" t="s">
        <v>63</v>
      </c>
      <c r="K684" s="355">
        <f t="shared" ca="1" si="39"/>
        <v>-7.9130833759598573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99" t="s">
        <v>149</v>
      </c>
      <c r="J713" s="699"/>
      <c r="K713" s="699"/>
      <c r="L713" s="699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85" t="str">
        <f>IF($I$16="1 - Retângular","Ok",IF((#REF!/100)&lt;J715,"OBS: Valor da linha neutra é MAIOR que hf1 - armadura ativa necessita verificação","Ok"))</f>
        <v>Ok</v>
      </c>
      <c r="M716" s="685"/>
      <c r="N716" s="685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85"/>
      <c r="M717" s="685"/>
      <c r="N717" s="685"/>
    </row>
    <row r="718" spans="9:17" hidden="1" x14ac:dyDescent="0.25">
      <c r="J718" s="121"/>
      <c r="K718" s="231"/>
      <c r="L718" s="685"/>
      <c r="M718" s="685"/>
      <c r="N718" s="685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99" t="s">
        <v>155</v>
      </c>
      <c r="J722" s="699"/>
      <c r="K722" s="699"/>
      <c r="L722" s="699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85" t="str">
        <f>IF($I$16="1 - Retângular","Ok",IF((#REF!/100)&lt;J724,"OBS: Valor da linha neutra é MAIOR que hf1 - armadura ativa necessita verificação","Ok"))</f>
        <v>Ok</v>
      </c>
      <c r="M725" s="685"/>
      <c r="N725" s="685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85"/>
      <c r="M726" s="685"/>
      <c r="N726" s="685"/>
    </row>
    <row r="727" spans="7:17" hidden="1" x14ac:dyDescent="0.25">
      <c r="J727" s="121"/>
      <c r="L727" s="685"/>
      <c r="M727" s="685"/>
      <c r="N727" s="685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72" t="s">
        <v>166</v>
      </c>
      <c r="H730" s="672"/>
      <c r="I730" s="672"/>
      <c r="L730" s="144"/>
      <c r="M730" s="144"/>
      <c r="N730" s="144"/>
      <c r="O730" s="144"/>
      <c r="P730" s="144"/>
      <c r="Q730" s="144"/>
    </row>
    <row r="731" spans="7:17" hidden="1" x14ac:dyDescent="0.25">
      <c r="G731" s="673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73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73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73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64" t="s">
        <v>441</v>
      </c>
      <c r="H736" s="664"/>
      <c r="I736" s="664"/>
      <c r="J736" s="664"/>
      <c r="K736" s="664"/>
      <c r="L736" s="664"/>
      <c r="M736" s="664"/>
      <c r="N736" s="664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74" t="s">
        <v>167</v>
      </c>
      <c r="H738" s="675"/>
      <c r="I738" s="675"/>
      <c r="J738" s="675"/>
      <c r="K738" s="675"/>
      <c r="L738" s="675"/>
      <c r="M738" s="675"/>
      <c r="N738" s="676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0.54400000000000004</v>
      </c>
      <c r="I740" s="119">
        <f>(($H$21/100)/20)+$H$740</f>
        <v>1.0880000000000001</v>
      </c>
      <c r="J740" s="119">
        <f>(($H$21/100)/20)+$I$740</f>
        <v>1.6320000000000001</v>
      </c>
      <c r="K740" s="119">
        <f>(($H$21/100)/20)+$J$740</f>
        <v>2.1760000000000002</v>
      </c>
      <c r="L740" s="119">
        <f>(($H$21/100)/20)+$K$740</f>
        <v>2.72</v>
      </c>
      <c r="M740" s="119">
        <f>(($H$21/100)/20)+$L$740</f>
        <v>3.2640000000000002</v>
      </c>
      <c r="N740" s="119">
        <f>(($H$21/100)/20)+$M$740</f>
        <v>3.8080000000000003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13.140654230879697</v>
      </c>
      <c r="I741" s="144">
        <f t="shared" ca="1" si="41"/>
        <v>24.898081700614163</v>
      </c>
      <c r="J741" s="144">
        <f t="shared" ca="1" si="41"/>
        <v>35.272282409203399</v>
      </c>
      <c r="K741" s="144">
        <f t="shared" ca="1" si="41"/>
        <v>44.263256356647403</v>
      </c>
      <c r="L741" s="144">
        <f t="shared" ca="1" si="41"/>
        <v>51.87100354294617</v>
      </c>
      <c r="M741" s="144">
        <f t="shared" ca="1" si="41"/>
        <v>58.09552396809972</v>
      </c>
      <c r="N741" s="144">
        <f t="shared" ca="1" si="41"/>
        <v>62.936817632108024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4.3520000000000003</v>
      </c>
      <c r="H743" s="119">
        <f>(($H$21/100)/20)+$G$743</f>
        <v>4.8960000000000008</v>
      </c>
      <c r="I743" s="119">
        <f>(($H$21/100)/20)+$H$743</f>
        <v>5.4400000000000013</v>
      </c>
      <c r="J743" s="119">
        <f>(($H$21/100)/20)+$I$743</f>
        <v>5.9840000000000018</v>
      </c>
      <c r="K743" s="119">
        <f>(($H$21/100)/20)+$J$743</f>
        <v>6.5280000000000022</v>
      </c>
      <c r="L743" s="119">
        <f>(($H$21/100)/20)+$K$743</f>
        <v>7.0720000000000027</v>
      </c>
      <c r="M743" s="119">
        <f>(($H$21/100)/20)+$L$743</f>
        <v>7.6160000000000032</v>
      </c>
      <c r="N743" s="119">
        <f>(($H$21/100)/20)+$M$743</f>
        <v>8.1600000000000037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66.394884534971112</v>
      </c>
      <c r="H744" s="144">
        <f t="shared" ca="1" si="42"/>
        <v>68.469724676688941</v>
      </c>
      <c r="I744" s="144">
        <f t="shared" ca="1" si="42"/>
        <v>69.16133805726156</v>
      </c>
      <c r="J744" s="144">
        <f t="shared" ca="1" si="42"/>
        <v>68.469724676688941</v>
      </c>
      <c r="K744" s="144">
        <f t="shared" ca="1" si="42"/>
        <v>66.394884534971084</v>
      </c>
      <c r="L744" s="144">
        <f t="shared" ca="1" si="42"/>
        <v>62.936817632108003</v>
      </c>
      <c r="M744" s="144">
        <f t="shared" ca="1" si="42"/>
        <v>58.095523968099684</v>
      </c>
      <c r="N744" s="144">
        <f t="shared" ca="1" si="42"/>
        <v>51.871003542946141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8.7040000000000042</v>
      </c>
      <c r="H746" s="119">
        <f>(($H$21/100)/20)+$G$746</f>
        <v>9.2480000000000047</v>
      </c>
      <c r="I746" s="119">
        <f>(($H$21/100)/20)+$H$746</f>
        <v>9.7920000000000051</v>
      </c>
      <c r="J746" s="119">
        <f>(($H$21/100)/20)+$I$746</f>
        <v>10.336000000000006</v>
      </c>
      <c r="K746" s="119">
        <f>(($H$21/100)/20)+$J$746</f>
        <v>10.880000000000006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44.263256356647332</v>
      </c>
      <c r="H747" s="144">
        <f ca="1">($I$73*($H$21/100)*H746/2)-($I$73*H746^2/2)</f>
        <v>35.272282409203314</v>
      </c>
      <c r="I747" s="144">
        <f ca="1">($I$73*($H$21/100)*I746/2)-($I$73*I746^2/2)</f>
        <v>24.898081700614085</v>
      </c>
      <c r="J747" s="144">
        <f ca="1">($I$73*($H$21/100)*J746/2)-($I$73*J746^2/2)</f>
        <v>13.140654230879591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863.99229541891361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1079.990369273642</v>
      </c>
      <c r="I749" s="231" t="s">
        <v>96</v>
      </c>
      <c r="J749" s="239">
        <f ca="1">-H749/(H36/100^2)-(H750/(H40/100^3))</f>
        <v>-14732.671740035661</v>
      </c>
      <c r="K749" s="375">
        <f ca="1">J749/1000</f>
        <v>-14.732671740035661</v>
      </c>
      <c r="L749" s="144"/>
      <c r="M749" s="144">
        <f ca="1">M748/H36</f>
        <v>0.46211950043064193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126.0435557666454</v>
      </c>
      <c r="I750" s="231" t="s">
        <v>96</v>
      </c>
      <c r="J750" s="239">
        <f ca="1">-H749/(H36/100^2)+(H750/(H40/100^3))</f>
        <v>3179.6842292696128</v>
      </c>
      <c r="K750" s="375">
        <f ca="1">J750/1000</f>
        <v>3.179684229269613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67" t="s">
        <v>181</v>
      </c>
      <c r="I753" s="667"/>
      <c r="J753" s="667"/>
      <c r="K753" s="667"/>
      <c r="L753" s="667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2192.794660643613</v>
      </c>
      <c r="J755" s="231" t="s">
        <v>63</v>
      </c>
      <c r="K755" s="353">
        <f t="shared" ref="K755:K763" ca="1" si="43">I755/1000</f>
        <v>2.1927946606436128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1368.5143319616138</v>
      </c>
      <c r="J756" s="231" t="s">
        <v>63</v>
      </c>
      <c r="K756" s="354">
        <f t="shared" ca="1" si="43"/>
        <v>1.3685143319616138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641.2081595951413</v>
      </c>
      <c r="J757" s="231" t="s">
        <v>63</v>
      </c>
      <c r="K757" s="354">
        <f t="shared" ca="1" si="43"/>
        <v>0.64120815959514132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10.876143544201113</v>
      </c>
      <c r="J758" s="231" t="s">
        <v>63</v>
      </c>
      <c r="K758" s="354">
        <f t="shared" ca="1" si="43"/>
        <v>1.0876143544201113E-2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-522.48171619121058</v>
      </c>
      <c r="J759" s="231" t="s">
        <v>63</v>
      </c>
      <c r="K759" s="354">
        <f t="shared" ca="1" si="43"/>
        <v>-0.52248171619121053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-958.86541961109288</v>
      </c>
      <c r="J760" s="231" t="s">
        <v>63</v>
      </c>
      <c r="K760" s="354">
        <f t="shared" ca="1" si="43"/>
        <v>-0.95886541961109284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-1298.2749667154467</v>
      </c>
      <c r="J761" s="231" t="s">
        <v>63</v>
      </c>
      <c r="K761" s="354">
        <f t="shared" ca="1" si="43"/>
        <v>-1.2982749667154467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-1540.7103575042711</v>
      </c>
      <c r="J762" s="231" t="s">
        <v>63</v>
      </c>
      <c r="K762" s="354">
        <f t="shared" ca="1" si="43"/>
        <v>-1.5407103575042711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-1686.1715919775634</v>
      </c>
      <c r="J763" s="231" t="s">
        <v>63</v>
      </c>
      <c r="K763" s="354">
        <f t="shared" ca="1" si="43"/>
        <v>-1.6861715919775633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-1734.6586701353281</v>
      </c>
      <c r="J764" s="231" t="s">
        <v>63</v>
      </c>
      <c r="K764" s="354">
        <f ca="1">I764/1000</f>
        <v>-1.7346586701353282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-1686.1715919775634</v>
      </c>
      <c r="J765" s="231" t="s">
        <v>63</v>
      </c>
      <c r="K765" s="354">
        <f t="shared" ref="K765:K774" ca="1" si="45">I765/1000</f>
        <v>-1.6861715919775633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-1540.7103575042693</v>
      </c>
      <c r="J766" s="231" t="s">
        <v>63</v>
      </c>
      <c r="K766" s="354">
        <f t="shared" ca="1" si="45"/>
        <v>-1.5407103575042693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-1298.2749667154449</v>
      </c>
      <c r="J767" s="231" t="s">
        <v>63</v>
      </c>
      <c r="K767" s="354">
        <f t="shared" ca="1" si="45"/>
        <v>-1.298274966715445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-958.86541961109106</v>
      </c>
      <c r="J768" s="231" t="s">
        <v>63</v>
      </c>
      <c r="K768" s="354">
        <f t="shared" ca="1" si="45"/>
        <v>-0.95886541961109106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-522.48171619120831</v>
      </c>
      <c r="J769" s="231" t="s">
        <v>63</v>
      </c>
      <c r="K769" s="354">
        <f t="shared" ca="1" si="45"/>
        <v>-0.52248171619120831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10.876143544206116</v>
      </c>
      <c r="J770" s="231" t="s">
        <v>63</v>
      </c>
      <c r="K770" s="354">
        <f t="shared" ca="1" si="45"/>
        <v>1.0876143544206116E-2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641.20815959514721</v>
      </c>
      <c r="J771" s="231" t="s">
        <v>63</v>
      </c>
      <c r="K771" s="354">
        <f t="shared" ca="1" si="45"/>
        <v>0.64120815959514721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1368.5143319616195</v>
      </c>
      <c r="J772" s="231" t="s">
        <v>63</v>
      </c>
      <c r="K772" s="354">
        <f t="shared" ca="1" si="45"/>
        <v>1.3685143319616195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2192.7946606436208</v>
      </c>
      <c r="J773" s="231" t="s">
        <v>63</v>
      </c>
      <c r="K773" s="355">
        <f t="shared" ca="1" si="45"/>
        <v>2.1927946606436208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67" t="s">
        <v>168</v>
      </c>
      <c r="I776" s="667"/>
      <c r="J776" s="667"/>
      <c r="K776" s="667"/>
      <c r="L776" s="667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-11049.487175611061</v>
      </c>
      <c r="J778" s="231" t="s">
        <v>63</v>
      </c>
      <c r="K778" s="353">
        <f t="shared" ref="K778:K787" ca="1" si="46">I778/1000</f>
        <v>-11.049487175611061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-12465.274457052277</v>
      </c>
      <c r="J779" s="231" t="s">
        <v>63</v>
      </c>
      <c r="K779" s="354">
        <f t="shared" ca="1" si="46"/>
        <v>-12.465274457052278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-11804.209598246449</v>
      </c>
      <c r="J780" s="231" t="s">
        <v>63</v>
      </c>
      <c r="K780" s="354">
        <f t="shared" ca="1" si="46"/>
        <v>-11.804209598246448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-11231.286720614735</v>
      </c>
      <c r="J781" s="231" t="s">
        <v>63</v>
      </c>
      <c r="K781" s="354">
        <f t="shared" ca="1" si="46"/>
        <v>-11.231286720614735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-10746.50582415713</v>
      </c>
      <c r="J782" s="231" t="s">
        <v>63</v>
      </c>
      <c r="K782" s="354">
        <f t="shared" ca="1" si="46"/>
        <v>-10.746505824157129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-10349.866908873628</v>
      </c>
      <c r="J783" s="231" t="s">
        <v>63</v>
      </c>
      <c r="K783" s="354">
        <f t="shared" ca="1" si="46"/>
        <v>-10.349866908873627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-10041.369974764242</v>
      </c>
      <c r="J784" s="231" t="s">
        <v>63</v>
      </c>
      <c r="K784" s="354">
        <f t="shared" ca="1" si="46"/>
        <v>-10.041369974764242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-9821.0150218289691</v>
      </c>
      <c r="J785" s="231" t="s">
        <v>63</v>
      </c>
      <c r="K785" s="354">
        <f t="shared" ca="1" si="46"/>
        <v>-9.8210150218289698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-9688.8020500678031</v>
      </c>
      <c r="J786" s="231" t="s">
        <v>63</v>
      </c>
      <c r="K786" s="354">
        <f t="shared" ca="1" si="46"/>
        <v>-9.6888020500678032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-9644.7310594807459</v>
      </c>
      <c r="J787" s="231" t="s">
        <v>63</v>
      </c>
      <c r="K787" s="354">
        <f t="shared" ca="1" si="46"/>
        <v>-9.6447310594807458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-9688.8020500678031</v>
      </c>
      <c r="J788" s="231" t="s">
        <v>63</v>
      </c>
      <c r="K788" s="354">
        <f t="shared" ref="K788:K797" ca="1" si="48">I788/1000</f>
        <v>-9.6888020500678032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-9821.0150218289709</v>
      </c>
      <c r="J789" s="231" t="s">
        <v>63</v>
      </c>
      <c r="K789" s="354">
        <f t="shared" ca="1" si="48"/>
        <v>-9.8210150218289716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-10041.369974764244</v>
      </c>
      <c r="J790" s="231" t="s">
        <v>63</v>
      </c>
      <c r="K790" s="354">
        <f t="shared" ca="1" si="48"/>
        <v>-10.041369974764244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-10349.866908873631</v>
      </c>
      <c r="J791" s="231" t="s">
        <v>63</v>
      </c>
      <c r="K791" s="354">
        <f t="shared" ca="1" si="48"/>
        <v>-10.349866908873631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-10746.505824157131</v>
      </c>
      <c r="J792" s="231" t="s">
        <v>63</v>
      </c>
      <c r="K792" s="354">
        <f t="shared" ca="1" si="48"/>
        <v>-10.746505824157131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-11231.28672061474</v>
      </c>
      <c r="J793" s="231" t="s">
        <v>63</v>
      </c>
      <c r="K793" s="354">
        <f t="shared" ca="1" si="48"/>
        <v>-11.23128672061474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-11804.209598246454</v>
      </c>
      <c r="J794" s="231" t="s">
        <v>63</v>
      </c>
      <c r="K794" s="354">
        <f t="shared" ca="1" si="48"/>
        <v>-11.804209598246455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-12465.274457052283</v>
      </c>
      <c r="J795" s="231" t="s">
        <v>63</v>
      </c>
      <c r="K795" s="354">
        <f t="shared" ca="1" si="48"/>
        <v>-12.465274457052283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-11049.487175611068</v>
      </c>
      <c r="J796" s="231" t="s">
        <v>63</v>
      </c>
      <c r="K796" s="355">
        <f t="shared" ca="1" si="48"/>
        <v>-11.049487175611068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72" t="s">
        <v>180</v>
      </c>
      <c r="H821" s="672"/>
      <c r="I821" s="672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4.4878925928853279E-2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61.506418220131266</v>
      </c>
      <c r="K830" s="231" t="s">
        <v>96</v>
      </c>
      <c r="L830" s="685" t="str">
        <f>IF($I$16="1 - Retângular","Ok",IF((#REF!/100)&lt;J829,"OBS: Valor da linha neutra é MAIOR que hf1 - armadura ativa necessita verificação","Ok"))</f>
        <v>Ok</v>
      </c>
      <c r="M830" s="685"/>
      <c r="N830" s="685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2.8292952381260381</v>
      </c>
      <c r="K831" s="231" t="s">
        <v>14</v>
      </c>
      <c r="L831" s="685"/>
      <c r="M831" s="685"/>
      <c r="N831" s="685"/>
      <c r="T831" s="118"/>
    </row>
    <row r="832" spans="7:20" ht="15.75" hidden="1" customHeight="1" x14ac:dyDescent="0.25">
      <c r="J832" s="121"/>
      <c r="L832" s="685"/>
      <c r="M832" s="685"/>
      <c r="N832" s="685"/>
      <c r="T832" s="118"/>
    </row>
    <row r="833" spans="8:20" ht="15.75" hidden="1" customHeight="1" x14ac:dyDescent="0.25">
      <c r="I833" s="209">
        <f ca="1">ROUNDUP(J831/VLOOKUP(K833,$M$836:$N$843,2),0)</f>
        <v>4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91" t="s">
        <v>188</v>
      </c>
      <c r="J836" s="691"/>
      <c r="K836" s="691"/>
      <c r="L836" s="691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92"/>
      <c r="J837" s="692"/>
      <c r="K837" s="692"/>
      <c r="L837" s="692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93"/>
      <c r="J838" s="693"/>
      <c r="K838" s="693"/>
      <c r="L838" s="693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94" t="s">
        <v>189</v>
      </c>
      <c r="J839" s="694"/>
      <c r="K839" s="694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72" t="s">
        <v>190</v>
      </c>
      <c r="J840" s="672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72">
        <v>25</v>
      </c>
      <c r="J841" s="672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72">
        <v>16</v>
      </c>
      <c r="J842" s="672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72">
        <v>12.5</v>
      </c>
      <c r="J843" s="672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72">
        <v>8</v>
      </c>
      <c r="J844" s="672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49">
        <v>6</v>
      </c>
      <c r="J845" s="749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315.05885815604012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0.11486520870272295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0.33869687860613601</v>
      </c>
      <c r="I854" s="284" t="str">
        <f ca="1">IF(H855&gt;=H854,"Armadura simples","Armadura dupla")</f>
        <v>Armadura simples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0.17481129218381211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0.93108087477836632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10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96" t="str">
        <f ca="1">IF(H854&lt;H852,"Domínio 2",IF(AND(H854&gt;H852,H854&lt;H853),"Domínio 3",IF(H854&gt;H853,"Domínio 4")))</f>
        <v>Domínio 3</v>
      </c>
      <c r="K857" s="695" t="s">
        <v>183</v>
      </c>
      <c r="L857" s="259">
        <f ca="1">((H23+H30+H33-H144)/100)*L854</f>
        <v>0.10838300115396352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97"/>
      <c r="K858" s="695"/>
      <c r="L858" s="240">
        <f ca="1">L857*100</f>
        <v>10.838300115396352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64" t="s">
        <v>560</v>
      </c>
      <c r="H860" s="664"/>
      <c r="I860" s="664"/>
      <c r="J860" s="664"/>
      <c r="K860" s="664"/>
      <c r="L860" s="664"/>
      <c r="M860" s="664"/>
      <c r="N860" s="664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72" t="s">
        <v>561</v>
      </c>
      <c r="H862" s="672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72" t="s">
        <v>571</v>
      </c>
      <c r="H870" s="672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72" t="s">
        <v>573</v>
      </c>
      <c r="H878" s="672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14.791289109150915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7.0211101571731618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7.0211101571731618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81" t="s">
        <v>503</v>
      </c>
      <c r="J894" s="681"/>
      <c r="K894" s="681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86" t="s">
        <v>499</v>
      </c>
      <c r="J895" s="686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86"/>
      <c r="J896" s="686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87">
        <f ca="1">H888</f>
        <v>14.791289109150915</v>
      </c>
      <c r="J897" s="687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150.6081672080264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64" t="s">
        <v>574</v>
      </c>
      <c r="H907" s="664"/>
      <c r="I907" s="664"/>
      <c r="J907" s="664"/>
      <c r="K907" s="664"/>
      <c r="L907" s="664"/>
      <c r="M907" s="664"/>
      <c r="N907" s="664"/>
    </row>
    <row r="908" spans="7:35" hidden="1" x14ac:dyDescent="0.25"/>
    <row r="909" spans="7:35" hidden="1" x14ac:dyDescent="0.25">
      <c r="G909" s="672" t="s">
        <v>466</v>
      </c>
      <c r="H909" s="672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958.25782183018293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4.7912891091509149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72" t="s">
        <v>433</v>
      </c>
      <c r="H914" s="672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363.4288539523186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1.8171442697615929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64" t="s">
        <v>442</v>
      </c>
      <c r="H920" s="664"/>
      <c r="I920" s="664"/>
      <c r="J920" s="664"/>
      <c r="K920" s="664"/>
      <c r="L920" s="664"/>
      <c r="M920" s="664"/>
      <c r="N920" s="664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1079.990369273642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126.04355576664541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272.34959856623317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69.161338057261574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945.80047014639047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110.38251608039174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280.86685033406144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230.18829088926162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64" t="s">
        <v>232</v>
      </c>
      <c r="H943" s="664"/>
      <c r="I943" s="664"/>
      <c r="J943" s="664"/>
      <c r="K943" s="664"/>
      <c r="L943" s="664"/>
      <c r="M943" s="664"/>
      <c r="N943" s="664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98" t="s">
        <v>235</v>
      </c>
      <c r="I945" s="698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1459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1460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69" t="s">
        <v>262</v>
      </c>
      <c r="I951" s="264">
        <f ca="1">(5*I73*(H21/100)^4)/(384*(H37/100^4)*I947)</f>
        <v>1.3444424504395567E-2</v>
      </c>
      <c r="J951" s="231" t="s">
        <v>83</v>
      </c>
      <c r="K951" s="669" t="s">
        <v>233</v>
      </c>
      <c r="L951" s="264">
        <f ca="1">(5*I74*(H21/100)^4)/(384*(H37/100^4)*L949)</f>
        <v>4.7167792774051537E-4</v>
      </c>
      <c r="M951" s="231" t="s">
        <v>83</v>
      </c>
    </row>
    <row r="952" spans="8:14" hidden="1" x14ac:dyDescent="0.25">
      <c r="H952" s="670"/>
      <c r="I952" s="265">
        <f ca="1">I951*100</f>
        <v>1.3444424504395567</v>
      </c>
      <c r="J952" s="231" t="s">
        <v>80</v>
      </c>
      <c r="K952" s="670"/>
      <c r="L952" s="266">
        <f ca="1">L951*100</f>
        <v>4.7167792774051538E-2</v>
      </c>
      <c r="M952" s="231" t="s">
        <v>80</v>
      </c>
    </row>
    <row r="953" spans="8:14" hidden="1" x14ac:dyDescent="0.25">
      <c r="H953" s="671"/>
      <c r="I953" s="265">
        <f ca="1">I952*10</f>
        <v>13.444424504395567</v>
      </c>
      <c r="J953" s="231" t="s">
        <v>187</v>
      </c>
      <c r="K953" s="671"/>
      <c r="L953" s="266">
        <f ca="1">L952*10</f>
        <v>0.47167792774051537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98" t="s">
        <v>242</v>
      </c>
      <c r="I958" s="698"/>
      <c r="K958" s="698" t="s">
        <v>243</v>
      </c>
      <c r="L958" s="698"/>
    </row>
    <row r="959" spans="8:14" hidden="1" x14ac:dyDescent="0.25"/>
    <row r="960" spans="8:14" hidden="1" x14ac:dyDescent="0.25">
      <c r="H960" s="115" t="s">
        <v>1461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69" t="s">
        <v>241</v>
      </c>
      <c r="I962" s="264">
        <f ca="1">(5*I75*(H21/100)^4)/(384*(H37/100^4)*I960)</f>
        <v>5.0509183059059782E-3</v>
      </c>
      <c r="J962" s="231" t="s">
        <v>83</v>
      </c>
      <c r="K962" s="669" t="s">
        <v>244</v>
      </c>
      <c r="L962" s="264">
        <f ca="1">(5*I76*(H21/100)^4)/(384*(I37/100^4)*L960)</f>
        <v>5.6116158991020701E-3</v>
      </c>
      <c r="M962" s="231" t="s">
        <v>83</v>
      </c>
    </row>
    <row r="963" spans="8:13" hidden="1" x14ac:dyDescent="0.25">
      <c r="H963" s="670"/>
      <c r="I963" s="266">
        <f ca="1">I962*100</f>
        <v>0.50509183059059781</v>
      </c>
      <c r="J963" s="231" t="s">
        <v>80</v>
      </c>
      <c r="K963" s="670"/>
      <c r="L963" s="266">
        <f ca="1">L962*100</f>
        <v>0.56116158991020704</v>
      </c>
      <c r="M963" s="231" t="s">
        <v>80</v>
      </c>
    </row>
    <row r="964" spans="8:13" hidden="1" x14ac:dyDescent="0.25">
      <c r="H964" s="671"/>
      <c r="I964" s="266">
        <f ca="1">I963*10</f>
        <v>5.0509183059059781</v>
      </c>
      <c r="J964" s="231" t="s">
        <v>187</v>
      </c>
      <c r="K964" s="671"/>
      <c r="L964" s="266">
        <f ca="1">L963*10</f>
        <v>5.6116158991020706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98" t="s">
        <v>245</v>
      </c>
      <c r="I968" s="698"/>
      <c r="K968" s="698" t="s">
        <v>247</v>
      </c>
      <c r="L968" s="698"/>
    </row>
    <row r="969" spans="8:13" hidden="1" x14ac:dyDescent="0.25"/>
    <row r="970" spans="8:13" hidden="1" x14ac:dyDescent="0.25">
      <c r="H970" s="669" t="s">
        <v>246</v>
      </c>
      <c r="I970" s="264">
        <f ca="1">(5*I77*(H21/100)^4)/(384*(I37/100^4)*L960)</f>
        <v>0</v>
      </c>
      <c r="J970" s="231" t="s">
        <v>83</v>
      </c>
      <c r="K970" s="669" t="s">
        <v>263</v>
      </c>
      <c r="L970" s="264">
        <f ca="1">(5*I78*H53*(H21/100)^4)/(384*(I37/100^4)*L960)</f>
        <v>2.843218722211716E-3</v>
      </c>
      <c r="M970" s="231" t="s">
        <v>83</v>
      </c>
    </row>
    <row r="971" spans="8:13" hidden="1" x14ac:dyDescent="0.25">
      <c r="H971" s="670"/>
      <c r="I971" s="266">
        <f ca="1">I970*100</f>
        <v>0</v>
      </c>
      <c r="J971" s="231" t="s">
        <v>80</v>
      </c>
      <c r="K971" s="670"/>
      <c r="L971" s="266">
        <f ca="1">L970*100</f>
        <v>0.28432187222117161</v>
      </c>
      <c r="M971" s="231" t="s">
        <v>80</v>
      </c>
    </row>
    <row r="972" spans="8:13" hidden="1" x14ac:dyDescent="0.25">
      <c r="H972" s="671"/>
      <c r="I972" s="266">
        <f ca="1">I971*10</f>
        <v>0</v>
      </c>
      <c r="J972" s="231" t="s">
        <v>187</v>
      </c>
      <c r="K972" s="671"/>
      <c r="L972" s="266">
        <f ca="1">L971*10</f>
        <v>2.843218722211716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1462</v>
      </c>
      <c r="I978" s="237">
        <f ca="1">I194</f>
        <v>109.42151664373274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1079.990369273642</v>
      </c>
      <c r="J980" s="231" t="s">
        <v>96</v>
      </c>
      <c r="K980" s="115" t="s">
        <v>95</v>
      </c>
      <c r="L980" s="258">
        <f ca="1">H166*J237+H168*J238</f>
        <v>945.80047014639047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126.0435557666454</v>
      </c>
      <c r="J981" s="231" t="s">
        <v>96</v>
      </c>
      <c r="K981" s="115" t="s">
        <v>97</v>
      </c>
      <c r="L981" s="239">
        <f ca="1">H166*J237*H167/100-H168*J238*H169/100</f>
        <v>110.38251608039174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69" t="s">
        <v>248</v>
      </c>
      <c r="I983" s="264">
        <f ca="1">(I981*(H21/100)^2)/(8*(I947)*(H37/100^4))</f>
        <v>2.9402260581492288E-2</v>
      </c>
      <c r="J983" s="231" t="s">
        <v>83</v>
      </c>
      <c r="K983" s="669" t="s">
        <v>249</v>
      </c>
      <c r="L983" s="264">
        <f ca="1">((I981-L981)*(H21/100)^2)/(8*L960*(H37/100^4))</f>
        <v>2.9326235309250596E-3</v>
      </c>
      <c r="M983" s="279" t="s">
        <v>83</v>
      </c>
    </row>
    <row r="984" spans="7:14" hidden="1" x14ac:dyDescent="0.25">
      <c r="H984" s="670"/>
      <c r="I984" s="266">
        <f ca="1">I983*100</f>
        <v>2.940226058149229</v>
      </c>
      <c r="J984" s="231" t="s">
        <v>80</v>
      </c>
      <c r="K984" s="670"/>
      <c r="L984" s="266">
        <f ca="1">L983*100</f>
        <v>0.29326235309250598</v>
      </c>
      <c r="M984" s="231" t="s">
        <v>80</v>
      </c>
    </row>
    <row r="985" spans="7:14" hidden="1" x14ac:dyDescent="0.25">
      <c r="H985" s="671"/>
      <c r="I985" s="266">
        <f ca="1">I984*10</f>
        <v>29.402260581492289</v>
      </c>
      <c r="J985" s="231" t="s">
        <v>187</v>
      </c>
      <c r="K985" s="671"/>
      <c r="L985" s="266">
        <f ca="1">L984*10</f>
        <v>2.9326235309250599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1463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-29.402260581492289</v>
      </c>
      <c r="J990" s="187">
        <f t="shared" ref="J990:J997" ca="1" si="50">M201</f>
        <v>2.0940322450779969</v>
      </c>
      <c r="K990" s="187">
        <f ca="1">J990+1</f>
        <v>3.0940322450779969</v>
      </c>
      <c r="L990" s="120">
        <f ca="1">K990*I990</f>
        <v>-90.971542317322871</v>
      </c>
      <c r="M990" s="120">
        <f ca="1">L990</f>
        <v>-90.971542317322871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13.444424504395567</v>
      </c>
      <c r="J991" s="187">
        <f t="shared" ca="1" si="50"/>
        <v>2.0940322450779969</v>
      </c>
      <c r="K991" s="187">
        <f t="shared" ref="K991:K997" ca="1" si="51">J991+1</f>
        <v>3.0940322450779969</v>
      </c>
      <c r="L991" s="120">
        <f t="shared" ref="L991:L997" ca="1" si="52">K991*I991</f>
        <v>41.597482933116652</v>
      </c>
      <c r="M991" s="120">
        <f t="shared" ref="M991:M997" ca="1" si="53">M990+L991</f>
        <v>-49.37405938420622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0.47167792774051537</v>
      </c>
      <c r="J992" s="187">
        <f t="shared" ca="1" si="50"/>
        <v>1.2007817228764388</v>
      </c>
      <c r="K992" s="187">
        <f t="shared" ca="1" si="51"/>
        <v>2.2007817228764388</v>
      </c>
      <c r="L992" s="120">
        <f t="shared" ca="1" si="52"/>
        <v>1.0380601624555599</v>
      </c>
      <c r="M992" s="120">
        <f t="shared" ca="1" si="53"/>
        <v>-48.335999221750662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5.0509183059059781</v>
      </c>
      <c r="J993" s="187">
        <f t="shared" ca="1" si="50"/>
        <v>1.8924585423584261</v>
      </c>
      <c r="K993" s="187">
        <f t="shared" ca="1" si="51"/>
        <v>2.8924585423584261</v>
      </c>
      <c r="L993" s="120">
        <f t="shared" ca="1" si="52"/>
        <v>14.609571800672297</v>
      </c>
      <c r="M993" s="120">
        <f t="shared" ca="1" si="53"/>
        <v>-33.726427421078363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5.6116158991020706</v>
      </c>
      <c r="J994" s="187">
        <f ca="1">M206</f>
        <v>1.3050925727448055</v>
      </c>
      <c r="K994" s="187">
        <f t="shared" ca="1" si="51"/>
        <v>2.3050925727448055</v>
      </c>
      <c r="L994" s="120">
        <f t="shared" ca="1" si="52"/>
        <v>12.935294130116846</v>
      </c>
      <c r="M994" s="120">
        <f t="shared" ca="1" si="53"/>
        <v>-20.791133290961518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1.4523606645942131</v>
      </c>
      <c r="K995" s="187">
        <f t="shared" ca="1" si="51"/>
        <v>2.4523606645942131</v>
      </c>
      <c r="L995" s="120">
        <f ca="1">K995*I995</f>
        <v>0</v>
      </c>
      <c r="M995" s="120">
        <f t="shared" ca="1" si="53"/>
        <v>-20.791133290961518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2.843218722211716</v>
      </c>
      <c r="J996" s="187">
        <f t="shared" ca="1" si="50"/>
        <v>1.2090482076356228</v>
      </c>
      <c r="K996" s="187">
        <f t="shared" ca="1" si="51"/>
        <v>2.2090482076356226</v>
      </c>
      <c r="L996" s="120">
        <f t="shared" ca="1" si="52"/>
        <v>6.2808072222178364</v>
      </c>
      <c r="M996" s="120">
        <f t="shared" ca="1" si="53"/>
        <v>-14.510326068743682</v>
      </c>
      <c r="N996" s="120" t="str">
        <f ca="1">'Estádio - Flechas'!$S$12</f>
        <v>Estádio 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2.9326235309250599</v>
      </c>
      <c r="J997" s="198">
        <f t="shared" ca="1" si="50"/>
        <v>1.2090482076356228</v>
      </c>
      <c r="K997" s="198">
        <f t="shared" ca="1" si="51"/>
        <v>2.2090482076356226</v>
      </c>
      <c r="L997" s="188">
        <f t="shared" ca="1" si="52"/>
        <v>6.4783067546600543</v>
      </c>
      <c r="M997" s="188">
        <f t="shared" ca="1" si="53"/>
        <v>-8.0320193140836267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88" t="s">
        <v>353</v>
      </c>
      <c r="H999" s="186">
        <f ca="1">M997</f>
        <v>-8.0320193140836267</v>
      </c>
      <c r="I999" s="279" t="s">
        <v>187</v>
      </c>
      <c r="K999" s="688" t="s">
        <v>504</v>
      </c>
      <c r="L999" s="186">
        <f ca="1">L1000*10</f>
        <v>-15.957836077096722</v>
      </c>
      <c r="M999" s="279" t="s">
        <v>187</v>
      </c>
    </row>
    <row r="1000" spans="7:18" x14ac:dyDescent="0.25">
      <c r="G1000" s="689"/>
      <c r="H1000" s="120">
        <f ca="1">H999/10</f>
        <v>-0.80320193140836271</v>
      </c>
      <c r="I1000" s="231" t="s">
        <v>80</v>
      </c>
      <c r="K1000" s="689"/>
      <c r="L1000" s="120">
        <f ca="1">(-I984+I952)</f>
        <v>-1.5957836077096723</v>
      </c>
      <c r="M1000" s="231" t="s">
        <v>80</v>
      </c>
    </row>
    <row r="1001" spans="7:18" x14ac:dyDescent="0.25">
      <c r="G1001" s="690"/>
      <c r="H1001" s="198">
        <f ca="1">H1000/100</f>
        <v>-8.0320193140836268E-3</v>
      </c>
      <c r="I1001" s="275" t="s">
        <v>83</v>
      </c>
      <c r="K1001" s="690"/>
      <c r="L1001" s="198">
        <f ca="1">L1000/100</f>
        <v>-1.5957836077096724E-2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88" t="s">
        <v>354</v>
      </c>
      <c r="H1004" s="237">
        <f>H1005*10</f>
        <v>43.52</v>
      </c>
      <c r="I1004" s="279" t="s">
        <v>187</v>
      </c>
    </row>
    <row r="1005" spans="7:18" x14ac:dyDescent="0.25">
      <c r="G1005" s="689"/>
      <c r="H1005" s="237">
        <f>H21/250</f>
        <v>4.3520000000000003</v>
      </c>
      <c r="I1005" s="231" t="s">
        <v>80</v>
      </c>
    </row>
    <row r="1006" spans="7:18" x14ac:dyDescent="0.25">
      <c r="G1006" s="690"/>
      <c r="H1006" s="246">
        <f>H1005/100</f>
        <v>4.3520000000000003E-2</v>
      </c>
      <c r="I1006" s="275" t="s">
        <v>83</v>
      </c>
    </row>
    <row r="1008" spans="7:18" x14ac:dyDescent="0.25">
      <c r="G1008" s="209" t="s">
        <v>1464</v>
      </c>
      <c r="H1008" s="333">
        <v>0.8</v>
      </c>
      <c r="I1008" s="115" t="s">
        <v>1161</v>
      </c>
      <c r="J1008" s="235" t="s">
        <v>1465</v>
      </c>
    </row>
    <row r="1010" spans="7:14" x14ac:dyDescent="0.25">
      <c r="G1010" s="664" t="s">
        <v>488</v>
      </c>
      <c r="H1010" s="664"/>
      <c r="I1010" s="664"/>
      <c r="J1010" s="664"/>
      <c r="K1010" s="664"/>
      <c r="L1010" s="664"/>
      <c r="M1010" s="664"/>
      <c r="N1010" s="664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73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73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21.144026785488279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64.261392378308784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73" t="s">
        <v>520</v>
      </c>
      <c r="H1025" s="237">
        <f ca="1">I194</f>
        <v>109.42151664373274</v>
      </c>
      <c r="I1025" s="231" t="s">
        <v>61</v>
      </c>
      <c r="J1025" s="231"/>
    </row>
    <row r="1026" spans="7:19" x14ac:dyDescent="0.25">
      <c r="G1026" s="673"/>
      <c r="H1026" s="237">
        <f ca="1">H1025*10</f>
        <v>1094.2151664373275</v>
      </c>
      <c r="I1026" s="231" t="s">
        <v>60</v>
      </c>
      <c r="J1026" s="231"/>
    </row>
    <row r="1027" spans="7:19" x14ac:dyDescent="0.25">
      <c r="G1027" s="673" t="s">
        <v>730</v>
      </c>
      <c r="H1027" s="237">
        <f ca="1">I195</f>
        <v>48.13050457891844</v>
      </c>
      <c r="I1027" s="231" t="s">
        <v>61</v>
      </c>
      <c r="J1027" s="231"/>
    </row>
    <row r="1028" spans="7:19" x14ac:dyDescent="0.25">
      <c r="G1028" s="673"/>
      <c r="H1028" s="237">
        <f ca="1">H1027*10</f>
        <v>481.30504578918442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68" t="s">
        <v>493</v>
      </c>
      <c r="H1030" s="668"/>
      <c r="I1030" s="668"/>
      <c r="J1030" s="223">
        <f ca="1">MAX(H1019)</f>
        <v>21.144026785488279</v>
      </c>
      <c r="K1030" s="115" t="s">
        <v>494</v>
      </c>
    </row>
    <row r="1031" spans="7:19" ht="15.75" thickBot="1" x14ac:dyDescent="0.3">
      <c r="J1031" s="223">
        <f ca="1">MAX(H1020)</f>
        <v>64.261392378308784</v>
      </c>
    </row>
    <row r="1032" spans="7:19" x14ac:dyDescent="0.25">
      <c r="J1032" s="119" t="s">
        <v>722</v>
      </c>
    </row>
    <row r="1034" spans="7:19" x14ac:dyDescent="0.25">
      <c r="G1034" s="664" t="s">
        <v>665</v>
      </c>
      <c r="H1034" s="664"/>
      <c r="I1034" s="664"/>
      <c r="J1034" s="664"/>
      <c r="K1034" s="664"/>
      <c r="L1034" s="664"/>
      <c r="M1034" s="664"/>
      <c r="N1034" s="664"/>
      <c r="P1034" s="677" t="s">
        <v>679</v>
      </c>
      <c r="Q1034" s="677"/>
      <c r="R1034" s="677"/>
      <c r="S1034" s="677"/>
    </row>
    <row r="1035" spans="7:19" x14ac:dyDescent="0.25">
      <c r="P1035" s="677"/>
      <c r="Q1035" s="677"/>
      <c r="R1035" s="677"/>
      <c r="S1035" s="677"/>
    </row>
    <row r="1036" spans="7:19" x14ac:dyDescent="0.25">
      <c r="G1036" s="209" t="s">
        <v>597</v>
      </c>
      <c r="H1036" s="240">
        <v>35</v>
      </c>
      <c r="I1036" s="231" t="s">
        <v>598</v>
      </c>
      <c r="L1036" s="681" t="s">
        <v>496</v>
      </c>
      <c r="M1036" s="681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0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1466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1062.55</v>
      </c>
      <c r="U1043" s="270">
        <f>IF(H1041=Q1036,Q1038,IF(H1041=2,Q1042,IF(H1041=3,Q1046,IF(H1041=4,Q1050))))</f>
        <v>8.08</v>
      </c>
    </row>
    <row r="1044" spans="7:21" x14ac:dyDescent="0.25">
      <c r="G1044" s="209" t="s">
        <v>1467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1191.48</v>
      </c>
      <c r="U1044" s="270">
        <f>IF(H1041=Q1036,Q1039,IF(H1041=2,Q1043,IF(H1041=3,Q1047,IF(H1041=4,Q1051))))</f>
        <v>9.94</v>
      </c>
    </row>
    <row r="1045" spans="7:21" x14ac:dyDescent="0.25">
      <c r="G1045" s="209" t="s">
        <v>1468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1469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0.77113670853970528</v>
      </c>
      <c r="I1047" s="231">
        <f ca="1">1.2*H1019/100</f>
        <v>0.25372832142585933</v>
      </c>
      <c r="J1047" s="231" t="s">
        <v>1470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0.32045044383065446</v>
      </c>
      <c r="I1048" s="231">
        <f ca="1">MIN(1,(H1038/100)/I1047)</f>
        <v>0.97392005400495141</v>
      </c>
      <c r="J1048" s="231" t="s">
        <v>1471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1472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1473</v>
      </c>
      <c r="H1052" s="239">
        <f ca="1">J237</f>
        <v>95.825782183018291</v>
      </c>
      <c r="I1052" s="239">
        <f ca="1">J238</f>
        <v>36.34288539523186</v>
      </c>
      <c r="J1052" s="231" t="s">
        <v>1474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1505.0732231200843</v>
      </c>
      <c r="I1053" s="115" t="s">
        <v>63</v>
      </c>
      <c r="J1053" s="231" t="s">
        <v>1475</v>
      </c>
    </row>
    <row r="1054" spans="7:21" x14ac:dyDescent="0.25">
      <c r="P1054" s="677" t="s">
        <v>678</v>
      </c>
      <c r="Q1054" s="677"/>
      <c r="R1054" s="677"/>
      <c r="S1054" s="677"/>
    </row>
    <row r="1055" spans="7:21" x14ac:dyDescent="0.25">
      <c r="G1055" s="664" t="s">
        <v>666</v>
      </c>
      <c r="H1055" s="664"/>
      <c r="I1055" s="664"/>
      <c r="J1055" s="664"/>
      <c r="K1055" s="664"/>
      <c r="L1055" s="664"/>
      <c r="M1055" s="664"/>
      <c r="N1055" s="664"/>
      <c r="P1055" s="677"/>
      <c r="Q1055" s="677"/>
      <c r="R1055" s="677"/>
      <c r="S1055" s="677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80" t="s">
        <v>1476</v>
      </c>
      <c r="H1061" s="680"/>
      <c r="O1061" s="209">
        <v>25</v>
      </c>
      <c r="P1061" s="237">
        <f ca="1">$I$37+$P$1091</f>
        <v>338228.74611951603</v>
      </c>
    </row>
    <row r="1062" spans="7:19" x14ac:dyDescent="0.25">
      <c r="G1062" s="658" t="s">
        <v>495</v>
      </c>
      <c r="H1062" s="682">
        <f ca="1">'Cisalhamento 14861'!$C$67</f>
        <v>112.1620024226159</v>
      </c>
      <c r="O1062" s="209">
        <v>30</v>
      </c>
      <c r="P1062" s="237">
        <f ca="1">$I$37+$P$1092</f>
        <v>342116.67671951605</v>
      </c>
    </row>
    <row r="1063" spans="7:19" ht="15.75" thickBot="1" x14ac:dyDescent="0.3">
      <c r="G1063" s="659"/>
      <c r="H1063" s="683"/>
    </row>
    <row r="1064" spans="7:19" x14ac:dyDescent="0.25">
      <c r="G1064" s="658" t="s">
        <v>484</v>
      </c>
      <c r="H1064" s="682">
        <f ca="1">0.95*((H1051/100^4)*(H27/100))/H1042*SQRT(H1043^2+H1053*H1043)</f>
        <v>194.57791877017226</v>
      </c>
      <c r="P1064" s="209" t="s">
        <v>660</v>
      </c>
      <c r="Q1064" s="119">
        <v>2</v>
      </c>
    </row>
    <row r="1065" spans="7:19" ht="15.75" thickBot="1" x14ac:dyDescent="0.3">
      <c r="G1065" s="659" t="s">
        <v>1268</v>
      </c>
      <c r="H1065" s="683"/>
      <c r="I1065" s="209" t="str">
        <f ca="1">IF(H1062&gt;H1064,"Não Ok!","Ok!")</f>
        <v>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343581.15031951602</v>
      </c>
    </row>
    <row r="1067" spans="7:19" x14ac:dyDescent="0.25">
      <c r="O1067" s="209">
        <v>30</v>
      </c>
      <c r="P1067" s="237">
        <f ca="1">$I$37+$P$1092*2</f>
        <v>351357.01151951606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348933.55451951607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332876.34191951604</v>
      </c>
    </row>
    <row r="1071" spans="7:19" x14ac:dyDescent="0.25">
      <c r="G1071" s="664" t="s">
        <v>710</v>
      </c>
      <c r="H1071" s="664"/>
      <c r="I1071" s="664"/>
      <c r="J1071" s="664"/>
      <c r="K1071" s="664"/>
      <c r="L1071" s="664"/>
      <c r="M1071" s="664"/>
      <c r="N1071" s="664"/>
      <c r="O1071" s="209">
        <v>30</v>
      </c>
      <c r="P1071" s="237">
        <f ca="1">$I$37+$P$1092*3</f>
        <v>360597.34631951601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332876.34191951604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58" t="s">
        <v>495</v>
      </c>
      <c r="K1073" s="682">
        <f ca="1">'Cisalhamento 14861'!$C$67</f>
        <v>112.1620024226159</v>
      </c>
      <c r="O1073" s="209" t="s">
        <v>487</v>
      </c>
      <c r="P1073" s="154" t="s">
        <v>671</v>
      </c>
    </row>
    <row r="1074" spans="7:17" ht="15.75" thickBot="1" x14ac:dyDescent="0.3">
      <c r="J1074" s="659"/>
      <c r="K1074" s="683"/>
      <c r="O1074" s="209">
        <v>25</v>
      </c>
      <c r="P1074" s="237">
        <f ca="1">$I$37+$P$1091*4</f>
        <v>354285.95871951606</v>
      </c>
    </row>
    <row r="1075" spans="7:17" x14ac:dyDescent="0.25">
      <c r="J1075" s="658" t="s">
        <v>484</v>
      </c>
      <c r="K1075" s="682">
        <f ca="1">H1049*((H1051/100^4)*(H27/100))/H1042*SQRT(H1043^2+0.9*H1053*H1043)</f>
        <v>150.45521141455325</v>
      </c>
      <c r="O1075" s="209">
        <v>30</v>
      </c>
      <c r="P1075" s="237">
        <f ca="1">$I$37+$P$1092*4</f>
        <v>369837.68111951603</v>
      </c>
    </row>
    <row r="1076" spans="7:17" ht="15.75" thickBot="1" x14ac:dyDescent="0.3">
      <c r="J1076" s="659" t="s">
        <v>1268</v>
      </c>
      <c r="K1076" s="683"/>
      <c r="L1076" s="209" t="str">
        <f ca="1">IF(K1073&gt;K1075,"Não Ok!","Ok!")</f>
        <v>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1269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359638.36291951605</v>
      </c>
    </row>
    <row r="1080" spans="7:17" x14ac:dyDescent="0.25">
      <c r="G1080" t="s">
        <v>1270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379078.01591951604</v>
      </c>
    </row>
    <row r="1081" spans="7:17" x14ac:dyDescent="0.25">
      <c r="G1081" t="s">
        <v>630</v>
      </c>
      <c r="H1081">
        <f ca="1">IF(LEFT(I17,1)="1",H1062,K1073)</f>
        <v>112.1620024226159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1271</v>
      </c>
      <c r="H1082">
        <f ca="1">IF(LEFT(I17,1)="1",H1064,K1075)</f>
        <v>150.45521141455325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1272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364990.76711951604</v>
      </c>
    </row>
    <row r="1084" spans="7:17" x14ac:dyDescent="0.25">
      <c r="O1084" s="209">
        <v>30</v>
      </c>
      <c r="P1084" s="237">
        <f ca="1">$I$37+$P$1092*6</f>
        <v>388318.35071951605</v>
      </c>
    </row>
    <row r="1085" spans="7:17" x14ac:dyDescent="0.25">
      <c r="G1085" t="s">
        <v>1477</v>
      </c>
      <c r="K1085" s="672" t="s">
        <v>1433</v>
      </c>
      <c r="L1085" s="672"/>
      <c r="P1085" s="209" t="s">
        <v>660</v>
      </c>
      <c r="Q1085" s="119">
        <v>7</v>
      </c>
    </row>
    <row r="1086" spans="7:17" x14ac:dyDescent="0.25">
      <c r="G1086" t="s">
        <v>1273</v>
      </c>
      <c r="H1086">
        <f>M11</f>
        <v>0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1274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370343.17131951603</v>
      </c>
    </row>
    <row r="1088" spans="7:17" x14ac:dyDescent="0.25">
      <c r="G1088" s="615" t="s">
        <v>1275</v>
      </c>
      <c r="H1088" s="616">
        <f ca="1">H1082+(2/3)*H1086*H1143*H1043</f>
        <v>150.45521141455325</v>
      </c>
      <c r="K1088">
        <v>30</v>
      </c>
      <c r="L1088">
        <v>23</v>
      </c>
      <c r="O1088" s="209">
        <v>30</v>
      </c>
      <c r="P1088" s="237">
        <f ca="1">$I$37+$P$1092*7</f>
        <v>397558.68551951606</v>
      </c>
    </row>
    <row r="1090" spans="7:17" x14ac:dyDescent="0.25">
      <c r="P1090" s="150" t="s">
        <v>676</v>
      </c>
    </row>
    <row r="1091" spans="7:17" x14ac:dyDescent="0.25">
      <c r="G1091" s="664" t="s">
        <v>919</v>
      </c>
      <c r="H1091" s="664"/>
      <c r="I1091" s="664"/>
      <c r="J1091" s="664"/>
      <c r="K1091" s="664"/>
      <c r="L1091" s="664"/>
      <c r="M1091" s="664"/>
      <c r="N1091" s="664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1478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0.31</v>
      </c>
      <c r="I1097" s="115" t="s">
        <v>83</v>
      </c>
      <c r="J1097" s="115" t="s">
        <v>1479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1480</v>
      </c>
      <c r="H1100" s="118">
        <f>0.5*H1098*H1093*1000*0.9*H1095*H1097</f>
        <v>858.46153846153857</v>
      </c>
      <c r="I1100" s="115" t="s">
        <v>96</v>
      </c>
    </row>
    <row r="1102" spans="7:17" x14ac:dyDescent="0.25">
      <c r="G1102" s="684" t="s">
        <v>920</v>
      </c>
      <c r="H1102" s="684"/>
      <c r="I1102" s="684"/>
      <c r="J1102" s="684"/>
      <c r="K1102" s="684"/>
      <c r="L1102" s="684"/>
      <c r="M1102" s="684"/>
      <c r="N1102" s="684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0.18696295971361795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9.8699999999999992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0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109.42151664373274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1481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1482</v>
      </c>
      <c r="H1112" s="118">
        <f ca="1">J242</f>
        <v>945.80047014639047</v>
      </c>
      <c r="I1112" s="115" t="s">
        <v>96</v>
      </c>
      <c r="J1112" s="115" t="s">
        <v>1483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4696.7425138454691</v>
      </c>
      <c r="I1113" s="115" t="s">
        <v>922</v>
      </c>
      <c r="J1113" s="115" t="s">
        <v>1484</v>
      </c>
    </row>
    <row r="1114" spans="7:10" x14ac:dyDescent="0.25">
      <c r="G1114" s="115" t="s">
        <v>939</v>
      </c>
      <c r="H1114" s="413">
        <f>H166/10000</f>
        <v>9.8700000000000003E-4</v>
      </c>
      <c r="I1114" s="115" t="s">
        <v>924</v>
      </c>
      <c r="J1114" s="115" t="s">
        <v>1485</v>
      </c>
    </row>
    <row r="1115" spans="7:10" x14ac:dyDescent="0.25">
      <c r="G1115" s="115" t="s">
        <v>940</v>
      </c>
      <c r="H1115" s="118">
        <f>MIN(0.02,H1114/(H1110*H1094))</f>
        <v>1.17921146953405E-2</v>
      </c>
      <c r="J1115" s="115" t="s">
        <v>1486</v>
      </c>
    </row>
    <row r="1116" spans="7:10" x14ac:dyDescent="0.25">
      <c r="G1116" s="115" t="s">
        <v>615</v>
      </c>
      <c r="H1116" s="118">
        <f>0.25*H1109*H1111*(1.2+(40*H1115))*H1110*H1094</f>
        <v>80.412966663057659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58.967602261329873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139.38056892438755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51.200571117367659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84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84"/>
      <c r="I1122" s="684"/>
      <c r="J1122" s="684"/>
      <c r="K1122" s="684"/>
      <c r="L1122" s="684"/>
      <c r="M1122" s="684"/>
      <c r="N1122" s="684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9.8699999999999992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0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1487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945.80047014639047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4696.7425138454691</v>
      </c>
      <c r="I1132" s="115" t="s">
        <v>922</v>
      </c>
      <c r="J1132" s="115" t="s">
        <v>1484</v>
      </c>
    </row>
    <row r="1133" spans="7:14" x14ac:dyDescent="0.25">
      <c r="G1133" s="115" t="s">
        <v>939</v>
      </c>
      <c r="H1133" s="141">
        <f>H166/10000</f>
        <v>9.8700000000000003E-4</v>
      </c>
      <c r="I1133" s="115" t="s">
        <v>924</v>
      </c>
      <c r="J1133" s="115" t="s">
        <v>1485</v>
      </c>
    </row>
    <row r="1134" spans="7:14" x14ac:dyDescent="0.25">
      <c r="G1134" s="115" t="s">
        <v>940</v>
      </c>
      <c r="H1134" s="118">
        <f>MIN(0.02,H1133/(H1129*H1095))</f>
        <v>9.9495967741935493E-3</v>
      </c>
      <c r="J1134" s="115" t="s">
        <v>1486</v>
      </c>
    </row>
    <row r="1135" spans="7:14" x14ac:dyDescent="0.25">
      <c r="G1135" s="115" t="s">
        <v>615</v>
      </c>
      <c r="H1135" s="118">
        <f>0.25*H1128*H1130*(1.2+(40*H1134))*H1129*H1095</f>
        <v>111.21328113520144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69.887528606020595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181.10080974122204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110.71516304314797</v>
      </c>
      <c r="I1138" s="115" t="s">
        <v>96</v>
      </c>
      <c r="J1138" s="115" t="s">
        <v>1488</v>
      </c>
    </row>
    <row r="1139" spans="7:14" x14ac:dyDescent="0.25">
      <c r="G1139" s="411" t="s">
        <v>948</v>
      </c>
      <c r="H1139" s="411" t="str">
        <f ca="1">IF(H1138&gt;H1137,"Não Ok!","Ok!")</f>
        <v>Ok!</v>
      </c>
    </row>
    <row r="1141" spans="7:14" x14ac:dyDescent="0.25">
      <c r="G1141" s="684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84"/>
      <c r="I1141" s="684"/>
      <c r="J1141" s="684"/>
      <c r="K1141" s="684"/>
      <c r="L1141" s="684"/>
      <c r="M1141" s="684"/>
      <c r="N1141" s="684"/>
    </row>
    <row r="1142" spans="7:14" x14ac:dyDescent="0.25">
      <c r="G1142" s="414" t="s">
        <v>953</v>
      </c>
      <c r="H1142" s="118">
        <f>M11</f>
        <v>0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1489</v>
      </c>
      <c r="H1145" s="118">
        <f>'Cisalhamento 14861'!$C$45</f>
        <v>1</v>
      </c>
      <c r="J1145" s="115" t="s">
        <v>1490</v>
      </c>
    </row>
    <row r="1146" spans="7:14" x14ac:dyDescent="0.25">
      <c r="G1146" s="115" t="s">
        <v>959</v>
      </c>
      <c r="H1146" s="118">
        <f ca="1">H1124+H1142*H1143</f>
        <v>0.18123633999999986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0.31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4696.7425138454691</v>
      </c>
      <c r="I1148" s="115" t="s">
        <v>922</v>
      </c>
      <c r="J1148" s="115" t="s">
        <v>1491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9.9495967741935493E-3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111.21328113520144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69.887528606020595</v>
      </c>
      <c r="I1152" s="115" t="s">
        <v>96</v>
      </c>
      <c r="J1152" s="115" t="s">
        <v>1492</v>
      </c>
    </row>
    <row r="1153" spans="7:10" x14ac:dyDescent="0.25">
      <c r="G1153" s="411" t="s">
        <v>944</v>
      </c>
      <c r="H1153" s="415">
        <f ca="1">H1151+H1152</f>
        <v>181.10080974122204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110.71516304314797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1262</v>
      </c>
    </row>
    <row r="1159" spans="7:10" x14ac:dyDescent="0.25">
      <c r="G1159" t="s">
        <v>1493</v>
      </c>
      <c r="H1159">
        <f>'Cisalhamento 14861'!$C$70/100</f>
        <v>0.245</v>
      </c>
      <c r="I1159" t="s">
        <v>83</v>
      </c>
      <c r="J1159" t="s">
        <v>1494</v>
      </c>
    </row>
    <row r="1160" spans="7:10" x14ac:dyDescent="0.25">
      <c r="G1160" t="s">
        <v>1263</v>
      </c>
      <c r="H1160">
        <f ca="1">(I73*K51)+(I74+I75+I76+I77+I78)*K52</f>
        <v>21.311869690692582</v>
      </c>
      <c r="I1160" t="s">
        <v>47</v>
      </c>
      <c r="J1160" t="s">
        <v>1276</v>
      </c>
    </row>
    <row r="1161" spans="7:10" x14ac:dyDescent="0.25">
      <c r="G1161" t="s">
        <v>1264</v>
      </c>
      <c r="H1161">
        <f ca="1">H1160*H1159*((H21/100)-H1159)/2</f>
        <v>27.764837434663164</v>
      </c>
      <c r="I1161" t="s">
        <v>33</v>
      </c>
      <c r="J1161" t="s">
        <v>1277</v>
      </c>
    </row>
    <row r="1162" spans="7:10" x14ac:dyDescent="0.25">
      <c r="G1162" t="s">
        <v>1265</v>
      </c>
      <c r="H1162">
        <f ca="1">H1160*((H21/100)/2-H1159)</f>
        <v>110.71516304314797</v>
      </c>
      <c r="I1162" t="s">
        <v>96</v>
      </c>
      <c r="J1162" t="s">
        <v>1278</v>
      </c>
    </row>
    <row r="1163" spans="7:10" x14ac:dyDescent="0.25">
      <c r="G1163" t="s">
        <v>944</v>
      </c>
      <c r="H1163">
        <f ca="1">'Cisalhamento 14861'!$C$94</f>
        <v>181.10080974122204</v>
      </c>
      <c r="I1163" t="s">
        <v>96</v>
      </c>
      <c r="J1163" t="s">
        <v>1495</v>
      </c>
    </row>
    <row r="1164" spans="7:10" x14ac:dyDescent="0.25">
      <c r="G1164" t="s">
        <v>1496</v>
      </c>
      <c r="H1164">
        <f ca="1">H166*K897</f>
        <v>1486.5026103432206</v>
      </c>
      <c r="I1164" t="s">
        <v>96</v>
      </c>
      <c r="J1164" t="s">
        <v>1497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1279</v>
      </c>
    </row>
    <row r="1166" spans="7:10" x14ac:dyDescent="0.25">
      <c r="G1166" t="s">
        <v>1266</v>
      </c>
      <c r="H1166">
        <f ca="1">H1164*0.9*H1165</f>
        <v>428.11275177884755</v>
      </c>
      <c r="I1166" t="s">
        <v>33</v>
      </c>
      <c r="J1166" t="s">
        <v>1498</v>
      </c>
    </row>
    <row r="1167" spans="7:10" x14ac:dyDescent="0.25">
      <c r="G1167" t="s">
        <v>1499</v>
      </c>
      <c r="H1167">
        <f ca="1">H1161+1.35*H1165*H1162</f>
        <v>75.5937878693031</v>
      </c>
      <c r="I1167" t="s">
        <v>33</v>
      </c>
      <c r="J1167" t="s">
        <v>1500</v>
      </c>
    </row>
    <row r="1168" spans="7:10" x14ac:dyDescent="0.25">
      <c r="G1168" t="s">
        <v>1501</v>
      </c>
      <c r="H1168">
        <f ca="1">((H1162/H1163)^4+(H1167/H1166)^4)^(0.25)</f>
        <v>0.61240635678072997</v>
      </c>
      <c r="J1168" t="s">
        <v>1502</v>
      </c>
    </row>
    <row r="1169" spans="7:14" x14ac:dyDescent="0.25">
      <c r="G1169" t="s">
        <v>1267</v>
      </c>
      <c r="H1169">
        <f>1</f>
        <v>1</v>
      </c>
      <c r="J1169" t="s">
        <v>1280</v>
      </c>
    </row>
    <row r="1170" spans="7:14" x14ac:dyDescent="0.25">
      <c r="G1170" s="411" t="s">
        <v>948</v>
      </c>
      <c r="H1170" s="558" t="str">
        <f ca="1">IF(M9&lt;&gt;"NBR 14861/2022","Não se aplica",IF(H1168&lt;=H1169,"Ok!","Não Ok!"))</f>
        <v>Ok!</v>
      </c>
      <c r="J1170" t="s">
        <v>1281</v>
      </c>
    </row>
    <row r="1172" spans="7:14" x14ac:dyDescent="0.25">
      <c r="G1172" s="664" t="s">
        <v>625</v>
      </c>
      <c r="H1172" s="664"/>
      <c r="I1172" s="664"/>
      <c r="J1172" s="664"/>
      <c r="K1172" s="664"/>
      <c r="L1172" s="664"/>
      <c r="M1172" s="664"/>
      <c r="N1172" s="664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10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80.115716016154224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112.1620024226159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57" t="s">
        <v>613</v>
      </c>
      <c r="H1187" s="657"/>
      <c r="I1187" s="657"/>
      <c r="J1187" s="657"/>
      <c r="K1187" s="657"/>
      <c r="L1187" s="657"/>
      <c r="M1187" s="657"/>
      <c r="N1187" s="657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9.9495967741935493E-3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103.2694753398299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739.31827199999998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4082.3758807288787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60.745753105245711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164.01522844507559</v>
      </c>
      <c r="J1199" s="678" t="str">
        <f ca="1">IF(H1199&lt;H1183,"NÃO OK! NECESSÁRIO PREENCHIMENTO DE ALVÉOLOS","OK!!")</f>
        <v>OK!!</v>
      </c>
      <c r="K1199" s="678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57" t="s">
        <v>614</v>
      </c>
      <c r="H1201" s="657"/>
      <c r="I1201" s="657"/>
      <c r="J1201" s="657"/>
      <c r="K1201" s="657"/>
      <c r="L1201" s="657"/>
      <c r="M1201" s="657"/>
      <c r="N1201" s="657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0</v>
      </c>
      <c r="J1203" s="231" t="s">
        <v>632</v>
      </c>
      <c r="K1203" s="288"/>
      <c r="L1203" s="679" t="s">
        <v>669</v>
      </c>
      <c r="M1203" s="679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0.31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1503</v>
      </c>
    </row>
    <row r="1207" spans="7:14" x14ac:dyDescent="0.25">
      <c r="G1207" s="302" t="s">
        <v>620</v>
      </c>
      <c r="H1207" s="308">
        <f>(H1181*H1179/10000)/(H1206*H1191)</f>
        <v>9.9495967741935493E-3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103.2694753398299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0.18110000000000001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4082.3758807288787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60.745753105245711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0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164.01522844507559</v>
      </c>
      <c r="J1214" s="678" t="str">
        <f ca="1">IF(H1214&lt;H1183,"NÃO OK! NECESSÁRIO PREENCHECHIMENTO DE MAIS ALVÉOLOS","OK!!")</f>
        <v>OK!!</v>
      </c>
      <c r="K1214" s="678"/>
    </row>
    <row r="1216" spans="7:14" x14ac:dyDescent="0.25">
      <c r="G1216" s="657" t="s">
        <v>733</v>
      </c>
      <c r="H1216" s="657"/>
      <c r="I1216" s="657"/>
      <c r="J1216" s="657"/>
      <c r="K1216" s="657"/>
      <c r="L1216" s="657"/>
      <c r="M1216" s="657"/>
      <c r="N1216" s="657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Rotulado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5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</v>
      </c>
      <c r="J1228" s="235" t="s">
        <v>1026</v>
      </c>
    </row>
    <row r="1229" spans="7:18" x14ac:dyDescent="0.25">
      <c r="G1229" s="470" t="s">
        <v>1027</v>
      </c>
      <c r="H1229" s="480">
        <v>5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0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0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0</v>
      </c>
      <c r="J1232" s="235" t="s">
        <v>1025</v>
      </c>
      <c r="P1232" s="759" t="s">
        <v>758</v>
      </c>
      <c r="Q1232" s="760"/>
      <c r="R1232" s="761"/>
    </row>
    <row r="1233" spans="7:18" ht="15" customHeight="1" x14ac:dyDescent="0.25">
      <c r="G1233" s="470"/>
      <c r="H1233" s="235"/>
      <c r="J1233" s="235"/>
      <c r="P1233" s="762"/>
      <c r="Q1233" s="763"/>
      <c r="R1233" s="764"/>
    </row>
    <row r="1234" spans="7:18" x14ac:dyDescent="0.25">
      <c r="G1234" s="470" t="s">
        <v>1124</v>
      </c>
      <c r="H1234" s="525">
        <f>((I78+I76+I77)*(H21/100)^2)/12</f>
        <v>83.84853333333335</v>
      </c>
      <c r="I1234" s="231" t="s">
        <v>33</v>
      </c>
      <c r="J1234" s="235" t="s">
        <v>1125</v>
      </c>
      <c r="P1234" s="762"/>
      <c r="Q1234" s="763"/>
      <c r="R1234" s="764"/>
    </row>
    <row r="1235" spans="7:18" x14ac:dyDescent="0.25">
      <c r="G1235" s="470" t="s">
        <v>1126</v>
      </c>
      <c r="H1235" s="525">
        <f>((ABS(MIN(G1255:N1255,G1258))/(H22/100))*8)/(H21/100)^2</f>
        <v>6.8</v>
      </c>
      <c r="I1235" s="231" t="s">
        <v>63</v>
      </c>
      <c r="J1235" s="235" t="s">
        <v>1127</v>
      </c>
      <c r="P1235" s="762"/>
      <c r="Q1235" s="763"/>
      <c r="R1235" s="764"/>
    </row>
    <row r="1236" spans="7:18" x14ac:dyDescent="0.25">
      <c r="P1236" s="762"/>
      <c r="Q1236" s="763"/>
      <c r="R1236" s="764"/>
    </row>
    <row r="1237" spans="7:18" x14ac:dyDescent="0.25">
      <c r="G1237" s="470" t="s">
        <v>264</v>
      </c>
      <c r="H1237" s="525">
        <f>H1234/((H22/100)*((H23+H33-N52)/100)^2*(H59*1000)/K52)</f>
        <v>3.154794904957868E-2</v>
      </c>
      <c r="I1237" s="231"/>
      <c r="J1237" s="235"/>
      <c r="P1237" s="762"/>
      <c r="Q1237" s="763"/>
      <c r="R1237" s="764"/>
    </row>
    <row r="1238" spans="7:18" x14ac:dyDescent="0.25">
      <c r="G1238" s="470" t="s">
        <v>211</v>
      </c>
      <c r="H1238" s="525">
        <f>_xlfn.XLOOKUP(H1237,'Armadura Negativo LE'!F47:F97,'Armadura Negativo LE'!H47:H97,,1)</f>
        <v>0.97899999999999998</v>
      </c>
      <c r="I1238" s="231"/>
      <c r="P1238" s="762"/>
      <c r="Q1238" s="763"/>
      <c r="R1238" s="764"/>
    </row>
    <row r="1239" spans="7:18" x14ac:dyDescent="0.25">
      <c r="G1239" s="470" t="s">
        <v>476</v>
      </c>
      <c r="H1239" s="525">
        <f>H1234/(H1238*(H23+H33-N52)/100*(H57/10)/1.15)</f>
        <v>6.2535994509028221</v>
      </c>
      <c r="I1239" s="231" t="s">
        <v>14</v>
      </c>
      <c r="J1239" s="231" t="s">
        <v>1128</v>
      </c>
      <c r="P1239" s="762"/>
      <c r="Q1239" s="763"/>
      <c r="R1239" s="764"/>
    </row>
    <row r="1240" spans="7:18" x14ac:dyDescent="0.25">
      <c r="G1240" s="470" t="s">
        <v>1129</v>
      </c>
      <c r="H1240" s="525">
        <f>ROUNDUP(H1239/(3.14*(H1223/20)^2),0)</f>
        <v>32</v>
      </c>
      <c r="I1240" s="231" t="s">
        <v>183</v>
      </c>
      <c r="J1240" s="115" t="s">
        <v>1141</v>
      </c>
      <c r="P1240" s="762"/>
      <c r="Q1240" s="763"/>
      <c r="R1240" s="764"/>
    </row>
    <row r="1241" spans="7:18" x14ac:dyDescent="0.25">
      <c r="G1241" s="470" t="s">
        <v>186</v>
      </c>
      <c r="H1241" s="480">
        <f>H1223</f>
        <v>5</v>
      </c>
      <c r="I1241" s="231"/>
      <c r="J1241" s="115" t="s">
        <v>1142</v>
      </c>
      <c r="P1241" s="762"/>
      <c r="Q1241" s="763"/>
      <c r="R1241" s="764"/>
    </row>
    <row r="1242" spans="7:18" x14ac:dyDescent="0.25">
      <c r="G1242" s="470" t="s">
        <v>1133</v>
      </c>
      <c r="H1242" s="525">
        <f>(3.14*(H1241/20)^2)*H1240</f>
        <v>6.28</v>
      </c>
      <c r="I1242" s="231" t="s">
        <v>14</v>
      </c>
      <c r="J1242" s="115" t="s">
        <v>1140</v>
      </c>
      <c r="P1242" s="762"/>
      <c r="Q1242" s="763"/>
      <c r="R1242" s="764"/>
    </row>
    <row r="1243" spans="7:18" x14ac:dyDescent="0.25">
      <c r="G1243" s="470" t="s">
        <v>1134</v>
      </c>
      <c r="H1243" s="525">
        <v>210</v>
      </c>
      <c r="I1243" s="231" t="s">
        <v>1135</v>
      </c>
      <c r="J1243" s="115" t="s">
        <v>1143</v>
      </c>
      <c r="P1243" s="762"/>
      <c r="Q1243" s="763"/>
      <c r="R1243" s="764"/>
    </row>
    <row r="1244" spans="7:18" x14ac:dyDescent="0.25">
      <c r="G1244" s="470" t="s">
        <v>1130</v>
      </c>
      <c r="H1244" s="525">
        <f>25*H1241/10+H26</f>
        <v>26.5</v>
      </c>
      <c r="I1244" s="231" t="s">
        <v>14</v>
      </c>
      <c r="P1244" s="762"/>
      <c r="Q1244" s="763"/>
      <c r="R1244" s="764"/>
    </row>
    <row r="1245" spans="7:18" x14ac:dyDescent="0.25">
      <c r="G1245" s="470" t="s">
        <v>1132</v>
      </c>
      <c r="H1245" s="525">
        <v>75</v>
      </c>
      <c r="P1245" s="762"/>
      <c r="Q1245" s="763"/>
      <c r="R1245" s="764"/>
    </row>
    <row r="1246" spans="7:18" x14ac:dyDescent="0.25">
      <c r="G1246" s="470" t="s">
        <v>1131</v>
      </c>
      <c r="H1246" s="525">
        <f>H1245*(H1242*H1243*((H23+H33-N52)/100)^2)/(H1244/100)</f>
        <v>37035.26320754717</v>
      </c>
      <c r="I1246" s="231" t="s">
        <v>14</v>
      </c>
      <c r="P1246" s="762"/>
      <c r="Q1246" s="763"/>
      <c r="R1246" s="764"/>
    </row>
    <row r="1247" spans="7:18" x14ac:dyDescent="0.25">
      <c r="G1247" s="470" t="s">
        <v>1137</v>
      </c>
      <c r="H1247" s="525">
        <v>0.25</v>
      </c>
      <c r="J1247" s="115" t="s">
        <v>1144</v>
      </c>
      <c r="P1247" s="762"/>
      <c r="Q1247" s="763"/>
      <c r="R1247" s="764"/>
    </row>
    <row r="1248" spans="7:18" x14ac:dyDescent="0.25">
      <c r="G1248" s="470" t="s">
        <v>1136</v>
      </c>
      <c r="H1248" s="525">
        <f ca="1">(1+3*(H883*1000000*I37/100^4*H1247)/(H1246*(H21/100)))^-1</f>
        <v>0.85742237316644776</v>
      </c>
      <c r="I1248" s="231" t="s">
        <v>14</v>
      </c>
      <c r="J1248" s="115" t="s">
        <v>1145</v>
      </c>
      <c r="P1248" s="762"/>
      <c r="Q1248" s="763"/>
      <c r="R1248" s="764"/>
    </row>
    <row r="1249" spans="7:18" x14ac:dyDescent="0.25">
      <c r="G1249" s="470" t="s">
        <v>1138</v>
      </c>
      <c r="H1249" s="525">
        <f ca="1">(3*H1248)/(2+H1248)</f>
        <v>0.90020542418056659</v>
      </c>
      <c r="I1249" s="526" t="str">
        <f ca="1">IF(H1249&gt;0.85,"Reduzir alfa R","Ok")</f>
        <v>Reduzir alfa R</v>
      </c>
      <c r="J1249" s="231" t="s">
        <v>1139</v>
      </c>
      <c r="P1249" s="762"/>
      <c r="Q1249" s="763"/>
      <c r="R1249" s="764"/>
    </row>
    <row r="1250" spans="7:18" x14ac:dyDescent="0.25">
      <c r="G1250" s="470" t="s">
        <v>1146</v>
      </c>
      <c r="H1250" s="525">
        <f>(2*0.85)/(3-0.85)</f>
        <v>0.79069767441860461</v>
      </c>
      <c r="I1250" s="231" t="s">
        <v>14</v>
      </c>
      <c r="J1250" s="115" t="s">
        <v>1147</v>
      </c>
      <c r="P1250" s="762"/>
      <c r="Q1250" s="763"/>
      <c r="R1250" s="764"/>
    </row>
    <row r="1251" spans="7:18" x14ac:dyDescent="0.25">
      <c r="P1251" s="762"/>
      <c r="Q1251" s="763"/>
      <c r="R1251" s="764"/>
    </row>
    <row r="1252" spans="7:18" x14ac:dyDescent="0.25">
      <c r="G1252" s="674" t="s">
        <v>734</v>
      </c>
      <c r="H1252" s="675"/>
      <c r="I1252" s="675"/>
      <c r="J1252" s="675"/>
      <c r="K1252" s="675"/>
      <c r="L1252" s="675"/>
      <c r="M1252" s="675"/>
      <c r="N1252" s="675"/>
      <c r="P1252" s="762"/>
      <c r="Q1252" s="763"/>
      <c r="R1252" s="764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62"/>
      <c r="Q1253" s="763"/>
      <c r="R1253" s="764"/>
    </row>
    <row r="1254" spans="7:18" x14ac:dyDescent="0.25">
      <c r="G1254" s="119">
        <f>(($H$21/100)/20)-$H$280</f>
        <v>0</v>
      </c>
      <c r="H1254" s="119">
        <f>($H$21/100)/8</f>
        <v>1.36</v>
      </c>
      <c r="I1254" s="119">
        <f t="shared" ref="I1254:N1254" si="54">(($H$21/100)/8)+H1254</f>
        <v>2.72</v>
      </c>
      <c r="J1254" s="119">
        <f t="shared" si="54"/>
        <v>4.08</v>
      </c>
      <c r="K1254" s="119">
        <f t="shared" si="54"/>
        <v>5.44</v>
      </c>
      <c r="L1254" s="119">
        <f t="shared" si="54"/>
        <v>6.8000000000000007</v>
      </c>
      <c r="M1254" s="119">
        <f t="shared" si="54"/>
        <v>8.16</v>
      </c>
      <c r="N1254" s="119">
        <f t="shared" si="54"/>
        <v>9.52</v>
      </c>
      <c r="P1254" s="762"/>
      <c r="Q1254" s="763"/>
      <c r="R1254" s="764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-55.025600000000011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-94.329600000000013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-117.91200000000001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-125.77280000000002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-117.91200000000003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-94.329600000000028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-55.025599999999997</v>
      </c>
      <c r="P1255" s="762"/>
      <c r="Q1255" s="763"/>
      <c r="R1255" s="764"/>
    </row>
    <row r="1256" spans="7:18" x14ac:dyDescent="0.25">
      <c r="G1256" s="211" t="s">
        <v>451</v>
      </c>
      <c r="H1256" s="118"/>
      <c r="P1256" s="762"/>
      <c r="Q1256" s="763"/>
      <c r="R1256" s="764"/>
    </row>
    <row r="1257" spans="7:18" x14ac:dyDescent="0.25">
      <c r="G1257" s="119">
        <f>(($H$21/100)/8)+N1254</f>
        <v>10.879999999999999</v>
      </c>
      <c r="P1257" s="762"/>
      <c r="Q1257" s="763"/>
      <c r="R1257" s="764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-5.6843418860808015E-14</v>
      </c>
      <c r="P1258" s="762"/>
      <c r="Q1258" s="763"/>
      <c r="R1258" s="764"/>
    </row>
    <row r="1259" spans="7:18" x14ac:dyDescent="0.25">
      <c r="P1259" s="762"/>
      <c r="Q1259" s="763"/>
      <c r="R1259" s="764"/>
    </row>
    <row r="1260" spans="7:18" x14ac:dyDescent="0.25">
      <c r="P1260" s="762"/>
      <c r="Q1260" s="763"/>
      <c r="R1260" s="764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62"/>
      <c r="Q1261" s="763"/>
      <c r="R1261" s="764"/>
    </row>
    <row r="1262" spans="7:18" x14ac:dyDescent="0.25">
      <c r="G1262" s="144">
        <v>0</v>
      </c>
      <c r="P1262" s="762"/>
      <c r="Q1262" s="763"/>
      <c r="R1262" s="764"/>
    </row>
    <row r="1263" spans="7:18" x14ac:dyDescent="0.25">
      <c r="P1263" s="762"/>
      <c r="Q1263" s="763"/>
      <c r="R1263" s="764"/>
    </row>
    <row r="1264" spans="7:18" x14ac:dyDescent="0.25">
      <c r="P1264" s="762"/>
      <c r="Q1264" s="763"/>
      <c r="R1264" s="764"/>
    </row>
    <row r="1265" spans="7:18" x14ac:dyDescent="0.25">
      <c r="P1265" s="762"/>
      <c r="Q1265" s="763"/>
      <c r="R1265" s="764"/>
    </row>
    <row r="1266" spans="7:18" ht="15.75" thickBot="1" x14ac:dyDescent="0.3">
      <c r="P1266" s="765"/>
      <c r="Q1266" s="766"/>
      <c r="R1266" s="767"/>
    </row>
    <row r="1267" spans="7:18" x14ac:dyDescent="0.25">
      <c r="G1267" s="657" t="s">
        <v>737</v>
      </c>
      <c r="H1267" s="657"/>
      <c r="I1267" s="657"/>
      <c r="J1267" s="657"/>
      <c r="K1267" s="657"/>
      <c r="L1267" s="657"/>
      <c r="M1267" s="657"/>
      <c r="N1267" s="657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0.62245772336395666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945.80047014639047</v>
      </c>
      <c r="I1276" s="379"/>
    </row>
    <row r="1277" spans="7:18" x14ac:dyDescent="0.25">
      <c r="G1277" s="389" t="s">
        <v>664</v>
      </c>
      <c r="H1277" s="385">
        <f ca="1">(H1276/(H36))*H1272</f>
        <v>0.31488633272903899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-129.64311922458066</v>
      </c>
      <c r="I1284" s="786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86"/>
    </row>
    <row r="1288" spans="7:14" x14ac:dyDescent="0.25">
      <c r="G1288" s="757" t="s">
        <v>1031</v>
      </c>
      <c r="H1288" s="758"/>
      <c r="I1288" s="758"/>
      <c r="J1288" s="758"/>
      <c r="K1288" s="758"/>
      <c r="L1288" s="758"/>
      <c r="M1288" s="758"/>
      <c r="N1288" s="758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1.3</v>
      </c>
      <c r="I1290" s="235" t="s">
        <v>1873</v>
      </c>
      <c r="J1290"/>
      <c r="K1290"/>
      <c r="L1290"/>
      <c r="M1290"/>
      <c r="N1290"/>
    </row>
    <row r="1291" spans="7:14" ht="18" x14ac:dyDescent="0.25">
      <c r="G1291" s="482" t="s">
        <v>1033</v>
      </c>
      <c r="H1291" s="471">
        <v>0.4</v>
      </c>
      <c r="I1291" s="235" t="s">
        <v>1034</v>
      </c>
      <c r="J1291"/>
      <c r="K1291"/>
      <c r="L1291"/>
      <c r="M1291"/>
      <c r="N1291"/>
    </row>
    <row r="1292" spans="7:14" ht="18" x14ac:dyDescent="0.35">
      <c r="G1292" s="483" t="s">
        <v>1035</v>
      </c>
      <c r="H1292" s="484">
        <f ca="1">Frequência!C23</f>
        <v>5.4560750323447351</v>
      </c>
      <c r="I1292" s="235" t="s">
        <v>1036</v>
      </c>
      <c r="J1292"/>
      <c r="K1292"/>
      <c r="L1292"/>
      <c r="M1292"/>
      <c r="N1292"/>
    </row>
    <row r="1293" spans="7:14" ht="18" x14ac:dyDescent="0.35">
      <c r="G1293" s="483" t="s">
        <v>1037</v>
      </c>
      <c r="H1293" s="485">
        <f ca="1">Frequência!C25</f>
        <v>4712.0144414473998</v>
      </c>
      <c r="I1293" s="377" t="s">
        <v>1038</v>
      </c>
      <c r="J1293"/>
      <c r="K1293"/>
      <c r="L1293"/>
      <c r="M1293"/>
      <c r="N1293"/>
    </row>
    <row r="1294" spans="7:14" ht="18" x14ac:dyDescent="0.35">
      <c r="G1294" s="483" t="s">
        <v>1039</v>
      </c>
      <c r="H1294" s="484">
        <f ca="1">Frequência!C29</f>
        <v>9.1796633073914204</v>
      </c>
      <c r="I1294" s="235" t="s">
        <v>1040</v>
      </c>
      <c r="J1294"/>
      <c r="K1294"/>
      <c r="L1294"/>
      <c r="M1294"/>
      <c r="N1294"/>
    </row>
    <row r="1295" spans="7:14" ht="18" x14ac:dyDescent="0.35">
      <c r="G1295" s="483" t="s">
        <v>1041</v>
      </c>
      <c r="H1295" s="485">
        <f ca="1">Frequência!C31</f>
        <v>10141.125219919835</v>
      </c>
      <c r="I1295" s="377" t="s">
        <v>1038</v>
      </c>
      <c r="J1295"/>
      <c r="K1295"/>
      <c r="L1295"/>
      <c r="M1295"/>
      <c r="N1295"/>
    </row>
    <row r="1296" spans="7:14" ht="18" x14ac:dyDescent="0.35">
      <c r="G1296" s="483" t="s">
        <v>1042</v>
      </c>
      <c r="H1296" s="484">
        <f ca="1">Frequência!C50</f>
        <v>6.8113861527932515</v>
      </c>
      <c r="I1296" s="235" t="s">
        <v>1040</v>
      </c>
      <c r="J1296"/>
      <c r="K1296"/>
      <c r="L1296"/>
      <c r="M1296"/>
      <c r="N1296"/>
    </row>
    <row r="1297" spans="7:14" x14ac:dyDescent="0.25">
      <c r="G1297" s="483" t="s">
        <v>1867</v>
      </c>
      <c r="H1297" s="484">
        <f ca="1">Frequência!C51</f>
        <v>6.8113861527932515</v>
      </c>
      <c r="I1297" s="235" t="s">
        <v>1868</v>
      </c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B44" sqref="B43:B44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64" t="s">
        <v>1504</v>
      </c>
      <c r="C1" s="664"/>
      <c r="D1" s="664"/>
      <c r="E1" s="664"/>
    </row>
    <row r="2" spans="2:5" x14ac:dyDescent="0.25">
      <c r="B2" s="231" t="s">
        <v>1505</v>
      </c>
    </row>
    <row r="4" spans="2:5" x14ac:dyDescent="0.25">
      <c r="B4" s="664" t="s">
        <v>1506</v>
      </c>
      <c r="C4" s="664"/>
      <c r="D4" s="664"/>
      <c r="E4" s="664"/>
    </row>
    <row r="5" spans="2:5" x14ac:dyDescent="0.25">
      <c r="B5" s="209" t="s">
        <v>1507</v>
      </c>
      <c r="C5" s="237">
        <v>1.3</v>
      </c>
      <c r="D5" s="231" t="s">
        <v>1508</v>
      </c>
      <c r="E5" s="115" t="s">
        <v>1509</v>
      </c>
    </row>
    <row r="6" spans="2:5" x14ac:dyDescent="0.25">
      <c r="B6" s="209" t="s">
        <v>1510</v>
      </c>
      <c r="C6" s="237">
        <v>1.4</v>
      </c>
      <c r="D6" s="231" t="s">
        <v>1508</v>
      </c>
      <c r="E6" s="115" t="s">
        <v>1511</v>
      </c>
    </row>
    <row r="7" spans="2:5" x14ac:dyDescent="0.25">
      <c r="B7" s="209" t="s">
        <v>1512</v>
      </c>
      <c r="C7" s="240" t="s">
        <v>1513</v>
      </c>
      <c r="E7" s="115" t="s">
        <v>1514</v>
      </c>
    </row>
    <row r="8" spans="2:5" x14ac:dyDescent="0.25">
      <c r="B8" s="209" t="s">
        <v>1515</v>
      </c>
      <c r="C8" s="237">
        <f>Geometria!H58</f>
        <v>50</v>
      </c>
      <c r="D8" s="231" t="s">
        <v>60</v>
      </c>
      <c r="E8" s="115" t="s">
        <v>1516</v>
      </c>
    </row>
    <row r="9" spans="2:5" x14ac:dyDescent="0.25">
      <c r="B9" s="209" t="s">
        <v>1517</v>
      </c>
      <c r="C9" s="237">
        <f>Geometria!H864</f>
        <v>1</v>
      </c>
      <c r="D9" s="231" t="s">
        <v>1508</v>
      </c>
      <c r="E9" s="115" t="s">
        <v>1518</v>
      </c>
    </row>
    <row r="10" spans="2:5" x14ac:dyDescent="0.25">
      <c r="B10" s="209" t="s">
        <v>1519</v>
      </c>
      <c r="C10" s="237">
        <v>0.45</v>
      </c>
      <c r="D10" s="231" t="s">
        <v>1508</v>
      </c>
      <c r="E10" s="115" t="s">
        <v>1520</v>
      </c>
    </row>
    <row r="11" spans="2:5" x14ac:dyDescent="0.25">
      <c r="B11" s="209" t="s">
        <v>1521</v>
      </c>
      <c r="C11" s="237">
        <v>0.9</v>
      </c>
      <c r="D11" s="231" t="s">
        <v>1508</v>
      </c>
      <c r="E11" s="115" t="s">
        <v>1522</v>
      </c>
    </row>
    <row r="12" spans="2:5" x14ac:dyDescent="0.25">
      <c r="B12" s="664" t="s">
        <v>1523</v>
      </c>
      <c r="C12" s="664"/>
      <c r="D12" s="664"/>
      <c r="E12" s="664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1524</v>
      </c>
    </row>
    <row r="14" spans="2:5" x14ac:dyDescent="0.25">
      <c r="B14" s="209" t="s">
        <v>1525</v>
      </c>
      <c r="C14" s="118" t="str">
        <f>IF(Geometria!I15="1 - Sim","Sim","Não")</f>
        <v>Sim</v>
      </c>
      <c r="E14" s="115" t="s">
        <v>1526</v>
      </c>
    </row>
    <row r="15" spans="2:5" x14ac:dyDescent="0.25">
      <c r="B15" s="209" t="s">
        <v>1527</v>
      </c>
      <c r="C15" s="118">
        <f>IF(C14="Sim",Geometria!H33,0)</f>
        <v>5</v>
      </c>
      <c r="D15" s="231" t="s">
        <v>80</v>
      </c>
      <c r="E15" s="115" t="s">
        <v>1528</v>
      </c>
    </row>
    <row r="16" spans="2:5" x14ac:dyDescent="0.25">
      <c r="B16" s="209" t="s">
        <v>1529</v>
      </c>
      <c r="C16" s="118">
        <f>Geometria!H144</f>
        <v>3</v>
      </c>
      <c r="D16" s="231" t="s">
        <v>80</v>
      </c>
      <c r="E16" s="115" t="s">
        <v>1530</v>
      </c>
    </row>
    <row r="17" spans="2:5" x14ac:dyDescent="0.25">
      <c r="B17" s="209" t="s">
        <v>1325</v>
      </c>
      <c r="C17" s="118">
        <f>C13-C16</f>
        <v>27</v>
      </c>
      <c r="D17" s="231" t="s">
        <v>80</v>
      </c>
      <c r="E17" s="115" t="s">
        <v>1531</v>
      </c>
    </row>
    <row r="18" spans="2:5" x14ac:dyDescent="0.25">
      <c r="B18" s="209" t="s">
        <v>1532</v>
      </c>
      <c r="C18" s="118">
        <f>C13+C15-C16</f>
        <v>32</v>
      </c>
      <c r="D18" s="231" t="s">
        <v>80</v>
      </c>
      <c r="E18" s="115" t="s">
        <v>1533</v>
      </c>
    </row>
    <row r="19" spans="2:5" x14ac:dyDescent="0.25">
      <c r="B19" s="209" t="s">
        <v>1534</v>
      </c>
      <c r="C19" s="118">
        <f>Geometria!H27</f>
        <v>31</v>
      </c>
      <c r="D19" s="231" t="s">
        <v>80</v>
      </c>
      <c r="E19" s="115" t="s">
        <v>1535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1536</v>
      </c>
    </row>
    <row r="21" spans="2:5" x14ac:dyDescent="0.25">
      <c r="B21" s="209" t="s">
        <v>1537</v>
      </c>
      <c r="C21" s="118">
        <f ca="1">'Propriedades geométricas VI'!M7</f>
        <v>15.039572187067964</v>
      </c>
      <c r="D21" s="231" t="s">
        <v>80</v>
      </c>
      <c r="E21" s="115" t="s">
        <v>1538</v>
      </c>
    </row>
    <row r="22" spans="2:5" x14ac:dyDescent="0.25">
      <c r="B22" s="209" t="s">
        <v>1056</v>
      </c>
      <c r="C22" s="118">
        <f ca="1">'Propriedades geométricas VI'!M9</f>
        <v>207686.80635513959</v>
      </c>
      <c r="D22" s="231" t="s">
        <v>1539</v>
      </c>
      <c r="E22" s="115" t="s">
        <v>1540</v>
      </c>
    </row>
    <row r="23" spans="2:5" x14ac:dyDescent="0.25">
      <c r="B23" s="209" t="s">
        <v>1541</v>
      </c>
      <c r="C23" s="118">
        <f>COUNT('Propriedades geométricas VI'!$B$6:$B$400)</f>
        <v>253</v>
      </c>
      <c r="D23" s="231" t="s">
        <v>1508</v>
      </c>
      <c r="E23" s="115" t="s">
        <v>1542</v>
      </c>
    </row>
    <row r="24" spans="2:5" x14ac:dyDescent="0.25">
      <c r="B24" s="209" t="s">
        <v>1543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1544</v>
      </c>
    </row>
    <row r="25" spans="2:5" x14ac:dyDescent="0.25">
      <c r="B25" s="209" t="s">
        <v>1545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1546</v>
      </c>
    </row>
    <row r="26" spans="2:5" x14ac:dyDescent="0.25">
      <c r="B26" s="209" t="s">
        <v>1547</v>
      </c>
      <c r="C26" s="118">
        <f ca="1">C25/C24-C21</f>
        <v>9.835057390704943</v>
      </c>
      <c r="D26" s="231" t="s">
        <v>80</v>
      </c>
      <c r="E26" s="115" t="s">
        <v>1548</v>
      </c>
    </row>
    <row r="27" spans="2:5" x14ac:dyDescent="0.25">
      <c r="B27" s="209" t="s">
        <v>1395</v>
      </c>
      <c r="C27" s="118">
        <f ca="1">C24*C26</f>
        <v>8949.8408764292944</v>
      </c>
      <c r="D27" s="231" t="s">
        <v>775</v>
      </c>
      <c r="E27" s="115" t="s">
        <v>1549</v>
      </c>
    </row>
    <row r="28" spans="2:5" x14ac:dyDescent="0.25">
      <c r="B28" s="209" t="s">
        <v>1398</v>
      </c>
      <c r="C28" s="118">
        <f ca="1">IF(C14="Sim",'Propriedades geométricas LA '!M9,C22)</f>
        <v>322323.47812366148</v>
      </c>
      <c r="D28" s="231" t="s">
        <v>1539</v>
      </c>
      <c r="E28" s="115" t="s">
        <v>1550</v>
      </c>
    </row>
    <row r="29" spans="2:5" x14ac:dyDescent="0.25">
      <c r="B29" s="209" t="s">
        <v>1397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1551</v>
      </c>
    </row>
    <row r="30" spans="2:5" x14ac:dyDescent="0.25">
      <c r="B30" s="209" t="s">
        <v>1552</v>
      </c>
      <c r="C30" s="118">
        <f>Geometria!M11</f>
        <v>0</v>
      </c>
      <c r="D30" s="231" t="s">
        <v>1508</v>
      </c>
      <c r="E30" s="115" t="s">
        <v>1553</v>
      </c>
    </row>
    <row r="31" spans="2:5" x14ac:dyDescent="0.25">
      <c r="B31" s="209" t="s">
        <v>1554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1555</v>
      </c>
      <c r="C32" s="118">
        <f>VLOOKUP(Geometria!H23,Geometria!L1204:M1206,2,FALSE)*10000</f>
        <v>254</v>
      </c>
      <c r="D32" s="231" t="s">
        <v>14</v>
      </c>
      <c r="E32" s="115" t="s">
        <v>1556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1557</v>
      </c>
    </row>
    <row r="35" spans="2:5" x14ac:dyDescent="0.25">
      <c r="B35" s="664" t="s">
        <v>1558</v>
      </c>
      <c r="C35" s="664"/>
      <c r="D35" s="664"/>
      <c r="E35" s="664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1559</v>
      </c>
    </row>
    <row r="37" spans="2:5" x14ac:dyDescent="0.25">
      <c r="B37" s="209" t="s">
        <v>1560</v>
      </c>
      <c r="C37" s="118">
        <f>IF(C36&lt;=50,0.21*C36^(2/3),0.7*2.12*LN(1+0.11*C36))</f>
        <v>2.8501384974246515</v>
      </c>
      <c r="D37" s="231" t="s">
        <v>60</v>
      </c>
      <c r="E37" s="115" t="s">
        <v>1561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1562</v>
      </c>
    </row>
    <row r="39" spans="2:5" x14ac:dyDescent="0.25">
      <c r="B39" s="209" t="s">
        <v>1563</v>
      </c>
      <c r="C39" s="118">
        <f>C36/C5/10</f>
        <v>3.8461538461538458</v>
      </c>
      <c r="D39" s="231" t="s">
        <v>61</v>
      </c>
      <c r="E39" s="115" t="s">
        <v>1564</v>
      </c>
    </row>
    <row r="40" spans="2:5" x14ac:dyDescent="0.25">
      <c r="B40" s="209" t="s">
        <v>1565</v>
      </c>
      <c r="C40" s="118">
        <f>Geometria!H59</f>
        <v>30</v>
      </c>
      <c r="D40" s="231" t="s">
        <v>60</v>
      </c>
      <c r="E40" s="115" t="s">
        <v>1566</v>
      </c>
    </row>
    <row r="41" spans="2:5" x14ac:dyDescent="0.25">
      <c r="B41" s="209" t="s">
        <v>1567</v>
      </c>
      <c r="C41" s="413">
        <f>IF(C40&lt;=50,0.21*C40^(2/3),0.7*2.12*LN(1+0.11*C40))/C6/10</f>
        <v>0.14482340769084445</v>
      </c>
      <c r="D41" s="231" t="s">
        <v>61</v>
      </c>
      <c r="E41" s="115" t="s">
        <v>1568</v>
      </c>
    </row>
    <row r="42" spans="2:5" x14ac:dyDescent="0.25">
      <c r="B42" s="209" t="s">
        <v>1569</v>
      </c>
      <c r="C42" s="118">
        <f>C40/C6/10</f>
        <v>2.1428571428571432</v>
      </c>
      <c r="D42" s="231" t="s">
        <v>61</v>
      </c>
      <c r="E42" s="115" t="s">
        <v>1570</v>
      </c>
    </row>
    <row r="43" spans="2:5" x14ac:dyDescent="0.25">
      <c r="B43" s="209" t="s">
        <v>1571</v>
      </c>
      <c r="C43" s="118">
        <f>Geometria!H867*100</f>
        <v>3662.8131265463162</v>
      </c>
      <c r="D43" s="231" t="s">
        <v>61</v>
      </c>
      <c r="E43" s="115" t="s">
        <v>1572</v>
      </c>
    </row>
    <row r="44" spans="2:5" x14ac:dyDescent="0.25">
      <c r="B44" s="209" t="s">
        <v>1573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1574</v>
      </c>
    </row>
    <row r="45" spans="2:5" x14ac:dyDescent="0.25">
      <c r="B45" s="209" t="s">
        <v>1575</v>
      </c>
      <c r="C45" s="118">
        <f>C44/C43</f>
        <v>1</v>
      </c>
      <c r="D45" s="231" t="s">
        <v>1508</v>
      </c>
      <c r="E45" s="115" t="s">
        <v>1576</v>
      </c>
    </row>
    <row r="47" spans="2:5" x14ac:dyDescent="0.25">
      <c r="B47" s="664" t="s">
        <v>1577</v>
      </c>
      <c r="C47" s="664"/>
      <c r="D47" s="664"/>
      <c r="E47" s="664"/>
    </row>
    <row r="48" spans="2:5" x14ac:dyDescent="0.25">
      <c r="B48" s="209" t="s">
        <v>1578</v>
      </c>
      <c r="C48" s="118">
        <f>Geometria!H166</f>
        <v>9.8699999999999992</v>
      </c>
      <c r="D48" s="231" t="s">
        <v>14</v>
      </c>
    </row>
    <row r="49" spans="2:5" x14ac:dyDescent="0.25">
      <c r="B49" s="209" t="s">
        <v>1579</v>
      </c>
      <c r="C49" s="118">
        <f>Geometria!H168</f>
        <v>0</v>
      </c>
      <c r="D49" s="231" t="s">
        <v>14</v>
      </c>
    </row>
    <row r="50" spans="2:5" x14ac:dyDescent="0.25">
      <c r="B50" s="209" t="s">
        <v>1580</v>
      </c>
      <c r="C50" s="118">
        <f ca="1">Geometria!J237</f>
        <v>95.825782183018291</v>
      </c>
      <c r="D50" s="231" t="s">
        <v>61</v>
      </c>
      <c r="E50" s="115" t="s">
        <v>1581</v>
      </c>
    </row>
    <row r="51" spans="2:5" x14ac:dyDescent="0.25">
      <c r="B51" s="209" t="s">
        <v>1582</v>
      </c>
      <c r="C51" s="118">
        <f ca="1">Geometria!J238</f>
        <v>36.34288539523186</v>
      </c>
      <c r="D51" s="231" t="s">
        <v>61</v>
      </c>
      <c r="E51" s="115" t="s">
        <v>1581</v>
      </c>
    </row>
    <row r="52" spans="2:5" x14ac:dyDescent="0.25">
      <c r="B52" s="209" t="s">
        <v>1583</v>
      </c>
      <c r="C52" s="118">
        <f ca="1">C48*C50+C49*C51</f>
        <v>945.80047014639047</v>
      </c>
      <c r="D52" s="231" t="s">
        <v>96</v>
      </c>
    </row>
    <row r="53" spans="2:5" x14ac:dyDescent="0.25">
      <c r="B53" s="209" t="s">
        <v>587</v>
      </c>
      <c r="C53" s="118">
        <f ca="1">Geometria!H1020</f>
        <v>64.261392378308784</v>
      </c>
      <c r="D53" s="231" t="s">
        <v>80</v>
      </c>
      <c r="E53" s="115" t="s">
        <v>1584</v>
      </c>
    </row>
    <row r="54" spans="2:5" x14ac:dyDescent="0.25">
      <c r="B54" s="209" t="s">
        <v>1585</v>
      </c>
      <c r="C54" s="118">
        <f ca="1">Geometria!H1019</f>
        <v>21.144026785488279</v>
      </c>
      <c r="D54" s="231" t="s">
        <v>80</v>
      </c>
      <c r="E54" s="115" t="s">
        <v>1584</v>
      </c>
    </row>
    <row r="55" spans="2:5" x14ac:dyDescent="0.25">
      <c r="B55" s="209" t="s">
        <v>1586</v>
      </c>
      <c r="C55" s="118">
        <f ca="1">1.2*C53</f>
        <v>77.113670853970532</v>
      </c>
      <c r="D55" s="231" t="s">
        <v>80</v>
      </c>
      <c r="E55" s="115" t="s">
        <v>1587</v>
      </c>
    </row>
    <row r="56" spans="2:5" x14ac:dyDescent="0.25">
      <c r="B56" s="209" t="s">
        <v>1588</v>
      </c>
      <c r="C56" s="118">
        <f ca="1">1.2*C54</f>
        <v>25.372832142585935</v>
      </c>
      <c r="D56" s="231" t="s">
        <v>80</v>
      </c>
    </row>
    <row r="57" spans="2:5" x14ac:dyDescent="0.25">
      <c r="B57" s="209" t="s">
        <v>1589</v>
      </c>
      <c r="C57" s="118">
        <f ca="1">Geometria!K897</f>
        <v>150.6081672080264</v>
      </c>
      <c r="D57" s="231" t="s">
        <v>61</v>
      </c>
      <c r="E57" s="115" t="s">
        <v>1590</v>
      </c>
    </row>
    <row r="59" spans="2:5" x14ac:dyDescent="0.25">
      <c r="B59" s="664" t="s">
        <v>1591</v>
      </c>
      <c r="C59" s="664"/>
      <c r="D59" s="664"/>
      <c r="E59" s="664"/>
    </row>
    <row r="60" spans="2:5" x14ac:dyDescent="0.25">
      <c r="B60" s="209" t="s">
        <v>1066</v>
      </c>
      <c r="C60" s="118">
        <f>Geometria!H21</f>
        <v>1088</v>
      </c>
      <c r="D60" s="231" t="s">
        <v>80</v>
      </c>
      <c r="E60" s="115" t="s">
        <v>1592</v>
      </c>
    </row>
    <row r="61" spans="2:5" x14ac:dyDescent="0.25">
      <c r="B61" s="209" t="s">
        <v>1320</v>
      </c>
      <c r="C61" s="118">
        <f>Geometria!H26</f>
        <v>14</v>
      </c>
      <c r="D61" s="231" t="s">
        <v>80</v>
      </c>
      <c r="E61" s="115" t="s">
        <v>1593</v>
      </c>
    </row>
    <row r="62" spans="2:5" x14ac:dyDescent="0.25">
      <c r="B62" s="209" t="s">
        <v>1594</v>
      </c>
      <c r="C62" s="118">
        <f ca="1">Geometria!I73*Geometria!K51+(Geometria!I74+Geometria!I75+Geometria!I76+Geometria!I77+Geometria!I78)*Geometria!K52</f>
        <v>21.311869690692582</v>
      </c>
      <c r="D62" s="231" t="s">
        <v>47</v>
      </c>
      <c r="E62" s="115" t="s">
        <v>1595</v>
      </c>
    </row>
    <row r="63" spans="2:5" x14ac:dyDescent="0.25">
      <c r="B63" s="209" t="s">
        <v>1596</v>
      </c>
      <c r="C63" s="118">
        <f ca="1">Geometria!I73*Geometria!K51+(Geometria!I74+Geometria!I75)*Geometria!K52</f>
        <v>9.4118696906925834</v>
      </c>
      <c r="D63" s="231" t="s">
        <v>47</v>
      </c>
      <c r="E63" s="115" t="s">
        <v>1597</v>
      </c>
    </row>
    <row r="64" spans="2:5" x14ac:dyDescent="0.25">
      <c r="B64" s="209" t="s">
        <v>1598</v>
      </c>
      <c r="C64" s="118">
        <f>Geometria!H1037</f>
        <v>10.711110050565861</v>
      </c>
      <c r="D64" s="231" t="s">
        <v>80</v>
      </c>
      <c r="E64" s="115" t="s">
        <v>1599</v>
      </c>
    </row>
    <row r="65" spans="2:5" x14ac:dyDescent="0.25">
      <c r="B65" s="209" t="s">
        <v>1600</v>
      </c>
      <c r="C65" s="118">
        <f>Geometria!H1038</f>
        <v>24.711110050565861</v>
      </c>
      <c r="D65" s="231" t="s">
        <v>80</v>
      </c>
      <c r="E65" s="115" t="s">
        <v>1601</v>
      </c>
    </row>
    <row r="66" spans="2:5" x14ac:dyDescent="0.25">
      <c r="B66" s="209" t="s">
        <v>1602</v>
      </c>
      <c r="C66" s="118">
        <f>C61/2+C64</f>
        <v>17.711110050565861</v>
      </c>
      <c r="D66" s="231" t="s">
        <v>80</v>
      </c>
      <c r="E66" s="115" t="s">
        <v>1603</v>
      </c>
    </row>
    <row r="67" spans="2:5" x14ac:dyDescent="0.25">
      <c r="B67" s="209" t="s">
        <v>1604</v>
      </c>
      <c r="C67" s="118">
        <f ca="1">C62*(C60/2-C66)/100</f>
        <v>112.1620024226159</v>
      </c>
      <c r="D67" s="231" t="s">
        <v>96</v>
      </c>
      <c r="E67" s="115" t="s">
        <v>1605</v>
      </c>
    </row>
    <row r="68" spans="2:5" x14ac:dyDescent="0.25">
      <c r="B68" s="209" t="s">
        <v>1606</v>
      </c>
      <c r="C68" s="118">
        <f ca="1">C63*(C60/2-C66)/100</f>
        <v>49.533624518633239</v>
      </c>
      <c r="D68" s="231" t="s">
        <v>96</v>
      </c>
      <c r="E68" s="115" t="s">
        <v>1607</v>
      </c>
    </row>
    <row r="69" spans="2:5" x14ac:dyDescent="0.25">
      <c r="B69" s="209" t="s">
        <v>1608</v>
      </c>
      <c r="C69" s="118">
        <f>0.5*(C13+C15)</f>
        <v>17.5</v>
      </c>
      <c r="D69" s="231" t="s">
        <v>80</v>
      </c>
      <c r="E69" s="115" t="s">
        <v>1609</v>
      </c>
    </row>
    <row r="70" spans="2:5" x14ac:dyDescent="0.25">
      <c r="B70" s="209" t="s">
        <v>1610</v>
      </c>
      <c r="C70" s="118">
        <f>C61/2+C69</f>
        <v>24.5</v>
      </c>
      <c r="D70" s="231" t="s">
        <v>80</v>
      </c>
      <c r="E70" s="115" t="s">
        <v>1611</v>
      </c>
    </row>
    <row r="71" spans="2:5" x14ac:dyDescent="0.25">
      <c r="B71" s="209" t="s">
        <v>1612</v>
      </c>
      <c r="C71" s="118">
        <f ca="1">C62*(C60/2-C70)/100</f>
        <v>110.71516304314797</v>
      </c>
      <c r="D71" s="231" t="s">
        <v>96</v>
      </c>
      <c r="E71" s="115" t="s">
        <v>1613</v>
      </c>
    </row>
    <row r="72" spans="2:5" x14ac:dyDescent="0.25">
      <c r="B72" s="209" t="s">
        <v>1614</v>
      </c>
      <c r="C72" s="118">
        <f ca="1">C62*C70*(C60-C70)/2/10000</f>
        <v>27.764837434663164</v>
      </c>
      <c r="D72" s="231" t="s">
        <v>1615</v>
      </c>
      <c r="E72" s="115" t="s">
        <v>1616</v>
      </c>
    </row>
    <row r="73" spans="2:5" x14ac:dyDescent="0.25">
      <c r="B73" s="209" t="s">
        <v>1617</v>
      </c>
      <c r="C73" s="118">
        <f ca="1">C62*C60/200</f>
        <v>115.93657111736763</v>
      </c>
      <c r="D73" s="231" t="s">
        <v>96</v>
      </c>
      <c r="E73" s="115" t="s">
        <v>1618</v>
      </c>
    </row>
    <row r="75" spans="2:5" x14ac:dyDescent="0.25">
      <c r="B75" s="664" t="s">
        <v>1619</v>
      </c>
      <c r="C75" s="664"/>
      <c r="D75" s="664"/>
      <c r="E75" s="664"/>
    </row>
    <row r="76" spans="2:5" x14ac:dyDescent="0.25">
      <c r="B76" s="209" t="s">
        <v>1620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1621</v>
      </c>
      <c r="C77" s="413">
        <f ca="1">Geometria!H1048</f>
        <v>0.32045044383065446</v>
      </c>
      <c r="D77" s="231" t="s">
        <v>1508</v>
      </c>
      <c r="E77" s="115" t="s">
        <v>1622</v>
      </c>
    </row>
    <row r="78" spans="2:5" x14ac:dyDescent="0.25">
      <c r="B78" s="209" t="s">
        <v>1623</v>
      </c>
      <c r="C78" s="413">
        <f ca="1">Geometria!I1048</f>
        <v>0.97392005400495141</v>
      </c>
      <c r="D78" s="231" t="s">
        <v>1508</v>
      </c>
      <c r="E78" s="115" t="s">
        <v>1624</v>
      </c>
    </row>
    <row r="79" spans="2:5" x14ac:dyDescent="0.25">
      <c r="B79" s="209" t="s">
        <v>1625</v>
      </c>
      <c r="C79" s="413">
        <f ca="1">Geometria!H1053/10000</f>
        <v>0.15050732231200845</v>
      </c>
      <c r="D79" s="231" t="s">
        <v>61</v>
      </c>
      <c r="E79" s="115" t="s">
        <v>1626</v>
      </c>
    </row>
    <row r="80" spans="2:5" x14ac:dyDescent="0.25">
      <c r="B80" s="209" t="s">
        <v>1627</v>
      </c>
      <c r="C80" s="118">
        <f>Geometria!H1049</f>
        <v>0.75</v>
      </c>
      <c r="D80" s="231" t="s">
        <v>1508</v>
      </c>
      <c r="E80" s="115" t="s">
        <v>1628</v>
      </c>
    </row>
    <row r="81" spans="2:5" x14ac:dyDescent="0.25">
      <c r="B81" s="209" t="s">
        <v>1629</v>
      </c>
      <c r="C81" s="118">
        <f ca="1">Geometria!H1082</f>
        <v>150.45521141455325</v>
      </c>
      <c r="D81" s="231" t="s">
        <v>96</v>
      </c>
      <c r="E81" s="115" t="s">
        <v>1630</v>
      </c>
    </row>
    <row r="82" spans="2:5" x14ac:dyDescent="0.25">
      <c r="B82" s="209" t="s">
        <v>1631</v>
      </c>
      <c r="C82" s="118">
        <f>(2/3)*C30*C32*C38</f>
        <v>0</v>
      </c>
      <c r="D82" s="231" t="s">
        <v>96</v>
      </c>
      <c r="E82" s="115" t="s">
        <v>1632</v>
      </c>
    </row>
    <row r="83" spans="2:5" x14ac:dyDescent="0.25">
      <c r="B83" s="209" t="s">
        <v>1633</v>
      </c>
      <c r="C83" s="118">
        <f ca="1">C81+C82</f>
        <v>150.45521141455325</v>
      </c>
      <c r="D83" s="231" t="s">
        <v>96</v>
      </c>
      <c r="E83" s="115" t="s">
        <v>1634</v>
      </c>
    </row>
    <row r="84" spans="2:5" x14ac:dyDescent="0.25">
      <c r="B84" s="209" t="s">
        <v>1635</v>
      </c>
      <c r="C84" s="413">
        <f ca="1">C27*C28/(C29*C22)</f>
        <v>1.1163384347804703</v>
      </c>
      <c r="D84" s="231" t="s">
        <v>1508</v>
      </c>
      <c r="E84" s="115" t="s">
        <v>1636</v>
      </c>
    </row>
    <row r="85" spans="2:5" x14ac:dyDescent="0.25">
      <c r="B85" s="209" t="s">
        <v>1637</v>
      </c>
      <c r="C85" s="118">
        <f ca="1">C81*C84+C68*(1-C84)</f>
        <v>162.19627086958582</v>
      </c>
      <c r="D85" s="231" t="s">
        <v>96</v>
      </c>
      <c r="E85" s="115" t="s">
        <v>1638</v>
      </c>
    </row>
    <row r="86" spans="2:5" x14ac:dyDescent="0.25">
      <c r="B86" s="209" t="s">
        <v>1639</v>
      </c>
      <c r="C86" s="118">
        <f ca="1">C85+C82</f>
        <v>162.19627086958582</v>
      </c>
      <c r="D86" s="231" t="s">
        <v>96</v>
      </c>
      <c r="E86" s="115" t="s">
        <v>1640</v>
      </c>
    </row>
    <row r="87" spans="2:5" x14ac:dyDescent="0.25">
      <c r="B87" s="209" t="s">
        <v>1641</v>
      </c>
      <c r="C87" s="415">
        <f ca="1">IF(C14="Sim",IF(C30&gt;0,C86,C85),IF(C30&gt;0,C83,C81))</f>
        <v>162.19627086958582</v>
      </c>
      <c r="D87" s="231" t="s">
        <v>96</v>
      </c>
      <c r="E87" s="115" t="s">
        <v>1642</v>
      </c>
    </row>
    <row r="88" spans="2:5" x14ac:dyDescent="0.25">
      <c r="B88" s="209" t="s">
        <v>1604</v>
      </c>
      <c r="C88" s="415">
        <f ca="1">C67</f>
        <v>112.1620024226159</v>
      </c>
      <c r="D88" s="231" t="s">
        <v>96</v>
      </c>
    </row>
    <row r="89" spans="2:5" x14ac:dyDescent="0.25">
      <c r="B89" s="411" t="s">
        <v>1268</v>
      </c>
      <c r="C89" s="411" t="str">
        <f ca="1">IF(C88&lt;=C87,"Ok!","Não Ok!")</f>
        <v>Ok!</v>
      </c>
    </row>
    <row r="91" spans="2:5" x14ac:dyDescent="0.25">
      <c r="B91" s="664" t="s">
        <v>1643</v>
      </c>
      <c r="C91" s="664"/>
      <c r="D91" s="664"/>
      <c r="E91" s="664"/>
    </row>
    <row r="92" spans="2:5" x14ac:dyDescent="0.25">
      <c r="B92" s="209" t="s">
        <v>1644</v>
      </c>
      <c r="C92" s="118">
        <f ca="1">Geometria!H1137</f>
        <v>181.10080974122204</v>
      </c>
      <c r="D92" s="231" t="s">
        <v>96</v>
      </c>
      <c r="E92" s="115" t="s">
        <v>1645</v>
      </c>
    </row>
    <row r="93" spans="2:5" x14ac:dyDescent="0.25">
      <c r="B93" s="209" t="s">
        <v>1646</v>
      </c>
      <c r="C93" s="118">
        <f ca="1">Geometria!H1153</f>
        <v>181.10080974122204</v>
      </c>
      <c r="D93" s="231" t="s">
        <v>96</v>
      </c>
      <c r="E93" s="115" t="s">
        <v>1647</v>
      </c>
    </row>
    <row r="94" spans="2:5" x14ac:dyDescent="0.25">
      <c r="B94" s="209" t="s">
        <v>1648</v>
      </c>
      <c r="C94" s="415">
        <f ca="1">IF(C30&gt;0,C93,C92)</f>
        <v>181.10080974122204</v>
      </c>
      <c r="D94" s="231" t="s">
        <v>96</v>
      </c>
      <c r="E94" s="115" t="s">
        <v>1642</v>
      </c>
    </row>
    <row r="95" spans="2:5" x14ac:dyDescent="0.25">
      <c r="B95" s="209" t="s">
        <v>1612</v>
      </c>
      <c r="C95" s="415">
        <f ca="1">C71</f>
        <v>110.71516304314797</v>
      </c>
      <c r="D95" s="231" t="s">
        <v>96</v>
      </c>
    </row>
    <row r="96" spans="2:5" x14ac:dyDescent="0.25">
      <c r="B96" s="411" t="s">
        <v>1268</v>
      </c>
      <c r="C96" s="411" t="str">
        <f ca="1">IF(C95&lt;=C94,"Ok!","Não Ok!")</f>
        <v>Ok!</v>
      </c>
    </row>
    <row r="97" spans="2:5" x14ac:dyDescent="0.25">
      <c r="B97" s="209" t="s">
        <v>1649</v>
      </c>
      <c r="C97" s="118">
        <f ca="1">Geometria!H1118</f>
        <v>139.38056892438755</v>
      </c>
      <c r="D97" s="231" t="s">
        <v>96</v>
      </c>
      <c r="E97" s="115" t="s">
        <v>1650</v>
      </c>
    </row>
    <row r="98" spans="2:5" x14ac:dyDescent="0.25">
      <c r="B98" s="209" t="s">
        <v>1651</v>
      </c>
      <c r="C98" s="118">
        <f ca="1">Geometria!H1119</f>
        <v>51.200571117367659</v>
      </c>
      <c r="D98" s="231" t="s">
        <v>96</v>
      </c>
      <c r="E98" s="115" t="s">
        <v>1652</v>
      </c>
    </row>
    <row r="99" spans="2:5" x14ac:dyDescent="0.25">
      <c r="B99" s="411" t="s">
        <v>1268</v>
      </c>
      <c r="C99" s="411" t="str">
        <f ca="1">IF(C98&lt;=C97,"Ok!","Não Ok!")</f>
        <v>Ok!</v>
      </c>
    </row>
    <row r="101" spans="2:5" x14ac:dyDescent="0.25">
      <c r="B101" s="664" t="s">
        <v>1653</v>
      </c>
      <c r="C101" s="664"/>
      <c r="D101" s="664"/>
      <c r="E101" s="664"/>
    </row>
    <row r="102" spans="2:5" x14ac:dyDescent="0.25">
      <c r="B102" s="209" t="s">
        <v>1654</v>
      </c>
      <c r="C102" s="415">
        <f>IF(C30&gt;0,Geometria!H1100,Geometria!H1099)</f>
        <v>858.46153846153857</v>
      </c>
      <c r="D102" s="231" t="s">
        <v>96</v>
      </c>
      <c r="E102" s="115" t="s">
        <v>1655</v>
      </c>
    </row>
    <row r="103" spans="2:5" x14ac:dyDescent="0.25">
      <c r="B103" s="209" t="s">
        <v>1656</v>
      </c>
      <c r="C103" s="415">
        <f ca="1">C67</f>
        <v>112.1620024226159</v>
      </c>
      <c r="D103" s="231" t="s">
        <v>96</v>
      </c>
      <c r="E103" s="115" t="s">
        <v>1657</v>
      </c>
    </row>
    <row r="104" spans="2:5" x14ac:dyDescent="0.25">
      <c r="B104" s="411" t="s">
        <v>1268</v>
      </c>
      <c r="C104" s="411" t="str">
        <f ca="1">IF(C103&lt;=C102,"Ok!","Não Ok!")</f>
        <v>Ok!</v>
      </c>
    </row>
    <row r="106" spans="2:5" x14ac:dyDescent="0.25">
      <c r="B106" s="664" t="s">
        <v>1658</v>
      </c>
      <c r="C106" s="664"/>
      <c r="D106" s="664"/>
      <c r="E106" s="664"/>
    </row>
    <row r="107" spans="2:5" x14ac:dyDescent="0.25">
      <c r="B107" s="209" t="s">
        <v>1659</v>
      </c>
      <c r="C107" s="118">
        <f ca="1">C48*C57</f>
        <v>1486.5026103432206</v>
      </c>
      <c r="D107" s="231" t="s">
        <v>96</v>
      </c>
      <c r="E107" s="115" t="s">
        <v>1660</v>
      </c>
    </row>
    <row r="108" spans="2:5" x14ac:dyDescent="0.25">
      <c r="B108" s="209" t="s">
        <v>1661</v>
      </c>
      <c r="C108" s="118">
        <f>0.85*C42*Geometria!H31*C15</f>
        <v>1103.694642857143</v>
      </c>
      <c r="D108" s="231" t="s">
        <v>96</v>
      </c>
      <c r="E108" s="115" t="s">
        <v>1662</v>
      </c>
    </row>
    <row r="109" spans="2:5" x14ac:dyDescent="0.25">
      <c r="B109" s="209" t="s">
        <v>1301</v>
      </c>
      <c r="C109" s="413">
        <f ca="1">IF(C14="Sim",MIN(1,C108/C107),0)</f>
        <v>0.74247743339132743</v>
      </c>
      <c r="D109" s="231" t="s">
        <v>1508</v>
      </c>
      <c r="E109" s="115" t="s">
        <v>1663</v>
      </c>
    </row>
    <row r="110" spans="2:5" x14ac:dyDescent="0.25">
      <c r="B110" s="209" t="s">
        <v>1664</v>
      </c>
      <c r="C110" s="118">
        <f ca="1">IF(C107&lt;=C108,C107/(0.85*C42*Geometria!H31),C15+(C107-C108)/(0.85*C39*Geometria!H31))</f>
        <v>5.9662034971472133</v>
      </c>
      <c r="D110" s="231" t="s">
        <v>80</v>
      </c>
      <c r="E110" s="115" t="s">
        <v>1665</v>
      </c>
    </row>
    <row r="111" spans="2:5" x14ac:dyDescent="0.25">
      <c r="B111" s="209" t="s">
        <v>1666</v>
      </c>
      <c r="C111" s="118">
        <f ca="1">IF(C107&lt;=C108,C110/2,(C108*C15/2+(C107-C108)*(C15+C110)/2)/C107)</f>
        <v>3.2682160187474936</v>
      </c>
      <c r="D111" s="231" t="s">
        <v>80</v>
      </c>
      <c r="E111" s="115" t="s">
        <v>1667</v>
      </c>
    </row>
    <row r="112" spans="2:5" x14ac:dyDescent="0.25">
      <c r="B112" s="209" t="s">
        <v>1310</v>
      </c>
      <c r="C112" s="118">
        <f ca="1">C18-C111</f>
        <v>28.731783981252505</v>
      </c>
      <c r="D112" s="231" t="s">
        <v>80</v>
      </c>
      <c r="E112" s="115" t="s">
        <v>1668</v>
      </c>
    </row>
    <row r="113" spans="2:5" x14ac:dyDescent="0.25">
      <c r="B113" s="209" t="s">
        <v>1312</v>
      </c>
      <c r="C113" s="118">
        <f>Geometria!H31</f>
        <v>121.19</v>
      </c>
      <c r="D113" s="231" t="s">
        <v>80</v>
      </c>
      <c r="E113" s="115" t="s">
        <v>1669</v>
      </c>
    </row>
    <row r="114" spans="2:5" x14ac:dyDescent="0.25">
      <c r="B114" s="209" t="s">
        <v>1670</v>
      </c>
      <c r="C114" s="415">
        <f ca="1">10*C109*C71/(C112*C113)</f>
        <v>0.23608097184911112</v>
      </c>
      <c r="D114" s="231" t="s">
        <v>60</v>
      </c>
      <c r="E114" s="115" t="s">
        <v>1671</v>
      </c>
    </row>
    <row r="115" spans="2:5" x14ac:dyDescent="0.25">
      <c r="B115" s="209" t="s">
        <v>1672</v>
      </c>
      <c r="C115" s="415">
        <f>10*C10*C41</f>
        <v>0.65170533460879998</v>
      </c>
      <c r="D115" s="231" t="s">
        <v>60</v>
      </c>
      <c r="E115" s="115" t="s">
        <v>1673</v>
      </c>
    </row>
    <row r="116" spans="2:5" x14ac:dyDescent="0.25">
      <c r="B116" s="411" t="s">
        <v>1268</v>
      </c>
      <c r="C116" s="411" t="str">
        <f ca="1">IF(C14&lt;&gt;"Sim","Não se aplica",IF(C114&lt;=C115,"Ok!","Não Ok!"))</f>
        <v>Ok!</v>
      </c>
    </row>
    <row r="118" spans="2:5" x14ac:dyDescent="0.25">
      <c r="B118" s="664" t="s">
        <v>1674</v>
      </c>
      <c r="C118" s="664"/>
      <c r="D118" s="664"/>
      <c r="E118" s="664"/>
    </row>
    <row r="119" spans="2:5" x14ac:dyDescent="0.25">
      <c r="B119" s="209" t="s">
        <v>1675</v>
      </c>
      <c r="C119" s="415">
        <f ca="1">Geometria!H1168</f>
        <v>0.61240635678072997</v>
      </c>
      <c r="D119" s="231" t="s">
        <v>1508</v>
      </c>
      <c r="E119" s="115" t="s">
        <v>1676</v>
      </c>
    </row>
    <row r="120" spans="2:5" x14ac:dyDescent="0.25">
      <c r="B120" s="209" t="s">
        <v>1677</v>
      </c>
      <c r="C120" s="118">
        <v>1</v>
      </c>
      <c r="D120" s="231" t="s">
        <v>1508</v>
      </c>
    </row>
    <row r="121" spans="2:5" x14ac:dyDescent="0.25">
      <c r="B121" s="411" t="s">
        <v>1268</v>
      </c>
      <c r="C121" s="411" t="str">
        <f ca="1">IF(C119&lt;=C120,"Ok!","Não Ok!")</f>
        <v>Ok!</v>
      </c>
    </row>
    <row r="123" spans="2:5" x14ac:dyDescent="0.25">
      <c r="B123" s="664" t="s">
        <v>1678</v>
      </c>
      <c r="C123" s="664"/>
      <c r="D123" s="664"/>
      <c r="E123" s="664"/>
    </row>
    <row r="124" spans="2:5" x14ac:dyDescent="0.25">
      <c r="B124" s="411" t="s">
        <v>1104</v>
      </c>
      <c r="C124" s="411" t="s">
        <v>1679</v>
      </c>
      <c r="D124" s="411" t="s">
        <v>1680</v>
      </c>
      <c r="E124" s="411" t="s">
        <v>1268</v>
      </c>
    </row>
    <row r="125" spans="2:5" x14ac:dyDescent="0.25">
      <c r="B125" s="209" t="s">
        <v>1681</v>
      </c>
      <c r="C125" s="118">
        <f ca="1">C88</f>
        <v>112.1620024226159</v>
      </c>
      <c r="D125" s="118">
        <f ca="1">C87</f>
        <v>162.19627086958582</v>
      </c>
      <c r="E125" s="411" t="str">
        <f ca="1">IF(C89="Não se aplica",C89,C89&amp;"  (aproveitamento "&amp;IFERROR(ROUND(100*C88/C87,0),"-")&amp;"%)")</f>
        <v>Ok!  (aproveitamento 69%)</v>
      </c>
    </row>
    <row r="126" spans="2:5" x14ac:dyDescent="0.25">
      <c r="B126" s="209" t="s">
        <v>1682</v>
      </c>
      <c r="C126" s="118">
        <f ca="1">C95</f>
        <v>110.71516304314797</v>
      </c>
      <c r="D126" s="118">
        <f ca="1">C94</f>
        <v>181.10080974122204</v>
      </c>
      <c r="E126" s="411" t="str">
        <f ca="1">IF(C96="Não se aplica",C96,C96&amp;"  (aproveitamento "&amp;IFERROR(ROUND(100*C95/C94,0),"-")&amp;"%)")</f>
        <v>Ok!  (aproveitamento 61%)</v>
      </c>
    </row>
    <row r="127" spans="2:5" x14ac:dyDescent="0.25">
      <c r="B127" s="209" t="s">
        <v>1683</v>
      </c>
      <c r="C127" s="118">
        <f ca="1">C98</f>
        <v>51.200571117367659</v>
      </c>
      <c r="D127" s="118">
        <f ca="1">C97</f>
        <v>139.38056892438755</v>
      </c>
      <c r="E127" s="411" t="str">
        <f ca="1">IF(C99="Não se aplica",C99,C99&amp;"  (aproveitamento "&amp;IFERROR(ROUND(100*C98/C97,0),"-")&amp;"%)")</f>
        <v>Ok!  (aproveitamento 37%)</v>
      </c>
    </row>
    <row r="128" spans="2:5" x14ac:dyDescent="0.25">
      <c r="B128" s="209" t="s">
        <v>1684</v>
      </c>
      <c r="C128" s="118">
        <f ca="1">C103</f>
        <v>112.1620024226159</v>
      </c>
      <c r="D128" s="118">
        <f>C102</f>
        <v>858.46153846153857</v>
      </c>
      <c r="E128" s="411" t="str">
        <f ca="1">IF(C104="Não se aplica",C104,C104&amp;"  (aproveitamento "&amp;IFERROR(ROUND(100*C103/C102,0),"-")&amp;"%)")</f>
        <v>Ok!  (aproveitamento 13%)</v>
      </c>
    </row>
    <row r="129" spans="2:5" x14ac:dyDescent="0.25">
      <c r="B129" s="209" t="s">
        <v>1685</v>
      </c>
      <c r="C129" s="118">
        <f ca="1">C114</f>
        <v>0.23608097184911112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36%)</v>
      </c>
    </row>
    <row r="130" spans="2:5" x14ac:dyDescent="0.25">
      <c r="B130" s="209" t="s">
        <v>1686</v>
      </c>
      <c r="C130" s="118">
        <f ca="1">C119</f>
        <v>0.61240635678072997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61%)</v>
      </c>
    </row>
    <row r="132" spans="2:5" x14ac:dyDescent="0.25">
      <c r="B132" s="209" t="s">
        <v>495</v>
      </c>
      <c r="C132" s="415">
        <f ca="1">MAX(C67,C71)</f>
        <v>112.1620024226159</v>
      </c>
      <c r="D132" s="231" t="s">
        <v>96</v>
      </c>
      <c r="E132" s="115" t="s">
        <v>1687</v>
      </c>
    </row>
    <row r="133" spans="2:5" x14ac:dyDescent="0.25">
      <c r="B133" s="209" t="s">
        <v>1688</v>
      </c>
      <c r="C133" s="415">
        <f ca="1">MIN(C87,C94,C102)</f>
        <v>162.19627086958582</v>
      </c>
      <c r="D133" s="231" t="s">
        <v>96</v>
      </c>
      <c r="E133" s="115" t="s">
        <v>1689</v>
      </c>
    </row>
    <row r="134" spans="2:5" x14ac:dyDescent="0.25">
      <c r="B134" s="209" t="s">
        <v>1690</v>
      </c>
      <c r="C134" s="118" t="str">
        <f ca="1">IF(C133=C87,"Tração diagonal",IF(C133=C94,"Flexo-cortante","Bielas comprimidas"))</f>
        <v>Tração diagonal</v>
      </c>
    </row>
    <row r="135" spans="2:5" x14ac:dyDescent="0.25">
      <c r="B135" s="411" t="s">
        <v>1691</v>
      </c>
      <c r="C135" s="411" t="str">
        <f ca="1">IF(AND(C132&lt;=C133,C89="Ok!",C96="Ok!",C99="Ok!",C104="Ok!",OR(C116="Ok!",C116="Não se aplica"),C121="Ok!"),"Ok!","Não Ok!")</f>
        <v>Ok!</v>
      </c>
      <c r="E135" s="115" t="s">
        <v>1692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93" t="s">
        <v>734</v>
      </c>
      <c r="G3" s="793"/>
      <c r="H3" s="793"/>
      <c r="I3" s="793"/>
      <c r="J3" s="793"/>
      <c r="K3" s="793"/>
      <c r="L3" s="793"/>
      <c r="M3" s="793"/>
      <c r="N3" s="793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1.36</v>
      </c>
      <c r="H5" s="119">
        <f>Geometria!I1254</f>
        <v>2.72</v>
      </c>
      <c r="I5" s="119">
        <f>Geometria!J1254</f>
        <v>4.08</v>
      </c>
      <c r="J5" s="119">
        <f>Geometria!K1254</f>
        <v>5.44</v>
      </c>
      <c r="K5" s="119">
        <f>Geometria!L1254</f>
        <v>6.8000000000000007</v>
      </c>
      <c r="L5" s="119">
        <f>Geometria!M1254</f>
        <v>8.16</v>
      </c>
      <c r="M5" s="119">
        <f>Geometria!N1254</f>
        <v>9.52</v>
      </c>
      <c r="N5" s="119">
        <f>Geometria!G1257</f>
        <v>10.879999999999999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1445</v>
      </c>
      <c r="G9" s="115">
        <f ca="1">(0.5-0.0625*Geometria!$H$1228)*((Geometria!I73+Geometria!I74+Geometria!I75)*Geometria!K51+(Geometria!I76+Geometria!I77+Geometria!I78)*Geometria!K52)*(Geometria!$H$21/100)</f>
        <v>114.64046255736764</v>
      </c>
      <c r="H9" s="115"/>
      <c r="I9" s="115"/>
      <c r="J9" s="115"/>
      <c r="K9" s="115"/>
      <c r="L9" s="115"/>
      <c r="M9" s="115"/>
    </row>
    <row r="10" spans="6:14" x14ac:dyDescent="0.25">
      <c r="F10" t="s">
        <v>1446</v>
      </c>
      <c r="G10">
        <f ca="1">(0.5+0.0625*Geometria!$H$1228)*((Geometria!I73+Geometria!I74+Geometria!I75)*Geometria!K51+(Geometria!I76+Geometria!I77+Geometria!I78)*Geometria!K52)*(Geometria!$H$21/100)</f>
        <v>114.64046255736764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1434</v>
      </c>
    </row>
    <row r="7" spans="3:6" x14ac:dyDescent="0.25">
      <c r="C7" t="s">
        <v>1435</v>
      </c>
      <c r="D7" s="409">
        <f>Geometria!H1222</f>
        <v>0</v>
      </c>
      <c r="F7" t="s">
        <v>1438</v>
      </c>
    </row>
    <row r="8" spans="3:6" x14ac:dyDescent="0.25">
      <c r="C8" t="s">
        <v>1119</v>
      </c>
      <c r="D8">
        <f ca="1">Geometria!I37/100^4</f>
        <v>3.3287634191951606E-3</v>
      </c>
      <c r="E8" t="s">
        <v>1443</v>
      </c>
      <c r="F8" t="s">
        <v>1439</v>
      </c>
    </row>
    <row r="9" spans="3:6" x14ac:dyDescent="0.25">
      <c r="C9" t="s">
        <v>1437</v>
      </c>
      <c r="D9">
        <f>Geometria!H867*10^6</f>
        <v>36628131.265463158</v>
      </c>
      <c r="E9" t="s">
        <v>47</v>
      </c>
      <c r="F9" t="s">
        <v>1440</v>
      </c>
    </row>
    <row r="10" spans="3:6" x14ac:dyDescent="0.25">
      <c r="C10" t="s">
        <v>1066</v>
      </c>
      <c r="D10">
        <f>Geometria!H21/100</f>
        <v>10.88</v>
      </c>
      <c r="E10" t="s">
        <v>1444</v>
      </c>
      <c r="F10" t="s">
        <v>1441</v>
      </c>
    </row>
    <row r="12" spans="3:6" x14ac:dyDescent="0.25">
      <c r="C12" t="s">
        <v>1436</v>
      </c>
      <c r="D12">
        <f ca="1">((D7/(1-D7))*4*D9*D8)/D10</f>
        <v>0</v>
      </c>
      <c r="E12" t="s">
        <v>47</v>
      </c>
      <c r="F12" t="s">
        <v>1442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84" t="s">
        <v>762</v>
      </c>
      <c r="L2" s="684"/>
      <c r="M2" s="684"/>
      <c r="N2" s="684"/>
      <c r="O2" s="684"/>
      <c r="P2" s="684"/>
      <c r="Q2" s="684"/>
      <c r="R2" s="684"/>
      <c r="S2" s="684"/>
      <c r="T2" s="684"/>
      <c r="U2" s="684"/>
      <c r="V2" s="684"/>
      <c r="W2" s="684"/>
      <c r="X2" s="684"/>
      <c r="Y2" s="684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1869.6295971361794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15.329196319461884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14.670803680538116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15.329196319461884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215733.36466301672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15.329196319461884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14.670803680538116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72" t="s">
        <v>773</v>
      </c>
      <c r="L19" s="672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14073.364328247433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14704.945234132105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84" t="s">
        <v>777</v>
      </c>
      <c r="L23" s="684"/>
      <c r="M23" s="684"/>
      <c r="N23" s="684"/>
      <c r="O23" s="684"/>
      <c r="P23" s="684"/>
      <c r="Q23" s="684"/>
      <c r="R23" s="684"/>
      <c r="S23" s="684"/>
      <c r="T23" s="684"/>
      <c r="U23" s="684"/>
      <c r="V23" s="684"/>
      <c r="W23" s="684"/>
      <c r="X23" s="684"/>
      <c r="Y23" s="684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2325.7532550497435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16.664580375410502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18.335419624589498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16.664580375410502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332876.34191951604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16.664580375410502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18.335419624589498</v>
      </c>
      <c r="M39" s="231"/>
      <c r="N39" s="115"/>
      <c r="O39" s="143"/>
      <c r="P39" s="115"/>
      <c r="Q39" s="115"/>
      <c r="R39" s="115"/>
    </row>
    <row r="40" spans="11:18" x14ac:dyDescent="0.25">
      <c r="K40" s="672" t="s">
        <v>773</v>
      </c>
      <c r="L40" s="672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19975.080945374015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18154.825399965102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17" t="s">
        <v>1693</v>
      </c>
    </row>
    <row r="47" spans="11:18" x14ac:dyDescent="0.25">
      <c r="K47" s="209" t="s">
        <v>1694</v>
      </c>
      <c r="L47" s="237">
        <v>200000</v>
      </c>
      <c r="M47" s="231" t="s">
        <v>60</v>
      </c>
      <c r="N47" s="231" t="s">
        <v>1695</v>
      </c>
    </row>
    <row r="48" spans="11:18" x14ac:dyDescent="0.25">
      <c r="K48" s="209" t="s">
        <v>1696</v>
      </c>
      <c r="L48" s="237">
        <v>210000</v>
      </c>
      <c r="M48" s="231" t="s">
        <v>60</v>
      </c>
      <c r="N48" s="231" t="s">
        <v>1697</v>
      </c>
    </row>
    <row r="49" spans="11:14" x14ac:dyDescent="0.25">
      <c r="K49" s="209" t="s">
        <v>1698</v>
      </c>
      <c r="L49" s="237">
        <f>Geometria!$I$201</f>
        <v>1</v>
      </c>
      <c r="M49" s="231" t="s">
        <v>237</v>
      </c>
      <c r="N49" s="231" t="s">
        <v>1699</v>
      </c>
    </row>
    <row r="50" spans="11:14" x14ac:dyDescent="0.25">
      <c r="K50" s="209" t="s">
        <v>1700</v>
      </c>
      <c r="L50" s="237">
        <f>EXP(Fluência!$B$17*(1-(28/L49)^(1/2)))</f>
        <v>0.42388184737889384</v>
      </c>
      <c r="M50" s="231" t="s">
        <v>1161</v>
      </c>
      <c r="N50" s="231" t="s">
        <v>1701</v>
      </c>
    </row>
    <row r="51" spans="11:14" x14ac:dyDescent="0.25">
      <c r="K51" s="209" t="s">
        <v>1702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1703</v>
      </c>
    </row>
    <row r="52" spans="11:14" x14ac:dyDescent="0.25">
      <c r="K52" s="209" t="s">
        <v>1704</v>
      </c>
      <c r="L52" s="237">
        <f>L47/L51</f>
        <v>6.8020463157224667</v>
      </c>
      <c r="M52" s="231" t="s">
        <v>1161</v>
      </c>
      <c r="N52" s="231" t="s">
        <v>1705</v>
      </c>
    </row>
    <row r="53" spans="11:14" x14ac:dyDescent="0.25">
      <c r="K53" s="209" t="s">
        <v>1706</v>
      </c>
      <c r="L53" s="237">
        <f>L48/L51</f>
        <v>7.14214863150859</v>
      </c>
      <c r="M53" s="231" t="s">
        <v>1161</v>
      </c>
      <c r="N53" s="231" t="s">
        <v>1707</v>
      </c>
    </row>
    <row r="54" spans="11:14" x14ac:dyDescent="0.25">
      <c r="K54" s="209" t="s">
        <v>1708</v>
      </c>
      <c r="L54" s="237">
        <f>Geometria!$I$204</f>
        <v>30</v>
      </c>
      <c r="M54" s="231" t="s">
        <v>237</v>
      </c>
      <c r="N54" s="231" t="s">
        <v>1709</v>
      </c>
    </row>
    <row r="55" spans="11:14" x14ac:dyDescent="0.25">
      <c r="K55" s="209" t="s">
        <v>1710</v>
      </c>
      <c r="L55" s="237">
        <f>EXP(Fluência!$B$17*(1-(28/L54)^(1/2)))</f>
        <v>1.0068046907979593</v>
      </c>
      <c r="M55" s="231" t="s">
        <v>1161</v>
      </c>
      <c r="N55" s="231" t="s">
        <v>1701</v>
      </c>
    </row>
    <row r="56" spans="11:14" x14ac:dyDescent="0.25">
      <c r="K56" s="209" t="s">
        <v>1711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1703</v>
      </c>
    </row>
    <row r="57" spans="11:14" x14ac:dyDescent="0.25">
      <c r="K57" s="209" t="s">
        <v>1712</v>
      </c>
      <c r="L57" s="237">
        <f>L47/L56</f>
        <v>5.4602840246065449</v>
      </c>
      <c r="M57" s="231" t="s">
        <v>1161</v>
      </c>
      <c r="N57" s="231" t="s">
        <v>1713</v>
      </c>
    </row>
    <row r="58" spans="11:14" x14ac:dyDescent="0.25">
      <c r="K58" s="209" t="s">
        <v>1714</v>
      </c>
      <c r="L58" s="237">
        <f>L48/L56</f>
        <v>5.7332982258368714</v>
      </c>
      <c r="M58" s="231" t="s">
        <v>1161</v>
      </c>
      <c r="N58" s="231" t="s">
        <v>1715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1079.990369273642</v>
      </c>
      <c r="G1" s="231" t="s">
        <v>96</v>
      </c>
    </row>
    <row r="2" spans="1:25" x14ac:dyDescent="0.25">
      <c r="E2" s="115" t="s">
        <v>97</v>
      </c>
      <c r="F2" s="239">
        <f ca="1">Geometria!H750</f>
        <v>126.0435557666454</v>
      </c>
      <c r="G2" s="231" t="s">
        <v>96</v>
      </c>
    </row>
    <row r="3" spans="1:25" ht="15.75" thickBot="1" x14ac:dyDescent="0.3"/>
    <row r="4" spans="1:25" ht="15.75" thickBot="1" x14ac:dyDescent="0.3">
      <c r="A4" s="795" t="s">
        <v>723</v>
      </c>
      <c r="B4" s="796"/>
      <c r="C4" s="796"/>
      <c r="D4" s="796"/>
      <c r="E4" s="796"/>
      <c r="F4" s="796"/>
      <c r="G4" s="796"/>
      <c r="H4" s="796"/>
      <c r="I4" s="796"/>
      <c r="J4" s="796"/>
      <c r="K4" s="797"/>
      <c r="N4" s="795" t="s">
        <v>731</v>
      </c>
      <c r="O4" s="796"/>
      <c r="P4" s="796"/>
      <c r="Q4" s="796"/>
      <c r="R4" s="796"/>
      <c r="S4" s="796"/>
      <c r="T4" s="796"/>
      <c r="U4" s="796"/>
      <c r="V4" s="796"/>
      <c r="W4" s="796"/>
      <c r="X4" s="797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98" t="s">
        <v>724</v>
      </c>
      <c r="D6" s="800" t="s">
        <v>725</v>
      </c>
      <c r="E6" s="801"/>
      <c r="F6" s="800" t="s">
        <v>726</v>
      </c>
      <c r="G6" s="801"/>
      <c r="I6" s="644" t="s">
        <v>95</v>
      </c>
      <c r="J6" s="644" t="s">
        <v>97</v>
      </c>
      <c r="K6" s="363"/>
      <c r="N6" s="362"/>
      <c r="P6" s="798" t="s">
        <v>724</v>
      </c>
      <c r="Q6" s="800" t="s">
        <v>725</v>
      </c>
      <c r="R6" s="801"/>
      <c r="S6" s="800" t="s">
        <v>726</v>
      </c>
      <c r="T6" s="801"/>
      <c r="V6" s="644" t="s">
        <v>95</v>
      </c>
      <c r="W6" s="644" t="s">
        <v>97</v>
      </c>
      <c r="X6" s="363"/>
    </row>
    <row r="7" spans="1:25" x14ac:dyDescent="0.25">
      <c r="A7" s="362"/>
      <c r="C7" s="799"/>
      <c r="D7" s="802"/>
      <c r="E7" s="803"/>
      <c r="F7" s="802"/>
      <c r="G7" s="803"/>
      <c r="I7" s="644"/>
      <c r="J7" s="644"/>
      <c r="K7" s="363"/>
      <c r="N7" s="362"/>
      <c r="P7" s="799"/>
      <c r="Q7" s="802"/>
      <c r="R7" s="803"/>
      <c r="S7" s="802"/>
      <c r="T7" s="803"/>
      <c r="V7" s="644"/>
      <c r="W7" s="644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804">
        <v>0</v>
      </c>
      <c r="G8" s="805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804">
        <v>0</v>
      </c>
      <c r="T8" s="805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2192.794660643613</v>
      </c>
      <c r="D9" s="365">
        <f ca="1">-I9/(Geometria!$H$36/100^2)+J9/(Geometria!$H$40/100^3)-Geometria!$H$741/(Geometria!$H$40/100^3)</f>
        <v>1713.006758468216</v>
      </c>
      <c r="E9" s="367">
        <f ca="1">('Perdas por Seção'!D60*(Geometria!$H$280*100))/Geometria!$J$1030</f>
        <v>130.0142152142439</v>
      </c>
      <c r="F9" s="794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2192.794660643613</v>
      </c>
      <c r="G9" s="794"/>
      <c r="H9" s="209" t="str">
        <f>IF(Geometria!$H$280&lt;'Isolamento de cabos'!$C$8,"Sim","Não")</f>
        <v>Não</v>
      </c>
      <c r="I9" s="368">
        <f ca="1">Geometria!$H$166*E32+Geometria!$H$168*E9</f>
        <v>898.97133364384524</v>
      </c>
      <c r="J9" s="368">
        <f ca="1">Geometria!$H$166*E32*Geometria!$H$167/100-Geometria!$H$168*E9*Geometria!$H$169/100</f>
        <v>104.91717949388847</v>
      </c>
      <c r="K9" s="363"/>
      <c r="L9">
        <f t="shared" ref="L9:L51" ca="1" si="1">C9/1000</f>
        <v>2.1927946606436128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516.83850811528021</v>
      </c>
      <c r="Q9" s="365">
        <f ca="1">-(V9/(Geometria!$H$36/100^2))+(W9/(Geometria!$H$40/100^3))-((Geometria!$H$281)/(Geometria!$H$40/100^3))-((Geometria!$H$292)/(Geometria!$H$266))-((Geometria!$H$52*Geometria!$H$303)/(Geometria!$H$266))</f>
        <v>121.4206554387157</v>
      </c>
      <c r="R9" s="367">
        <f ca="1">('Perdas por Seção'!D92*(Geometria!$H$280*100))/Geometria!$J$1030</f>
        <v>116.37362183860108</v>
      </c>
      <c r="S9" s="810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516.83850811528021</v>
      </c>
      <c r="T9" s="811"/>
      <c r="V9" s="368">
        <f ca="1">Geometria!$H$166*R32+Geometria!$H$168*R9</f>
        <v>740.88844832375059</v>
      </c>
      <c r="W9" s="368">
        <f ca="1">Geometria!$H$166*R32*Geometria!$H$167/100-Geometria!$H$168*R9*Geometria!$H$169/100</f>
        <v>86.467636295650024</v>
      </c>
      <c r="X9" s="363"/>
      <c r="Y9">
        <f t="shared" ref="Y9:Y28" ca="1" si="2">P9/1000</f>
        <v>0.5168385081152802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1368.5143319616138</v>
      </c>
      <c r="D10" s="365">
        <f ca="1">-I10/(Geometria!$H$36/100^2)+J10/(Geometria!$H$40/100^3)-Geometria!$I$741/(Geometria!$H$40/100^3)</f>
        <v>3543.1917568548433</v>
      </c>
      <c r="E10" s="367">
        <f ca="1">('Perdas por Seção'!E60*(Geometria!$I$280*100))/Geometria!$J$1030</f>
        <v>257.4332741305912</v>
      </c>
      <c r="F10" s="794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1368.5143319616138</v>
      </c>
      <c r="G10" s="794"/>
      <c r="H10" s="209" t="str">
        <f>IF(Geometria!$I$280&lt;'Isolamento de cabos'!$C$8,"Sim","Não")</f>
        <v>Não</v>
      </c>
      <c r="I10" s="368">
        <f ca="1">Geometria!$H$166*E33+Geometria!$H$168*E10</f>
        <v>1804.3591882614389</v>
      </c>
      <c r="J10" s="368">
        <f ca="1">Geometria!$H$166*E33*Geometria!$H$167/100-Geometria!$H$168*E10*Geometria!$H$169/100</f>
        <v>210.58321855374368</v>
      </c>
      <c r="K10" s="363"/>
      <c r="L10">
        <f t="shared" ca="1" si="1"/>
        <v>1.3685143319616138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-1282.4905598337709</v>
      </c>
      <c r="Q10" s="365">
        <f ca="1">-(V10/(Geometria!$H$36/100^2))+(W10/(Geometria!$H$40/100^3))-((Geometria!$I$281)/(Geometria!$H$40/100^3))-((Geometria!$I$292)/(Geometria!$H$266))-((Geometria!$H$52*Geometria!$I$303)/(Geometria!$H$266))</f>
        <v>533.70635286821744</v>
      </c>
      <c r="R10" s="367">
        <f ca="1">('Perdas por Seção'!E92*(Geometria!$I$280*100))/Geometria!$J$1030</f>
        <v>223.14768674539684</v>
      </c>
      <c r="S10" s="810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-1282.4905598337709</v>
      </c>
      <c r="T10" s="811"/>
      <c r="V10" s="368">
        <f ca="1">Geometria!$H$166*R33+Geometria!$H$168*R10</f>
        <v>1506.9230726422741</v>
      </c>
      <c r="W10" s="368">
        <f ca="1">Geometria!$H$166*R33*Geometria!$H$167/100-Geometria!$H$168*R10*Geometria!$H$169/100</f>
        <v>175.87003342481256</v>
      </c>
      <c r="X10" s="363"/>
      <c r="Y10">
        <f t="shared" ca="1" si="2"/>
        <v>-1.282490559833771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641.2081595951413</v>
      </c>
      <c r="D11" s="365">
        <f ca="1">-I11/(Geometria!$H$36/100^2)+J11/(Geometria!$H$40/100^3)-Geometria!$J$741/(Geometria!$H$40/100^3)</f>
        <v>5487.2212218780596</v>
      </c>
      <c r="E11" s="367">
        <f ca="1">('Perdas por Seção'!F60*(Geometria!$J$280*100))/Geometria!$J$1030</f>
        <v>382.71514550749419</v>
      </c>
      <c r="F11" s="794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641.2081595951413</v>
      </c>
      <c r="G11" s="794"/>
      <c r="H11" s="209" t="str">
        <f>IF(Geometria!$J$280&lt;'Isolamento de cabos'!$C$8,"Sim","Não")</f>
        <v>Não</v>
      </c>
      <c r="I11" s="368">
        <f ca="1">Geometria!$H$166*E34+Geometria!$H$168*E11</f>
        <v>2715.0312366221196</v>
      </c>
      <c r="J11" s="368">
        <f ca="1">Geometria!$H$166*E34*Geometria!$H$167/100-Geometria!$H$168*E11*Geometria!$H$169/100</f>
        <v>316.86596549145384</v>
      </c>
      <c r="K11" s="363"/>
      <c r="L11">
        <f t="shared" ca="1" si="1"/>
        <v>0.64120815959514132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-2870.1774298097989</v>
      </c>
      <c r="Q11" s="365">
        <f ca="1">-(V11/(Geometria!$H$36/100^2))+(W11/(Geometria!$H$40/100^3))-((Geometria!$J$281)/(Geometria!$H$40/100^3))-((Geometria!$J$292)/(Geometria!$H$266))-((Geometria!$H$52*Geometria!$J$303)/(Geometria!$H$266))</f>
        <v>1223.6814593920963</v>
      </c>
      <c r="R11" s="367">
        <f ca="1">('Perdas por Seção'!F92*(Geometria!$J$280*100))/Geometria!$J$1030</f>
        <v>322.0162341789412</v>
      </c>
      <c r="S11" s="810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-2870.1774298097989</v>
      </c>
      <c r="T11" s="811"/>
      <c r="V11" s="368">
        <f ca="1">Geometria!$H$166*R34+Geometria!$H$168*R11</f>
        <v>2293.628725232968</v>
      </c>
      <c r="W11" s="368">
        <f ca="1">Geometria!$H$166*R34*Geometria!$H$167/100-Geometria!$H$168*R11*Geometria!$H$169/100</f>
        <v>267.68490568236871</v>
      </c>
      <c r="X11" s="363"/>
      <c r="Y11">
        <f t="shared" ca="1" si="2"/>
        <v>-2.8701774298097988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10.876143544201113</v>
      </c>
      <c r="D12" s="365">
        <f ca="1">-I12/(Geometria!$H$36/100^2)+J12/(Geometria!$H$40/100^3)-Geometria!$K$741/(Geometria!$H$40/100^3)</f>
        <v>7541.7613802560491</v>
      </c>
      <c r="E12" s="367">
        <f ca="1">('Perdas por Seção'!G60*(Geometria!$K$280*100))/Geometria!$J$1030</f>
        <v>506.31779810340538</v>
      </c>
      <c r="F12" s="794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10.876143544201113</v>
      </c>
      <c r="G12" s="794"/>
      <c r="H12" s="209" t="str">
        <f>IF(Geometria!$K$280&lt;'Isolamento de cabos'!$C$8,"Sim","Não")</f>
        <v>Não</v>
      </c>
      <c r="I12" s="368">
        <f ca="1">Geometria!$H$166*E35+Geometria!$H$168*E12</f>
        <v>3629.855151495226</v>
      </c>
      <c r="J12" s="368">
        <f ca="1">Geometria!$H$166*E35*Geometria!$H$167/100-Geometria!$H$168*E12*Geometria!$H$169/100</f>
        <v>423.63326861890727</v>
      </c>
      <c r="K12" s="363"/>
      <c r="L12">
        <f t="shared" ca="1" si="1"/>
        <v>1.0876143544201113E-2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-4246.2057394017575</v>
      </c>
      <c r="Q12" s="365">
        <f ca="1">-(V12/(Geometria!$H$36/100^2))+(W12/(Geometria!$H$40/100^3))-((Geometria!$K$281)/(Geometria!$H$40/100^3))-((Geometria!$K$292)/(Geometria!$H$266))-((Geometria!$H$52*Geometria!$K$303)/(Geometria!$H$266))</f>
        <v>2178.2257480195926</v>
      </c>
      <c r="R12" s="367">
        <f ca="1">('Perdas por Seção'!G92*(Geometria!$K$280*100))/Geometria!$J$1030</f>
        <v>414.67330359778811</v>
      </c>
      <c r="S12" s="810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-4246.2057394017575</v>
      </c>
      <c r="T12" s="811"/>
      <c r="V12" s="368">
        <f ca="1">Geometria!$H$166*R35+Geometria!$H$168*R12</f>
        <v>3096.5490771741529</v>
      </c>
      <c r="W12" s="368">
        <f ca="1">Geometria!$H$166*R35*Geometria!$H$167/100-Geometria!$H$168*R12*Geometria!$H$169/100</f>
        <v>361.39216366851014</v>
      </c>
      <c r="X12" s="363"/>
      <c r="Y12">
        <f t="shared" ca="1" si="2"/>
        <v>-4.2462057394017574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-522.48171619121058</v>
      </c>
      <c r="D13" s="365">
        <f ca="1">-I13/(Geometria!$H$36/100^2)+J13/(Geometria!$H$40/100^3)-Geometria!$L$741/(Geometria!$H$40/100^3)</f>
        <v>9703.4784587069807</v>
      </c>
      <c r="E13" s="367">
        <f ca="1">('Perdas por Seção'!H60*(Geometria!$L$280*100))/Geometria!$J$1030</f>
        <v>628.69920067677685</v>
      </c>
      <c r="F13" s="794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-522.48171619121058</v>
      </c>
      <c r="G13" s="794"/>
      <c r="H13" s="209" t="str">
        <f>IF(Geometria!$L$280&lt;'Isolamento de cabos'!$C$8,"Sim","Não")</f>
        <v>Não</v>
      </c>
      <c r="I13" s="368">
        <f ca="1">Geometria!$H$166*E36+Geometria!$H$168*E13</f>
        <v>4547.6986056500955</v>
      </c>
      <c r="J13" s="368">
        <f ca="1">Geometria!$H$166*E36*Geometria!$H$167/100-Geometria!$H$168*E13*Geometria!$H$169/100</f>
        <v>530.75297624799191</v>
      </c>
      <c r="K13" s="363"/>
      <c r="L13">
        <f t="shared" ca="1" si="1"/>
        <v>-0.52248171619121053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-5410.5613224641065</v>
      </c>
      <c r="Q13" s="365">
        <f ca="1">-(V13/(Geometria!$H$36/100^2))+(W13/(Geometria!$H$40/100^3))-((Geometria!$L$281)/(Geometria!$H$40/100^3))-((Geometria!$L$292)/(Geometria!$H$266))-((Geometria!$H$52*Geometria!$L$303)/(Geometria!$H$266))</f>
        <v>3384.2651015051024</v>
      </c>
      <c r="R13" s="367">
        <f ca="1">('Perdas por Seção'!H92*(Geometria!$L$280*100))/Geometria!$J$1030</f>
        <v>502.81293446049125</v>
      </c>
      <c r="S13" s="810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-5410.5613224641065</v>
      </c>
      <c r="T13" s="811"/>
      <c r="V13" s="368">
        <f ca="1">Geometria!$H$166*R36+Geometria!$H$168*R13</f>
        <v>3911.2434608731087</v>
      </c>
      <c r="W13" s="368">
        <f ca="1">Geometria!$H$166*R36*Geometria!$H$167/100-Geometria!$H$168*R13*Geometria!$H$169/100</f>
        <v>456.47354578638516</v>
      </c>
      <c r="X13" s="363"/>
      <c r="Y13">
        <f t="shared" ca="1" si="2"/>
        <v>-5.4105613224641065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-958.86541961109288</v>
      </c>
      <c r="D14" s="365">
        <f ca="1">-I14/(Geometria!$H$36/100^2)+J14/(Geometria!$H$40/100^3)-Geometria!$M$741/(Geometria!$H$40/100^3)</f>
        <v>11969.038683949047</v>
      </c>
      <c r="E14" s="367">
        <f ca="1">('Perdas por Seção'!I60*(Geometria!$M$280*100))/Geometria!$J$1030</f>
        <v>750.31732198606119</v>
      </c>
      <c r="F14" s="794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-958.86541961109288</v>
      </c>
      <c r="G14" s="794"/>
      <c r="H14" s="209" t="str">
        <f>IF(Geometria!$M$280&lt;'Isolamento de cabos'!$C$8,"Sim","Não")</f>
        <v>Não</v>
      </c>
      <c r="I14" s="368">
        <f ca="1">Geometria!$H$166*E37+Geometria!$H$168*E14</f>
        <v>5467.4292718560682</v>
      </c>
      <c r="J14" s="368">
        <f ca="1">Geometria!$H$166*E37*Geometria!$H$167/100-Geometria!$H$168*E14*Geometria!$H$169/100</f>
        <v>638.09293669059628</v>
      </c>
      <c r="K14" s="363"/>
      <c r="L14">
        <f t="shared" ca="1" si="1"/>
        <v>-0.95886541961109284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-6363.2322028366889</v>
      </c>
      <c r="Q14" s="365">
        <f ca="1">-(V14/(Geometria!$H$36/100^2))+(W14/(Geometria!$H$40/100^3))-((Geometria!$M$281)/(Geometria!$H$40/100^3))-((Geometria!$M$292)/(Geometria!$H$266))-((Geometria!$H$52*Geometria!$M$303)/(Geometria!$H$266))</f>
        <v>4828.7622480860355</v>
      </c>
      <c r="R14" s="367">
        <f ca="1">('Perdas por Seção'!I92*(Geometria!$M$280*100))/Geometria!$J$1030</f>
        <v>588.12916622560476</v>
      </c>
      <c r="S14" s="810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-6363.2322028366889</v>
      </c>
      <c r="T14" s="811"/>
      <c r="V14" s="368">
        <f ca="1">Geometria!$H$166*R37+Geometria!$H$168*R14</f>
        <v>4733.283723428488</v>
      </c>
      <c r="W14" s="368">
        <f ca="1">Geometria!$H$166*R37*Geometria!$H$167/100-Geometria!$H$168*R14*Geometria!$H$169/100</f>
        <v>552.41225100420354</v>
      </c>
      <c r="X14" s="363"/>
      <c r="Y14">
        <f t="shared" ca="1" si="2"/>
        <v>-6.3632322028366888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-1298.2749667154467</v>
      </c>
      <c r="D15" s="365">
        <f ca="1">-I15/(Geometria!$H$36/100^2)+J15/(Geometria!$H$40/100^3)-Geometria!$N$741/(Geometria!$H$40/100^3)</f>
        <v>14335.108282700421</v>
      </c>
      <c r="E15" s="367">
        <f ca="1">('Perdas por Seção'!J60*(Geometria!$N$280*100))/Geometria!$J$1030</f>
        <v>871.63013078971051</v>
      </c>
      <c r="F15" s="794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-1298.2749667154467</v>
      </c>
      <c r="G15" s="794"/>
      <c r="H15" s="209" t="str">
        <f>IF(Geometria!$N$280&lt;'Isolamento de cabos'!$C$8,"Sim","Não")</f>
        <v>Não</v>
      </c>
      <c r="I15" s="368">
        <f ca="1">Geometria!$H$166*E38+Geometria!$H$168*E15</f>
        <v>6387.9148228824815</v>
      </c>
      <c r="J15" s="368">
        <f ca="1">Geometria!$H$166*E38*Geometria!$H$167/100-Geometria!$H$168*E15*Geometria!$H$169/100</f>
        <v>745.52099825860842</v>
      </c>
      <c r="K15" s="363"/>
      <c r="L15">
        <f t="shared" ca="1" si="1"/>
        <v>-1.2982749667154467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-7104.2085890449471</v>
      </c>
      <c r="Q15" s="365">
        <f ca="1">-(V15/(Geometria!$H$36/100^2))+(W15/(Geometria!$H$40/100^3))-((Geometria!$N$281)/(Geometria!$H$40/100^3))-((Geometria!$N$292)/(Geometria!$H$266))-((Geometria!$H$52*Geometria!$N$303)/(Geometria!$H$266))</f>
        <v>6498.7075233097039</v>
      </c>
      <c r="R15" s="367">
        <f ca="1">('Perdas por Seção'!J92*(Geometria!$N$280*100))/Geometria!$J$1030</f>
        <v>672.3160383516821</v>
      </c>
      <c r="S15" s="810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-7104.2085890449471</v>
      </c>
      <c r="T15" s="811"/>
      <c r="V15" s="368">
        <f ca="1">Geometria!$H$166*R38+Geometria!$H$168*R15</f>
        <v>5558.25108885397</v>
      </c>
      <c r="W15" s="368">
        <f ca="1">Geometria!$H$166*R38*Geometria!$H$167/100-Geometria!$H$168*R15*Geometria!$H$169/100</f>
        <v>648.69257265151896</v>
      </c>
      <c r="X15" s="363"/>
      <c r="Y15">
        <f t="shared" ca="1" si="2"/>
        <v>-7.1042085890449469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-1540.7103575042711</v>
      </c>
      <c r="D16" s="365">
        <f ca="1">-I16/(Geometria!$H$36/100^2)+J16/(Geometria!$H$40/100^3)-Geometria!$G$744/(Geometria!$H$40/100^3)</f>
        <v>16798.353481679307</v>
      </c>
      <c r="E16" s="367">
        <f ca="1">('Perdas por Seção'!K60*(Geometria!$G$283*100))/Geometria!$J$1030</f>
        <v>993.09559584617739</v>
      </c>
      <c r="F16" s="794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-1540.7103575042711</v>
      </c>
      <c r="G16" s="794"/>
      <c r="H16" s="209" t="str">
        <f>IF(Geometria!$G$283&lt;'Isolamento de cabos'!$C$8,"Sim","Não")</f>
        <v>Não</v>
      </c>
      <c r="I16" s="368">
        <f ca="1">Geometria!$H$166*E39+Geometria!$H$168*E16</f>
        <v>7308.0229314986755</v>
      </c>
      <c r="J16" s="368">
        <f ca="1">Geometria!$H$166*E39*Geometria!$H$167/100-Geometria!$H$168*E16*Geometria!$H$169/100</f>
        <v>852.9050092639169</v>
      </c>
      <c r="K16" s="363"/>
      <c r="L16">
        <f t="shared" ca="1" si="1"/>
        <v>-1.5407103575042711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-7633.4828699733616</v>
      </c>
      <c r="Q16" s="365">
        <f ca="1">-(V16/(Geometria!$H$36/100^2))+(W16/(Geometria!$H$40/100^3))-((Geometria!$G$284)/(Geometria!$H$40/100^3))-((Geometria!$G$295)/(Geometria!$H$266))-((Geometria!$H$52*Geometria!$G$306)/(Geometria!$H$266))</f>
        <v>8381.1096521881555</v>
      </c>
      <c r="R16" s="367">
        <f ca="1">('Perdas por Seção'!K92*(Geometria!$G$283*100))/Geometria!$J$1030</f>
        <v>757.06759029727755</v>
      </c>
      <c r="S16" s="810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-7633.4828699733616</v>
      </c>
      <c r="T16" s="811"/>
      <c r="V16" s="368">
        <f ca="1">Geometria!$H$166*R39+Geometria!$H$168*R16</f>
        <v>6381.7330272063527</v>
      </c>
      <c r="W16" s="368">
        <f ca="1">Geometria!$H$166*R39*Geometria!$H$167/100-Geometria!$H$168*R16*Geometria!$H$169/100</f>
        <v>744.7995330213156</v>
      </c>
      <c r="X16" s="363"/>
      <c r="Y16">
        <f t="shared" ca="1" si="2"/>
        <v>-7.6334828699733617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-1686.1715919775634</v>
      </c>
      <c r="D17" s="365">
        <f ca="1">-$I$17/(Geometria!$H$36/100^2)+J17/(Geometria!$H$40/100^3)-Geometria!$H$744/(Geometria!$H$40/100^3)</f>
        <v>19355.440507603849</v>
      </c>
      <c r="E17" s="367">
        <f ca="1">('Perdas por Seção'!L60*(Geometria!$H$283*100))/Geometria!$J$1030</f>
        <v>1115.1716859139142</v>
      </c>
      <c r="F17" s="794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-1686.1715919775634</v>
      </c>
      <c r="G17" s="794"/>
      <c r="H17" s="209" t="str">
        <f>IF(Geometria!$H$283&lt;'Isolamento de cabos'!$C$8,"Sim","Não")</f>
        <v>Não</v>
      </c>
      <c r="I17" s="368">
        <f ca="1">Geometria!$H$166*E40+Geometria!$H$168*E17</f>
        <v>8226.6212704739864</v>
      </c>
      <c r="J17" s="368">
        <f ca="1">Geometria!$H$166*E40*Geometria!$H$167/100-Geometria!$H$168*E17*Geometria!$H$169/100</f>
        <v>960.11281801840948</v>
      </c>
      <c r="K17" s="363"/>
      <c r="L17">
        <f t="shared" ca="1" si="1"/>
        <v>-1.6861715919775633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-7951.0496115063579</v>
      </c>
      <c r="Q17" s="365">
        <f ca="1">-(V17/(Geometria!$H$36/100^2))+(W17/(Geometria!$H$40/100^3))-((Geometria!$H$284)/(Geometria!$H$40/100^3))-((Geometria!$H$295)/(Geometria!$H$266))-((Geometria!$H$52*Geometria!$H$306)/(Geometria!$H$266))</f>
        <v>10462.986545957727</v>
      </c>
      <c r="R17" s="367">
        <f ca="1">('Perdas por Seção'!L92*(Geometria!$H$283*100))/Geometria!$J$1030</f>
        <v>844.07786152094491</v>
      </c>
      <c r="S17" s="810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-7951.0496115063579</v>
      </c>
      <c r="T17" s="811"/>
      <c r="V17" s="368">
        <f ca="1">Geometria!$H$166*R40+Geometria!$H$168*R17</f>
        <v>7199.3201286742024</v>
      </c>
      <c r="W17" s="368">
        <f ca="1">Geometria!$H$166*R40*Geometria!$H$167/100-Geometria!$H$168*R17*Geometria!$H$169/100</f>
        <v>840.21851855103023</v>
      </c>
      <c r="X17" s="363"/>
      <c r="Y17">
        <f t="shared" ca="1" si="2"/>
        <v>-7.9510496115063578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-1734.6586701353281</v>
      </c>
      <c r="D18" s="365">
        <f ca="1">-$I$18/(Geometria!$H$36/100^2)+J18/(Geometria!$H$40/100^3)-Geometria!$I$744/(Geometria!$H$40/100^3)</f>
        <v>22003.035587192258</v>
      </c>
      <c r="E18" s="367">
        <f ca="1">('Perdas por Seção'!M60*(Geometria!$I$283*100))/Geometria!$J$1030</f>
        <v>1238.3163697513728</v>
      </c>
      <c r="F18" s="794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-1734.6586701353281</v>
      </c>
      <c r="G18" s="794"/>
      <c r="H18" s="209" t="str">
        <f>IF(Geometria!$I$283&lt;'Isolamento de cabos'!$C$8,"Sim","Não")</f>
        <v>Não</v>
      </c>
      <c r="I18" s="368">
        <f ca="1">Geometria!$H$166*E41+Geometria!$H$168*E18</f>
        <v>9142.5775125777564</v>
      </c>
      <c r="J18" s="368">
        <f ca="1">Geometria!$H$166*E41*Geometria!$H$167/100-Geometria!$H$168*E18*Geometria!$H$169/100</f>
        <v>1067.0122728339747</v>
      </c>
      <c r="K18" s="363"/>
      <c r="L18">
        <f t="shared" ca="1" si="1"/>
        <v>-1.7346586701353282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-8056.905554132155</v>
      </c>
      <c r="Q18" s="365">
        <f ca="1">-(V18/(Geometria!$H$36/100^2))+(W18/(Geometria!$H$40/100^3))-((Geometria!$I$284)/(Geometria!$H$40/100^3))-((Geometria!$I$295)/(Geometria!$H$266))-((Geometria!$H$52*Geometria!$I$306)/(Geometria!$H$266))</f>
        <v>12731.356107748597</v>
      </c>
      <c r="R18" s="367">
        <f ca="1">('Perdas por Seção'!M92*(Geometria!$I$283*100))/Geometria!$J$1030</f>
        <v>935.04089148123796</v>
      </c>
      <c r="S18" s="810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-8056.905554132155</v>
      </c>
      <c r="T18" s="811"/>
      <c r="V18" s="368">
        <f ca="1">Geometria!$H$166*R41+Geometria!$H$168*R18</f>
        <v>8006.6029806927972</v>
      </c>
      <c r="W18" s="368">
        <f ca="1">Geometria!$H$166*R41*Geometria!$H$167/100-Geometria!$H$168*R18*Geometria!$H$169/100</f>
        <v>934.43491535676947</v>
      </c>
      <c r="X18" s="363"/>
      <c r="Y18">
        <f t="shared" ca="1" si="2"/>
        <v>-8.0569055541321557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-1686.1715919775634</v>
      </c>
      <c r="D19" s="365">
        <f ca="1">-$I$19/(Geometria!$H$36/100^2)+J19/(Geometria!$H$40/100^3)-Geometria!$J$744/(Geometria!$H$40/100^3)</f>
        <v>19355.440507603849</v>
      </c>
      <c r="E19" s="367">
        <f ca="1">('Perdas por Seção'!N60*(Geometria!$H$283*100))/Geometria!$J$1030</f>
        <v>1115.1716859139142</v>
      </c>
      <c r="F19" s="794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-1686.1715919775634</v>
      </c>
      <c r="G19" s="794"/>
      <c r="H19" s="209" t="str">
        <f>IF(Geometria!$H$283&lt;'Isolamento de cabos'!$C$8,"Sim","Não")</f>
        <v>Não</v>
      </c>
      <c r="I19" s="368">
        <f ca="1">Geometria!$H$166*E42+Geometria!$H$168*E19</f>
        <v>8226.6212704739864</v>
      </c>
      <c r="J19" s="368">
        <f ca="1">Geometria!$H$166*E42*Geometria!$H$167/100-Geometria!$H$168*E19*Geometria!$H$169/100</f>
        <v>960.11281801840948</v>
      </c>
      <c r="K19" s="363"/>
      <c r="L19">
        <f t="shared" ca="1" si="1"/>
        <v>-1.6861715919775633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-7951.0496115063561</v>
      </c>
      <c r="Q19" s="365">
        <f ca="1">-(V19/(Geometria!$H$36/100^2))+(W19/(Geometria!$H$40/100^3))-((Geometria!$J$284)/(Geometria!$H$40/100^3))-((Geometria!$J$295)/(Geometria!$H$266))-((Geometria!$H$52*Geometria!$J$306)/(Geometria!$H$266))</f>
        <v>10462.986545957729</v>
      </c>
      <c r="R19" s="367">
        <f ca="1">('Perdas por Seção'!N92*(Geometria!$H$283*100))/Geometria!$J$1030</f>
        <v>844.07786152094491</v>
      </c>
      <c r="S19" s="810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-7951.0496115063561</v>
      </c>
      <c r="T19" s="811"/>
      <c r="V19" s="368">
        <f ca="1">Geometria!$H$166*R42+Geometria!$H$168*R19</f>
        <v>7199.3201286742024</v>
      </c>
      <c r="W19" s="368">
        <f ca="1">Geometria!$H$166*R42*Geometria!$H$167/100-Geometria!$H$168*R19*Geometria!$H$169/100</f>
        <v>840.21851855103023</v>
      </c>
      <c r="X19" s="363"/>
      <c r="Y19">
        <f t="shared" ca="1" si="2"/>
        <v>-7.951049611506356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-1540.7103575042693</v>
      </c>
      <c r="D20" s="365">
        <f ca="1">-$I$20/(Geometria!$H$36/100^2)+J20/(Geometria!$H$40/100^3)-Geometria!$K$744/(Geometria!$H$40/100^3)</f>
        <v>16798.353481679307</v>
      </c>
      <c r="E20" s="367">
        <f ca="1">('Perdas por Seção'!O60*(Geometria!$G$283*100))/Geometria!$J$1030</f>
        <v>993.09559584617739</v>
      </c>
      <c r="F20" s="794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-1540.7103575042693</v>
      </c>
      <c r="G20" s="794"/>
      <c r="H20" s="209" t="str">
        <f>IF(Geometria!$G$283&lt;'Isolamento de cabos'!$C$8,"Sim","Não")</f>
        <v>Não</v>
      </c>
      <c r="I20" s="368">
        <f ca="1">Geometria!$H$166*E43+Geometria!$H$168*E20</f>
        <v>7308.0229314986755</v>
      </c>
      <c r="J20" s="368">
        <f ca="1">Geometria!$H$166*E43*Geometria!$H$167/100-Geometria!$H$168*E20*Geometria!$H$169/100</f>
        <v>852.9050092639169</v>
      </c>
      <c r="K20" s="363"/>
      <c r="L20">
        <f t="shared" ca="1" si="1"/>
        <v>-1.5407103575042693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-7633.482869973358</v>
      </c>
      <c r="Q20" s="365">
        <f ca="1">-(V20/(Geometria!$H$36/100^2))+(W20/(Geometria!$H$40/100^3))-((Geometria!$K$284)/(Geometria!$H$40/100^3))-((Geometria!$K$295)/(Geometria!$H$266))-((Geometria!$H$52*Geometria!$K$306)/(Geometria!$H$266))</f>
        <v>8381.1096521881573</v>
      </c>
      <c r="R20" s="367">
        <f ca="1">('Perdas por Seção'!O92*(Geometria!$G$283*100))/Geometria!$J$1030</f>
        <v>757.06759029727755</v>
      </c>
      <c r="S20" s="810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-7633.482869973358</v>
      </c>
      <c r="T20" s="811"/>
      <c r="V20" s="368">
        <f ca="1">Geometria!$H$166*R43+Geometria!$H$168*R20</f>
        <v>6381.7330272063527</v>
      </c>
      <c r="W20" s="368">
        <f ca="1">Geometria!$H$166*R43*Geometria!$H$167/100-Geometria!$H$168*R20*Geometria!$H$169/100</f>
        <v>744.7995330213156</v>
      </c>
      <c r="X20" s="363"/>
      <c r="Y20">
        <f t="shared" ca="1" si="2"/>
        <v>-7.6334828699733581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-1298.2749667154449</v>
      </c>
      <c r="D21" s="365">
        <f ca="1">-$I$21/(Geometria!$H$36/100^2)+J21/(Geometria!$H$40/100^3)-Geometria!$L$744/(Geometria!$H$40/100^3)</f>
        <v>14335.108282700421</v>
      </c>
      <c r="E21" s="367">
        <f ca="1">('Perdas por Seção'!P60*(Geometria!$N$280*100))/Geometria!$J$1030</f>
        <v>871.63013078971051</v>
      </c>
      <c r="F21" s="794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-1298.2749667154449</v>
      </c>
      <c r="G21" s="794"/>
      <c r="H21" s="209" t="str">
        <f>IF(Geometria!$N$280&lt;'Isolamento de cabos'!$C$8,"Sim","Não")</f>
        <v>Não</v>
      </c>
      <c r="I21" s="368">
        <f ca="1">Geometria!$H$166*E44+Geometria!$H$168*E21</f>
        <v>6387.9148228824815</v>
      </c>
      <c r="J21" s="368">
        <f ca="1">Geometria!$H$166*E44*Geometria!$H$167/100-Geometria!$H$168*E21*Geometria!$H$169/100</f>
        <v>745.52099825860842</v>
      </c>
      <c r="K21" s="363"/>
      <c r="L21">
        <f t="shared" ca="1" si="1"/>
        <v>-1.298274966715445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-7104.2085890449453</v>
      </c>
      <c r="Q21" s="365">
        <f ca="1">-(V21/(Geometria!$H$36/100^2))+(W21/(Geometria!$H$40/100^3))-((Geometria!$L$284)/(Geometria!$H$40/100^3))-((Geometria!$L$295)/(Geometria!$H$266))-((Geometria!$H$52*Geometria!$L$306)/(Geometria!$H$266))</f>
        <v>6498.7075233097057</v>
      </c>
      <c r="R21" s="367">
        <f ca="1">('Perdas por Seção'!P92*(Geometria!$N$280*100))/Geometria!$J$1030</f>
        <v>672.3160383516821</v>
      </c>
      <c r="S21" s="810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-7104.2085890449453</v>
      </c>
      <c r="T21" s="811"/>
      <c r="V21" s="368">
        <f ca="1">Geometria!$H$166*R44+Geometria!$H$168*R21</f>
        <v>5558.25108885397</v>
      </c>
      <c r="W21" s="368">
        <f ca="1">Geometria!$H$166*R44*Geometria!$H$167/100-Geometria!$H$168*R21*Geometria!$H$169/100</f>
        <v>648.69257265151896</v>
      </c>
      <c r="X21" s="363"/>
      <c r="Y21">
        <f t="shared" ca="1" si="2"/>
        <v>-7.1042085890449451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-958.86541961109106</v>
      </c>
      <c r="D22" s="365">
        <f ca="1">-$I$22/(Geometria!$H$36/100^2)+J22/(Geometria!$H$40/100^3)-Geometria!$M$744/(Geometria!$H$40/100^3)</f>
        <v>11969.038683949049</v>
      </c>
      <c r="E22" s="367">
        <f ca="1">('Perdas por Seção'!Q60*(Geometria!$M$280*100))/Geometria!$J$1030</f>
        <v>750.31732198606119</v>
      </c>
      <c r="F22" s="794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-958.86541961109106</v>
      </c>
      <c r="G22" s="794"/>
      <c r="H22" s="209" t="str">
        <f>IF(Geometria!$M$280&lt;'Isolamento de cabos'!$C$8,"Sim","Não")</f>
        <v>Não</v>
      </c>
      <c r="I22" s="368">
        <f ca="1">Geometria!$H$166*E45+Geometria!$H$168*E22</f>
        <v>5467.4292718560682</v>
      </c>
      <c r="J22" s="368">
        <f ca="1">Geometria!$H$166*E45*Geometria!$H$167/100-Geometria!$H$168*E22*Geometria!$H$169/100</f>
        <v>638.09293669059628</v>
      </c>
      <c r="K22" s="363"/>
      <c r="L22">
        <f t="shared" ca="1" si="1"/>
        <v>-0.95886541961109106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-6363.2322028366852</v>
      </c>
      <c r="Q22" s="365">
        <f ca="1">-(V22/(Geometria!$H$36/100^2))+(W22/(Geometria!$H$40/100^3))-((Geometria!$M$284)/(Geometria!$H$40/100^3))-((Geometria!$M$295)/(Geometria!$H$266))-((Geometria!$H$52*Geometria!$M$306)/(Geometria!$H$266))</f>
        <v>4828.7622480860409</v>
      </c>
      <c r="R22" s="367">
        <f ca="1">('Perdas por Seção'!Q92*(Geometria!$M$280*100))/Geometria!$J$1030</f>
        <v>588.12916622560476</v>
      </c>
      <c r="S22" s="810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-6363.2322028366852</v>
      </c>
      <c r="T22" s="811"/>
      <c r="V22" s="368">
        <f ca="1">Geometria!$H$166*R45+Geometria!$H$168*R22</f>
        <v>4733.283723428488</v>
      </c>
      <c r="W22" s="368">
        <f ca="1">Geometria!$H$166*R45*Geometria!$H$167/100-Geometria!$H$168*R22*Geometria!$H$169/100</f>
        <v>552.41225100420354</v>
      </c>
      <c r="X22" s="363"/>
      <c r="Y22">
        <f t="shared" ca="1" si="2"/>
        <v>-6.3632322028366852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-522.48171619120831</v>
      </c>
      <c r="D23" s="365">
        <f ca="1">-$I$23/(Geometria!$H$36/100^2)+J23/(Geometria!$H$40/100^3)-Geometria!$N$744/(Geometria!$H$40/100^3)</f>
        <v>9703.4784587069826</v>
      </c>
      <c r="E23" s="367">
        <f ca="1">('Perdas por Seção'!R60*(Geometria!$L$280*100))/Geometria!$J$1030</f>
        <v>628.69920067677685</v>
      </c>
      <c r="F23" s="794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-522.48171619120831</v>
      </c>
      <c r="G23" s="794"/>
      <c r="H23" s="209" t="str">
        <f>IF(Geometria!$L$280&lt;'Isolamento de cabos'!$C$8,"Sim","Não")</f>
        <v>Não</v>
      </c>
      <c r="I23" s="368">
        <f ca="1">Geometria!$H$166*E46+Geometria!$H$168*E23</f>
        <v>4547.6986056500955</v>
      </c>
      <c r="J23" s="368">
        <f ca="1">Geometria!$H$166*E46*Geometria!$H$167/100-Geometria!$H$168*E23*Geometria!$H$169/100</f>
        <v>530.75297624799191</v>
      </c>
      <c r="K23" s="363"/>
      <c r="L23">
        <f t="shared" ca="1" si="1"/>
        <v>-0.52248171619120831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-5410.561322464102</v>
      </c>
      <c r="Q23" s="365">
        <f ca="1">-(V23/(Geometria!$H$36/100^2))+(W23/(Geometria!$H$40/100^3))-((Geometria!$N$284)/(Geometria!$H$40/100^3))-((Geometria!$N$295)/(Geometria!$H$266))-((Geometria!$H$52*Geometria!$N$306)/(Geometria!$H$266))</f>
        <v>3384.2651015051074</v>
      </c>
      <c r="R23" s="367">
        <f ca="1">('Perdas por Seção'!R92*(Geometria!$L$280*100))/Geometria!$J$1030</f>
        <v>502.81293446049125</v>
      </c>
      <c r="S23" s="810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-5410.561322464102</v>
      </c>
      <c r="T23" s="811"/>
      <c r="V23" s="368">
        <f ca="1">Geometria!$H$166*R46+Geometria!$H$168*R23</f>
        <v>3911.2434608731091</v>
      </c>
      <c r="W23" s="368">
        <f ca="1">Geometria!$H$166*R46*Geometria!$H$167/100-Geometria!$H$168*R23*Geometria!$H$169/100</f>
        <v>456.47354578638522</v>
      </c>
      <c r="X23" s="363"/>
      <c r="Y23">
        <f t="shared" ca="1" si="2"/>
        <v>-5.410561322464102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10.876143544206116</v>
      </c>
      <c r="D24" s="365">
        <f ca="1">-$I$24/(Geometria!$H$36/100^2)+J24/(Geometria!$H$40/100^3)-Geometria!$G$747/(Geometria!$H$40/100^3)</f>
        <v>7541.7613802560536</v>
      </c>
      <c r="E24" s="367">
        <f ca="1">('Perdas por Seção'!S60*(Geometria!$K$280*100))/Geometria!$J$1030</f>
        <v>506.31779810340538</v>
      </c>
      <c r="F24" s="794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10.876143544206116</v>
      </c>
      <c r="G24" s="794"/>
      <c r="H24" s="209" t="str">
        <f>IF(Geometria!$K$280&lt;'Isolamento de cabos'!$C$8,"Sim","Não")</f>
        <v>Não</v>
      </c>
      <c r="I24" s="368">
        <f ca="1">Geometria!$H$166*E47+Geometria!$H$168*E24</f>
        <v>3629.855151495226</v>
      </c>
      <c r="J24" s="368">
        <f ca="1">Geometria!$H$166*E47*Geometria!$H$167/100-Geometria!$H$168*E24*Geometria!$H$169/100</f>
        <v>423.63326861890727</v>
      </c>
      <c r="K24" s="363"/>
      <c r="L24">
        <f t="shared" ca="1" si="1"/>
        <v>1.0876143544206116E-2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-4246.2057394017456</v>
      </c>
      <c r="Q24" s="365">
        <f ca="1">-(V24/(Geometria!$H$36/100^2))+(W24/(Geometria!$H$40/100^3))-((Geometria!$G$287)/(Geometria!$H$40/100^3))-((Geometria!$G$298)/(Geometria!$H$266))-((Geometria!$H$52*Geometria!$G$309)/(Geometria!$H$266))</f>
        <v>2178.2257480196049</v>
      </c>
      <c r="R24" s="367">
        <f ca="1">('Perdas por Seção'!S92*(Geometria!$K$280*100))/Geometria!$J$1030</f>
        <v>414.67330359778811</v>
      </c>
      <c r="S24" s="810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-4246.2057394017456</v>
      </c>
      <c r="T24" s="811"/>
      <c r="V24" s="368">
        <f ca="1">Geometria!$H$166*R47+Geometria!$H$168*R24</f>
        <v>3096.5490771741529</v>
      </c>
      <c r="W24" s="368">
        <f ca="1">Geometria!$H$166*R47*Geometria!$H$167/100-Geometria!$H$168*R24*Geometria!$H$169/100</f>
        <v>361.39216366851014</v>
      </c>
      <c r="X24" s="363"/>
      <c r="Y24">
        <f t="shared" ca="1" si="2"/>
        <v>-4.2462057394017458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641.20815959514721</v>
      </c>
      <c r="D25" s="365">
        <f ca="1">-I25/(Geometria!$H$36/100^2)+J25/(Geometria!$H$40/100^3)-Geometria!$H$747/(Geometria!$H$40/100^3)</f>
        <v>5487.221221878066</v>
      </c>
      <c r="E25" s="367">
        <f ca="1">('Perdas por Seção'!T60*(Geometria!$J$280*100))/Geometria!$J$1030</f>
        <v>382.71514550749419</v>
      </c>
      <c r="F25" s="794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641.20815959514721</v>
      </c>
      <c r="G25" s="794"/>
      <c r="H25" s="209" t="str">
        <f>IF(Geometria!$J$280&lt;'Isolamento de cabos'!$C$8,"Sim","Não")</f>
        <v>Não</v>
      </c>
      <c r="I25" s="368">
        <f ca="1">Geometria!$H$166*E48+Geometria!$H$168*E25</f>
        <v>2715.0312366221196</v>
      </c>
      <c r="J25" s="368">
        <f ca="1">Geometria!$H$166*E48*Geometria!$H$167/100-Geometria!$H$168*E25*Geometria!$H$169/100</f>
        <v>316.86596549145384</v>
      </c>
      <c r="K25" s="363"/>
      <c r="L25">
        <f t="shared" ca="1" si="1"/>
        <v>0.64120815959514721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-2870.1774298097894</v>
      </c>
      <c r="Q25" s="365">
        <f ca="1">-(V25/(Geometria!$H$36/100^2))+(W25/(Geometria!$H$40/100^3))-((Geometria!$H$287)/(Geometria!$H$40/100^3))-((Geometria!$H$298)/(Geometria!$H$266))-((Geometria!$H$52*Geometria!$H$309)/(Geometria!$H$266))</f>
        <v>1223.6814593921058</v>
      </c>
      <c r="R25" s="367">
        <f ca="1">('Perdas por Seção'!T92*(Geometria!$J$280*100))/Geometria!$J$1030</f>
        <v>322.0162341789412</v>
      </c>
      <c r="S25" s="810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-2870.1774298097894</v>
      </c>
      <c r="T25" s="811"/>
      <c r="V25" s="368">
        <f ca="1">Geometria!$H$166*R48+Geometria!$H$168*R25</f>
        <v>2293.628725232968</v>
      </c>
      <c r="W25" s="368">
        <f ca="1">Geometria!$H$166*R48*Geometria!$H$167/100-Geometria!$H$168*R25*Geometria!$H$169/100</f>
        <v>267.68490568236871</v>
      </c>
      <c r="X25" s="363"/>
      <c r="Y25">
        <f t="shared" ca="1" si="2"/>
        <v>-2.8701774298097895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1368.5143319616195</v>
      </c>
      <c r="D26" s="365">
        <f ca="1">-I26/(Geometria!$H$36/100^2)+J26/(Geometria!$H$40/100^3)-Geometria!$I$747/(Geometria!$H$40/100^3)</f>
        <v>3543.1917568548492</v>
      </c>
      <c r="E26" s="367">
        <f ca="1">('Perdas por Seção'!U60*(Geometria!$I$280*100))/Geometria!$J$1030</f>
        <v>257.4332741305912</v>
      </c>
      <c r="F26" s="794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1368.5143319616195</v>
      </c>
      <c r="G26" s="794"/>
      <c r="H26" s="209" t="str">
        <f>IF(Geometria!$I$280&lt;'Isolamento de cabos'!$C$8,"Sim","Não")</f>
        <v>Não</v>
      </c>
      <c r="I26" s="368">
        <f ca="1">Geometria!$H$166*E49+Geometria!$H$168*E26</f>
        <v>1804.3591882614389</v>
      </c>
      <c r="J26" s="368">
        <f ca="1">Geometria!$H$166*E49*Geometria!$H$167/100-Geometria!$H$168*E26*Geometria!$H$169/100</f>
        <v>210.58321855374368</v>
      </c>
      <c r="K26" s="363"/>
      <c r="L26">
        <f t="shared" ca="1" si="1"/>
        <v>1.3685143319616195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-1282.4905598337555</v>
      </c>
      <c r="Q26" s="365">
        <f ca="1">-(V26/(Geometria!$H$36/100^2))+(W26/(Geometria!$H$40/100^3))-((Geometria!$I$287)/(Geometria!$H$40/100^3))-((Geometria!$I$298)/(Geometria!$H$266))-((Geometria!$H$52*Geometria!$I$309)/(Geometria!$H$266))</f>
        <v>533.70635286823301</v>
      </c>
      <c r="R26" s="367">
        <f ca="1">('Perdas por Seção'!U92*(Geometria!$I$280*100))/Geometria!$J$1030</f>
        <v>223.1476867453969</v>
      </c>
      <c r="S26" s="810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-1282.4905598337555</v>
      </c>
      <c r="T26" s="811"/>
      <c r="V26" s="368">
        <f ca="1">Geometria!$H$166*R49+Geometria!$H$168*R26</f>
        <v>1506.9230726422741</v>
      </c>
      <c r="W26" s="368">
        <f ca="1">Geometria!$H$166*R49*Geometria!$H$167/100-Geometria!$H$168*R26*Geometria!$H$169/100</f>
        <v>175.87003342481256</v>
      </c>
      <c r="X26" s="363"/>
      <c r="Y26">
        <f t="shared" ca="1" si="2"/>
        <v>-1.2824905598337555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2192.7946606436208</v>
      </c>
      <c r="D27" s="365">
        <f ca="1">-I27/(Geometria!$H$36/100^2)+J27/(Geometria!$H$40/100^3)-Geometria!$J$747/(Geometria!$H$40/100^3)</f>
        <v>1713.0067584682238</v>
      </c>
      <c r="E27" s="367">
        <f ca="1">('Perdas por Seção'!V60*(Geometria!$H$280*100))/Geometria!$J$1030</f>
        <v>130.0142152142439</v>
      </c>
      <c r="F27" s="794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2192.7946606436208</v>
      </c>
      <c r="G27" s="794"/>
      <c r="H27" s="209" t="str">
        <f>IF(Geometria!$H$280&lt;'Isolamento de cabos'!$C$8,"Sim","Não")</f>
        <v>Não</v>
      </c>
      <c r="I27" s="368">
        <f ca="1">Geometria!$H$166*E50+Geometria!$H$168*E27</f>
        <v>898.97133364384524</v>
      </c>
      <c r="J27" s="368">
        <f ca="1">Geometria!$H$166*E50*Geometria!$H$167/100-Geometria!$H$168*E27*Geometria!$H$169/100</f>
        <v>104.91717949388847</v>
      </c>
      <c r="K27" s="363"/>
      <c r="L27">
        <f t="shared" ca="1" si="1"/>
        <v>2.1927946606436208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516.83850811529942</v>
      </c>
      <c r="Q27" s="365">
        <f ca="1">-(V27/(Geometria!$H$36/100^2))+(W27/(Geometria!$H$40/100^3))-((Geometria!$J$287)/(Geometria!$H$40/100^3))-((Geometria!$J$298)/(Geometria!$H$266))-((Geometria!$H$52*Geometria!$J$309)/(Geometria!$H$266))</f>
        <v>121.42065543873503</v>
      </c>
      <c r="R27" s="367">
        <f ca="1">('Perdas por Seção'!V92*(Geometria!$H$280*100))/Geometria!$J$1030</f>
        <v>116.37362183860108</v>
      </c>
      <c r="S27" s="810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516.83850811529942</v>
      </c>
      <c r="T27" s="811"/>
      <c r="V27" s="368">
        <f ca="1">Geometria!$H$166*R50+Geometria!$H$168*R27</f>
        <v>740.88844832375059</v>
      </c>
      <c r="W27" s="368">
        <f ca="1">Geometria!$H$166*R50*Geometria!$H$167/100-Geometria!$H$168*R27*Geometria!$H$169/100</f>
        <v>86.467636295650024</v>
      </c>
      <c r="X27" s="363"/>
      <c r="Y27">
        <f t="shared" ca="1" si="2"/>
        <v>0.51683850811529941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804">
        <v>0</v>
      </c>
      <c r="G28" s="805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804">
        <v>0</v>
      </c>
      <c r="T28" s="805"/>
      <c r="X28" s="363"/>
      <c r="Y28">
        <f t="shared" si="2"/>
        <v>0</v>
      </c>
    </row>
    <row r="29" spans="1:29" ht="15" customHeight="1" x14ac:dyDescent="0.25">
      <c r="A29" s="362"/>
      <c r="C29" s="806" t="s">
        <v>727</v>
      </c>
      <c r="D29" s="800" t="s">
        <v>728</v>
      </c>
      <c r="E29" s="801"/>
      <c r="F29" s="800" t="s">
        <v>726</v>
      </c>
      <c r="G29" s="801"/>
      <c r="I29" s="644" t="s">
        <v>95</v>
      </c>
      <c r="J29" s="644" t="s">
        <v>97</v>
      </c>
      <c r="K29" s="363"/>
      <c r="N29" s="362"/>
      <c r="P29" s="806" t="s">
        <v>727</v>
      </c>
      <c r="Q29" s="800" t="s">
        <v>728</v>
      </c>
      <c r="R29" s="801"/>
      <c r="S29" s="800" t="s">
        <v>726</v>
      </c>
      <c r="T29" s="801"/>
      <c r="V29" s="644" t="s">
        <v>95</v>
      </c>
      <c r="W29" s="644" t="s">
        <v>97</v>
      </c>
      <c r="X29" s="363"/>
    </row>
    <row r="30" spans="1:29" x14ac:dyDescent="0.25">
      <c r="A30" s="362"/>
      <c r="C30" s="807"/>
      <c r="D30" s="802"/>
      <c r="E30" s="803"/>
      <c r="F30" s="802"/>
      <c r="G30" s="803"/>
      <c r="I30" s="644"/>
      <c r="J30" s="644"/>
      <c r="K30" s="363"/>
      <c r="N30" s="362"/>
      <c r="P30" s="807"/>
      <c r="Q30" s="802"/>
      <c r="R30" s="803"/>
      <c r="S30" s="802"/>
      <c r="T30" s="803"/>
      <c r="V30" s="644"/>
      <c r="W30" s="644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804">
        <v>0</v>
      </c>
      <c r="G31" s="805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804">
        <v>0</v>
      </c>
      <c r="T31" s="805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-11049.487175611061</v>
      </c>
      <c r="D32" s="365">
        <f ca="1">-I32/(Geometria!$H$36/100^2)-J32/(Geometria!$H$41/100^3)+Geometria!$H$741/(Geometria!$H$41/100^3)</f>
        <v>-11049.487175611061</v>
      </c>
      <c r="E32" s="367">
        <f ca="1">('Perdas por Seção'!D59*(Geometria!$H$280*100))/Geometria!$J$1031</f>
        <v>91.081188819031951</v>
      </c>
      <c r="F32" s="794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-13214.481297032215</v>
      </c>
      <c r="G32" s="794"/>
      <c r="H32" s="209" t="str">
        <f>IF(Geometria!$H$280&lt;'Isolamento de cabos'!$C$8,"Sim","Não")</f>
        <v>Não</v>
      </c>
      <c r="I32" s="368">
        <f ca="1">Geometria!$H$166*E32+Geometria!$H$168*E9</f>
        <v>898.97133364384524</v>
      </c>
      <c r="J32" s="368">
        <f ca="1">Geometria!$H$166*E32*Geometria!$H$167/100-Geometria!$H$168*E9*Geometria!$H$169/100</f>
        <v>104.91717949388847</v>
      </c>
      <c r="K32" s="363"/>
      <c r="L32">
        <f t="shared" ca="1" si="1"/>
        <v>-11.049487175611061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-7471.7424639169494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-7471.7424639169494</v>
      </c>
      <c r="R32" s="367">
        <f ca="1">('Perdas por Seção'!D91*(Geometria!$H$280*100))/Geometria!$J$1031</f>
        <v>75.064685747087196</v>
      </c>
      <c r="S32" s="810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-9256.0253161277196</v>
      </c>
      <c r="T32" s="811"/>
      <c r="V32" s="368">
        <f ca="1">Geometria!$H$166*R32+Geometria!$H$168*R9</f>
        <v>740.88844832375059</v>
      </c>
      <c r="W32" s="368">
        <f ca="1">Geometria!$H$166*R32*Geometria!$H$167/100-Geometria!$H$168*R9*Geometria!$H$169/100</f>
        <v>86.467636295650024</v>
      </c>
      <c r="X32" s="363"/>
      <c r="Y32">
        <f t="shared" ca="1" si="6"/>
        <v>-7.4717424639169492</v>
      </c>
      <c r="AB32" s="810">
        <f ca="1">-(Geometria!$J$242/(Geometria!$H$36/100^2))-(Geometria!$J$243/(Geometria!$H$41/100^3))+((Geometria!$H$281)/(Geometria!$H$41/100^3))+((Geometria!$H$292)/(Geometria!$I$41/100^3))+((Geometria!$H$52*Geometria!$H$303)/(Geometria!$I$41/100^3))</f>
        <v>-10194.061230076271</v>
      </c>
      <c r="AC32" s="811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-12465.274457052277</v>
      </c>
      <c r="D33" s="365">
        <f ca="1">-I33/(Geometria!$H$36/100^2)-J33/(Geometria!$H$41/100^3)+Geometria!$I$741/(Geometria!$H$41/100^3)</f>
        <v>-22278.28520520567</v>
      </c>
      <c r="E33" s="367">
        <f ca="1">('Perdas por Seção'!E59*(Geometria!$I$280*100))/Geometria!$J$1031</f>
        <v>182.81248108018633</v>
      </c>
      <c r="F33" s="794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-12465.274457052277</v>
      </c>
      <c r="G33" s="794"/>
      <c r="H33" s="209" t="str">
        <f>IF(Geometria!$I$280&lt;'Isolamento de cabos'!$C$8,"Sim","Não")</f>
        <v>Não</v>
      </c>
      <c r="I33" s="368">
        <f ca="1">Geometria!$H$166*E33+Geometria!$H$168*E10</f>
        <v>1804.3591882614389</v>
      </c>
      <c r="J33" s="368">
        <f ca="1">Geometria!$H$166*E33*Geometria!$H$167/100-Geometria!$H$168*E10*Geometria!$H$169/100</f>
        <v>210.58321855374368</v>
      </c>
      <c r="K33" s="363"/>
      <c r="L33">
        <f t="shared" ca="1" si="1"/>
        <v>-12.465274457052278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-7331.7542693019241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-15527.158158217844</v>
      </c>
      <c r="R33" s="367">
        <f ca="1">('Perdas por Seção'!E91*(Geometria!$I$280*100))/Geometria!$J$1031</f>
        <v>152.67710969020001</v>
      </c>
      <c r="S33" s="810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-7331.7542693019241</v>
      </c>
      <c r="T33" s="811"/>
      <c r="V33" s="368">
        <f ca="1">Geometria!$H$166*R33+Geometria!$H$168*R10</f>
        <v>1506.9230726422741</v>
      </c>
      <c r="W33" s="368">
        <f ca="1">Geometria!$H$166*R33*Geometria!$H$167/100-Geometria!$H$168*R10*Geometria!$H$169/100</f>
        <v>175.87003342481256</v>
      </c>
      <c r="X33" s="363"/>
      <c r="Y33">
        <f t="shared" ca="1" si="6"/>
        <v>-7.331754269301924</v>
      </c>
      <c r="AB33" s="810">
        <f ca="1">-(Geometria!$J$242/(Geometria!$H$36/100^2))-(Geometria!$J$243/(Geometria!$H$41/100^3))+((Geometria!$I$281)/(Geometria!$H$41/100^3))+((Geometria!$I$292)/(Geometria!$I$41/100^3))+((Geometria!$H$52*Geometria!$I$303)/(Geometria!$I$41/100^3))</f>
        <v>-8072.4730826254272</v>
      </c>
      <c r="AC33" s="811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-11804.209598246449</v>
      </c>
      <c r="D34" s="365">
        <f ca="1">-I34/(Geometria!$H$36/100^2)-J34/(Geometria!$H$41/100^3)+Geometria!$J$741/(Geometria!$H$41/100^3)</f>
        <v>-33671.350775843748</v>
      </c>
      <c r="E34" s="367">
        <f ca="1">('Perdas por Seção'!F59*(Geometria!$J$280*100))/Geometria!$J$1031</f>
        <v>275.07915264661801</v>
      </c>
      <c r="F34" s="794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-11804.209598246449</v>
      </c>
      <c r="G34" s="794"/>
      <c r="H34" s="209" t="str">
        <f>IF(Geometria!$J$280&lt;'Isolamento de cabos'!$C$8,"Sim","Não")</f>
        <v>Não</v>
      </c>
      <c r="I34" s="368">
        <f ca="1">Geometria!$H$166*E34+Geometria!$H$168*E11</f>
        <v>2715.0312366221196</v>
      </c>
      <c r="J34" s="368">
        <f ca="1">Geometria!$H$166*E34*Geometria!$H$167/100-Geometria!$H$168*E11*Geometria!$H$169/100</f>
        <v>316.86596549145384</v>
      </c>
      <c r="K34" s="363"/>
      <c r="L34">
        <f t="shared" ca="1" si="1"/>
        <v>-11.804209598246448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-5633.6714249903725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-24106.793379219471</v>
      </c>
      <c r="R34" s="367">
        <f ca="1">('Perdas por Seção'!F91*(Geometria!$J$280*100))/Geometria!$J$1031</f>
        <v>232.38386273890254</v>
      </c>
      <c r="S34" s="810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-5633.6714249903725</v>
      </c>
      <c r="T34" s="811"/>
      <c r="V34" s="368">
        <f ca="1">Geometria!$H$166*R34+Geometria!$H$168*R11</f>
        <v>2293.628725232968</v>
      </c>
      <c r="W34" s="368">
        <f ca="1">Geometria!$H$166*R34*Geometria!$H$167/100-Geometria!$H$168*R11*Geometria!$H$169/100</f>
        <v>267.68490568236871</v>
      </c>
      <c r="X34" s="363"/>
      <c r="Y34">
        <f t="shared" ca="1" si="6"/>
        <v>-5.6336714249903723</v>
      </c>
      <c r="AB34" s="810">
        <f ca="1">-(Geometria!$J$242/(Geometria!$H$36/100^2))-(Geometria!$J$243/(Geometria!$H$41/100^3))+((Geometria!$J$281)/(Geometria!$H$41/100^3))+((Geometria!$J$292)/(Geometria!$I$41/100^3))+((Geometria!$H$52*Geometria!$J$303)/(Geometria!$I$41/100^3))</f>
        <v>-6200.4835407570372</v>
      </c>
      <c r="AC34" s="811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-11231.286720614735</v>
      </c>
      <c r="D35" s="365">
        <f ca="1">-I35/(Geometria!$H$36/100^2)-J35/(Geometria!$H$41/100^3)+Geometria!$K$741/(Geometria!$H$41/100^3)</f>
        <v>-45213.64057458521</v>
      </c>
      <c r="E35" s="367">
        <f ca="1">('Perdas por Seção'!G59*(Geometria!$K$280*100))/Geometria!$J$1031</f>
        <v>367.76647938148187</v>
      </c>
      <c r="F35" s="794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-11231.286720614735</v>
      </c>
      <c r="G35" s="794"/>
      <c r="H35" s="209" t="str">
        <f>IF(Geometria!$K$280&lt;'Isolamento de cabos'!$C$8,"Sim","Não")</f>
        <v>Não</v>
      </c>
      <c r="I35" s="368">
        <f ca="1">Geometria!$H$166*E35+Geometria!$H$168*E12</f>
        <v>3629.855151495226</v>
      </c>
      <c r="J35" s="368">
        <f ca="1">Geometria!$H$166*E35*Geometria!$H$167/100-Geometria!$H$168*E12*Geometria!$H$169/100</f>
        <v>423.63326861890727</v>
      </c>
      <c r="K35" s="363"/>
      <c r="L35">
        <f t="shared" ca="1" si="1"/>
        <v>-11.231286720614735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-4161.8506169090961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-33151.444436753896</v>
      </c>
      <c r="R35" s="367">
        <f ca="1">('Perdas por Seção'!G91*(Geometria!$K$280*100))/Geometria!$J$1031</f>
        <v>313.73344246951905</v>
      </c>
      <c r="S35" s="810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-4161.8506169090961</v>
      </c>
      <c r="T35" s="811"/>
      <c r="V35" s="368">
        <f ca="1">Geometria!$H$166*R35+Geometria!$H$168*R12</f>
        <v>3096.5490771741529</v>
      </c>
      <c r="W35" s="368">
        <f ca="1">Geometria!$H$166*R35*Geometria!$H$167/100-Geometria!$H$168*R12*Geometria!$H$169/100</f>
        <v>361.39216366851014</v>
      </c>
      <c r="X35" s="363"/>
      <c r="Y35">
        <f t="shared" ca="1" si="6"/>
        <v>-4.1618506169090956</v>
      </c>
      <c r="AB35" s="810">
        <f ca="1">-(Geometria!$J$242/(Geometria!$H$36/100^2))-(Geometria!$J$243/(Geometria!$H$41/100^3))+((Geometria!$K$281)/(Geometria!$H$41/100^3))+((Geometria!$K$292)/(Geometria!$I$41/100^3))+((Geometria!$H$52*Geometria!$K$303)/(Geometria!$I$41/100^3))</f>
        <v>-4578.0926044710995</v>
      </c>
      <c r="AC35" s="811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-10746.50582415713</v>
      </c>
      <c r="D36" s="365">
        <f ca="1">-I36/(Geometria!$H$36/100^2)-J36/(Geometria!$H$41/100^3)+Geometria!$L$741/(Geometria!$H$41/100^3)</f>
        <v>-56890.111288489978</v>
      </c>
      <c r="E36" s="367">
        <f ca="1">('Perdas por Seção'!H59*(Geometria!$L$280*100))/Geometria!$J$1031</f>
        <v>460.7597371479327</v>
      </c>
      <c r="F36" s="794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-10746.50582415713</v>
      </c>
      <c r="G36" s="794"/>
      <c r="H36" s="209" t="str">
        <f>IF(Geometria!$L$280&lt;'Isolamento de cabos'!$C$8,"Sim","Não")</f>
        <v>Não</v>
      </c>
      <c r="I36" s="368">
        <f ca="1">Geometria!$H$166*E36+Geometria!$H$168*E13</f>
        <v>4547.6986056500955</v>
      </c>
      <c r="J36" s="368">
        <f ca="1">Geometria!$H$166*E36*Geometria!$H$167/100-Geometria!$H$168*E13*Geometria!$H$169/100</f>
        <v>530.75297624799191</v>
      </c>
      <c r="K36" s="363"/>
      <c r="L36">
        <f t="shared" ca="1" si="1"/>
        <v>-10.746505824157129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-2916.35576834936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-42602.115706189608</v>
      </c>
      <c r="R36" s="367">
        <f ca="1">('Perdas por Seção'!H91*(Geometria!$L$280*100))/Geometria!$J$1031</f>
        <v>396.27593321915998</v>
      </c>
      <c r="S36" s="810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-2916.35576834936</v>
      </c>
      <c r="T36" s="811"/>
      <c r="V36" s="368">
        <f ca="1">Geometria!$H$166*R36+Geometria!$H$168*R13</f>
        <v>3911.2434608731087</v>
      </c>
      <c r="W36" s="368">
        <f ca="1">Geometria!$H$166*R36*Geometria!$H$167/100-Geometria!$H$168*R13*Geometria!$H$169/100</f>
        <v>456.47354578638516</v>
      </c>
      <c r="X36" s="363"/>
      <c r="Y36">
        <f t="shared" ca="1" si="6"/>
        <v>-2.9163557683493599</v>
      </c>
      <c r="AB36" s="810">
        <f ca="1">-(Geometria!$J$242/(Geometria!$H$36/100^2))-(Geometria!$J$243/(Geometria!$H$41/100^3))+((Geometria!$L$281)/(Geometria!$H$41/100^3))+((Geometria!$L$292)/(Geometria!$I$41/100^3))+((Geometria!$H$52*Geometria!$L$303)/(Geometria!$I$41/100^3))</f>
        <v>-3205.3002737676143</v>
      </c>
      <c r="AC36" s="811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-10349.866908873628</v>
      </c>
      <c r="D37" s="365">
        <f ca="1">-I37/(Geometria!$H$36/100^2)-J37/(Geometria!$H$41/100^3)+Geometria!$M$741/(Geometria!$H$41/100^3)</f>
        <v>-68685.71960461796</v>
      </c>
      <c r="E37" s="367">
        <f ca="1">('Perdas por Seção'!I59*(Geometria!$M$280*100))/Geometria!$J$1031</f>
        <v>553.9442018091255</v>
      </c>
      <c r="F37" s="794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-10349.866908873628</v>
      </c>
      <c r="G37" s="794"/>
      <c r="H37" s="209" t="str">
        <f>IF(Geometria!$M$280&lt;'Isolamento de cabos'!$C$8,"Sim","Não")</f>
        <v>Não</v>
      </c>
      <c r="I37" s="368">
        <f ca="1">Geometria!$H$166*E37+Geometria!$H$168*E14</f>
        <v>5467.4292718560682</v>
      </c>
      <c r="J37" s="368">
        <f ca="1">Geometria!$H$166*E37*Geometria!$H$167/100-Geometria!$H$168*E14*Geometria!$H$169/100</f>
        <v>638.09293669059628</v>
      </c>
      <c r="K37" s="363"/>
      <c r="L37">
        <f t="shared" ca="1" si="1"/>
        <v>-10.349866908873627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-1897.2409205160784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-52399.977824390473</v>
      </c>
      <c r="R37" s="367">
        <f ca="1">('Perdas por Seção'!I91*(Geometria!$M$280*100))/Geometria!$J$1031</f>
        <v>479.56268727745578</v>
      </c>
      <c r="S37" s="810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-1897.2409205160784</v>
      </c>
      <c r="T37" s="811"/>
      <c r="V37" s="368">
        <f ca="1">Geometria!$H$166*R37+Geometria!$H$168*R14</f>
        <v>4733.283723428488</v>
      </c>
      <c r="W37" s="368">
        <f ca="1">Geometria!$H$166*R37*Geometria!$H$167/100-Geometria!$H$168*R14*Geometria!$H$169/100</f>
        <v>552.41225100420354</v>
      </c>
      <c r="X37" s="363"/>
      <c r="Y37">
        <f t="shared" ca="1" si="6"/>
        <v>-1.8972409205160785</v>
      </c>
      <c r="AB37" s="810">
        <f ca="1">-(Geometria!$J$242/(Geometria!$H$36/100^2))-(Geometria!$J$243/(Geometria!$H$41/100^3))+((Geometria!$M$281)/(Geometria!$H$41/100^3))+((Geometria!$M$292)/(Geometria!$I$41/100^3))+((Geometria!$H$52*Geometria!$M$303)/(Geometria!$I$41/100^3))</f>
        <v>-2082.1065486465795</v>
      </c>
      <c r="AC37" s="811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-10041.369974764242</v>
      </c>
      <c r="D38" s="365">
        <f ca="1">-I38/(Geometria!$H$36/100^2)-J38/(Geometria!$H$41/100^3)+Geometria!$N$741/(Geometria!$H$41/100^3)</f>
        <v>-80585.422210029079</v>
      </c>
      <c r="E38" s="367">
        <f ca="1">('Perdas por Seção'!J59*(Geometria!$N$280*100))/Geometria!$J$1031</f>
        <v>647.20514922821496</v>
      </c>
      <c r="F38" s="794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-10041.369974764242</v>
      </c>
      <c r="G38" s="794"/>
      <c r="H38" s="209" t="str">
        <f>IF(Geometria!$N$280&lt;'Isolamento de cabos'!$C$8,"Sim","Não")</f>
        <v>Não</v>
      </c>
      <c r="I38" s="368">
        <f ca="1">Geometria!$H$166*E38+Geometria!$H$168*E15</f>
        <v>6387.9148228824815</v>
      </c>
      <c r="J38" s="368">
        <f ca="1">Geometria!$H$166*E38*Geometria!$H$167/100-Geometria!$H$168*E15*Geometria!$H$169/100</f>
        <v>745.52099825860842</v>
      </c>
      <c r="K38" s="363"/>
      <c r="L38">
        <f t="shared" ca="1" si="1"/>
        <v>-10.041369974764242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-1104.5502564425665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-62486.326003399117</v>
      </c>
      <c r="R38" s="367">
        <f ca="1">('Perdas por Seção'!J91*(Geometria!$N$280*100))/Geometria!$J$1031</f>
        <v>563.14600697608614</v>
      </c>
      <c r="S38" s="810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-1104.5502564425665</v>
      </c>
      <c r="T38" s="811"/>
      <c r="V38" s="368">
        <f ca="1">Geometria!$H$166*R38+Geometria!$H$168*R15</f>
        <v>5558.25108885397</v>
      </c>
      <c r="W38" s="368">
        <f ca="1">Geometria!$H$166*R38*Geometria!$H$167/100-Geometria!$H$168*R15*Geometria!$H$169/100</f>
        <v>648.69257265151896</v>
      </c>
      <c r="X38" s="363"/>
      <c r="Y38">
        <f t="shared" ca="1" si="6"/>
        <v>-1.1045502564425664</v>
      </c>
      <c r="AB38" s="810">
        <f ca="1">-(Geometria!$J$242/(Geometria!$H$36/100^2))-(Geometria!$J$243/(Geometria!$H$41/100^3))+((Geometria!$N$281)/(Geometria!$H$41/100^3))+((Geometria!$N$292)/(Geometria!$I$41/100^3))+((Geometria!$H$52*Geometria!$N$303)/(Geometria!$I$41/100^3))</f>
        <v>-1208.5114291079976</v>
      </c>
      <c r="AC38" s="811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-9821.0150218289691</v>
      </c>
      <c r="D39" s="365">
        <f ca="1">-I39/(Geometria!$H$36/100^2)-J39/(Geometria!$H$41/100^3)+Geometria!$G$744/(Geometria!$H$41/100^3)</f>
        <v>-92574.175791783273</v>
      </c>
      <c r="E39" s="367">
        <f ca="1">('Perdas por Seção'!K59*(Geometria!$G$283*100))/Geometria!$J$1031</f>
        <v>740.42785526835621</v>
      </c>
      <c r="F39" s="794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-9821.0150218289691</v>
      </c>
      <c r="G39" s="794"/>
      <c r="H39" s="209" t="str">
        <f>IF(Geometria!$G$283&lt;'Isolamento de cabos'!$C$8,"Sim","Não")</f>
        <v>Não</v>
      </c>
      <c r="I39" s="368">
        <f ca="1">Geometria!$H$166*E39+Geometria!$H$168*E16</f>
        <v>7308.0229314986755</v>
      </c>
      <c r="J39" s="368">
        <f ca="1">Geometria!$H$166*E39*Geometria!$H$167/100-Geometria!$H$168*E16*Geometria!$H$169/100</f>
        <v>852.9050092639169</v>
      </c>
      <c r="K39" s="363"/>
      <c r="L39">
        <f t="shared" ca="1" si="1"/>
        <v>-9.8210150218289698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-538.3181205136475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-72802.538435847819</v>
      </c>
      <c r="R39" s="367">
        <f ca="1">('Perdas por Seção'!K91*(Geometria!$G$283*100))/Geometria!$J$1031</f>
        <v>646.57882747784731</v>
      </c>
      <c r="S39" s="810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-538.3181205136475</v>
      </c>
      <c r="T39" s="811"/>
      <c r="V39" s="368">
        <f ca="1">Geometria!$H$166*R39+Geometria!$H$168*R16</f>
        <v>6381.7330272063527</v>
      </c>
      <c r="W39" s="368">
        <f ca="1">Geometria!$H$166*R39*Geometria!$H$167/100-Geometria!$H$168*R16*Geometria!$H$169/100</f>
        <v>744.7995330213156</v>
      </c>
      <c r="X39" s="363"/>
      <c r="Y39">
        <f t="shared" ca="1" si="6"/>
        <v>-0.53831812051364747</v>
      </c>
      <c r="AB39" s="810">
        <f ca="1">-(Geometria!$J$242/(Geometria!$H$36/100^2))-(Geometria!$J$243/(Geometria!$H$41/100^3))+((Geometria!$G$284)/(Geometria!$H$41/100^3))+((Geometria!$G$295)/(Geometria!$I$41/100^3))+((Geometria!$H$52*Geometria!$G$306)/(Geometria!$I$41/100^3))</f>
        <v>-584.5149151518649</v>
      </c>
      <c r="AC39" s="811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-9688.8020500678031</v>
      </c>
      <c r="D40" s="365">
        <f ca="1">-I40/(Geometria!$H$36/100^2)-J40/(Geometria!$H$41/100^3)+Geometria!$H$744/(Geometria!$H$41/100^3)</f>
        <v>-104636.93703694044</v>
      </c>
      <c r="E40" s="367">
        <f ca="1">('Perdas por Seção'!L59*(Geometria!$H$283*100))/Geometria!$J$1031</f>
        <v>833.49759579270381</v>
      </c>
      <c r="F40" s="794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-9688.8020500678031</v>
      </c>
      <c r="G40" s="794"/>
      <c r="H40" s="209" t="str">
        <f>IF(Geometria!$H$283&lt;'Isolamento de cabos'!$C$8,"Sim","Não")</f>
        <v>Não</v>
      </c>
      <c r="I40" s="368">
        <f ca="1">Geometria!$H$166*E40+Geometria!$H$168*E17</f>
        <v>8226.6212704739864</v>
      </c>
      <c r="J40" s="368">
        <f ca="1">Geometria!$H$166*E40*Geometria!$H$167/100-Geometria!$H$168*E17*Geometria!$H$169/100</f>
        <v>960.11281801840948</v>
      </c>
      <c r="K40" s="363"/>
      <c r="L40">
        <f t="shared" ca="1" si="1"/>
        <v>-9.6888020500678032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-198.56903362328876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-83290.0347662719</v>
      </c>
      <c r="R40" s="367">
        <f ca="1">('Perdas por Seção'!L91*(Geometria!$H$283*100))/Geometria!$J$1031</f>
        <v>729.41440006830828</v>
      </c>
      <c r="S40" s="810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-198.56903362328876</v>
      </c>
      <c r="T40" s="811"/>
      <c r="V40" s="368">
        <f ca="1">Geometria!$H$166*R40+Geometria!$H$168*R17</f>
        <v>7199.3201286742024</v>
      </c>
      <c r="W40" s="368">
        <f ca="1">Geometria!$H$166*R40*Geometria!$H$167/100-Geometria!$H$168*R17*Geometria!$H$169/100</f>
        <v>840.21851855103023</v>
      </c>
      <c r="X40" s="363"/>
      <c r="Y40">
        <f t="shared" ca="1" si="6"/>
        <v>-0.19856903362328876</v>
      </c>
      <c r="AB40" s="810">
        <f ca="1">-(Geometria!$J$242/(Geometria!$H$36/100^2))-(Geometria!$J$243/(Geometria!$H$41/100^3))+((Geometria!$H$284)/(Geometria!$H$41/100^3))+((Geometria!$H$295)/(Geometria!$I$41/100^3))+((Geometria!$H$52*Geometria!$H$306)/(Geometria!$I$41/100^3))</f>
        <v>-210.11700677818726</v>
      </c>
      <c r="AC40" s="811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-9644.7310594807459</v>
      </c>
      <c r="D41" s="365">
        <f ca="1">-I41/(Geometria!$H$36/100^2)-J41/(Geometria!$H$41/100^3)+Geometria!$I$744/(Geometria!$H$41/100^3)</f>
        <v>-116758.6626325605</v>
      </c>
      <c r="E41" s="367">
        <f ca="1">('Perdas por Seção'!M59*(Geometria!$I$283*100))/Geometria!$J$1031</f>
        <v>926.29964666441299</v>
      </c>
      <c r="F41" s="794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-9644.7310594807459</v>
      </c>
      <c r="G41" s="794"/>
      <c r="H41" s="209" t="str">
        <f>IF(Geometria!$I$283&lt;'Isolamento de cabos'!$C$8,"Sim","Não")</f>
        <v>Não</v>
      </c>
      <c r="I41" s="368">
        <f ca="1">Geometria!$H$166*E41+Geometria!$H$168*E18</f>
        <v>9142.5775125777564</v>
      </c>
      <c r="J41" s="368">
        <f ca="1">Geometria!$H$166*E41*Geometria!$H$167/100-Geometria!$H$168*E18*Geometria!$H$169/100</f>
        <v>1067.0122728339747</v>
      </c>
      <c r="K41" s="363"/>
      <c r="L41">
        <f t="shared" ca="1" si="1"/>
        <v>-9.6447310594807458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-85.317703986961533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-93890.23460262845</v>
      </c>
      <c r="R41" s="367">
        <f ca="1">('Perdas por Seção'!M91*(Geometria!$I$283*100))/Geometria!$J$1031</f>
        <v>811.20597575408283</v>
      </c>
      <c r="S41" s="810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-85.317703986961533</v>
      </c>
      <c r="T41" s="811"/>
      <c r="V41" s="368">
        <f ca="1">Geometria!$H$166*R41+Geometria!$H$168*R18</f>
        <v>8006.6029806927972</v>
      </c>
      <c r="W41" s="368">
        <f ca="1">Geometria!$H$166*R41*Geometria!$H$167/100-Geometria!$H$168*R18*Geometria!$H$169/100</f>
        <v>934.43491535676947</v>
      </c>
      <c r="X41" s="363"/>
      <c r="Y41">
        <f t="shared" ca="1" si="6"/>
        <v>-8.5317703986961535E-2</v>
      </c>
      <c r="AB41" s="810">
        <f ca="1">-(Geometria!$J$242/(Geometria!$H$36/100^2))-(Geometria!$J$243/(Geometria!$H$41/100^3))+((Geometria!$I$284)/(Geometria!$H$41/100^3))+((Geometria!$I$295)/(Geometria!$I$41/100^3))+((Geometria!$H$52*Geometria!$I$306)/(Geometria!$I$41/100^3))</f>
        <v>-85.317703986961533</v>
      </c>
      <c r="AC41" s="811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-9688.8020500678031</v>
      </c>
      <c r="D42" s="365">
        <f ca="1">-I42/(Geometria!$H$36/100^2)-J42/(Geometria!$H$41/100^3)+Geometria!$J$744/(Geometria!$H$41/100^3)</f>
        <v>-104636.93703694044</v>
      </c>
      <c r="E42" s="367">
        <f ca="1">('Perdas por Seção'!N59*(Geometria!$H$283*100))/Geometria!$J$1031</f>
        <v>833.49759579270381</v>
      </c>
      <c r="F42" s="794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-9688.8020500678031</v>
      </c>
      <c r="G42" s="794"/>
      <c r="H42" s="209" t="str">
        <f>IF(Geometria!$H$283&lt;'Isolamento de cabos'!$C$8,"Sim","Não")</f>
        <v>Não</v>
      </c>
      <c r="I42" s="368">
        <f ca="1">Geometria!$H$166*E42+Geometria!$H$168*E19</f>
        <v>8226.6212704739864</v>
      </c>
      <c r="J42" s="368">
        <f ca="1">Geometria!$H$166*E42*Geometria!$H$167/100-Geometria!$H$168*E19*Geometria!$H$169/100</f>
        <v>960.11281801840948</v>
      </c>
      <c r="K42" s="363"/>
      <c r="L42">
        <f t="shared" ca="1" si="1"/>
        <v>-9.6888020500678032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-198.56903362329058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-83290.0347662719</v>
      </c>
      <c r="R42" s="367">
        <f ca="1">('Perdas por Seção'!N91*(Geometria!$H$283*100))/Geometria!$J$1031</f>
        <v>729.41440006830828</v>
      </c>
      <c r="S42" s="810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-198.56903362329058</v>
      </c>
      <c r="T42" s="811"/>
      <c r="V42" s="368">
        <f ca="1">Geometria!$H$166*R42+Geometria!$H$168*R19</f>
        <v>7199.3201286742024</v>
      </c>
      <c r="W42" s="368">
        <f ca="1">Geometria!$H$166*R42*Geometria!$H$167/100-Geometria!$H$168*R19*Geometria!$H$169/100</f>
        <v>840.21851855103023</v>
      </c>
      <c r="X42" s="363"/>
      <c r="Y42">
        <f t="shared" ca="1" si="6"/>
        <v>-0.19856903362329059</v>
      </c>
      <c r="AB42" s="810">
        <f ca="1">-(Geometria!$J$242/(Geometria!$H$36/100^2))-(Geometria!$J$243/(Geometria!$H$41/100^3))+((Geometria!$J$284)/(Geometria!$H$41/100^3))+((Geometria!$J$295)/(Geometria!$I$41/100^3))+((Geometria!$H$52*Geometria!$J$306)/(Geometria!$I$41/100^3))</f>
        <v>-210.11700677818908</v>
      </c>
      <c r="AC42" s="811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-9821.0150218289709</v>
      </c>
      <c r="D43" s="365">
        <f ca="1">-I43/(Geometria!$H$36/100^2)-J43/(Geometria!$H$41/100^3)+Geometria!$K$744/(Geometria!$H$41/100^3)</f>
        <v>-92574.175791783287</v>
      </c>
      <c r="E43" s="367">
        <f ca="1">('Perdas por Seção'!O59*(Geometria!$G$283*100))/Geometria!$J$1031</f>
        <v>740.42785526835621</v>
      </c>
      <c r="F43" s="794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-9821.0150218289709</v>
      </c>
      <c r="G43" s="794"/>
      <c r="H43" s="209" t="str">
        <f>IF(Geometria!$G$283&lt;'Isolamento de cabos'!$C$8,"Sim","Não")</f>
        <v>Não</v>
      </c>
      <c r="I43" s="368">
        <f ca="1">Geometria!$H$166*E43+Geometria!$H$168*E20</f>
        <v>7308.0229314986755</v>
      </c>
      <c r="J43" s="368">
        <f ca="1">Geometria!$H$166*E43*Geometria!$H$167/100-Geometria!$H$168*E20*Geometria!$H$169/100</f>
        <v>852.9050092639169</v>
      </c>
      <c r="K43" s="363"/>
      <c r="L43">
        <f t="shared" ca="1" si="1"/>
        <v>-9.8210150218289716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-538.31812051365205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-72802.538435847833</v>
      </c>
      <c r="R43" s="367">
        <f ca="1">('Perdas por Seção'!O91*(Geometria!$G$283*100))/Geometria!$J$1031</f>
        <v>646.57882747784731</v>
      </c>
      <c r="S43" s="810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-538.31812051365205</v>
      </c>
      <c r="T43" s="811"/>
      <c r="V43" s="368">
        <f ca="1">Geometria!$H$166*R43+Geometria!$H$168*R20</f>
        <v>6381.7330272063527</v>
      </c>
      <c r="W43" s="368">
        <f ca="1">Geometria!$H$166*R43*Geometria!$H$167/100-Geometria!$H$168*R20*Geometria!$H$169/100</f>
        <v>744.7995330213156</v>
      </c>
      <c r="X43" s="363"/>
      <c r="Y43">
        <f t="shared" ca="1" si="6"/>
        <v>-0.53831812051365202</v>
      </c>
      <c r="AB43" s="810">
        <f ca="1">-(Geometria!$J$242/(Geometria!$H$36/100^2))-(Geometria!$J$243/(Geometria!$H$41/100^3))+((Geometria!$K$284)/(Geometria!$H$41/100^3))+((Geometria!$K$295)/(Geometria!$I$41/100^3))+((Geometria!$H$52*Geometria!$K$306)/(Geometria!$I$41/100^3))</f>
        <v>-584.51491515186945</v>
      </c>
      <c r="AC43" s="811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-10041.369974764244</v>
      </c>
      <c r="D44" s="365">
        <f ca="1">-I44/(Geometria!$H$36/100^2)-J44/(Geometria!$H$41/100^3)+Geometria!$L$744/(Geometria!$H$41/100^3)</f>
        <v>-80585.422210029094</v>
      </c>
      <c r="E44" s="367">
        <f ca="1">('Perdas por Seção'!P59*(Geometria!$N$280*100))/Geometria!$J$1031</f>
        <v>647.20514922821496</v>
      </c>
      <c r="F44" s="794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-10041.369974764244</v>
      </c>
      <c r="G44" s="794"/>
      <c r="H44" s="209" t="str">
        <f>IF(Geometria!$N$280&lt;'Isolamento de cabos'!$C$8,"Sim","Não")</f>
        <v>Não</v>
      </c>
      <c r="I44" s="368">
        <f ca="1">Geometria!$H$166*E44+Geometria!$H$168*E21</f>
        <v>6387.9148228824815</v>
      </c>
      <c r="J44" s="368">
        <f ca="1">Geometria!$H$166*E44*Geometria!$H$167/100-Geometria!$H$168*E21*Geometria!$H$169/100</f>
        <v>745.52099825860842</v>
      </c>
      <c r="K44" s="363"/>
      <c r="L44">
        <f t="shared" ca="1" si="1"/>
        <v>-10.041369974764244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-1104.5502564425683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-62486.326003399117</v>
      </c>
      <c r="R44" s="367">
        <f ca="1">('Perdas por Seção'!P91*(Geometria!$N$280*100))/Geometria!$J$1031</f>
        <v>563.14600697608614</v>
      </c>
      <c r="S44" s="810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-1104.5502564425683</v>
      </c>
      <c r="T44" s="811"/>
      <c r="V44" s="368">
        <f ca="1">Geometria!$H$166*R44+Geometria!$H$168*R21</f>
        <v>5558.25108885397</v>
      </c>
      <c r="W44" s="368">
        <f ca="1">Geometria!$H$166*R44*Geometria!$H$167/100-Geometria!$H$168*R21*Geometria!$H$169/100</f>
        <v>648.69257265151896</v>
      </c>
      <c r="X44" s="363"/>
      <c r="Y44">
        <f t="shared" ca="1" si="6"/>
        <v>-1.1045502564425682</v>
      </c>
      <c r="AB44" s="810">
        <f ca="1">-(Geometria!$J$242/(Geometria!$H$36/100^2))-(Geometria!$J$243/(Geometria!$H$41/100^3))+((Geometria!$L$284)/(Geometria!$H$41/100^3))+((Geometria!$L$295)/(Geometria!$I$41/100^3))+((Geometria!$H$52*Geometria!$L$306)/(Geometria!$I$41/100^3))</f>
        <v>-1208.5114291079994</v>
      </c>
      <c r="AC44" s="811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-10349.866908873631</v>
      </c>
      <c r="D45" s="365">
        <f ca="1">-I45/(Geometria!$H$36/100^2)-J45/(Geometria!$H$41/100^3)+Geometria!$M$744/(Geometria!$H$41/100^3)</f>
        <v>-68685.71960461796</v>
      </c>
      <c r="E45" s="367">
        <f ca="1">('Perdas por Seção'!Q59*(Geometria!$M$280*100))/Geometria!$J$1031</f>
        <v>553.9442018091255</v>
      </c>
      <c r="F45" s="794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-10349.866908873631</v>
      </c>
      <c r="G45" s="794"/>
      <c r="H45" s="209" t="str">
        <f>IF(Geometria!$M$280&lt;'Isolamento de cabos'!$C$8,"Sim","Não")</f>
        <v>Não</v>
      </c>
      <c r="I45" s="368">
        <f ca="1">Geometria!$H$166*E45+Geometria!$H$168*E22</f>
        <v>5467.4292718560682</v>
      </c>
      <c r="J45" s="368">
        <f ca="1">Geometria!$H$166*E45*Geometria!$H$167/100-Geometria!$H$168*E22*Geometria!$H$169/100</f>
        <v>638.09293669059628</v>
      </c>
      <c r="K45" s="363"/>
      <c r="L45">
        <f t="shared" ca="1" si="1"/>
        <v>-10.349866908873631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-1897.2409205160848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-52399.97782439048</v>
      </c>
      <c r="R45" s="367">
        <f ca="1">('Perdas por Seção'!Q91*(Geometria!$M$280*100))/Geometria!$J$1031</f>
        <v>479.56268727745578</v>
      </c>
      <c r="S45" s="810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-1897.2409205160848</v>
      </c>
      <c r="T45" s="811"/>
      <c r="V45" s="368">
        <f ca="1">Geometria!$H$166*R45+Geometria!$H$168*R22</f>
        <v>4733.283723428488</v>
      </c>
      <c r="W45" s="368">
        <f ca="1">Geometria!$H$166*R45*Geometria!$H$167/100-Geometria!$H$168*R22*Geometria!$H$169/100</f>
        <v>552.41225100420354</v>
      </c>
      <c r="X45" s="363"/>
      <c r="Y45">
        <f t="shared" ca="1" si="6"/>
        <v>-1.8972409205160847</v>
      </c>
      <c r="AB45" s="810">
        <f ca="1">-(Geometria!$J$242/(Geometria!$H$36/100^2))-(Geometria!$J$243/(Geometria!$H$41/100^3))+((Geometria!$M$284)/(Geometria!$H$41/100^3))+((Geometria!$M$295)/(Geometria!$I$41/100^3))+((Geometria!$H$52*Geometria!$M$306)/(Geometria!$I$41/100^3))</f>
        <v>-2082.1065486465859</v>
      </c>
      <c r="AC45" s="811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-10746.505824157131</v>
      </c>
      <c r="D46" s="365">
        <f ca="1">-I46/(Geometria!$H$36/100^2)-J46/(Geometria!$H$41/100^3)+Geometria!$N$744/(Geometria!$H$41/100^3)</f>
        <v>-56890.111288489978</v>
      </c>
      <c r="E46" s="367">
        <f ca="1">('Perdas por Seção'!R59*(Geometria!$L$280*100))/Geometria!$J$1031</f>
        <v>460.7597371479327</v>
      </c>
      <c r="F46" s="794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-10746.505824157131</v>
      </c>
      <c r="G46" s="794"/>
      <c r="H46" s="209" t="str">
        <f>IF(Geometria!$L$280&lt;'Isolamento de cabos'!$C$8,"Sim","Não")</f>
        <v>Não</v>
      </c>
      <c r="I46" s="368">
        <f ca="1">Geometria!$H$166*E46+Geometria!$H$168*E23</f>
        <v>4547.6986056500955</v>
      </c>
      <c r="J46" s="368">
        <f ca="1">Geometria!$H$166*E46*Geometria!$H$167/100-Geometria!$H$168*E23*Geometria!$H$169/100</f>
        <v>530.75297624799191</v>
      </c>
      <c r="K46" s="363"/>
      <c r="L46">
        <f t="shared" ca="1" si="1"/>
        <v>-10.746505824157131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-2916.3557683493691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-42602.115706189623</v>
      </c>
      <c r="R46" s="367">
        <f ca="1">('Perdas por Seção'!R91*(Geometria!$L$280*100))/Geometria!$J$1031</f>
        <v>396.27593321916004</v>
      </c>
      <c r="S46" s="810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-2916.3557683493691</v>
      </c>
      <c r="T46" s="811"/>
      <c r="V46" s="368">
        <f ca="1">Geometria!$H$166*R46+Geometria!$H$168*R23</f>
        <v>3911.2434608731091</v>
      </c>
      <c r="W46" s="368">
        <f ca="1">Geometria!$H$166*R46*Geometria!$H$167/100-Geometria!$H$168*R23*Geometria!$H$169/100</f>
        <v>456.47354578638522</v>
      </c>
      <c r="X46" s="363"/>
      <c r="Y46">
        <f t="shared" ca="1" si="6"/>
        <v>-2.9163557683493693</v>
      </c>
      <c r="AB46" s="810">
        <f ca="1">-(Geometria!$J$242/(Geometria!$H$36/100^2))-(Geometria!$J$243/(Geometria!$H$41/100^3))+((Geometria!$N$284)/(Geometria!$H$41/100^3))+((Geometria!$N$295)/(Geometria!$I$41/100^3))+((Geometria!$H$52*Geometria!$N$306)/(Geometria!$I$41/100^3))</f>
        <v>-3205.3002737676197</v>
      </c>
      <c r="AC46" s="811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-11231.28672061474</v>
      </c>
      <c r="D47" s="365">
        <f ca="1">-I47/(Geometria!$H$36/100^2)-J47/(Geometria!$H$41/100^3)+Geometria!$G$747/(Geometria!$H$41/100^3)</f>
        <v>-45213.640574585217</v>
      </c>
      <c r="E47" s="367">
        <f ca="1">('Perdas por Seção'!S59*(Geometria!$K$280*100))/Geometria!$J$1031</f>
        <v>367.76647938148187</v>
      </c>
      <c r="F47" s="794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-11231.28672061474</v>
      </c>
      <c r="G47" s="794"/>
      <c r="H47" s="209" t="str">
        <f>IF(Geometria!$K$280&lt;'Isolamento de cabos'!$C$8,"Sim","Não")</f>
        <v>Não</v>
      </c>
      <c r="I47" s="368">
        <f ca="1">Geometria!$H$166*E47+Geometria!$H$168*E24</f>
        <v>3629.855151495226</v>
      </c>
      <c r="J47" s="368">
        <f ca="1">Geometria!$H$166*E47*Geometria!$H$167/100-Geometria!$H$168*E24*Geometria!$H$169/100</f>
        <v>423.63326861890727</v>
      </c>
      <c r="K47" s="363"/>
      <c r="L47">
        <f t="shared" ca="1" si="1"/>
        <v>-11.23128672061474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-4161.8506169091106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-33151.444436753918</v>
      </c>
      <c r="R47" s="367">
        <f ca="1">('Perdas por Seção'!S91*(Geometria!$K$280*100))/Geometria!$J$1031</f>
        <v>313.73344246951905</v>
      </c>
      <c r="S47" s="810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-4161.8506169091106</v>
      </c>
      <c r="T47" s="811"/>
      <c r="V47" s="368">
        <f ca="1">Geometria!$H$166*R47+Geometria!$H$168*R24</f>
        <v>3096.5490771741529</v>
      </c>
      <c r="W47" s="368">
        <f ca="1">Geometria!$H$166*R47*Geometria!$H$167/100-Geometria!$H$168*R24*Geometria!$H$169/100</f>
        <v>361.39216366851014</v>
      </c>
      <c r="X47" s="363"/>
      <c r="Y47">
        <f t="shared" ca="1" si="6"/>
        <v>-4.1618506169091107</v>
      </c>
      <c r="AB47" s="810">
        <f ca="1">-(Geometria!$J$242/(Geometria!$H$36/100^2))-(Geometria!$J$243/(Geometria!$H$41/100^3))+((Geometria!$G$287)/(Geometria!$H$41/100^3))+((Geometria!$G$298)/(Geometria!$I$41/100^3))+((Geometria!$H$52*Geometria!$G$309)/(Geometria!$I$41/100^3))</f>
        <v>-4578.0926044711141</v>
      </c>
      <c r="AC47" s="811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-11804.209598246454</v>
      </c>
      <c r="D48" s="365">
        <f ca="1">-I48/(Geometria!$H$36/100^2)-J48/(Geometria!$H$41/100^3)+Geometria!$H$747/(Geometria!$H$41/100^3)</f>
        <v>-33671.350775843755</v>
      </c>
      <c r="E48" s="367">
        <f ca="1">('Perdas por Seção'!T59*(Geometria!$J$280*100))/Geometria!$J$1031</f>
        <v>275.07915264661801</v>
      </c>
      <c r="F48" s="794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-11804.209598246454</v>
      </c>
      <c r="G48" s="794"/>
      <c r="H48" s="209" t="str">
        <f>IF(Geometria!$J$280&lt;'Isolamento de cabos'!$C$8,"Sim","Não")</f>
        <v>Não</v>
      </c>
      <c r="I48" s="368">
        <f ca="1">Geometria!$H$166*E48+Geometria!$H$168*E25</f>
        <v>2715.0312366221196</v>
      </c>
      <c r="J48" s="368">
        <f ca="1">Geometria!$H$166*E48*Geometria!$H$167/100-Geometria!$H$168*E25*Geometria!$H$169/100</f>
        <v>316.86596549145384</v>
      </c>
      <c r="K48" s="363"/>
      <c r="L48">
        <f t="shared" ca="1" si="1"/>
        <v>-11.804209598246455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-5633.6714249903853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-24106.793379219482</v>
      </c>
      <c r="R48" s="367">
        <f ca="1">('Perdas por Seção'!T91*(Geometria!$J$280*100))/Geometria!$J$1031</f>
        <v>232.38386273890254</v>
      </c>
      <c r="S48" s="810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-5633.6714249903853</v>
      </c>
      <c r="T48" s="811"/>
      <c r="V48" s="368">
        <f ca="1">Geometria!$H$166*R48+Geometria!$H$168*R25</f>
        <v>2293.628725232968</v>
      </c>
      <c r="W48" s="368">
        <f ca="1">Geometria!$H$166*R48*Geometria!$H$167/100-Geometria!$H$168*R25*Geometria!$H$169/100</f>
        <v>267.68490568236871</v>
      </c>
      <c r="X48" s="363"/>
      <c r="Y48">
        <f t="shared" ca="1" si="6"/>
        <v>-5.6336714249903856</v>
      </c>
      <c r="AB48" s="810">
        <f ca="1">-(Geometria!$J$242/(Geometria!$H$36/100^2))-(Geometria!$J$243/(Geometria!$H$41/100^3))+((Geometria!$H$287)/(Geometria!$H$41/100^3))+((Geometria!$H$298)/(Geometria!$I$41/100^3))+((Geometria!$H$52*Geometria!$H$309)/(Geometria!$I$41/100^3))</f>
        <v>-6200.4835407570499</v>
      </c>
      <c r="AC48" s="811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-12465.274457052283</v>
      </c>
      <c r="D49" s="365">
        <f ca="1">-I49/(Geometria!$H$36/100^2)-J49/(Geometria!$H$41/100^3)+Geometria!$I$747/(Geometria!$H$41/100^3)</f>
        <v>-22278.285205205677</v>
      </c>
      <c r="E49" s="367">
        <f ca="1">('Perdas por Seção'!U59*(Geometria!$I$280*100))/Geometria!$J$1031</f>
        <v>182.81248108018633</v>
      </c>
      <c r="F49" s="794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-12465.274457052283</v>
      </c>
      <c r="G49" s="794"/>
      <c r="H49" s="209" t="str">
        <f>IF(Geometria!$I$280&lt;'Isolamento de cabos'!$C$8,"Sim","Não")</f>
        <v>Não</v>
      </c>
      <c r="I49" s="368">
        <f ca="1">Geometria!$H$166*E49+Geometria!$H$168*E26</f>
        <v>1804.3591882614389</v>
      </c>
      <c r="J49" s="368">
        <f ca="1">Geometria!$H$166*E49*Geometria!$H$167/100-Geometria!$H$168*E26*Geometria!$H$169/100</f>
        <v>210.58321855374368</v>
      </c>
      <c r="K49" s="363"/>
      <c r="L49">
        <f t="shared" ca="1" si="1"/>
        <v>-12.465274457052283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-7331.7542693019413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-15527.158158217866</v>
      </c>
      <c r="R49" s="367">
        <f ca="1">('Perdas por Seção'!U91*(Geometria!$I$280*100))/Geometria!$J$1031</f>
        <v>152.67710969020001</v>
      </c>
      <c r="S49" s="810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-7331.7542693019413</v>
      </c>
      <c r="T49" s="811"/>
      <c r="V49" s="368">
        <f ca="1">Geometria!$H$166*R49+Geometria!$H$168*R26</f>
        <v>1506.9230726422741</v>
      </c>
      <c r="W49" s="368">
        <f ca="1">Geometria!$H$166*R49*Geometria!$H$167/100-Geometria!$H$168*R26*Geometria!$H$169/100</f>
        <v>175.87003342481256</v>
      </c>
      <c r="X49" s="363"/>
      <c r="Y49">
        <f t="shared" ca="1" si="6"/>
        <v>-7.3317542693019417</v>
      </c>
      <c r="AB49" s="810">
        <f ca="1">-(Geometria!$J$242/(Geometria!$H$36/100^2))-(Geometria!$J$243/(Geometria!$H$41/100^3))+((Geometria!$I$287)/(Geometria!$H$41/100^3))+((Geometria!$I$298)/(Geometria!$I$41/100^3))+((Geometria!$H$52*Geometria!$I$309)/(Geometria!$I$41/100^3))</f>
        <v>-8072.4730826254463</v>
      </c>
      <c r="AC49" s="811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-11049.487175611068</v>
      </c>
      <c r="D50" s="365">
        <f ca="1">-I50/(Geometria!$H$36/100^2)-J50/(Geometria!$H$41/100^3)+Geometria!$J$747/(Geometria!$H$41/100^3)</f>
        <v>-11049.487175611068</v>
      </c>
      <c r="E50" s="367">
        <f ca="1">('Perdas por Seção'!V59*(Geometria!$H$280*100))/Geometria!$J$1031</f>
        <v>91.081188819031951</v>
      </c>
      <c r="F50" s="794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-13214.481297032215</v>
      </c>
      <c r="G50" s="794"/>
      <c r="H50" s="209" t="str">
        <f>IF(Geometria!$H$280&lt;'Isolamento de cabos'!$C$8,"Sim","Não")</f>
        <v>Não</v>
      </c>
      <c r="I50" s="368">
        <f ca="1">Geometria!$H$166*E50+Geometria!$H$168*E27</f>
        <v>898.97133364384524</v>
      </c>
      <c r="J50" s="368">
        <f ca="1">Geometria!$H$166*E50*Geometria!$H$167/100-Geometria!$H$168*E27*Geometria!$H$169/100</f>
        <v>104.91717949388847</v>
      </c>
      <c r="K50" s="363"/>
      <c r="L50">
        <f t="shared" ca="1" si="1"/>
        <v>-11.049487175611068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-7471.7424639169722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-7471.7424639169722</v>
      </c>
      <c r="R50" s="367">
        <f ca="1">('Perdas por Seção'!V91*(Geometria!$H$280*100))/Geometria!$J$1031</f>
        <v>75.064685747087196</v>
      </c>
      <c r="S50" s="810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-9256.0253161277415</v>
      </c>
      <c r="T50" s="811"/>
      <c r="V50" s="368">
        <f ca="1">Geometria!$H$166*R50+Geometria!$H$168*R27</f>
        <v>740.88844832375059</v>
      </c>
      <c r="W50" s="368">
        <f ca="1">Geometria!$H$166*R50*Geometria!$H$167/100-Geometria!$H$168*R27*Geometria!$H$169/100</f>
        <v>86.467636295650024</v>
      </c>
      <c r="X50" s="363"/>
      <c r="Y50">
        <f t="shared" ca="1" si="6"/>
        <v>-7.4717424639169723</v>
      </c>
      <c r="AB50" s="810">
        <f ca="1">-(Geometria!$J$242/(Geometria!$H$36/100^2))-(Geometria!$J$243/(Geometria!$H$41/100^3))+((Geometria!$J$287)/(Geometria!$H$41/100^3))+((Geometria!$J$298)/(Geometria!$I$41/100^3))+((Geometria!$H$52*Geometria!$J$309)/(Geometria!$I$41/100^3))</f>
        <v>-10194.061230076293</v>
      </c>
      <c r="AC50" s="811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808">
        <v>0</v>
      </c>
      <c r="G51" s="809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808">
        <v>0</v>
      </c>
      <c r="T51" s="809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X749"/>
  <sheetViews>
    <sheetView showGridLines="0" topLeftCell="A702" workbookViewId="0">
      <selection activeCell="D714" sqref="D714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4" ht="15.75" customHeight="1" thickBot="1" x14ac:dyDescent="0.3"/>
    <row r="2" spans="2:24" ht="15.75" thickBot="1" x14ac:dyDescent="0.3">
      <c r="B2" s="486" t="s">
        <v>1043</v>
      </c>
      <c r="C2" s="648" t="s">
        <v>1044</v>
      </c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  <c r="Q2" s="648"/>
      <c r="R2" s="648"/>
      <c r="S2" s="649"/>
      <c r="V2" s="528" t="s">
        <v>1874</v>
      </c>
      <c r="W2" s="528"/>
      <c r="X2" s="528"/>
    </row>
    <row r="3" spans="2:24" ht="18" x14ac:dyDescent="0.35">
      <c r="B3" s="483" t="s">
        <v>1045</v>
      </c>
      <c r="C3" s="487">
        <f>Geometria!H23</f>
        <v>30.0</v>
      </c>
      <c r="D3" s="1" t="s">
        <v>80</v>
      </c>
      <c r="E3" s="488" t="s">
        <v>1046</v>
      </c>
      <c r="S3" s="489"/>
      <c r="V3" s="483" t="s">
        <v>1794</v>
      </c>
      <c r="W3" s="490">
        <v>1</v>
      </c>
      <c r="X3" s="1" t="s">
        <v>1161</v>
      </c>
    </row>
    <row r="4" spans="2:24" ht="18" x14ac:dyDescent="0.35">
      <c r="B4" s="483" t="s">
        <v>1047</v>
      </c>
      <c r="C4" s="490">
        <f>Geometria!H33</f>
        <v>5.0</v>
      </c>
      <c r="D4" s="1" t="s">
        <v>80</v>
      </c>
      <c r="E4" s="488" t="s">
        <v>1048</v>
      </c>
      <c r="S4" s="489"/>
      <c r="V4" s="483" t="s">
        <v>1795</v>
      </c>
      <c r="W4" s="490">
        <v>1.2</v>
      </c>
      <c r="X4" s="1" t="s">
        <v>1161</v>
      </c>
    </row>
    <row r="5" spans="2:24" ht="18" x14ac:dyDescent="0.25">
      <c r="B5" s="482" t="s">
        <v>1049</v>
      </c>
      <c r="C5" s="491">
        <f>Geometria!H22</f>
        <v>125.0</v>
      </c>
      <c r="D5" s="1" t="s">
        <v>80</v>
      </c>
      <c r="E5" s="488" t="s">
        <v>1050</v>
      </c>
      <c r="S5" s="489"/>
      <c r="V5" s="483" t="s">
        <v>1796</v>
      </c>
      <c r="W5" s="490">
        <f>Geometria!H59</f>
        <v>30.0</v>
      </c>
      <c r="X5" s="1" t="s">
        <v>60</v>
      </c>
    </row>
    <row r="6" spans="2:24" ht="18" x14ac:dyDescent="0.35">
      <c r="B6" s="483" t="s">
        <v>1051</v>
      </c>
      <c r="C6" s="490">
        <f>Geometria!H58</f>
        <v>50.0</v>
      </c>
      <c r="D6" s="1" t="s">
        <v>50</v>
      </c>
      <c r="E6" s="488" t="s">
        <v>1052</v>
      </c>
      <c r="S6" s="489"/>
      <c r="V6" s="483" t="s">
        <v>1797</v>
      </c>
      <c r="W6" s="490">
        <f>W4</f>
        <v>1.2</v>
      </c>
      <c r="X6" s="1" t="s">
        <v>1161</v>
      </c>
    </row>
    <row r="7" spans="2:24" ht="18" x14ac:dyDescent="0.35">
      <c r="B7" s="492" t="s">
        <v>1053</v>
      </c>
      <c r="C7" s="493">
        <f>W8*W7</f>
        <v>36628.13126546316</v>
      </c>
      <c r="D7" s="1" t="s">
        <v>50</v>
      </c>
      <c r="E7" s="488" t="s">
        <v>1875</v>
      </c>
      <c r="S7" s="489"/>
      <c r="V7" s="483" t="s">
        <v>1798</v>
      </c>
      <c r="W7" s="490">
        <v>1</v>
      </c>
      <c r="X7" s="1" t="s">
        <v>1161</v>
      </c>
    </row>
    <row r="8" spans="2:24" ht="18" customHeight="1" x14ac:dyDescent="0.35">
      <c r="B8" s="494" t="s">
        <v>1054</v>
      </c>
      <c r="C8" s="495">
        <f ca="1">Geometria!H36/100^2</f>
        <v>0.1869629597136179</v>
      </c>
      <c r="D8" s="1" t="s">
        <v>631</v>
      </c>
      <c r="E8" s="488" t="s">
        <v>1055</v>
      </c>
      <c r="S8" s="489"/>
      <c r="V8" s="483" t="s">
        <v>1571</v>
      </c>
      <c r="W8" s="1">
        <f>W3*5600*SQRT(C6)*MIN(1,0.8+0.2*C6/80)</f>
        <v>36628.13126546316</v>
      </c>
      <c r="X8" s="1" t="s">
        <v>60</v>
      </c>
    </row>
    <row r="9" spans="2:24" x14ac:dyDescent="0.25">
      <c r="B9" s="483" t="s">
        <v>1056</v>
      </c>
      <c r="C9" s="495">
        <f ca="1">Geometria!H37/100^4</f>
        <v>0.002157333646630167</v>
      </c>
      <c r="D9" s="1" t="s">
        <v>1057</v>
      </c>
      <c r="E9" s="488" t="s">
        <v>1058</v>
      </c>
      <c r="S9" s="489"/>
      <c r="V9" s="483" t="s">
        <v>1799</v>
      </c>
      <c r="W9" s="1">
        <f>W4*5600*SQRT(Geometria!H59)*MIN(1,0.8+0.2*Geometria!H59/80)</f>
        <v>32206.086381303765</v>
      </c>
      <c r="X9" s="1" t="s">
        <v>60</v>
      </c>
    </row>
    <row r="10" spans="2:24" x14ac:dyDescent="0.25">
      <c r="B10" s="483" t="s">
        <v>1059</v>
      </c>
      <c r="C10" s="496">
        <f ca="1">(C8*2500)</f>
        <v>467.40739928404474</v>
      </c>
      <c r="D10" s="1" t="s">
        <v>1060</v>
      </c>
      <c r="E10" s="488" t="s">
        <v>1061</v>
      </c>
      <c r="S10" s="489"/>
      <c r="V10" s="483" t="s">
        <v>1800</v>
      </c>
      <c r="W10" s="1">
        <f>W6*5600*SQRT(W5)*MIN(1,0.8+0.2*W5/80)</f>
        <v>32206.086381303765</v>
      </c>
      <c r="X10" s="1" t="s">
        <v>60</v>
      </c>
    </row>
    <row r="11" spans="2:24" ht="15.75" thickBot="1" x14ac:dyDescent="0.3">
      <c r="B11" s="497"/>
      <c r="C11" s="496"/>
      <c r="E11" s="488"/>
      <c r="S11" s="489"/>
      <c r="V11" s="483" t="s">
        <v>1801</v>
      </c>
      <c r="W11" s="1">
        <f>W9/W8</f>
        <v>0.8792718948146567</v>
      </c>
      <c r="X11" s="1" t="s">
        <v>1161</v>
      </c>
    </row>
    <row r="12" spans="2:24" ht="15.75" thickBot="1" x14ac:dyDescent="0.3">
      <c r="B12" s="486" t="s">
        <v>1062</v>
      </c>
      <c r="C12" s="625" t="s">
        <v>1063</v>
      </c>
      <c r="D12" s="625"/>
      <c r="E12" s="625"/>
      <c r="F12" s="625"/>
      <c r="G12" s="625"/>
      <c r="H12" s="625"/>
      <c r="I12" s="625"/>
      <c r="J12" s="625"/>
      <c r="K12" s="625"/>
      <c r="L12" s="625"/>
      <c r="M12" s="625"/>
      <c r="N12" s="625"/>
      <c r="O12" s="625"/>
      <c r="P12" s="625"/>
      <c r="Q12" s="625"/>
      <c r="R12" s="625"/>
      <c r="S12" s="647"/>
      <c r="V12" s="483" t="s">
        <v>1802</v>
      </c>
      <c r="W12" s="1">
        <f>W10/W8</f>
        <v>0.8792718948146567</v>
      </c>
      <c r="X12" s="1" t="s">
        <v>1161</v>
      </c>
    </row>
    <row r="13" spans="2:24" ht="18" customHeight="1" x14ac:dyDescent="0.35">
      <c r="B13" s="483" t="s">
        <v>1064</v>
      </c>
      <c r="C13" s="498">
        <f>Geometria!H30+Geometria!H33</f>
        <v>35.0</v>
      </c>
      <c r="D13" s="1" t="s">
        <v>80</v>
      </c>
      <c r="E13" s="488" t="s">
        <v>1065</v>
      </c>
      <c r="S13" s="489"/>
      <c r="V13" s="483" t="s">
        <v>1803</v>
      </c>
      <c r="W13" s="1">
        <f ca="1">Geometria!H24/100</f>
        <v>0.1467080368053812</v>
      </c>
      <c r="X13" s="1" t="s">
        <v>83</v>
      </c>
    </row>
    <row r="14" spans="2:24" x14ac:dyDescent="0.25">
      <c r="B14" s="482" t="s">
        <v>1066</v>
      </c>
      <c r="C14" s="490">
        <f>Geometria!H21</f>
        <v>1088.0</v>
      </c>
      <c r="D14" s="1" t="s">
        <v>80</v>
      </c>
      <c r="E14" s="488" t="s">
        <v>1067</v>
      </c>
      <c r="S14" s="489"/>
      <c r="V14" s="483" t="s">
        <v>1805</v>
      </c>
      <c r="W14" s="1">
        <f>(C5/100)*(C4/100)</f>
        <v>0.0625</v>
      </c>
      <c r="X14" s="1" t="s">
        <v>631</v>
      </c>
    </row>
    <row r="15" spans="2:24" ht="18" x14ac:dyDescent="0.35">
      <c r="B15" s="483" t="s">
        <v>1068</v>
      </c>
      <c r="C15" s="491">
        <f>'Propriedades geométricas LA '!M16</f>
        <v>121.19</v>
      </c>
      <c r="D15" s="1" t="s">
        <v>80</v>
      </c>
      <c r="E15" s="488" t="s">
        <v>1069</v>
      </c>
      <c r="S15" s="489"/>
      <c r="V15" s="483" t="s">
        <v>1806</v>
      </c>
      <c r="W15" s="1">
        <f>(C3+C4/2)/100</f>
        <v>0.325</v>
      </c>
      <c r="X15" s="1" t="s">
        <v>83</v>
      </c>
    </row>
    <row r="16" spans="2:24" ht="18" x14ac:dyDescent="0.35">
      <c r="B16" s="483" t="s">
        <v>1051</v>
      </c>
      <c r="C16" s="490">
        <f>C6</f>
        <v>50.0</v>
      </c>
      <c r="D16" s="1" t="s">
        <v>50</v>
      </c>
      <c r="E16" s="488" t="s">
        <v>1758</v>
      </c>
      <c r="S16" s="489"/>
      <c r="V16" s="483" t="s">
        <v>1807</v>
      </c>
      <c r="W16" s="1">
        <f>(C5/100)*(C4/100)^3/12</f>
        <v>1.3020833333333336e-05</v>
      </c>
      <c r="X16" s="1" t="s">
        <v>1804</v>
      </c>
    </row>
    <row r="17" spans="2:24" ht="18" x14ac:dyDescent="0.35">
      <c r="B17" s="492" t="s">
        <v>1053</v>
      </c>
      <c r="C17" s="493">
        <f>W8*Geometria!H1290</f>
        <v>47616.57064510211</v>
      </c>
      <c r="D17" s="1" t="s">
        <v>50</v>
      </c>
      <c r="E17" s="488" t="s">
        <v>1876</v>
      </c>
      <c r="S17" s="489"/>
      <c r="V17" s="483" t="s">
        <v>1808</v>
      </c>
      <c r="W17" s="1">
        <f ca="1">'Propriedades geométricas chavet'!M6/100^2</f>
        <v>0.0078021</v>
      </c>
      <c r="X17" s="1" t="s">
        <v>631</v>
      </c>
    </row>
    <row r="18" spans="2:24" ht="18" customHeight="1" x14ac:dyDescent="0.35">
      <c r="B18" s="483" t="s">
        <v>1070</v>
      </c>
      <c r="C18" s="495">
        <f ca="1">W23</f>
        <v>0.2494629597136179</v>
      </c>
      <c r="D18" s="1" t="s">
        <v>631</v>
      </c>
      <c r="E18" s="488" t="s">
        <v>1877</v>
      </c>
      <c r="S18" s="489"/>
      <c r="V18" s="483" t="s">
        <v>1809</v>
      </c>
      <c r="W18" s="1">
        <f ca="1">'Propriedades geométricas chavet'!M7/100</f>
        <v>0.1463607163455993</v>
      </c>
      <c r="X18" s="1" t="s">
        <v>83</v>
      </c>
    </row>
    <row r="19" spans="2:24" x14ac:dyDescent="0.25">
      <c r="B19" s="483" t="s">
        <v>1056</v>
      </c>
      <c r="C19" s="495">
        <f ca="1">W22</f>
        <v>0.0035715233773451938</v>
      </c>
      <c r="D19" s="1" t="s">
        <v>1057</v>
      </c>
      <c r="E19" s="488" t="s">
        <v>1878</v>
      </c>
      <c r="S19" s="489"/>
      <c r="U19" s="499"/>
      <c r="V19" s="483" t="s">
        <v>1810</v>
      </c>
      <c r="W19" s="1">
        <f ca="1">'Propriedades geométricas chavet'!M9/100^4</f>
        <v>4.7247377939506293e-05</v>
      </c>
      <c r="X19" s="1" t="s">
        <v>1804</v>
      </c>
    </row>
    <row r="20" spans="2:24" x14ac:dyDescent="0.25">
      <c r="B20" s="483" t="s">
        <v>1059</v>
      </c>
      <c r="C20" s="496">
        <f ca="1">(C18*2500)+(('Propriedades geométricas chavet'!M6/100^2)*2500)</f>
        <v>643.1626492840448</v>
      </c>
      <c r="D20" s="1" t="s">
        <v>1060</v>
      </c>
      <c r="E20" s="488" t="s">
        <v>1261</v>
      </c>
      <c r="S20" s="489"/>
      <c r="U20" s="500"/>
      <c r="V20" s="483" t="s">
        <v>1811</v>
      </c>
      <c r="W20" s="1">
        <f ca="1">C8+W11*W14+W12*W17</f>
        <v>0.24877762039006737</v>
      </c>
      <c r="X20" s="1" t="s">
        <v>631</v>
      </c>
    </row>
    <row r="21" spans="2:24" ht="15.75" thickBot="1" x14ac:dyDescent="0.3">
      <c r="B21" s="497"/>
      <c r="S21" s="489"/>
      <c r="V21" s="483" t="s">
        <v>1812</v>
      </c>
      <c r="W21" s="1">
        <f ca="1">(C8*W13+W11*W14*W15+W12*W17*W18)/W20</f>
        <v>0.18608280784575812</v>
      </c>
      <c r="X21" s="1" t="s">
        <v>83</v>
      </c>
    </row>
    <row r="22" spans="2:24" ht="15.75" thickBot="1" x14ac:dyDescent="0.3">
      <c r="B22" s="486" t="s">
        <v>1071</v>
      </c>
      <c r="C22" s="625" t="s">
        <v>1072</v>
      </c>
      <c r="D22" s="625"/>
      <c r="E22" s="625"/>
      <c r="F22" s="625"/>
      <c r="G22" s="625"/>
      <c r="H22" s="625"/>
      <c r="I22" s="625"/>
      <c r="J22" s="625"/>
      <c r="K22" s="625"/>
      <c r="L22" s="625"/>
      <c r="M22" s="625"/>
      <c r="N22" s="625"/>
      <c r="O22" s="625"/>
      <c r="P22" s="625"/>
      <c r="Q22" s="625"/>
      <c r="R22" s="625"/>
      <c r="S22" s="647"/>
      <c r="U22" s="500"/>
      <c r="V22" s="483" t="s">
        <v>1813</v>
      </c>
      <c r="W22" s="1">
        <f ca="1">C9+C8*(W13-W21)^2+W11*(W16+W14*(W15-W21)^2)+W12*(W19+W17*(W18-W21)^2)</f>
        <v>0.0035715233773451938</v>
      </c>
      <c r="X22" s="1" t="s">
        <v>1804</v>
      </c>
    </row>
    <row r="23" spans="2:24" x14ac:dyDescent="0.25">
      <c r="B23" s="482" t="s">
        <v>1073</v>
      </c>
      <c r="C23" s="501">
        <f ca="1">((C26/(C10*(C14/100)))^0.5)*1/(2*PI())</f>
        <v>5.456075032344737</v>
      </c>
      <c r="D23" s="502" t="s">
        <v>1074</v>
      </c>
      <c r="E23" s="488" t="s">
        <v>1869</v>
      </c>
      <c r="S23" s="489"/>
      <c r="V23" s="483" t="s">
        <v>1814</v>
      </c>
      <c r="W23" s="1">
        <f ca="1">C8+W14</f>
        <v>0.2494629597136179</v>
      </c>
      <c r="X23" s="1" t="s">
        <v>631</v>
      </c>
    </row>
    <row r="24" spans="2:24" x14ac:dyDescent="0.25">
      <c r="B24" s="482" t="s">
        <v>1075</v>
      </c>
      <c r="C24" s="1">
        <f ca="1">C7*C9*1000</f>
        <v>79019.09999217007</v>
      </c>
      <c r="D24" s="1" t="s">
        <v>1076</v>
      </c>
      <c r="E24" s="488" t="s">
        <v>1077</v>
      </c>
      <c r="S24" s="489"/>
    </row>
    <row r="25" spans="2:24" x14ac:dyDescent="0.25">
      <c r="B25" s="482" t="s">
        <v>1078</v>
      </c>
      <c r="C25" s="499">
        <f ca="1">(384*C24)/(5*(C14/100)^3)</f>
        <v>4712.0144414474</v>
      </c>
      <c r="D25" s="503" t="s">
        <v>47</v>
      </c>
      <c r="E25" s="488" t="s">
        <v>1759</v>
      </c>
      <c r="S25" s="489"/>
    </row>
    <row r="26" spans="2:24" x14ac:dyDescent="0.25">
      <c r="B26" s="482" t="s">
        <v>1079</v>
      </c>
      <c r="C26" s="499">
        <f ca="1">(((PI()^4)*(C24*1000))/((C14/100)^3))</f>
        <v>5976471.922922965</v>
      </c>
      <c r="D26" s="503" t="s">
        <v>1080</v>
      </c>
      <c r="E26" s="488" t="s">
        <v>1081</v>
      </c>
      <c r="S26" s="489"/>
    </row>
    <row r="27" spans="2:24" ht="15.75" thickBot="1" x14ac:dyDescent="0.3">
      <c r="B27" s="497"/>
      <c r="S27" s="489"/>
    </row>
    <row r="28" spans="2:24" ht="15.75" thickBot="1" x14ac:dyDescent="0.3">
      <c r="B28" s="486" t="s">
        <v>1082</v>
      </c>
      <c r="C28" s="625" t="s">
        <v>1083</v>
      </c>
      <c r="D28" s="625"/>
      <c r="E28" s="625"/>
      <c r="F28" s="625"/>
      <c r="G28" s="625"/>
      <c r="H28" s="625"/>
      <c r="I28" s="625"/>
      <c r="J28" s="625"/>
      <c r="K28" s="625"/>
      <c r="L28" s="625"/>
      <c r="M28" s="625"/>
      <c r="N28" s="625"/>
      <c r="O28" s="625"/>
      <c r="P28" s="625"/>
      <c r="Q28" s="625"/>
      <c r="R28" s="625"/>
      <c r="S28" s="647"/>
    </row>
    <row r="29" spans="2:24" x14ac:dyDescent="0.25">
      <c r="B29" s="482" t="s">
        <v>1073</v>
      </c>
      <c r="C29" s="501">
        <f ca="1">((C32/(C20*(C14/100)))^0.5)*1/(2*PI())*$C$512</f>
        <v>9.179663307391417</v>
      </c>
      <c r="D29" s="502" t="s">
        <v>1074</v>
      </c>
      <c r="E29" s="488" t="s">
        <v>1760</v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4" x14ac:dyDescent="0.25">
      <c r="B30" s="482" t="s">
        <v>1075</v>
      </c>
      <c r="C30" s="1">
        <f ca="1">(C17*C19)*1000</f>
        <v>170063.69520799108</v>
      </c>
      <c r="D30" s="1" t="s">
        <v>1076</v>
      </c>
      <c r="E30" s="488" t="s">
        <v>1077</v>
      </c>
      <c r="S30" s="489"/>
    </row>
    <row r="31" spans="2:24" x14ac:dyDescent="0.25">
      <c r="B31" s="482" t="s">
        <v>1078</v>
      </c>
      <c r="C31" s="499">
        <f ca="1">(384*C30)/(5*(C14/100)^3)</f>
        <v>10141.125219919832</v>
      </c>
      <c r="D31" s="1" t="s">
        <v>47</v>
      </c>
      <c r="E31" s="488" t="s">
        <v>1759</v>
      </c>
      <c r="S31" s="489"/>
    </row>
    <row r="32" spans="2:24" x14ac:dyDescent="0.25">
      <c r="B32" s="482" t="s">
        <v>1079</v>
      </c>
      <c r="C32" s="499">
        <f ca="1">(((PI()^4)*(C30*1000))/((C14/100)^3))</f>
        <v>12862471.220499853</v>
      </c>
      <c r="D32" s="503" t="s">
        <v>1080</v>
      </c>
      <c r="E32" s="488" t="s">
        <v>1081</v>
      </c>
      <c r="S32" s="489"/>
    </row>
    <row r="33" spans="2:24" x14ac:dyDescent="0.25">
      <c r="B33" s="482" t="s">
        <v>1084</v>
      </c>
      <c r="C33" s="505">
        <f>1.5*10^8</f>
        <v>150000000</v>
      </c>
      <c r="D33" s="503" t="s">
        <v>1080</v>
      </c>
      <c r="E33" s="488" t="s">
        <v>1761</v>
      </c>
      <c r="S33" s="489"/>
    </row>
    <row r="34" spans="2:24" x14ac:dyDescent="0.25">
      <c r="B34" s="506" t="s">
        <v>1085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24" ht="18" customHeight="1" thickBot="1" x14ac:dyDescent="0.3">
      <c r="B35" s="481"/>
      <c r="S35" s="489"/>
    </row>
    <row r="36" spans="2:24" ht="15.75" thickBot="1" x14ac:dyDescent="0.3">
      <c r="B36" s="509" t="s">
        <v>1086</v>
      </c>
      <c r="C36" s="625" t="s">
        <v>1087</v>
      </c>
      <c r="D36" s="625"/>
      <c r="E36" s="625"/>
      <c r="F36" s="625"/>
      <c r="G36" s="625"/>
      <c r="H36" s="625"/>
      <c r="I36" s="625"/>
      <c r="J36" s="625"/>
      <c r="K36" s="625"/>
      <c r="L36" s="625"/>
      <c r="M36" s="625"/>
      <c r="N36" s="625"/>
      <c r="O36" s="625"/>
      <c r="P36" s="625"/>
      <c r="Q36" s="625"/>
      <c r="R36" s="625"/>
      <c r="S36" s="647"/>
    </row>
    <row r="37" spans="2:24" x14ac:dyDescent="0.25">
      <c r="B37" s="482" t="s">
        <v>1073</v>
      </c>
      <c r="C37" s="501">
        <f ca="1">((C40/(C20*C39*(C14/100)))^0.5)*1/(2*PI())*$C$512</f>
        <v>9.179663307391417</v>
      </c>
      <c r="D37" s="502" t="s">
        <v>1074</v>
      </c>
      <c r="E37" s="488" t="s">
        <v>1762</v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24" x14ac:dyDescent="0.25">
      <c r="B38" s="483" t="s">
        <v>1088</v>
      </c>
      <c r="C38" s="490">
        <v>2000</v>
      </c>
      <c r="D38" s="1" t="s">
        <v>80</v>
      </c>
      <c r="E38" s="488" t="s">
        <v>1089</v>
      </c>
      <c r="S38" s="489"/>
    </row>
    <row r="39" spans="2:24" x14ac:dyDescent="0.25">
      <c r="B39" s="483" t="s">
        <v>1090</v>
      </c>
      <c r="C39" s="1">
        <f>INT(C38/C5)</f>
        <v>16.0</v>
      </c>
      <c r="D39" s="1" t="s">
        <v>1091</v>
      </c>
      <c r="E39" s="488" t="s">
        <v>1092</v>
      </c>
      <c r="S39" s="489"/>
    </row>
    <row r="40" spans="2:24" x14ac:dyDescent="0.25">
      <c r="B40" s="482" t="s">
        <v>1079</v>
      </c>
      <c r="C40" s="499">
        <f ca="1">C32*C39</f>
        <v>205799539.52799764</v>
      </c>
      <c r="D40" s="503" t="s">
        <v>1080</v>
      </c>
      <c r="E40" s="488" t="s">
        <v>1081</v>
      </c>
      <c r="S40" s="489"/>
    </row>
    <row r="41" spans="2:24" x14ac:dyDescent="0.25">
      <c r="B41" s="506" t="s">
        <v>1085</v>
      </c>
      <c r="C41" s="507" t="str">
        <f ca="1">IF(C40&gt;=C33,"Ok","Aumentar Rigidez do Elemento")</f>
        <v>Ok</v>
      </c>
      <c r="S41" s="489"/>
    </row>
    <row r="42" spans="2:24" x14ac:dyDescent="0.25">
      <c r="B42" s="624" t="s">
        <v>1093</v>
      </c>
      <c r="C42" s="650"/>
      <c r="D42" s="650"/>
      <c r="E42" s="650"/>
      <c r="F42" s="650"/>
      <c r="G42" s="650"/>
      <c r="H42" s="650"/>
      <c r="I42" s="650"/>
      <c r="J42" s="650"/>
      <c r="K42" s="650"/>
      <c r="L42" s="650"/>
      <c r="M42" s="650"/>
      <c r="N42" s="650"/>
      <c r="O42" s="650"/>
      <c r="P42" s="650"/>
      <c r="Q42" s="650"/>
      <c r="R42" s="650"/>
      <c r="S42" s="651"/>
    </row>
    <row r="43" spans="2:24" x14ac:dyDescent="0.25">
      <c r="B43" s="624"/>
      <c r="C43" s="650"/>
      <c r="D43" s="650"/>
      <c r="E43" s="650"/>
      <c r="F43" s="650"/>
      <c r="G43" s="650"/>
      <c r="H43" s="650"/>
      <c r="I43" s="650"/>
      <c r="J43" s="650"/>
      <c r="K43" s="650"/>
      <c r="L43" s="650"/>
      <c r="M43" s="650"/>
      <c r="N43" s="650"/>
      <c r="O43" s="650"/>
      <c r="P43" s="650"/>
      <c r="Q43" s="650"/>
      <c r="R43" s="650"/>
      <c r="S43" s="651"/>
    </row>
    <row r="44" spans="2:24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24" ht="15.75" customHeight="1" thickBot="1" x14ac:dyDescent="0.3">
      <c r="B45" s="486" t="s">
        <v>1094</v>
      </c>
      <c r="C45" s="625" t="s">
        <v>1095</v>
      </c>
      <c r="D45" s="625"/>
      <c r="E45" s="625"/>
      <c r="F45" s="625"/>
      <c r="G45" s="625"/>
      <c r="H45" s="625"/>
      <c r="I45" s="625"/>
      <c r="J45" s="625"/>
      <c r="K45" s="625"/>
      <c r="L45" s="625"/>
      <c r="M45" s="625"/>
      <c r="N45" s="625"/>
      <c r="O45" s="625"/>
      <c r="P45" s="625"/>
      <c r="Q45" s="625"/>
      <c r="R45" s="625"/>
      <c r="S45" s="647"/>
    </row>
    <row r="46" spans="2:24" ht="18" x14ac:dyDescent="0.35">
      <c r="B46" s="483" t="s">
        <v>1096</v>
      </c>
      <c r="C46" s="490">
        <f>Geometria!H8</f>
        <v>300.0</v>
      </c>
      <c r="D46" s="1" t="s">
        <v>702</v>
      </c>
      <c r="E46" s="488" t="s">
        <v>1097</v>
      </c>
      <c r="S46" s="489"/>
    </row>
    <row r="47" spans="2:24" ht="18" x14ac:dyDescent="0.35">
      <c r="B47" s="483" t="s">
        <v>1098</v>
      </c>
      <c r="C47" s="490">
        <f>Geometria!H6</f>
        <v>300.0</v>
      </c>
      <c r="D47" s="1" t="s">
        <v>702</v>
      </c>
      <c r="E47" s="488" t="s">
        <v>1099</v>
      </c>
      <c r="S47" s="489"/>
      <c r="V47" s="483" t="s">
        <v>1879</v>
      </c>
      <c r="W47" s="1">
        <f>('Deslocamento viga'!C27+'Deslocamento viga'!D27)/2</f>
        <v>0.0</v>
      </c>
      <c r="X47" s="1" t="s">
        <v>187</v>
      </c>
    </row>
    <row r="48" spans="2:24" ht="18" x14ac:dyDescent="0.25">
      <c r="B48" s="482" t="s">
        <v>1033</v>
      </c>
      <c r="C48" s="491">
        <f>Geometria!H1291</f>
        <v>0.4</v>
      </c>
      <c r="E48" s="488" t="s">
        <v>1100</v>
      </c>
      <c r="S48" s="489"/>
      <c r="V48" s="483" t="s">
        <v>1767</v>
      </c>
      <c r="W48" s="1">
        <f>IF(W47&gt;0,0.18*SQRT(9.81/(W47/1000)),0)</f>
        <v>0.0</v>
      </c>
      <c r="X48" s="1" t="s">
        <v>1074</v>
      </c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1073</v>
      </c>
      <c r="C50" s="501">
        <f ca="1">((C40/((C20*C39*(C14/100))+(C47*(C14/100)*C48*(C39*C5/100))+(C46*(C14/100)*(C39*C5/100))))^0.5)*1/(2*PI())*$C$512</f>
        <v>6.811386152793251</v>
      </c>
      <c r="D50" s="502" t="s">
        <v>1074</v>
      </c>
      <c r="E50" s="488" t="s">
        <v>1101</v>
      </c>
      <c r="L50" s="499"/>
      <c r="M50" s="500"/>
      <c r="S50" s="489"/>
    </row>
    <row r="51" spans="2:19" ht="15.75" customHeight="1" thickBot="1" x14ac:dyDescent="0.3">
      <c r="B51" s="482" t="s">
        <v>1870</v>
      </c>
      <c r="C51" s="501">
        <f ca="1">IF(W47&gt;0,1/SQRT(1/C50^2+1/W48^2),C50)</f>
        <v>6.811386152793251</v>
      </c>
      <c r="D51" s="502" t="s">
        <v>1074</v>
      </c>
      <c r="E51" s="488" t="s">
        <v>1880</v>
      </c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1102</v>
      </c>
      <c r="C53" s="516" t="s">
        <v>1103</v>
      </c>
    </row>
    <row r="54" spans="2:19" ht="15" customHeight="1" x14ac:dyDescent="0.25">
      <c r="B54" s="516" t="s">
        <v>1104</v>
      </c>
      <c r="C54" s="516" t="s">
        <v>1105</v>
      </c>
    </row>
    <row r="55" spans="2:19" ht="15" customHeight="1" x14ac:dyDescent="0.25">
      <c r="B55" s="517" t="s">
        <v>1106</v>
      </c>
      <c r="C55" s="518">
        <f ca="1">C23</f>
        <v>5.456075032344737</v>
      </c>
    </row>
    <row r="56" spans="2:19" ht="15" customHeight="1" x14ac:dyDescent="0.25">
      <c r="B56" s="517" t="s">
        <v>1107</v>
      </c>
      <c r="C56" s="518">
        <f ca="1">C29</f>
        <v>9.179663307391417</v>
      </c>
    </row>
    <row r="57" spans="2:19" ht="15" customHeight="1" x14ac:dyDescent="0.25">
      <c r="B57" s="517" t="s">
        <v>1871</v>
      </c>
      <c r="C57" s="518">
        <f ca="1">C51</f>
        <v>6.811386152793251</v>
      </c>
    </row>
    <row r="60" spans="2:19" ht="15" customHeight="1" x14ac:dyDescent="0.25">
      <c r="B60" s="516" t="s">
        <v>1108</v>
      </c>
      <c r="C60" s="516" t="s">
        <v>1109</v>
      </c>
    </row>
    <row r="61" spans="2:19" ht="15" customHeight="1" x14ac:dyDescent="0.25">
      <c r="B61" s="519" t="s">
        <v>1763</v>
      </c>
    </row>
    <row r="63" spans="2:19" ht="15" customHeight="1" x14ac:dyDescent="0.25">
      <c r="B63" s="516" t="s">
        <v>1110</v>
      </c>
    </row>
    <row r="64" spans="2:19" ht="15" customHeight="1" x14ac:dyDescent="0.25">
      <c r="B64" s="516" t="s">
        <v>1111</v>
      </c>
      <c r="C64" s="516" t="s">
        <v>1112</v>
      </c>
      <c r="D64" s="516" t="s">
        <v>1105</v>
      </c>
    </row>
    <row r="65" spans="2:4" ht="15" customHeight="1" x14ac:dyDescent="0.25">
      <c r="B65" s="517">
        <v>400</v>
      </c>
      <c r="C65" s="518">
        <f>B65/100</f>
        <v>4.0</v>
      </c>
      <c r="D65" s="520">
        <f t="shared" ref="D65:D81" ca="1" si="0">(((PI()^4*($C$24*1000)/(C65^3))/($C$10*C65))^0.5)*1/(2*PI())</f>
        <v>40.366225519299306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31.89430164487846</v>
      </c>
    </row>
    <row r="67" spans="2:4" ht="15" customHeight="1" x14ac:dyDescent="0.25">
      <c r="B67" s="517">
        <v>500</v>
      </c>
      <c r="C67" s="518">
        <f>B67/100</f>
        <v>5.0</v>
      </c>
      <c r="D67" s="520">
        <f t="shared" ca="1" si="0"/>
        <v>25.834384332351554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21.350730853183105</v>
      </c>
    </row>
    <row r="69" spans="2:4" ht="15" customHeight="1" x14ac:dyDescent="0.25">
      <c r="B69" s="517">
        <v>600</v>
      </c>
      <c r="C69" s="518">
        <f t="shared" si="1"/>
        <v>6.0</v>
      </c>
      <c r="D69" s="520">
        <f t="shared" ca="1" si="0"/>
        <v>17.940544675244134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15.286617948137016</v>
      </c>
    </row>
    <row r="71" spans="2:4" ht="15" customHeight="1" x14ac:dyDescent="0.25">
      <c r="B71" s="517">
        <v>700</v>
      </c>
      <c r="C71" s="518">
        <f t="shared" si="1"/>
        <v>7.0</v>
      </c>
      <c r="D71" s="520">
        <f t="shared" ca="1" si="0"/>
        <v>13.180808332832425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11.481948592156247</v>
      </c>
    </row>
    <row r="73" spans="2:4" ht="15" customHeight="1" x14ac:dyDescent="0.25">
      <c r="B73" s="517">
        <v>800</v>
      </c>
      <c r="C73" s="518">
        <f t="shared" si="1"/>
        <v>8.0</v>
      </c>
      <c r="D73" s="520">
        <f t="shared" ca="1" si="0"/>
        <v>10.091556379824826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8.939233332993618</v>
      </c>
    </row>
    <row r="75" spans="2:4" ht="15" customHeight="1" x14ac:dyDescent="0.25">
      <c r="B75" s="517">
        <v>900</v>
      </c>
      <c r="C75" s="518">
        <f t="shared" si="1"/>
        <v>9.0</v>
      </c>
      <c r="D75" s="520">
        <f t="shared" ca="1" si="0"/>
        <v>7.973575411219615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7.156339150235888</v>
      </c>
    </row>
    <row r="77" spans="2:4" ht="15" customHeight="1" x14ac:dyDescent="0.25">
      <c r="B77" s="517">
        <v>1000</v>
      </c>
      <c r="C77" s="518">
        <f t="shared" si="1"/>
        <v>10.0</v>
      </c>
      <c r="D77" s="520">
        <f t="shared" ca="1" si="0"/>
        <v>6.458596083087889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5.858137036814411</v>
      </c>
    </row>
    <row r="79" spans="2:4" ht="15" customHeight="1" x14ac:dyDescent="0.25">
      <c r="B79" s="517">
        <v>1100</v>
      </c>
      <c r="C79" s="518">
        <f t="shared" si="1"/>
        <v>11.0</v>
      </c>
      <c r="D79" s="520">
        <f t="shared" ca="1" si="0"/>
        <v>5.337682713295776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4.883626527854736</v>
      </c>
    </row>
    <row r="81" spans="2:4" ht="15" customHeight="1" x14ac:dyDescent="0.25">
      <c r="B81" s="517">
        <v>1200</v>
      </c>
      <c r="C81" s="518">
        <f t="shared" si="1"/>
        <v>12.0</v>
      </c>
      <c r="D81" s="520">
        <f t="shared" ca="1" si="0"/>
        <v>4.485136168811033</v>
      </c>
    </row>
    <row r="84" spans="2:4" ht="15" customHeight="1" x14ac:dyDescent="0.25">
      <c r="B84" s="516" t="s">
        <v>1113</v>
      </c>
    </row>
    <row r="85" spans="2:4" ht="15" customHeight="1" x14ac:dyDescent="0.25">
      <c r="B85" s="516" t="s">
        <v>1111</v>
      </c>
      <c r="C85" s="516" t="s">
        <v>1112</v>
      </c>
      <c r="D85" s="516" t="s">
        <v>1105</v>
      </c>
    </row>
    <row r="86" spans="2:4" ht="15" customHeight="1" x14ac:dyDescent="0.25">
      <c r="B86" s="517">
        <v>400</v>
      </c>
      <c r="C86" s="518">
        <f t="shared" ref="C86:C102" si="2">B86/100</f>
        <v>4.0</v>
      </c>
      <c r="D86" s="520">
        <f t="shared" ref="D86:D102" ca="1" si="3">(((PI()^4*($C$30*1000)/(C86^3))/($C$20*C86))^0.5)*1/(2*PI())*$C$512</f>
        <v>67.91482101340466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53.661093146393824</v>
      </c>
    </row>
    <row r="88" spans="2:4" ht="15" customHeight="1" x14ac:dyDescent="0.25">
      <c r="B88" s="517">
        <v>500</v>
      </c>
      <c r="C88" s="518">
        <f t="shared" si="2"/>
        <v>5.0</v>
      </c>
      <c r="D88" s="520">
        <f t="shared" ca="1" si="3"/>
        <v>43.465485448578995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35.921888800478506</v>
      </c>
    </row>
    <row r="90" spans="2:4" ht="15" customHeight="1" x14ac:dyDescent="0.25">
      <c r="B90" s="517">
        <v>600</v>
      </c>
      <c r="C90" s="518">
        <f t="shared" si="2"/>
        <v>6.0</v>
      </c>
      <c r="D90" s="520">
        <f t="shared" ca="1" si="3"/>
        <v>30.184364894846524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25.71922215892248</v>
      </c>
    </row>
    <row r="92" spans="2:4" ht="15" customHeight="1" x14ac:dyDescent="0.25">
      <c r="B92" s="517">
        <v>700</v>
      </c>
      <c r="C92" s="518">
        <f t="shared" si="2"/>
        <v>7.0</v>
      </c>
      <c r="D92" s="520">
        <f t="shared" ca="1" si="3"/>
        <v>22.176268086009692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19.317993532701774</v>
      </c>
    </row>
    <row r="94" spans="2:4" ht="15" customHeight="1" x14ac:dyDescent="0.25">
      <c r="B94" s="517">
        <v>800</v>
      </c>
      <c r="C94" s="518">
        <f t="shared" si="2"/>
        <v>8.0</v>
      </c>
      <c r="D94" s="520">
        <f t="shared" ca="1" si="3"/>
        <v>16.978705253351166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15.0399603628301</v>
      </c>
    </row>
    <row r="96" spans="2:4" ht="15" customHeight="1" x14ac:dyDescent="0.25">
      <c r="B96" s="517">
        <v>900</v>
      </c>
      <c r="C96" s="518">
        <f t="shared" si="2"/>
        <v>9.0</v>
      </c>
      <c r="D96" s="520">
        <f t="shared" ca="1" si="3"/>
        <v>13.415273286598456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12.04030067827673</v>
      </c>
    </row>
    <row r="98" spans="2:4" ht="15" customHeight="1" x14ac:dyDescent="0.25">
      <c r="B98" s="517">
        <v>1000</v>
      </c>
      <c r="C98" s="518">
        <f t="shared" si="2"/>
        <v>10.0</v>
      </c>
      <c r="D98" s="520">
        <f t="shared" ca="1" si="3"/>
        <v>10.866371362144749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9.85611914933764</v>
      </c>
    </row>
    <row r="100" spans="2:4" ht="15" customHeight="1" x14ac:dyDescent="0.25">
      <c r="B100" s="517">
        <v>1100</v>
      </c>
      <c r="C100" s="518">
        <f t="shared" si="2"/>
        <v>11.0</v>
      </c>
      <c r="D100" s="520">
        <f t="shared" ca="1" si="3"/>
        <v>8.980472200119626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8.216537891980906</v>
      </c>
    </row>
    <row r="102" spans="2:4" ht="15" customHeight="1" x14ac:dyDescent="0.25">
      <c r="B102" s="517">
        <v>1200</v>
      </c>
      <c r="C102" s="518">
        <f t="shared" si="2"/>
        <v>12.0</v>
      </c>
      <c r="D102" s="520">
        <f t="shared" ca="1" si="3"/>
        <v>7.546091223711631</v>
      </c>
    </row>
    <row r="105" spans="2:4" ht="15" customHeight="1" x14ac:dyDescent="0.25">
      <c r="B105" s="516" t="s">
        <v>1114</v>
      </c>
    </row>
    <row r="106" spans="2:4" ht="15" customHeight="1" x14ac:dyDescent="0.25">
      <c r="B106" s="516" t="s">
        <v>1111</v>
      </c>
      <c r="C106" s="516" t="s">
        <v>1112</v>
      </c>
      <c r="D106" s="516" t="s">
        <v>1105</v>
      </c>
    </row>
    <row r="107" spans="2:4" ht="15" customHeight="1" x14ac:dyDescent="0.25">
      <c r="B107" s="517">
        <v>400</v>
      </c>
      <c r="C107" s="518">
        <f t="shared" ref="C107:C123" si="4">B107/100</f>
        <v>4.0</v>
      </c>
      <c r="D107" s="520">
        <f t="shared" ref="D107:D123" ca="1" si="5">((((PI()^4*($C$30*1000)/(C107^3))*$C$39)/(($C$20*$C$39*C107)+($C$47*C107*$C$48*($C$39*$C$5/100))+($C$46*C107*($C$39*$C$5/100))))^0.5)*1/(2*PI())*$C$512</f>
        <v>50.393359312825595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39.81697525951652</v>
      </c>
    </row>
    <row r="109" spans="2:4" ht="15" customHeight="1" x14ac:dyDescent="0.25">
      <c r="B109" s="517">
        <v>500</v>
      </c>
      <c r="C109" s="518">
        <f t="shared" si="4"/>
        <v>5.0</v>
      </c>
      <c r="D109" s="520">
        <f t="shared" ca="1" si="5"/>
        <v>32.25174996020838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26.65433881008957</v>
      </c>
    </row>
    <row r="111" spans="2:4" ht="15" customHeight="1" x14ac:dyDescent="0.25">
      <c r="B111" s="517">
        <v>600</v>
      </c>
      <c r="C111" s="518">
        <f t="shared" si="4"/>
        <v>6.0</v>
      </c>
      <c r="D111" s="520">
        <f t="shared" ca="1" si="5"/>
        <v>22.397048583478043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19.083875716099634</v>
      </c>
    </row>
    <row r="113" spans="2:4" ht="15" customHeight="1" x14ac:dyDescent="0.25">
      <c r="B113" s="517">
        <v>700</v>
      </c>
      <c r="C113" s="518">
        <f t="shared" si="4"/>
        <v>7.0</v>
      </c>
      <c r="D113" s="520">
        <f t="shared" ca="1" si="5"/>
        <v>16.454974469494072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14.334111093425948</v>
      </c>
    </row>
    <row r="115" spans="2:4" ht="15" customHeight="1" x14ac:dyDescent="0.25">
      <c r="B115" s="517">
        <v>800</v>
      </c>
      <c r="C115" s="518">
        <f t="shared" si="4"/>
        <v>8.0</v>
      </c>
      <c r="D115" s="520">
        <f t="shared" ca="1" si="5"/>
        <v>12.598339828206399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11.159775072736462</v>
      </c>
    </row>
    <row r="117" spans="2:4" ht="15" customHeight="1" x14ac:dyDescent="0.25">
      <c r="B117" s="517">
        <v>900</v>
      </c>
      <c r="C117" s="518">
        <f t="shared" si="4"/>
        <v>9.0</v>
      </c>
      <c r="D117" s="520">
        <f t="shared" ca="1" si="5"/>
        <v>9.95424381487913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8.934002759060492</v>
      </c>
    </row>
    <row r="119" spans="2:4" ht="15" customHeight="1" x14ac:dyDescent="0.25">
      <c r="B119" s="517">
        <v>1000</v>
      </c>
      <c r="C119" s="518">
        <f t="shared" si="4"/>
        <v>10.0</v>
      </c>
      <c r="D119" s="520">
        <f t="shared" ca="1" si="5"/>
        <v>8.062937490052095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7.313321986441808</v>
      </c>
    </row>
    <row r="121" spans="2:4" ht="15" customHeight="1" x14ac:dyDescent="0.25">
      <c r="B121" s="517">
        <v>1100</v>
      </c>
      <c r="C121" s="518">
        <f t="shared" si="4"/>
        <v>11.0</v>
      </c>
      <c r="D121" s="520">
        <f t="shared" ca="1" si="5"/>
        <v>6.663584702522392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6.096739122912737</v>
      </c>
    </row>
    <row r="123" spans="2:4" ht="15" customHeight="1" x14ac:dyDescent="0.25">
      <c r="B123" s="517">
        <v>1200</v>
      </c>
      <c r="C123" s="518">
        <f t="shared" si="4"/>
        <v>12.0</v>
      </c>
      <c r="D123" s="520">
        <f t="shared" ca="1" si="5"/>
        <v>5.599262145869511</v>
      </c>
    </row>
    <row r="126" spans="2:4" x14ac:dyDescent="0.25">
      <c r="B126" s="516" t="s">
        <v>1115</v>
      </c>
      <c r="C126" s="516" t="s">
        <v>1116</v>
      </c>
    </row>
    <row r="127" spans="2:4" x14ac:dyDescent="0.25">
      <c r="B127" s="519" t="s">
        <v>1117</v>
      </c>
    </row>
    <row r="129" spans="2:4" x14ac:dyDescent="0.25">
      <c r="B129" s="516" t="s">
        <v>1118</v>
      </c>
    </row>
    <row r="130" spans="2:4" x14ac:dyDescent="0.25">
      <c r="B130" s="516" t="s">
        <v>1119</v>
      </c>
      <c r="C130" s="516" t="s">
        <v>1120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0.0</v>
      </c>
    </row>
    <row r="132" spans="2:4" x14ac:dyDescent="0.25">
      <c r="B132" s="521">
        <v>1</v>
      </c>
      <c r="C132" s="522">
        <f t="shared" ca="1" si="6"/>
        <v>0.00458204842341699</v>
      </c>
      <c r="D132" s="523">
        <f t="shared" ca="1" si="7"/>
        <v>0.1564344650402309</v>
      </c>
    </row>
    <row r="133" spans="2:4" x14ac:dyDescent="0.25">
      <c r="B133" s="521">
        <v>2</v>
      </c>
      <c r="C133" s="522">
        <f t="shared" ca="1" si="6"/>
        <v>0.00916409684683398</v>
      </c>
      <c r="D133" s="523">
        <f t="shared" ca="1" si="7"/>
        <v>0.30901699437494745</v>
      </c>
    </row>
    <row r="134" spans="2:4" x14ac:dyDescent="0.25">
      <c r="B134" s="521">
        <v>3</v>
      </c>
      <c r="C134" s="522">
        <f t="shared" ca="1" si="6"/>
        <v>0.013746145270250967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0.01832819369366796</v>
      </c>
      <c r="D135" s="523">
        <f t="shared" ca="1" si="7"/>
        <v>0.5877852522924732</v>
      </c>
    </row>
    <row r="136" spans="2:4" x14ac:dyDescent="0.25">
      <c r="B136" s="521">
        <v>5</v>
      </c>
      <c r="C136" s="522">
        <f t="shared" ca="1" si="6"/>
        <v>0.022910242117084947</v>
      </c>
      <c r="D136" s="523">
        <f t="shared" ca="1" si="7"/>
        <v>0.7071067811865475</v>
      </c>
    </row>
    <row r="137" spans="2:4" x14ac:dyDescent="0.25">
      <c r="B137" s="521">
        <v>6</v>
      </c>
      <c r="C137" s="522">
        <f t="shared" ca="1" si="6"/>
        <v>0.027492290540501934</v>
      </c>
      <c r="D137" s="523">
        <f t="shared" ca="1" si="7"/>
        <v>0.8090169943749473</v>
      </c>
    </row>
    <row r="138" spans="2:4" x14ac:dyDescent="0.25">
      <c r="B138" s="521">
        <v>7</v>
      </c>
      <c r="C138" s="522">
        <f t="shared" ca="1" si="6"/>
        <v>0.032074338963918925</v>
      </c>
      <c r="D138" s="523">
        <f t="shared" ca="1" si="7"/>
        <v>0.8910065241883678</v>
      </c>
    </row>
    <row r="139" spans="2:4" x14ac:dyDescent="0.25">
      <c r="B139" s="521">
        <v>8</v>
      </c>
      <c r="C139" s="522">
        <f t="shared" ca="1" si="6"/>
        <v>0.03665638738733592</v>
      </c>
      <c r="D139" s="523">
        <f t="shared" ca="1" si="7"/>
        <v>0.9510565162951536</v>
      </c>
    </row>
    <row r="140" spans="2:4" x14ac:dyDescent="0.25">
      <c r="B140" s="521">
        <v>9</v>
      </c>
      <c r="C140" s="522">
        <f t="shared" ca="1" si="6"/>
        <v>0.041238435810752906</v>
      </c>
      <c r="D140" s="523">
        <f t="shared" ca="1" si="7"/>
        <v>0.9876883405951378</v>
      </c>
    </row>
    <row r="141" spans="2:4" x14ac:dyDescent="0.25">
      <c r="B141" s="521">
        <v>10</v>
      </c>
      <c r="C141" s="522">
        <f t="shared" ca="1" si="6"/>
        <v>0.04582048423416989</v>
      </c>
      <c r="D141" s="523">
        <f t="shared" ca="1" si="7"/>
        <v>1.0</v>
      </c>
    </row>
    <row r="142" spans="2:4" x14ac:dyDescent="0.25">
      <c r="B142" s="521">
        <v>11</v>
      </c>
      <c r="C142" s="522">
        <f t="shared" ca="1" si="6"/>
        <v>0.05040253265758689</v>
      </c>
      <c r="D142" s="523">
        <f t="shared" ca="1" si="7"/>
        <v>0.9876883405951377</v>
      </c>
    </row>
    <row r="143" spans="2:4" x14ac:dyDescent="0.25">
      <c r="B143" s="521">
        <v>12</v>
      </c>
      <c r="C143" s="522">
        <f t="shared" ca="1" si="6"/>
        <v>0.05498458108100387</v>
      </c>
      <c r="D143" s="523">
        <f t="shared" ca="1" si="7"/>
        <v>0.9510565162951536</v>
      </c>
    </row>
    <row r="144" spans="2:4" x14ac:dyDescent="0.25">
      <c r="B144" s="521">
        <v>13</v>
      </c>
      <c r="C144" s="522">
        <f t="shared" ca="1" si="6"/>
        <v>0.05956662950442086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0.06414867792783785</v>
      </c>
      <c r="D145" s="523">
        <f t="shared" ca="1" si="7"/>
        <v>0.8090169943749475</v>
      </c>
    </row>
    <row r="146" spans="2:4" x14ac:dyDescent="0.25">
      <c r="B146" s="521">
        <v>15</v>
      </c>
      <c r="C146" s="522">
        <f t="shared" ca="1" si="6"/>
        <v>0.06873072635125484</v>
      </c>
      <c r="D146" s="523">
        <f t="shared" ca="1" si="7"/>
        <v>0.7071067811865476</v>
      </c>
    </row>
    <row r="147" spans="2:4" x14ac:dyDescent="0.25">
      <c r="B147" s="521">
        <v>16</v>
      </c>
      <c r="C147" s="522">
        <f t="shared" ca="1" si="6"/>
        <v>0.07331277477467184</v>
      </c>
      <c r="D147" s="523">
        <f t="shared" ca="1" si="7"/>
        <v>0.5877852522924728</v>
      </c>
    </row>
    <row r="148" spans="2:4" x14ac:dyDescent="0.25">
      <c r="B148" s="521">
        <v>17</v>
      </c>
      <c r="C148" s="522">
        <f t="shared" ca="1" si="6"/>
        <v>0.07789482319808881</v>
      </c>
      <c r="D148" s="523">
        <f t="shared" ca="1" si="7"/>
        <v>0.4539904997395473</v>
      </c>
    </row>
    <row r="149" spans="2:4" x14ac:dyDescent="0.25">
      <c r="B149" s="521">
        <v>18</v>
      </c>
      <c r="C149" s="522">
        <f t="shared" ca="1" si="6"/>
        <v>0.08247687162150581</v>
      </c>
      <c r="D149" s="523">
        <f t="shared" ca="1" si="7"/>
        <v>0.3090169943749475</v>
      </c>
    </row>
    <row r="150" spans="2:4" x14ac:dyDescent="0.25">
      <c r="B150" s="521">
        <v>19</v>
      </c>
      <c r="C150" s="522">
        <f t="shared" ca="1" si="6"/>
        <v>0.08705892004492279</v>
      </c>
      <c r="D150" s="523">
        <f t="shared" ca="1" si="7"/>
        <v>0.15643446504023142</v>
      </c>
    </row>
    <row r="151" spans="2:4" x14ac:dyDescent="0.25">
      <c r="B151" s="521">
        <v>20</v>
      </c>
      <c r="C151" s="522">
        <f t="shared" ca="1" si="6"/>
        <v>0.09164096846833979</v>
      </c>
      <c r="D151" s="523">
        <f t="shared" ca="1" si="7"/>
        <v>1.2246467991473532e-16</v>
      </c>
    </row>
    <row r="152" spans="2:4" x14ac:dyDescent="0.25">
      <c r="B152" s="521">
        <v>21</v>
      </c>
      <c r="C152" s="522">
        <f t="shared" ca="1" si="6"/>
        <v>0.09622301689175677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0.10080506531517378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0.10538711373859075</v>
      </c>
      <c r="D154" s="523">
        <f t="shared" ca="1" si="7"/>
        <v>-0.45399049973954625</v>
      </c>
    </row>
    <row r="155" spans="2:4" x14ac:dyDescent="0.25">
      <c r="B155" s="521">
        <v>24</v>
      </c>
      <c r="C155" s="522">
        <f t="shared" ca="1" si="6"/>
        <v>0.10996916216200774</v>
      </c>
      <c r="D155" s="523">
        <f t="shared" ca="1" si="7"/>
        <v>-0.5877852522924727</v>
      </c>
    </row>
    <row r="156" spans="2:4" x14ac:dyDescent="0.25">
      <c r="B156" s="521">
        <v>25</v>
      </c>
      <c r="C156" s="522">
        <f t="shared" ca="1" si="6"/>
        <v>0.11455121058542472</v>
      </c>
      <c r="D156" s="523">
        <f t="shared" ca="1" si="7"/>
        <v>-0.7071067811865471</v>
      </c>
    </row>
    <row r="157" spans="2:4" x14ac:dyDescent="0.25">
      <c r="B157" s="521">
        <v>26</v>
      </c>
      <c r="C157" s="522">
        <f t="shared" ca="1" si="6"/>
        <v>0.11913325900884172</v>
      </c>
      <c r="D157" s="523">
        <f t="shared" ca="1" si="7"/>
        <v>-0.8090169943749473</v>
      </c>
    </row>
    <row r="158" spans="2:4" x14ac:dyDescent="0.25">
      <c r="B158" s="521">
        <v>27</v>
      </c>
      <c r="C158" s="522">
        <f t="shared" ca="1" si="6"/>
        <v>0.12371530743225871</v>
      </c>
      <c r="D158" s="523">
        <f t="shared" ca="1" si="7"/>
        <v>-0.8910065241883678</v>
      </c>
    </row>
    <row r="159" spans="2:4" x14ac:dyDescent="0.25">
      <c r="B159" s="521">
        <v>28</v>
      </c>
      <c r="C159" s="522">
        <f t="shared" ca="1" si="6"/>
        <v>0.1282973558556757</v>
      </c>
      <c r="D159" s="523">
        <f t="shared" ca="1" si="7"/>
        <v>-0.9510565162951535</v>
      </c>
    </row>
    <row r="160" spans="2:4" x14ac:dyDescent="0.25">
      <c r="B160" s="521">
        <v>29</v>
      </c>
      <c r="C160" s="522">
        <f t="shared" ca="1" si="6"/>
        <v>0.13287940427909267</v>
      </c>
      <c r="D160" s="523">
        <f t="shared" ca="1" si="7"/>
        <v>-0.9876883405951375</v>
      </c>
    </row>
    <row r="161" spans="2:4" x14ac:dyDescent="0.25">
      <c r="B161" s="521">
        <v>30</v>
      </c>
      <c r="C161" s="522">
        <f t="shared" ca="1" si="6"/>
        <v>0.13746145270250967</v>
      </c>
      <c r="D161" s="523">
        <f t="shared" ca="1" si="7"/>
        <v>-1.0</v>
      </c>
    </row>
    <row r="162" spans="2:4" x14ac:dyDescent="0.25">
      <c r="B162" s="521">
        <v>31</v>
      </c>
      <c r="C162" s="522">
        <f t="shared" ca="1" si="6"/>
        <v>0.14204350112592667</v>
      </c>
      <c r="D162" s="523">
        <f t="shared" ca="1" si="7"/>
        <v>-0.9876883405951378</v>
      </c>
    </row>
    <row r="163" spans="2:4" x14ac:dyDescent="0.25">
      <c r="B163" s="521">
        <v>32</v>
      </c>
      <c r="C163" s="522">
        <f t="shared" ca="1" si="6"/>
        <v>0.14662554954934368</v>
      </c>
      <c r="D163" s="523">
        <f t="shared" ca="1" si="7"/>
        <v>-0.9510565162951533</v>
      </c>
    </row>
    <row r="164" spans="2:4" x14ac:dyDescent="0.25">
      <c r="B164" s="521">
        <v>33</v>
      </c>
      <c r="C164" s="522">
        <f t="shared" ca="1" si="6"/>
        <v>0.15120759797276065</v>
      </c>
      <c r="D164" s="523">
        <f t="shared" ca="1" si="7"/>
        <v>-0.891006524188368</v>
      </c>
    </row>
    <row r="165" spans="2:4" x14ac:dyDescent="0.25">
      <c r="B165" s="521">
        <v>34</v>
      </c>
      <c r="C165" s="522">
        <f t="shared" ca="1" si="6"/>
        <v>0.15578964639617762</v>
      </c>
      <c r="D165" s="523">
        <f t="shared" ca="1" si="7"/>
        <v>-0.8090169943749481</v>
      </c>
    </row>
    <row r="166" spans="2:4" x14ac:dyDescent="0.25">
      <c r="B166" s="521">
        <v>35</v>
      </c>
      <c r="C166" s="522">
        <f t="shared" ca="1" si="6"/>
        <v>0.16037169481959462</v>
      </c>
      <c r="D166" s="523">
        <f t="shared" ca="1" si="7"/>
        <v>-0.7071067811865477</v>
      </c>
    </row>
    <row r="167" spans="2:4" x14ac:dyDescent="0.25">
      <c r="B167" s="521">
        <v>36</v>
      </c>
      <c r="C167" s="522">
        <f t="shared" ca="1" si="6"/>
        <v>0.16495374324301162</v>
      </c>
      <c r="D167" s="523">
        <f t="shared" ca="1" si="7"/>
        <v>-0.5877852522924734</v>
      </c>
    </row>
    <row r="168" spans="2:4" x14ac:dyDescent="0.25">
      <c r="B168" s="521">
        <v>37</v>
      </c>
      <c r="C168" s="522">
        <f t="shared" ca="1" si="6"/>
        <v>0.1695357916664286</v>
      </c>
      <c r="D168" s="523">
        <f t="shared" ca="1" si="7"/>
        <v>-0.45399049973954697</v>
      </c>
    </row>
    <row r="169" spans="2:4" x14ac:dyDescent="0.25">
      <c r="B169" s="521">
        <v>38</v>
      </c>
      <c r="C169" s="522">
        <f t="shared" ca="1" si="6"/>
        <v>0.17411784008984557</v>
      </c>
      <c r="D169" s="523">
        <f t="shared" ca="1" si="7"/>
        <v>-0.3090169943749485</v>
      </c>
    </row>
    <row r="170" spans="2:4" x14ac:dyDescent="0.25">
      <c r="B170" s="521">
        <v>39</v>
      </c>
      <c r="C170" s="522">
        <f t="shared" ca="1" si="6"/>
        <v>0.17869988851326257</v>
      </c>
      <c r="D170" s="523">
        <f t="shared" ca="1" si="7"/>
        <v>-0.15643446504023198</v>
      </c>
    </row>
    <row r="171" spans="2:4" x14ac:dyDescent="0.25">
      <c r="B171" s="521">
        <v>40</v>
      </c>
      <c r="C171" s="522">
        <f t="shared" ca="1" si="6"/>
        <v>0.18328193693667957</v>
      </c>
      <c r="D171" s="523">
        <f t="shared" ca="1" si="7"/>
        <v>-2.4492935982947064e-16</v>
      </c>
    </row>
    <row r="172" spans="2:4" x14ac:dyDescent="0.25">
      <c r="B172" s="521">
        <v>41</v>
      </c>
      <c r="C172" s="522">
        <f t="shared" ca="1" si="6"/>
        <v>0.18786398536009655</v>
      </c>
      <c r="D172" s="523">
        <f t="shared" ca="1" si="7"/>
        <v>0.15643446504022973</v>
      </c>
    </row>
    <row r="173" spans="2:4" x14ac:dyDescent="0.25">
      <c r="B173" s="521">
        <v>42</v>
      </c>
      <c r="C173" s="522">
        <f t="shared" ca="1" si="6"/>
        <v>0.19244603378351355</v>
      </c>
      <c r="D173" s="523">
        <f t="shared" ca="1" si="7"/>
        <v>0.3090169943749472</v>
      </c>
    </row>
    <row r="174" spans="2:4" x14ac:dyDescent="0.25">
      <c r="B174" s="521">
        <v>43</v>
      </c>
      <c r="C174" s="522">
        <f t="shared" ca="1" si="6"/>
        <v>0.19702808220693052</v>
      </c>
      <c r="D174" s="523">
        <f t="shared" ca="1" si="7"/>
        <v>0.45399049973954575</v>
      </c>
    </row>
    <row r="175" spans="2:4" x14ac:dyDescent="0.25">
      <c r="B175" s="521">
        <v>44</v>
      </c>
      <c r="C175" s="522">
        <f t="shared" ca="1" si="6"/>
        <v>0.20161013063034755</v>
      </c>
      <c r="D175" s="523">
        <f t="shared" ca="1" si="7"/>
        <v>0.5877852522924736</v>
      </c>
    </row>
    <row r="176" spans="2:4" x14ac:dyDescent="0.25">
      <c r="B176" s="521">
        <v>45</v>
      </c>
      <c r="C176" s="522">
        <f t="shared" ca="1" si="6"/>
        <v>0.20619217905376452</v>
      </c>
      <c r="D176" s="523">
        <f t="shared" ca="1" si="7"/>
        <v>0.7071067811865474</v>
      </c>
    </row>
    <row r="177" spans="2:4" x14ac:dyDescent="0.25">
      <c r="B177" s="521">
        <v>46</v>
      </c>
      <c r="C177" s="522">
        <f t="shared" ca="1" si="6"/>
        <v>0.2107742274771815</v>
      </c>
      <c r="D177" s="523">
        <f t="shared" ca="1" si="7"/>
        <v>0.8090169943749468</v>
      </c>
    </row>
    <row r="178" spans="2:4" x14ac:dyDescent="0.25">
      <c r="B178" s="521">
        <v>47</v>
      </c>
      <c r="C178" s="522">
        <f t="shared" ca="1" si="6"/>
        <v>0.2153562759005985</v>
      </c>
      <c r="D178" s="523">
        <f t="shared" ca="1" si="7"/>
        <v>0.8910065241883677</v>
      </c>
    </row>
    <row r="179" spans="2:4" x14ac:dyDescent="0.25">
      <c r="B179" s="521">
        <v>48</v>
      </c>
      <c r="C179" s="522">
        <f t="shared" ca="1" si="6"/>
        <v>0.21993832432401547</v>
      </c>
      <c r="D179" s="523">
        <f t="shared" ca="1" si="7"/>
        <v>0.9510565162951532</v>
      </c>
    </row>
    <row r="180" spans="2:4" x14ac:dyDescent="0.25">
      <c r="B180" s="521">
        <v>49</v>
      </c>
      <c r="C180" s="522">
        <f t="shared" ca="1" si="6"/>
        <v>0.22452037274743247</v>
      </c>
      <c r="D180" s="523">
        <f t="shared" ca="1" si="7"/>
        <v>0.9876883405951377</v>
      </c>
    </row>
    <row r="181" spans="2:4" x14ac:dyDescent="0.25">
      <c r="B181" s="521">
        <v>50</v>
      </c>
      <c r="C181" s="522">
        <f t="shared" ca="1" si="6"/>
        <v>0.22910242117084945</v>
      </c>
      <c r="D181" s="523">
        <f t="shared" ca="1" si="7"/>
        <v>1.0</v>
      </c>
    </row>
    <row r="182" spans="2:4" x14ac:dyDescent="0.25">
      <c r="B182" s="521">
        <v>51</v>
      </c>
      <c r="C182" s="522">
        <f t="shared" ca="1" si="6"/>
        <v>0.23368446959426642</v>
      </c>
      <c r="D182" s="523">
        <f t="shared" ca="1" si="7"/>
        <v>0.9876883405951379</v>
      </c>
    </row>
    <row r="183" spans="2:4" x14ac:dyDescent="0.25">
      <c r="B183" s="521">
        <v>52</v>
      </c>
      <c r="C183" s="522">
        <f t="shared" ca="1" si="6"/>
        <v>0.23826651801768345</v>
      </c>
      <c r="D183" s="523">
        <f t="shared" ca="1" si="7"/>
        <v>0.9510565162951536</v>
      </c>
    </row>
    <row r="184" spans="2:4" x14ac:dyDescent="0.25">
      <c r="B184" s="521">
        <v>53</v>
      </c>
      <c r="C184" s="522">
        <f t="shared" ca="1" si="6"/>
        <v>0.24284856644110042</v>
      </c>
      <c r="D184" s="523">
        <f t="shared" ca="1" si="7"/>
        <v>0.8910065241883685</v>
      </c>
    </row>
    <row r="185" spans="2:4" x14ac:dyDescent="0.25">
      <c r="B185" s="521">
        <v>54</v>
      </c>
      <c r="C185" s="522">
        <f t="shared" ca="1" si="6"/>
        <v>0.24743061486451742</v>
      </c>
      <c r="D185" s="523">
        <f t="shared" ca="1" si="7"/>
        <v>0.8090169943749477</v>
      </c>
    </row>
    <row r="186" spans="2:4" x14ac:dyDescent="0.25">
      <c r="B186" s="521">
        <v>55</v>
      </c>
      <c r="C186" s="522">
        <f t="shared" ca="1" si="6"/>
        <v>0.2520126632879344</v>
      </c>
      <c r="D186" s="523">
        <f t="shared" ca="1" si="7"/>
        <v>0.7071067811865471</v>
      </c>
    </row>
    <row r="187" spans="2:4" x14ac:dyDescent="0.25">
      <c r="B187" s="521">
        <v>56</v>
      </c>
      <c r="C187" s="522">
        <f t="shared" ca="1" si="6"/>
        <v>0.2565947117113514</v>
      </c>
      <c r="D187" s="523">
        <f t="shared" ca="1" si="7"/>
        <v>0.5877852522924734</v>
      </c>
    </row>
    <row r="188" spans="2:4" x14ac:dyDescent="0.25">
      <c r="B188" s="521">
        <v>57</v>
      </c>
      <c r="C188" s="522">
        <f t="shared" ca="1" si="6"/>
        <v>0.26117676013476837</v>
      </c>
      <c r="D188" s="523">
        <f t="shared" ca="1" si="7"/>
        <v>0.4539904997395479</v>
      </c>
    </row>
    <row r="189" spans="2:4" x14ac:dyDescent="0.25">
      <c r="B189" s="521">
        <v>58</v>
      </c>
      <c r="C189" s="522">
        <f t="shared" ca="1" si="6"/>
        <v>0.26575880855818534</v>
      </c>
      <c r="D189" s="523">
        <f t="shared" ca="1" si="7"/>
        <v>0.30901699437494945</v>
      </c>
    </row>
    <row r="190" spans="2:4" x14ac:dyDescent="0.25">
      <c r="B190" s="521">
        <v>59</v>
      </c>
      <c r="C190" s="522">
        <f t="shared" ca="1" si="6"/>
        <v>0.2703408569816024</v>
      </c>
      <c r="D190" s="523">
        <f t="shared" ca="1" si="7"/>
        <v>0.1564344650402321</v>
      </c>
    </row>
    <row r="191" spans="2:4" x14ac:dyDescent="0.25">
      <c r="B191" s="521">
        <v>60</v>
      </c>
      <c r="C191" s="522">
        <f t="shared" ca="1" si="6"/>
        <v>0.27492290540501935</v>
      </c>
      <c r="D191" s="523">
        <f t="shared" ca="1" si="7"/>
        <v>3.6739403974420594e-16</v>
      </c>
    </row>
    <row r="192" spans="2:4" x14ac:dyDescent="0.25">
      <c r="B192" s="521">
        <v>61</v>
      </c>
      <c r="C192" s="522">
        <f t="shared" ca="1" si="6"/>
        <v>0.2795049538284363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0.28408700225185335</v>
      </c>
      <c r="D193" s="523">
        <f t="shared" ca="1" si="7"/>
        <v>-0.30901699437494706</v>
      </c>
    </row>
    <row r="194" spans="2:4" x14ac:dyDescent="0.25">
      <c r="B194" s="521">
        <v>63</v>
      </c>
      <c r="C194" s="522">
        <f t="shared" ca="1" si="6"/>
        <v>0.2886690506752703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0.29325109909868735</v>
      </c>
      <c r="D195" s="523">
        <f t="shared" ref="D195:D251" ca="1" si="9">SIN(2*PI()*$C$23*C195)</f>
        <v>-0.5877852522924742</v>
      </c>
    </row>
    <row r="196" spans="2:4" x14ac:dyDescent="0.25">
      <c r="B196" s="521">
        <v>65</v>
      </c>
      <c r="C196" s="522">
        <f t="shared" ca="1" si="8"/>
        <v>0.2978331475221043</v>
      </c>
      <c r="D196" s="523">
        <f t="shared" ca="1" si="9"/>
        <v>-0.7071067811865479</v>
      </c>
    </row>
    <row r="197" spans="2:4" x14ac:dyDescent="0.25">
      <c r="B197" s="521">
        <v>66</v>
      </c>
      <c r="C197" s="522">
        <f t="shared" ca="1" si="8"/>
        <v>0.3024151959455213</v>
      </c>
      <c r="D197" s="523">
        <f t="shared" ca="1" si="9"/>
        <v>-0.8090169943749472</v>
      </c>
    </row>
    <row r="198" spans="2:4" x14ac:dyDescent="0.25">
      <c r="B198" s="521">
        <v>67</v>
      </c>
      <c r="C198" s="522">
        <f t="shared" ca="1" si="8"/>
        <v>0.30699724436893827</v>
      </c>
      <c r="D198" s="523">
        <f t="shared" ca="1" si="9"/>
        <v>-0.8910065241883672</v>
      </c>
    </row>
    <row r="199" spans="2:4" x14ac:dyDescent="0.25">
      <c r="B199" s="521">
        <v>68</v>
      </c>
      <c r="C199" s="522">
        <f t="shared" ca="1" si="8"/>
        <v>0.31157929279235524</v>
      </c>
      <c r="D199" s="523">
        <f t="shared" ca="1" si="9"/>
        <v>-0.9510565162951529</v>
      </c>
    </row>
    <row r="200" spans="2:4" x14ac:dyDescent="0.25">
      <c r="B200" s="521">
        <v>69</v>
      </c>
      <c r="C200" s="522">
        <f t="shared" ca="1" si="8"/>
        <v>0.3161613412157723</v>
      </c>
      <c r="D200" s="523">
        <f t="shared" ca="1" si="9"/>
        <v>-0.9876883405951378</v>
      </c>
    </row>
    <row r="201" spans="2:4" x14ac:dyDescent="0.25">
      <c r="B201" s="521">
        <v>70</v>
      </c>
      <c r="C201" s="522">
        <f t="shared" ca="1" si="8"/>
        <v>0.32074338963918925</v>
      </c>
      <c r="D201" s="523">
        <f t="shared" ca="1" si="9"/>
        <v>-1.0</v>
      </c>
    </row>
    <row r="202" spans="2:4" x14ac:dyDescent="0.25">
      <c r="B202" s="521">
        <v>71</v>
      </c>
      <c r="C202" s="522">
        <f t="shared" ca="1" si="8"/>
        <v>0.3253254380626062</v>
      </c>
      <c r="D202" s="523">
        <f t="shared" ca="1" si="9"/>
        <v>-0.9876883405951379</v>
      </c>
    </row>
    <row r="203" spans="2:4" x14ac:dyDescent="0.25">
      <c r="B203" s="521">
        <v>72</v>
      </c>
      <c r="C203" s="522">
        <f t="shared" ca="1" si="8"/>
        <v>0.32990748648602325</v>
      </c>
      <c r="D203" s="523">
        <f t="shared" ca="1" si="9"/>
        <v>-0.9510565162951538</v>
      </c>
    </row>
    <row r="204" spans="2:4" x14ac:dyDescent="0.25">
      <c r="B204" s="521">
        <v>73</v>
      </c>
      <c r="C204" s="522">
        <f t="shared" ca="1" si="8"/>
        <v>0.3344895349094402</v>
      </c>
      <c r="D204" s="523">
        <f t="shared" ca="1" si="9"/>
        <v>-0.8910065241883685</v>
      </c>
    </row>
    <row r="205" spans="2:4" x14ac:dyDescent="0.25">
      <c r="B205" s="521">
        <v>74</v>
      </c>
      <c r="C205" s="522">
        <f t="shared" ca="1" si="8"/>
        <v>0.3390715833328572</v>
      </c>
      <c r="D205" s="523">
        <f t="shared" ca="1" si="9"/>
        <v>-0.8090169943749477</v>
      </c>
    </row>
    <row r="206" spans="2:4" x14ac:dyDescent="0.25">
      <c r="B206" s="521">
        <v>75</v>
      </c>
      <c r="C206" s="522">
        <f t="shared" ca="1" si="8"/>
        <v>0.34365363175627417</v>
      </c>
      <c r="D206" s="523">
        <f t="shared" ca="1" si="9"/>
        <v>-0.7071067811865485</v>
      </c>
    </row>
    <row r="207" spans="2:4" x14ac:dyDescent="0.25">
      <c r="B207" s="521">
        <v>76</v>
      </c>
      <c r="C207" s="522">
        <f t="shared" ca="1" si="8"/>
        <v>0.34823568017969114</v>
      </c>
      <c r="D207" s="523">
        <f t="shared" ca="1" si="9"/>
        <v>-0.5877852522924749</v>
      </c>
    </row>
    <row r="208" spans="2:4" x14ac:dyDescent="0.25">
      <c r="B208" s="521">
        <v>77</v>
      </c>
      <c r="C208" s="522">
        <f t="shared" ca="1" si="8"/>
        <v>0.35281772860310817</v>
      </c>
      <c r="D208" s="523">
        <f t="shared" ca="1" si="9"/>
        <v>-0.453990499739548</v>
      </c>
    </row>
    <row r="209" spans="2:4" x14ac:dyDescent="0.25">
      <c r="B209" s="521">
        <v>78</v>
      </c>
      <c r="C209" s="522">
        <f t="shared" ca="1" si="8"/>
        <v>0.35739977702652515</v>
      </c>
      <c r="D209" s="523">
        <f t="shared" ca="1" si="9"/>
        <v>-0.30901699437494956</v>
      </c>
    </row>
    <row r="210" spans="2:4" x14ac:dyDescent="0.25">
      <c r="B210" s="521">
        <v>79</v>
      </c>
      <c r="C210" s="522">
        <f t="shared" ca="1" si="8"/>
        <v>0.3619818254499422</v>
      </c>
      <c r="D210" s="523">
        <f t="shared" ca="1" si="9"/>
        <v>-0.15643446504023048</v>
      </c>
    </row>
    <row r="211" spans="2:4" x14ac:dyDescent="0.25">
      <c r="B211" s="521">
        <v>80</v>
      </c>
      <c r="C211" s="522">
        <f t="shared" ca="1" si="8"/>
        <v>0.36656387387335915</v>
      </c>
      <c r="D211" s="523">
        <f t="shared" ca="1" si="9"/>
        <v>-4.898587196589413e-16</v>
      </c>
    </row>
    <row r="212" spans="2:4" x14ac:dyDescent="0.25">
      <c r="B212" s="521">
        <v>81</v>
      </c>
      <c r="C212" s="522">
        <f t="shared" ca="1" si="8"/>
        <v>0.3711459222967761</v>
      </c>
      <c r="D212" s="523">
        <f t="shared" ca="1" si="9"/>
        <v>0.1564344650402295</v>
      </c>
    </row>
    <row r="213" spans="2:4" x14ac:dyDescent="0.25">
      <c r="B213" s="521">
        <v>82</v>
      </c>
      <c r="C213" s="522">
        <f t="shared" ca="1" si="8"/>
        <v>0.3757279707201931</v>
      </c>
      <c r="D213" s="523">
        <f t="shared" ca="1" si="9"/>
        <v>0.30901699437494523</v>
      </c>
    </row>
    <row r="214" spans="2:4" x14ac:dyDescent="0.25">
      <c r="B214" s="521">
        <v>83</v>
      </c>
      <c r="C214" s="522">
        <f t="shared" ca="1" si="8"/>
        <v>0.3803100191436101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0.3848920675670271</v>
      </c>
      <c r="D215" s="523">
        <f t="shared" ca="1" si="9"/>
        <v>0.5877852522924727</v>
      </c>
    </row>
    <row r="216" spans="2:4" x14ac:dyDescent="0.25">
      <c r="B216" s="521">
        <v>85</v>
      </c>
      <c r="C216" s="522">
        <f t="shared" ca="1" si="8"/>
        <v>0.38947411599044407</v>
      </c>
      <c r="D216" s="523">
        <f t="shared" ca="1" si="9"/>
        <v>0.7071067811865466</v>
      </c>
    </row>
    <row r="217" spans="2:4" x14ac:dyDescent="0.25">
      <c r="B217" s="521">
        <v>86</v>
      </c>
      <c r="C217" s="522">
        <f t="shared" ca="1" si="8"/>
        <v>0.39405616441386104</v>
      </c>
      <c r="D217" s="523">
        <f t="shared" ca="1" si="9"/>
        <v>0.8090169943749461</v>
      </c>
    </row>
    <row r="218" spans="2:4" x14ac:dyDescent="0.25">
      <c r="B218" s="521">
        <v>87</v>
      </c>
      <c r="C218" s="522">
        <f t="shared" ca="1" si="8"/>
        <v>0.398638212837278</v>
      </c>
      <c r="D218" s="523">
        <f t="shared" ca="1" si="9"/>
        <v>0.8910065241883665</v>
      </c>
    </row>
    <row r="219" spans="2:4" x14ac:dyDescent="0.25">
      <c r="B219" s="521">
        <v>88</v>
      </c>
      <c r="C219" s="522">
        <f t="shared" ca="1" si="8"/>
        <v>0.4032202612606951</v>
      </c>
      <c r="D219" s="523">
        <f t="shared" ca="1" si="9"/>
        <v>0.951056516295154</v>
      </c>
    </row>
    <row r="220" spans="2:4" x14ac:dyDescent="0.25">
      <c r="B220" s="521">
        <v>89</v>
      </c>
      <c r="C220" s="522">
        <f t="shared" ca="1" si="8"/>
        <v>0.4078023096841121</v>
      </c>
      <c r="D220" s="523">
        <f t="shared" ca="1" si="9"/>
        <v>0.9876883405951378</v>
      </c>
    </row>
    <row r="221" spans="2:4" x14ac:dyDescent="0.25">
      <c r="B221" s="521">
        <v>90</v>
      </c>
      <c r="C221" s="522">
        <f t="shared" ca="1" si="8"/>
        <v>0.41238435810752905</v>
      </c>
      <c r="D221" s="523">
        <f t="shared" ca="1" si="9"/>
        <v>1.0</v>
      </c>
    </row>
    <row r="222" spans="2:4" x14ac:dyDescent="0.25">
      <c r="B222" s="521">
        <v>91</v>
      </c>
      <c r="C222" s="522">
        <f t="shared" ca="1" si="8"/>
        <v>0.416966406530946</v>
      </c>
      <c r="D222" s="523">
        <f t="shared" ca="1" si="9"/>
        <v>0.987688340595138</v>
      </c>
    </row>
    <row r="223" spans="2:4" x14ac:dyDescent="0.25">
      <c r="B223" s="521">
        <v>92</v>
      </c>
      <c r="C223" s="522">
        <f t="shared" ca="1" si="8"/>
        <v>0.421548454954363</v>
      </c>
      <c r="D223" s="523">
        <f t="shared" ca="1" si="9"/>
        <v>0.9510565162951543</v>
      </c>
    </row>
    <row r="224" spans="2:4" x14ac:dyDescent="0.25">
      <c r="B224" s="521">
        <v>93</v>
      </c>
      <c r="C224" s="522">
        <f t="shared" ca="1" si="8"/>
        <v>0.42613050337778</v>
      </c>
      <c r="D224" s="523">
        <f t="shared" ca="1" si="9"/>
        <v>0.8910065241883677</v>
      </c>
    </row>
    <row r="225" spans="2:4" x14ac:dyDescent="0.25">
      <c r="B225" s="521">
        <v>94</v>
      </c>
      <c r="C225" s="522">
        <f t="shared" ca="1" si="8"/>
        <v>0.430712551801197</v>
      </c>
      <c r="D225" s="523">
        <f t="shared" ca="1" si="9"/>
        <v>0.8090169943749478</v>
      </c>
    </row>
    <row r="226" spans="2:4" x14ac:dyDescent="0.25">
      <c r="B226" s="521">
        <v>95</v>
      </c>
      <c r="C226" s="522">
        <f t="shared" ca="1" si="8"/>
        <v>0.43529460022461397</v>
      </c>
      <c r="D226" s="523">
        <f t="shared" ca="1" si="9"/>
        <v>0.7071067811865486</v>
      </c>
    </row>
    <row r="227" spans="2:4" x14ac:dyDescent="0.25">
      <c r="B227" s="521">
        <v>96</v>
      </c>
      <c r="C227" s="522">
        <f t="shared" ca="1" si="8"/>
        <v>0.43987664864803094</v>
      </c>
      <c r="D227" s="523">
        <f t="shared" ca="1" si="9"/>
        <v>0.587785252292475</v>
      </c>
    </row>
    <row r="228" spans="2:4" x14ac:dyDescent="0.25">
      <c r="B228" s="521">
        <v>97</v>
      </c>
      <c r="C228" s="522">
        <f t="shared" ca="1" si="8"/>
        <v>0.4444586970714479</v>
      </c>
      <c r="D228" s="523">
        <f t="shared" ca="1" si="9"/>
        <v>0.4539904997395497</v>
      </c>
    </row>
    <row r="229" spans="2:4" x14ac:dyDescent="0.25">
      <c r="B229" s="521">
        <v>98</v>
      </c>
      <c r="C229" s="522">
        <f t="shared" ca="1" si="8"/>
        <v>0.44904074549486495</v>
      </c>
      <c r="D229" s="523">
        <f t="shared" ca="1" si="9"/>
        <v>0.309016994374948</v>
      </c>
    </row>
    <row r="230" spans="2:4" x14ac:dyDescent="0.25">
      <c r="B230" s="521">
        <v>99</v>
      </c>
      <c r="C230" s="522">
        <f t="shared" ca="1" si="8"/>
        <v>0.4536227939182819</v>
      </c>
      <c r="D230" s="523">
        <f t="shared" ca="1" si="9"/>
        <v>0.15643446504023234</v>
      </c>
    </row>
    <row r="231" spans="2:4" x14ac:dyDescent="0.25">
      <c r="B231" s="521">
        <v>100</v>
      </c>
      <c r="C231" s="522">
        <f t="shared" ca="1" si="8"/>
        <v>0.4582048423416989</v>
      </c>
      <c r="D231" s="523">
        <f t="shared" ca="1" si="9"/>
        <v>2.388680238973927e-15</v>
      </c>
    </row>
    <row r="232" spans="2:4" x14ac:dyDescent="0.25">
      <c r="B232" s="521">
        <v>101</v>
      </c>
      <c r="C232" s="522">
        <f t="shared" ca="1" si="8"/>
        <v>0.46278689076511587</v>
      </c>
      <c r="D232" s="523">
        <f t="shared" ca="1" si="9"/>
        <v>-0.15643446504022762</v>
      </c>
    </row>
    <row r="233" spans="2:4" x14ac:dyDescent="0.25">
      <c r="B233" s="521">
        <v>102</v>
      </c>
      <c r="C233" s="522">
        <f t="shared" ca="1" si="8"/>
        <v>0.46736893918853284</v>
      </c>
      <c r="D233" s="523">
        <f t="shared" ca="1" si="9"/>
        <v>-0.3090169943749451</v>
      </c>
    </row>
    <row r="234" spans="2:4" x14ac:dyDescent="0.25">
      <c r="B234" s="521">
        <v>103</v>
      </c>
      <c r="C234" s="522">
        <f t="shared" ca="1" si="8"/>
        <v>0.4719509876119499</v>
      </c>
      <c r="D234" s="523">
        <f t="shared" ca="1" si="9"/>
        <v>-0.4539904997395454</v>
      </c>
    </row>
    <row r="235" spans="2:4" x14ac:dyDescent="0.25">
      <c r="B235" s="521">
        <v>104</v>
      </c>
      <c r="C235" s="522">
        <f t="shared" ca="1" si="8"/>
        <v>0.4765330360353669</v>
      </c>
      <c r="D235" s="523">
        <f t="shared" ca="1" si="9"/>
        <v>-0.5877852522924726</v>
      </c>
    </row>
    <row r="236" spans="2:4" x14ac:dyDescent="0.25">
      <c r="B236" s="521">
        <v>105</v>
      </c>
      <c r="C236" s="522">
        <f t="shared" ca="1" si="8"/>
        <v>0.48111508445878387</v>
      </c>
      <c r="D236" s="523">
        <f t="shared" ca="1" si="9"/>
        <v>-0.7071067811865477</v>
      </c>
    </row>
    <row r="237" spans="2:4" x14ac:dyDescent="0.25">
      <c r="B237" s="521">
        <v>106</v>
      </c>
      <c r="C237" s="522">
        <f t="shared" ca="1" si="8"/>
        <v>0.48569713288220084</v>
      </c>
      <c r="D237" s="523">
        <f t="shared" ca="1" si="9"/>
        <v>-0.809016994374946</v>
      </c>
    </row>
    <row r="238" spans="2:4" x14ac:dyDescent="0.25">
      <c r="B238" s="521">
        <v>107</v>
      </c>
      <c r="C238" s="522">
        <f t="shared" ca="1" si="8"/>
        <v>0.4902791813056178</v>
      </c>
      <c r="D238" s="523">
        <f t="shared" ca="1" si="9"/>
        <v>-0.8910065241883671</v>
      </c>
    </row>
    <row r="239" spans="2:4" x14ac:dyDescent="0.25">
      <c r="B239" s="521">
        <v>108</v>
      </c>
      <c r="C239" s="522">
        <f t="shared" ca="1" si="8"/>
        <v>0.49486122972903485</v>
      </c>
      <c r="D239" s="523">
        <f t="shared" ca="1" si="9"/>
        <v>-0.9510565162951534</v>
      </c>
    </row>
    <row r="240" spans="2:4" x14ac:dyDescent="0.25">
      <c r="B240" s="521">
        <v>109</v>
      </c>
      <c r="C240" s="522">
        <f t="shared" ca="1" si="8"/>
        <v>0.4994432781524518</v>
      </c>
      <c r="D240" s="523">
        <f t="shared" ca="1" si="9"/>
        <v>-0.9876883405951378</v>
      </c>
    </row>
    <row r="241" spans="2:4" x14ac:dyDescent="0.25">
      <c r="B241" s="521">
        <v>110</v>
      </c>
      <c r="C241" s="522">
        <f t="shared" ca="1" si="8"/>
        <v>0.5040253265758688</v>
      </c>
      <c r="D241" s="523">
        <f t="shared" ca="1" si="9"/>
        <v>-1.0</v>
      </c>
    </row>
    <row r="242" spans="2:4" x14ac:dyDescent="0.25">
      <c r="B242" s="521">
        <v>111</v>
      </c>
      <c r="C242" s="522">
        <f t="shared" ca="1" si="8"/>
        <v>0.5086073749992858</v>
      </c>
      <c r="D242" s="523">
        <f t="shared" ca="1" si="9"/>
        <v>-0.987688340595138</v>
      </c>
    </row>
    <row r="243" spans="2:4" x14ac:dyDescent="0.25">
      <c r="B243" s="521">
        <v>112</v>
      </c>
      <c r="C243" s="522">
        <f t="shared" ca="1" si="8"/>
        <v>0.5131894234227028</v>
      </c>
      <c r="D243" s="523">
        <f t="shared" ca="1" si="9"/>
        <v>-0.9510565162951538</v>
      </c>
    </row>
    <row r="244" spans="2:4" x14ac:dyDescent="0.25">
      <c r="B244" s="521">
        <v>113</v>
      </c>
      <c r="C244" s="522">
        <f t="shared" ca="1" si="8"/>
        <v>0.5177714718461198</v>
      </c>
      <c r="D244" s="523">
        <f t="shared" ca="1" si="9"/>
        <v>-0.8910065241883678</v>
      </c>
    </row>
    <row r="245" spans="2:4" x14ac:dyDescent="0.25">
      <c r="B245" s="521">
        <v>114</v>
      </c>
      <c r="C245" s="522">
        <f t="shared" ca="1" si="8"/>
        <v>0.5223535202695367</v>
      </c>
      <c r="D245" s="523">
        <f t="shared" ca="1" si="9"/>
        <v>-0.8090169943749489</v>
      </c>
    </row>
    <row r="246" spans="2:4" x14ac:dyDescent="0.25">
      <c r="B246" s="521">
        <v>115</v>
      </c>
      <c r="C246" s="522">
        <f t="shared" ca="1" si="8"/>
        <v>0.5269355686929538</v>
      </c>
      <c r="D246" s="523">
        <f t="shared" ca="1" si="9"/>
        <v>-0.7071067811865487</v>
      </c>
    </row>
    <row r="247" spans="2:4" x14ac:dyDescent="0.25">
      <c r="B247" s="521">
        <v>116</v>
      </c>
      <c r="C247" s="522">
        <f t="shared" ca="1" si="8"/>
        <v>0.5315176171163707</v>
      </c>
      <c r="D247" s="523">
        <f t="shared" ca="1" si="9"/>
        <v>-0.5877852522924766</v>
      </c>
    </row>
    <row r="248" spans="2:4" x14ac:dyDescent="0.25">
      <c r="B248" s="521">
        <v>117</v>
      </c>
      <c r="C248" s="522">
        <f t="shared" ca="1" si="8"/>
        <v>0.5360996655397877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0.5406817139632047</v>
      </c>
      <c r="D249" s="523">
        <f t="shared" ca="1" si="9"/>
        <v>-0.3090169943749498</v>
      </c>
    </row>
    <row r="250" spans="2:4" x14ac:dyDescent="0.25">
      <c r="B250" s="521">
        <v>119</v>
      </c>
      <c r="C250" s="522">
        <f t="shared" ca="1" si="8"/>
        <v>0.5452637623866218</v>
      </c>
      <c r="D250" s="523">
        <f t="shared" ca="1" si="9"/>
        <v>-0.15643446504022895</v>
      </c>
    </row>
    <row r="251" spans="2:4" x14ac:dyDescent="0.25">
      <c r="B251" s="521">
        <v>120</v>
      </c>
      <c r="C251" s="522">
        <f t="shared" ca="1" si="8"/>
        <v>0.5498458108100387</v>
      </c>
      <c r="D251" s="523">
        <f t="shared" ca="1" si="9"/>
        <v>-7.347880794884119e-16</v>
      </c>
    </row>
    <row r="254" spans="2:4" x14ac:dyDescent="0.25">
      <c r="B254" s="516" t="s">
        <v>1121</v>
      </c>
    </row>
    <row r="255" spans="2:4" x14ac:dyDescent="0.25">
      <c r="B255" s="516" t="s">
        <v>1119</v>
      </c>
      <c r="C255" s="516" t="s">
        <v>1120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0.0</v>
      </c>
    </row>
    <row r="257" spans="2:4" x14ac:dyDescent="0.25">
      <c r="B257" s="521">
        <v>1</v>
      </c>
      <c r="C257" s="522">
        <f t="shared" ca="1" si="10"/>
        <v>0.002723411432734154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0.005446822865468308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0.008170234298202461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0.010893645730936615</v>
      </c>
      <c r="D260" s="523">
        <f t="shared" ca="1" si="11"/>
        <v>0.5877852522924731</v>
      </c>
    </row>
    <row r="261" spans="2:4" x14ac:dyDescent="0.25">
      <c r="B261" s="521">
        <v>5</v>
      </c>
      <c r="C261" s="522">
        <f t="shared" ca="1" si="10"/>
        <v>0.01361705716367077</v>
      </c>
      <c r="D261" s="523">
        <f t="shared" ca="1" si="11"/>
        <v>0.7071067811865475</v>
      </c>
    </row>
    <row r="262" spans="2:4" x14ac:dyDescent="0.25">
      <c r="B262" s="521">
        <v>6</v>
      </c>
      <c r="C262" s="522">
        <f t="shared" ca="1" si="10"/>
        <v>0.016340468596404922</v>
      </c>
      <c r="D262" s="523">
        <f t="shared" ca="1" si="11"/>
        <v>0.8090169943749473</v>
      </c>
    </row>
    <row r="263" spans="2:4" x14ac:dyDescent="0.25">
      <c r="B263" s="521">
        <v>7</v>
      </c>
      <c r="C263" s="522">
        <f t="shared" ca="1" si="10"/>
        <v>0.019063880029139075</v>
      </c>
      <c r="D263" s="523">
        <f t="shared" ca="1" si="11"/>
        <v>0.8910065241883678</v>
      </c>
    </row>
    <row r="264" spans="2:4" x14ac:dyDescent="0.25">
      <c r="B264" s="521">
        <v>8</v>
      </c>
      <c r="C264" s="522">
        <f t="shared" ca="1" si="10"/>
        <v>0.02178729146187323</v>
      </c>
      <c r="D264" s="523">
        <f t="shared" ca="1" si="11"/>
        <v>0.9510565162951535</v>
      </c>
    </row>
    <row r="265" spans="2:4" x14ac:dyDescent="0.25">
      <c r="B265" s="521">
        <v>9</v>
      </c>
      <c r="C265" s="522">
        <f t="shared" ca="1" si="10"/>
        <v>0.024510702894607387</v>
      </c>
      <c r="D265" s="523">
        <f t="shared" ca="1" si="11"/>
        <v>0.9876883405951378</v>
      </c>
    </row>
    <row r="266" spans="2:4" x14ac:dyDescent="0.25">
      <c r="B266" s="521">
        <v>10</v>
      </c>
      <c r="C266" s="522">
        <f t="shared" ca="1" si="10"/>
        <v>0.02723411432734154</v>
      </c>
      <c r="D266" s="523">
        <f t="shared" ca="1" si="11"/>
        <v>1.0</v>
      </c>
    </row>
    <row r="267" spans="2:4" x14ac:dyDescent="0.25">
      <c r="B267" s="521">
        <v>11</v>
      </c>
      <c r="C267" s="522">
        <f t="shared" ca="1" si="10"/>
        <v>0.029957525760075696</v>
      </c>
      <c r="D267" s="523">
        <f t="shared" ca="1" si="11"/>
        <v>0.9876883405951378</v>
      </c>
    </row>
    <row r="268" spans="2:4" x14ac:dyDescent="0.25">
      <c r="B268" s="521">
        <v>12</v>
      </c>
      <c r="C268" s="522">
        <f t="shared" ca="1" si="10"/>
        <v>0.032680937192809845</v>
      </c>
      <c r="D268" s="523">
        <f t="shared" ca="1" si="11"/>
        <v>0.9510565162951536</v>
      </c>
    </row>
    <row r="269" spans="2:4" x14ac:dyDescent="0.25">
      <c r="B269" s="521">
        <v>13</v>
      </c>
      <c r="C269" s="522">
        <f t="shared" ca="1" si="10"/>
        <v>0.035404348625544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0.03812776005827815</v>
      </c>
      <c r="D270" s="523">
        <f t="shared" ca="1" si="11"/>
        <v>0.8090169943749478</v>
      </c>
    </row>
    <row r="271" spans="2:4" x14ac:dyDescent="0.25">
      <c r="B271" s="521">
        <v>15</v>
      </c>
      <c r="C271" s="522">
        <f t="shared" ca="1" si="10"/>
        <v>0.040851171491012306</v>
      </c>
      <c r="D271" s="523">
        <f t="shared" ca="1" si="11"/>
        <v>0.7071067811865479</v>
      </c>
    </row>
    <row r="272" spans="2:4" x14ac:dyDescent="0.25">
      <c r="B272" s="521">
        <v>16</v>
      </c>
      <c r="C272" s="522">
        <f t="shared" ca="1" si="10"/>
        <v>0.04357458292374646</v>
      </c>
      <c r="D272" s="523">
        <f t="shared" ca="1" si="11"/>
        <v>0.5877852522924732</v>
      </c>
    </row>
    <row r="273" spans="2:4" x14ac:dyDescent="0.25">
      <c r="B273" s="521">
        <v>17</v>
      </c>
      <c r="C273" s="522">
        <f t="shared" ca="1" si="10"/>
        <v>0.04629799435648061</v>
      </c>
      <c r="D273" s="523">
        <f t="shared" ca="1" si="11"/>
        <v>0.4539904997395473</v>
      </c>
    </row>
    <row r="274" spans="2:4" x14ac:dyDescent="0.25">
      <c r="B274" s="521">
        <v>18</v>
      </c>
      <c r="C274" s="522">
        <f t="shared" ca="1" si="10"/>
        <v>0.049021405789214774</v>
      </c>
      <c r="D274" s="523">
        <f t="shared" ca="1" si="11"/>
        <v>0.3090169943749475</v>
      </c>
    </row>
    <row r="275" spans="2:4" x14ac:dyDescent="0.25">
      <c r="B275" s="521">
        <v>19</v>
      </c>
      <c r="C275" s="522">
        <f t="shared" ca="1" si="10"/>
        <v>0.05174481722194892</v>
      </c>
      <c r="D275" s="523">
        <f t="shared" ca="1" si="11"/>
        <v>0.15643446504023098</v>
      </c>
    </row>
    <row r="276" spans="2:4" x14ac:dyDescent="0.25">
      <c r="B276" s="521">
        <v>20</v>
      </c>
      <c r="C276" s="522">
        <f t="shared" ca="1" si="10"/>
        <v>0.05446822865468308</v>
      </c>
      <c r="D276" s="523">
        <f t="shared" ca="1" si="11"/>
        <v>1.2246467991473532e-16</v>
      </c>
    </row>
    <row r="277" spans="2:4" x14ac:dyDescent="0.25">
      <c r="B277" s="521">
        <v>21</v>
      </c>
      <c r="C277" s="522">
        <f t="shared" ca="1" si="10"/>
        <v>0.057191640087417235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0.05991505152015139</v>
      </c>
      <c r="D278" s="523">
        <f t="shared" ca="1" si="11"/>
        <v>-0.3090169943749473</v>
      </c>
    </row>
    <row r="279" spans="2:4" x14ac:dyDescent="0.25">
      <c r="B279" s="521">
        <v>23</v>
      </c>
      <c r="C279" s="522">
        <f t="shared" ca="1" si="10"/>
        <v>0.06263846295288554</v>
      </c>
      <c r="D279" s="523">
        <f t="shared" ca="1" si="11"/>
        <v>-0.4539904997395467</v>
      </c>
    </row>
    <row r="280" spans="2:4" x14ac:dyDescent="0.25">
      <c r="B280" s="521">
        <v>24</v>
      </c>
      <c r="C280" s="522">
        <f t="shared" ca="1" si="10"/>
        <v>0.06536187438561969</v>
      </c>
      <c r="D280" s="523">
        <f t="shared" ca="1" si="11"/>
        <v>-0.5877852522924727</v>
      </c>
    </row>
    <row r="281" spans="2:4" x14ac:dyDescent="0.25">
      <c r="B281" s="521">
        <v>25</v>
      </c>
      <c r="C281" s="522">
        <f t="shared" ca="1" si="10"/>
        <v>0.06808528581835385</v>
      </c>
      <c r="D281" s="523">
        <f t="shared" ca="1" si="11"/>
        <v>-0.7071067811865475</v>
      </c>
    </row>
    <row r="282" spans="2:4" x14ac:dyDescent="0.25">
      <c r="B282" s="521">
        <v>26</v>
      </c>
      <c r="C282" s="522">
        <f t="shared" ca="1" si="10"/>
        <v>0.070808697251088</v>
      </c>
      <c r="D282" s="523">
        <f t="shared" ca="1" si="11"/>
        <v>-0.8090169943749473</v>
      </c>
    </row>
    <row r="283" spans="2:4" x14ac:dyDescent="0.25">
      <c r="B283" s="521">
        <v>27</v>
      </c>
      <c r="C283" s="522">
        <f t="shared" ca="1" si="10"/>
        <v>0.07353210868382216</v>
      </c>
      <c r="D283" s="523">
        <f t="shared" ca="1" si="11"/>
        <v>-0.8910065241883678</v>
      </c>
    </row>
    <row r="284" spans="2:4" x14ac:dyDescent="0.25">
      <c r="B284" s="521">
        <v>28</v>
      </c>
      <c r="C284" s="522">
        <f t="shared" ca="1" si="10"/>
        <v>0.0762555201165563</v>
      </c>
      <c r="D284" s="523">
        <f t="shared" ca="1" si="11"/>
        <v>-0.9510565162951532</v>
      </c>
    </row>
    <row r="285" spans="2:4" x14ac:dyDescent="0.25">
      <c r="B285" s="521">
        <v>29</v>
      </c>
      <c r="C285" s="522">
        <f t="shared" ca="1" si="10"/>
        <v>0.07897893154929046</v>
      </c>
      <c r="D285" s="523">
        <f t="shared" ca="1" si="11"/>
        <v>-0.9876883405951377</v>
      </c>
    </row>
    <row r="286" spans="2:4" x14ac:dyDescent="0.25">
      <c r="B286" s="521">
        <v>30</v>
      </c>
      <c r="C286" s="522">
        <f t="shared" ca="1" si="10"/>
        <v>0.08170234298202461</v>
      </c>
      <c r="D286" s="523">
        <f t="shared" ca="1" si="11"/>
        <v>-1.0</v>
      </c>
    </row>
    <row r="287" spans="2:4" x14ac:dyDescent="0.25">
      <c r="B287" s="521">
        <v>31</v>
      </c>
      <c r="C287" s="522">
        <f t="shared" ca="1" si="10"/>
        <v>0.08442575441475877</v>
      </c>
      <c r="D287" s="523">
        <f t="shared" ca="1" si="11"/>
        <v>-0.9876883405951378</v>
      </c>
    </row>
    <row r="288" spans="2:4" x14ac:dyDescent="0.25">
      <c r="B288" s="521">
        <v>32</v>
      </c>
      <c r="C288" s="522">
        <f t="shared" ca="1" si="10"/>
        <v>0.08714916584749292</v>
      </c>
      <c r="D288" s="523">
        <f t="shared" ca="1" si="11"/>
        <v>-0.9510565162951536</v>
      </c>
    </row>
    <row r="289" spans="2:4" x14ac:dyDescent="0.25">
      <c r="B289" s="521">
        <v>33</v>
      </c>
      <c r="C289" s="522">
        <f t="shared" ca="1" si="10"/>
        <v>0.08987257728022707</v>
      </c>
      <c r="D289" s="523">
        <f t="shared" ca="1" si="11"/>
        <v>-0.8910065241883683</v>
      </c>
    </row>
    <row r="290" spans="2:4" x14ac:dyDescent="0.25">
      <c r="B290" s="521">
        <v>34</v>
      </c>
      <c r="C290" s="522">
        <f t="shared" ca="1" si="10"/>
        <v>0.09259598871296122</v>
      </c>
      <c r="D290" s="523">
        <f t="shared" ca="1" si="11"/>
        <v>-0.8090169943749481</v>
      </c>
    </row>
    <row r="291" spans="2:4" x14ac:dyDescent="0.25">
      <c r="B291" s="521">
        <v>35</v>
      </c>
      <c r="C291" s="522">
        <f t="shared" ca="1" si="10"/>
        <v>0.09531940014569538</v>
      </c>
      <c r="D291" s="523">
        <f t="shared" ca="1" si="11"/>
        <v>-0.7071067811865477</v>
      </c>
    </row>
    <row r="292" spans="2:4" x14ac:dyDescent="0.25">
      <c r="B292" s="521">
        <v>36</v>
      </c>
      <c r="C292" s="522">
        <f t="shared" ca="1" si="10"/>
        <v>0.09804281157842955</v>
      </c>
      <c r="D292" s="523">
        <f t="shared" ca="1" si="11"/>
        <v>-0.5877852522924734</v>
      </c>
    </row>
    <row r="293" spans="2:4" x14ac:dyDescent="0.25">
      <c r="B293" s="521">
        <v>37</v>
      </c>
      <c r="C293" s="522">
        <f t="shared" ca="1" si="10"/>
        <v>0.1007662230111637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0.10348963444389785</v>
      </c>
      <c r="D294" s="523">
        <f t="shared" ca="1" si="11"/>
        <v>-0.3090169943749476</v>
      </c>
    </row>
    <row r="295" spans="2:4" x14ac:dyDescent="0.25">
      <c r="B295" s="521">
        <v>39</v>
      </c>
      <c r="C295" s="522">
        <f t="shared" ca="1" si="10"/>
        <v>0.106213045876632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0.10893645730936616</v>
      </c>
      <c r="D296" s="523">
        <f t="shared" ca="1" si="11"/>
        <v>-2.4492935982947064e-16</v>
      </c>
    </row>
    <row r="297" spans="2:4" x14ac:dyDescent="0.25">
      <c r="B297" s="521">
        <v>41</v>
      </c>
      <c r="C297" s="522">
        <f t="shared" ca="1" si="10"/>
        <v>0.1116598687421003</v>
      </c>
      <c r="D297" s="523">
        <f t="shared" ca="1" si="11"/>
        <v>0.15643446504022973</v>
      </c>
    </row>
    <row r="298" spans="2:4" x14ac:dyDescent="0.25">
      <c r="B298" s="521">
        <v>42</v>
      </c>
      <c r="C298" s="522">
        <f t="shared" ca="1" si="10"/>
        <v>0.11438328017483447</v>
      </c>
      <c r="D298" s="523">
        <f t="shared" ca="1" si="11"/>
        <v>0.3090169943749472</v>
      </c>
    </row>
    <row r="299" spans="2:4" x14ac:dyDescent="0.25">
      <c r="B299" s="521">
        <v>43</v>
      </c>
      <c r="C299" s="522">
        <f t="shared" ca="1" si="10"/>
        <v>0.1171066916075686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0.11983010304030278</v>
      </c>
      <c r="D300" s="523">
        <f t="shared" ca="1" si="11"/>
        <v>0.5877852522924729</v>
      </c>
    </row>
    <row r="301" spans="2:4" x14ac:dyDescent="0.25">
      <c r="B301" s="521">
        <v>45</v>
      </c>
      <c r="C301" s="522">
        <f t="shared" ca="1" si="10"/>
        <v>0.12255351447303692</v>
      </c>
      <c r="D301" s="523">
        <f t="shared" ca="1" si="11"/>
        <v>0.7071067811865467</v>
      </c>
    </row>
    <row r="302" spans="2:4" x14ac:dyDescent="0.25">
      <c r="B302" s="521">
        <v>46</v>
      </c>
      <c r="C302" s="522">
        <f t="shared" ca="1" si="10"/>
        <v>0.12527692590577108</v>
      </c>
      <c r="D302" s="523">
        <f t="shared" ca="1" si="11"/>
        <v>0.8090169943749472</v>
      </c>
    </row>
    <row r="303" spans="2:4" x14ac:dyDescent="0.25">
      <c r="B303" s="521">
        <v>47</v>
      </c>
      <c r="C303" s="522">
        <f t="shared" ca="1" si="10"/>
        <v>0.12800033733850524</v>
      </c>
      <c r="D303" s="523">
        <f t="shared" ca="1" si="11"/>
        <v>0.8910065241883677</v>
      </c>
    </row>
    <row r="304" spans="2:4" x14ac:dyDescent="0.25">
      <c r="B304" s="521">
        <v>48</v>
      </c>
      <c r="C304" s="522">
        <f t="shared" ca="1" si="10"/>
        <v>0.13072374877123938</v>
      </c>
      <c r="D304" s="523">
        <f t="shared" ca="1" si="11"/>
        <v>0.9510565162951532</v>
      </c>
    </row>
    <row r="305" spans="2:4" x14ac:dyDescent="0.25">
      <c r="B305" s="521">
        <v>49</v>
      </c>
      <c r="C305" s="522">
        <f t="shared" ca="1" si="10"/>
        <v>0.13344716020397354</v>
      </c>
      <c r="D305" s="523">
        <f t="shared" ca="1" si="11"/>
        <v>0.9876883405951377</v>
      </c>
    </row>
    <row r="306" spans="2:4" x14ac:dyDescent="0.25">
      <c r="B306" s="521">
        <v>50</v>
      </c>
      <c r="C306" s="522">
        <f t="shared" ca="1" si="10"/>
        <v>0.1361705716367077</v>
      </c>
      <c r="D306" s="523">
        <f t="shared" ca="1" si="11"/>
        <v>1.0</v>
      </c>
    </row>
    <row r="307" spans="2:4" x14ac:dyDescent="0.25">
      <c r="B307" s="521">
        <v>51</v>
      </c>
      <c r="C307" s="522">
        <f t="shared" ca="1" si="10"/>
        <v>0.13889398306944184</v>
      </c>
      <c r="D307" s="523">
        <f t="shared" ca="1" si="11"/>
        <v>0.9876883405951379</v>
      </c>
    </row>
    <row r="308" spans="2:4" x14ac:dyDescent="0.25">
      <c r="B308" s="521">
        <v>52</v>
      </c>
      <c r="C308" s="522">
        <f t="shared" ca="1" si="10"/>
        <v>0.141617394502176</v>
      </c>
      <c r="D308" s="523">
        <f t="shared" ca="1" si="11"/>
        <v>0.9510565162951536</v>
      </c>
    </row>
    <row r="309" spans="2:4" x14ac:dyDescent="0.25">
      <c r="B309" s="521">
        <v>53</v>
      </c>
      <c r="C309" s="522">
        <f t="shared" ca="1" si="10"/>
        <v>0.14434080593491014</v>
      </c>
      <c r="D309" s="523">
        <f t="shared" ca="1" si="11"/>
        <v>0.8910065241883685</v>
      </c>
    </row>
    <row r="310" spans="2:4" x14ac:dyDescent="0.25">
      <c r="B310" s="521">
        <v>54</v>
      </c>
      <c r="C310" s="522">
        <f t="shared" ca="1" si="10"/>
        <v>0.14706421736764433</v>
      </c>
      <c r="D310" s="523">
        <f t="shared" ca="1" si="11"/>
        <v>0.8090169943749477</v>
      </c>
    </row>
    <row r="311" spans="2:4" x14ac:dyDescent="0.25">
      <c r="B311" s="521">
        <v>55</v>
      </c>
      <c r="C311" s="522">
        <f t="shared" ca="1" si="10"/>
        <v>0.14978762880037846</v>
      </c>
      <c r="D311" s="523">
        <f t="shared" ca="1" si="11"/>
        <v>0.7071067811865483</v>
      </c>
    </row>
    <row r="312" spans="2:4" x14ac:dyDescent="0.25">
      <c r="B312" s="521">
        <v>56</v>
      </c>
      <c r="C312" s="522">
        <f t="shared" ca="1" si="10"/>
        <v>0.1525110402331126</v>
      </c>
      <c r="D312" s="523">
        <f t="shared" ca="1" si="11"/>
        <v>0.5877852522924748</v>
      </c>
    </row>
    <row r="313" spans="2:4" x14ac:dyDescent="0.25">
      <c r="B313" s="521">
        <v>57</v>
      </c>
      <c r="C313" s="522">
        <f t="shared" ca="1" si="10"/>
        <v>0.15523445166584676</v>
      </c>
      <c r="D313" s="523">
        <f t="shared" ca="1" si="11"/>
        <v>0.4539904997395479</v>
      </c>
    </row>
    <row r="314" spans="2:4" x14ac:dyDescent="0.25">
      <c r="B314" s="521">
        <v>58</v>
      </c>
      <c r="C314" s="522">
        <f t="shared" ca="1" si="10"/>
        <v>0.15795786309858093</v>
      </c>
      <c r="D314" s="523">
        <f t="shared" ca="1" si="11"/>
        <v>0.3090169943749478</v>
      </c>
    </row>
    <row r="315" spans="2:4" x14ac:dyDescent="0.25">
      <c r="B315" s="521">
        <v>59</v>
      </c>
      <c r="C315" s="522">
        <f t="shared" ca="1" si="10"/>
        <v>0.1606812745313151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0.16340468596404922</v>
      </c>
      <c r="D316" s="523">
        <f t="shared" ca="1" si="11"/>
        <v>2.1437508791444563e-15</v>
      </c>
    </row>
    <row r="317" spans="2:4" x14ac:dyDescent="0.25">
      <c r="B317" s="521">
        <v>61</v>
      </c>
      <c r="C317" s="522">
        <f t="shared" ca="1" si="10"/>
        <v>0.1661280973967834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0.16885150882951755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0.17157492026225168</v>
      </c>
      <c r="D319" s="523">
        <f t="shared" ca="1" si="11"/>
        <v>-0.45399049973954564</v>
      </c>
    </row>
    <row r="320" spans="2:4" x14ac:dyDescent="0.25">
      <c r="B320" s="521">
        <v>64</v>
      </c>
      <c r="C320" s="522">
        <f t="shared" ref="C320:C376" ca="1" si="12">B320/40/$C$29</f>
        <v>0.17429833169498585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0.17702174312772</v>
      </c>
      <c r="D321" s="523">
        <f t="shared" ca="1" si="13"/>
        <v>-0.7071067811865479</v>
      </c>
    </row>
    <row r="322" spans="2:4" x14ac:dyDescent="0.25">
      <c r="B322" s="521">
        <v>66</v>
      </c>
      <c r="C322" s="522">
        <f t="shared" ca="1" si="12"/>
        <v>0.17974515456045415</v>
      </c>
      <c r="D322" s="523">
        <f t="shared" ca="1" si="13"/>
        <v>-0.8090169943749461</v>
      </c>
    </row>
    <row r="323" spans="2:4" x14ac:dyDescent="0.25">
      <c r="B323" s="521">
        <v>67</v>
      </c>
      <c r="C323" s="522">
        <f t="shared" ca="1" si="12"/>
        <v>0.1824685659931883</v>
      </c>
      <c r="D323" s="523">
        <f t="shared" ca="1" si="13"/>
        <v>-0.8910065241883672</v>
      </c>
    </row>
    <row r="324" spans="2:4" x14ac:dyDescent="0.25">
      <c r="B324" s="521">
        <v>68</v>
      </c>
      <c r="C324" s="522">
        <f t="shared" ca="1" si="12"/>
        <v>0.18519197742592244</v>
      </c>
      <c r="D324" s="523">
        <f t="shared" ca="1" si="13"/>
        <v>-0.9510565162951529</v>
      </c>
    </row>
    <row r="325" spans="2:4" x14ac:dyDescent="0.25">
      <c r="B325" s="521">
        <v>69</v>
      </c>
      <c r="C325" s="522">
        <f t="shared" ca="1" si="12"/>
        <v>0.18791538885865663</v>
      </c>
      <c r="D325" s="523">
        <f t="shared" ca="1" si="13"/>
        <v>-0.9876883405951378</v>
      </c>
    </row>
    <row r="326" spans="2:4" x14ac:dyDescent="0.25">
      <c r="B326" s="521">
        <v>70</v>
      </c>
      <c r="C326" s="522">
        <f t="shared" ca="1" si="12"/>
        <v>0.19063880029139077</v>
      </c>
      <c r="D326" s="523">
        <f t="shared" ca="1" si="13"/>
        <v>-1.0</v>
      </c>
    </row>
    <row r="327" spans="2:4" x14ac:dyDescent="0.25">
      <c r="B327" s="521">
        <v>71</v>
      </c>
      <c r="C327" s="522">
        <f t="shared" ca="1" si="12"/>
        <v>0.1933622117241249</v>
      </c>
      <c r="D327" s="523">
        <f t="shared" ca="1" si="13"/>
        <v>-0.9876883405951379</v>
      </c>
    </row>
    <row r="328" spans="2:4" x14ac:dyDescent="0.25">
      <c r="B328" s="521">
        <v>72</v>
      </c>
      <c r="C328" s="522">
        <f t="shared" ca="1" si="12"/>
        <v>0.1960856231568591</v>
      </c>
      <c r="D328" s="523">
        <f t="shared" ca="1" si="13"/>
        <v>-0.9510565162951538</v>
      </c>
    </row>
    <row r="329" spans="2:4" x14ac:dyDescent="0.25">
      <c r="B329" s="521">
        <v>73</v>
      </c>
      <c r="C329" s="522">
        <f t="shared" ca="1" si="12"/>
        <v>0.19880903458959323</v>
      </c>
      <c r="D329" s="523">
        <f t="shared" ca="1" si="13"/>
        <v>-0.8910065241883685</v>
      </c>
    </row>
    <row r="330" spans="2:4" x14ac:dyDescent="0.25">
      <c r="B330" s="521">
        <v>74</v>
      </c>
      <c r="C330" s="522">
        <f t="shared" ca="1" si="12"/>
        <v>0.2015324460223274</v>
      </c>
      <c r="D330" s="523">
        <f t="shared" ca="1" si="13"/>
        <v>-0.8090169943749477</v>
      </c>
    </row>
    <row r="331" spans="2:4" x14ac:dyDescent="0.25">
      <c r="B331" s="521">
        <v>75</v>
      </c>
      <c r="C331" s="522">
        <f t="shared" ca="1" si="12"/>
        <v>0.20425585745506153</v>
      </c>
      <c r="D331" s="523">
        <f t="shared" ca="1" si="13"/>
        <v>-0.7071067811865485</v>
      </c>
    </row>
    <row r="332" spans="2:4" x14ac:dyDescent="0.25">
      <c r="B332" s="521">
        <v>76</v>
      </c>
      <c r="C332" s="522">
        <f t="shared" ca="1" si="12"/>
        <v>0.2069792688877957</v>
      </c>
      <c r="D332" s="523">
        <f t="shared" ca="1" si="13"/>
        <v>-0.5877852522924735</v>
      </c>
    </row>
    <row r="333" spans="2:4" x14ac:dyDescent="0.25">
      <c r="B333" s="521">
        <v>77</v>
      </c>
      <c r="C333" s="522">
        <f t="shared" ca="1" si="12"/>
        <v>0.20970268032052986</v>
      </c>
      <c r="D333" s="523">
        <f t="shared" ca="1" si="13"/>
        <v>-0.453990499739548</v>
      </c>
    </row>
    <row r="334" spans="2:4" x14ac:dyDescent="0.25">
      <c r="B334" s="521">
        <v>78</v>
      </c>
      <c r="C334" s="522">
        <f t="shared" ca="1" si="12"/>
        <v>0.212426091753264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0.21514950318599815</v>
      </c>
      <c r="D335" s="523">
        <f t="shared" ca="1" si="13"/>
        <v>-0.15643446504023223</v>
      </c>
    </row>
    <row r="336" spans="2:4" x14ac:dyDescent="0.25">
      <c r="B336" s="521">
        <v>80</v>
      </c>
      <c r="C336" s="522">
        <f t="shared" ca="1" si="12"/>
        <v>0.21787291461873232</v>
      </c>
      <c r="D336" s="523">
        <f t="shared" ca="1" si="13"/>
        <v>-4.898587196589413e-16</v>
      </c>
    </row>
    <row r="337" spans="2:4" x14ac:dyDescent="0.25">
      <c r="B337" s="521">
        <v>81</v>
      </c>
      <c r="C337" s="522">
        <f t="shared" ca="1" si="12"/>
        <v>0.22059632605146645</v>
      </c>
      <c r="D337" s="523">
        <f t="shared" ca="1" si="13"/>
        <v>0.1564344650402295</v>
      </c>
    </row>
    <row r="338" spans="2:4" x14ac:dyDescent="0.25">
      <c r="B338" s="521">
        <v>82</v>
      </c>
      <c r="C338" s="522">
        <f t="shared" ca="1" si="12"/>
        <v>0.2233197374842006</v>
      </c>
      <c r="D338" s="523">
        <f t="shared" ca="1" si="13"/>
        <v>0.30901699437494523</v>
      </c>
    </row>
    <row r="339" spans="2:4" x14ac:dyDescent="0.25">
      <c r="B339" s="521">
        <v>83</v>
      </c>
      <c r="C339" s="522">
        <f t="shared" ca="1" si="12"/>
        <v>0.22604314891693478</v>
      </c>
      <c r="D339" s="523">
        <f t="shared" ca="1" si="13"/>
        <v>0.4539904997395455</v>
      </c>
    </row>
    <row r="340" spans="2:4" x14ac:dyDescent="0.25">
      <c r="B340" s="521">
        <v>84</v>
      </c>
      <c r="C340" s="522">
        <f t="shared" ca="1" si="12"/>
        <v>0.22876656034966894</v>
      </c>
      <c r="D340" s="523">
        <f t="shared" ca="1" si="13"/>
        <v>0.5877852522924727</v>
      </c>
    </row>
    <row r="341" spans="2:4" x14ac:dyDescent="0.25">
      <c r="B341" s="521">
        <v>85</v>
      </c>
      <c r="C341" s="522">
        <f t="shared" ca="1" si="12"/>
        <v>0.23148997178240308</v>
      </c>
      <c r="D341" s="523">
        <f t="shared" ca="1" si="13"/>
        <v>0.7071067811865466</v>
      </c>
    </row>
    <row r="342" spans="2:4" x14ac:dyDescent="0.25">
      <c r="B342" s="521">
        <v>86</v>
      </c>
      <c r="C342" s="522">
        <f t="shared" ca="1" si="12"/>
        <v>0.2342133832151372</v>
      </c>
      <c r="D342" s="523">
        <f t="shared" ca="1" si="13"/>
        <v>0.8090169943749461</v>
      </c>
    </row>
    <row r="343" spans="2:4" x14ac:dyDescent="0.25">
      <c r="B343" s="521">
        <v>87</v>
      </c>
      <c r="C343" s="522">
        <f t="shared" ca="1" si="12"/>
        <v>0.23693679464787137</v>
      </c>
      <c r="D343" s="523">
        <f t="shared" ca="1" si="13"/>
        <v>0.8910065241883672</v>
      </c>
    </row>
    <row r="344" spans="2:4" x14ac:dyDescent="0.25">
      <c r="B344" s="521">
        <v>88</v>
      </c>
      <c r="C344" s="522">
        <f t="shared" ca="1" si="12"/>
        <v>0.23966020608060556</v>
      </c>
      <c r="D344" s="523">
        <f t="shared" ca="1" si="13"/>
        <v>0.9510565162951534</v>
      </c>
    </row>
    <row r="345" spans="2:4" x14ac:dyDescent="0.25">
      <c r="B345" s="521">
        <v>89</v>
      </c>
      <c r="C345" s="522">
        <f t="shared" ca="1" si="12"/>
        <v>0.2423836175133397</v>
      </c>
      <c r="D345" s="523">
        <f t="shared" ca="1" si="13"/>
        <v>0.9876883405951375</v>
      </c>
    </row>
    <row r="346" spans="2:4" x14ac:dyDescent="0.25">
      <c r="B346" s="521">
        <v>90</v>
      </c>
      <c r="C346" s="522">
        <f t="shared" ca="1" si="12"/>
        <v>0.24510702894607383</v>
      </c>
      <c r="D346" s="523">
        <f t="shared" ca="1" si="13"/>
        <v>1.0</v>
      </c>
    </row>
    <row r="347" spans="2:4" x14ac:dyDescent="0.25">
      <c r="B347" s="521">
        <v>91</v>
      </c>
      <c r="C347" s="522">
        <f t="shared" ca="1" si="12"/>
        <v>0.247830440378808</v>
      </c>
      <c r="D347" s="523">
        <f t="shared" ca="1" si="13"/>
        <v>0.987688340595138</v>
      </c>
    </row>
    <row r="348" spans="2:4" x14ac:dyDescent="0.25">
      <c r="B348" s="521">
        <v>92</v>
      </c>
      <c r="C348" s="522">
        <f t="shared" ca="1" si="12"/>
        <v>0.25055385181154216</v>
      </c>
      <c r="D348" s="523">
        <f t="shared" ca="1" si="13"/>
        <v>0.9510565162951538</v>
      </c>
    </row>
    <row r="349" spans="2:4" x14ac:dyDescent="0.25">
      <c r="B349" s="521">
        <v>93</v>
      </c>
      <c r="C349" s="522">
        <f t="shared" ca="1" si="12"/>
        <v>0.25327726324427635</v>
      </c>
      <c r="D349" s="523">
        <f t="shared" ca="1" si="13"/>
        <v>0.8910065241883677</v>
      </c>
    </row>
    <row r="350" spans="2:4" x14ac:dyDescent="0.25">
      <c r="B350" s="521">
        <v>94</v>
      </c>
      <c r="C350" s="522">
        <f t="shared" ca="1" si="12"/>
        <v>0.2560006746770105</v>
      </c>
      <c r="D350" s="523">
        <f t="shared" ca="1" si="13"/>
        <v>0.8090169943749478</v>
      </c>
    </row>
    <row r="351" spans="2:4" x14ac:dyDescent="0.25">
      <c r="B351" s="521">
        <v>95</v>
      </c>
      <c r="C351" s="522">
        <f t="shared" ca="1" si="12"/>
        <v>0.2587240861097446</v>
      </c>
      <c r="D351" s="523">
        <f t="shared" ca="1" si="13"/>
        <v>0.7071067811865486</v>
      </c>
    </row>
    <row r="352" spans="2:4" x14ac:dyDescent="0.25">
      <c r="B352" s="521">
        <v>96</v>
      </c>
      <c r="C352" s="522">
        <f t="shared" ca="1" si="12"/>
        <v>0.26144749754247876</v>
      </c>
      <c r="D352" s="523">
        <f t="shared" ca="1" si="13"/>
        <v>0.587785252292475</v>
      </c>
    </row>
    <row r="353" spans="2:4" x14ac:dyDescent="0.25">
      <c r="B353" s="521">
        <v>97</v>
      </c>
      <c r="C353" s="522">
        <f t="shared" ca="1" si="12"/>
        <v>0.2641709089752129</v>
      </c>
      <c r="D353" s="523">
        <f t="shared" ca="1" si="13"/>
        <v>0.4539904997395497</v>
      </c>
    </row>
    <row r="354" spans="2:4" x14ac:dyDescent="0.25">
      <c r="B354" s="521">
        <v>98</v>
      </c>
      <c r="C354" s="522">
        <f t="shared" ca="1" si="12"/>
        <v>0.2668943204079471</v>
      </c>
      <c r="D354" s="523">
        <f t="shared" ca="1" si="13"/>
        <v>0.309016994374948</v>
      </c>
    </row>
    <row r="355" spans="2:4" x14ac:dyDescent="0.25">
      <c r="B355" s="521">
        <v>99</v>
      </c>
      <c r="C355" s="522">
        <f t="shared" ca="1" si="12"/>
        <v>0.2696177318406812</v>
      </c>
      <c r="D355" s="523">
        <f t="shared" ca="1" si="13"/>
        <v>0.15643446504023234</v>
      </c>
    </row>
    <row r="356" spans="2:4" x14ac:dyDescent="0.25">
      <c r="B356" s="521">
        <v>100</v>
      </c>
      <c r="C356" s="522">
        <f t="shared" ca="1" si="12"/>
        <v>0.2723411432734154</v>
      </c>
      <c r="D356" s="523">
        <f t="shared" ca="1" si="13"/>
        <v>6.123233995736766e-16</v>
      </c>
    </row>
    <row r="357" spans="2:4" x14ac:dyDescent="0.25">
      <c r="B357" s="521">
        <v>101</v>
      </c>
      <c r="C357" s="522">
        <f t="shared" ca="1" si="12"/>
        <v>0.27506455470614954</v>
      </c>
      <c r="D357" s="523">
        <f t="shared" ca="1" si="13"/>
        <v>-0.15643446504022937</v>
      </c>
    </row>
    <row r="358" spans="2:4" x14ac:dyDescent="0.25">
      <c r="B358" s="521">
        <v>102</v>
      </c>
      <c r="C358" s="522">
        <f t="shared" ca="1" si="12"/>
        <v>0.2777879661388837</v>
      </c>
      <c r="D358" s="523">
        <f t="shared" ca="1" si="13"/>
        <v>-0.3090169943749451</v>
      </c>
    </row>
    <row r="359" spans="2:4" x14ac:dyDescent="0.25">
      <c r="B359" s="521">
        <v>103</v>
      </c>
      <c r="C359" s="522">
        <f t="shared" ca="1" si="12"/>
        <v>0.28051137757161787</v>
      </c>
      <c r="D359" s="523">
        <f t="shared" ca="1" si="13"/>
        <v>-0.4539904997395454</v>
      </c>
    </row>
    <row r="360" spans="2:4" x14ac:dyDescent="0.25">
      <c r="B360" s="521">
        <v>104</v>
      </c>
      <c r="C360" s="522">
        <f t="shared" ca="1" si="12"/>
        <v>0.283234789004352</v>
      </c>
      <c r="D360" s="523">
        <f t="shared" ca="1" si="13"/>
        <v>-0.5877852522924726</v>
      </c>
    </row>
    <row r="361" spans="2:4" x14ac:dyDescent="0.25">
      <c r="B361" s="521">
        <v>105</v>
      </c>
      <c r="C361" s="522">
        <f t="shared" ca="1" si="12"/>
        <v>0.28595820043708614</v>
      </c>
      <c r="D361" s="523">
        <f t="shared" ca="1" si="13"/>
        <v>-0.7071067811865452</v>
      </c>
    </row>
    <row r="362" spans="2:4" x14ac:dyDescent="0.25">
      <c r="B362" s="521">
        <v>106</v>
      </c>
      <c r="C362" s="522">
        <f t="shared" ca="1" si="12"/>
        <v>0.2886816118698203</v>
      </c>
      <c r="D362" s="523">
        <f t="shared" ca="1" si="13"/>
        <v>-0.809016994374946</v>
      </c>
    </row>
    <row r="363" spans="2:4" x14ac:dyDescent="0.25">
      <c r="B363" s="521">
        <v>107</v>
      </c>
      <c r="C363" s="522">
        <f t="shared" ca="1" si="12"/>
        <v>0.29140502330255447</v>
      </c>
      <c r="D363" s="523">
        <f t="shared" ca="1" si="13"/>
        <v>-0.8910065241883671</v>
      </c>
    </row>
    <row r="364" spans="2:4" x14ac:dyDescent="0.25">
      <c r="B364" s="521">
        <v>108</v>
      </c>
      <c r="C364" s="522">
        <f t="shared" ca="1" si="12"/>
        <v>0.29412843473528866</v>
      </c>
      <c r="D364" s="523">
        <f t="shared" ca="1" si="13"/>
        <v>-0.9510565162951534</v>
      </c>
    </row>
    <row r="365" spans="2:4" x14ac:dyDescent="0.25">
      <c r="B365" s="521">
        <v>109</v>
      </c>
      <c r="C365" s="522">
        <f t="shared" ca="1" si="12"/>
        <v>0.2968518461680228</v>
      </c>
      <c r="D365" s="523">
        <f t="shared" ca="1" si="13"/>
        <v>-0.9876883405951378</v>
      </c>
    </row>
    <row r="366" spans="2:4" x14ac:dyDescent="0.25">
      <c r="B366" s="521">
        <v>110</v>
      </c>
      <c r="C366" s="522">
        <f t="shared" ca="1" si="12"/>
        <v>0.29957525760075693</v>
      </c>
      <c r="D366" s="523">
        <f t="shared" ca="1" si="13"/>
        <v>-1.0</v>
      </c>
    </row>
    <row r="367" spans="2:4" x14ac:dyDescent="0.25">
      <c r="B367" s="521">
        <v>111</v>
      </c>
      <c r="C367" s="522">
        <f t="shared" ca="1" si="12"/>
        <v>0.30229866903349106</v>
      </c>
      <c r="D367" s="523">
        <f t="shared" ca="1" si="13"/>
        <v>-0.987688340595138</v>
      </c>
    </row>
    <row r="368" spans="2:4" x14ac:dyDescent="0.25">
      <c r="B368" s="521">
        <v>112</v>
      </c>
      <c r="C368" s="522">
        <f t="shared" ca="1" si="12"/>
        <v>0.3050220804662252</v>
      </c>
      <c r="D368" s="523">
        <f t="shared" ca="1" si="13"/>
        <v>-0.9510565162951549</v>
      </c>
    </row>
    <row r="369" spans="2:4" x14ac:dyDescent="0.25">
      <c r="B369" s="521">
        <v>113</v>
      </c>
      <c r="C369" s="522">
        <f t="shared" ca="1" si="12"/>
        <v>0.3077454918989594</v>
      </c>
      <c r="D369" s="523">
        <f t="shared" ca="1" si="13"/>
        <v>-0.8910065241883678</v>
      </c>
    </row>
    <row r="370" spans="2:4" x14ac:dyDescent="0.25">
      <c r="B370" s="521">
        <v>114</v>
      </c>
      <c r="C370" s="522">
        <f t="shared" ca="1" si="12"/>
        <v>0.3104689033316935</v>
      </c>
      <c r="D370" s="523">
        <f t="shared" ca="1" si="13"/>
        <v>-0.8090169943749489</v>
      </c>
    </row>
    <row r="371" spans="2:4" x14ac:dyDescent="0.25">
      <c r="B371" s="521">
        <v>115</v>
      </c>
      <c r="C371" s="522">
        <f t="shared" ca="1" si="12"/>
        <v>0.3131923147644277</v>
      </c>
      <c r="D371" s="523">
        <f t="shared" ca="1" si="13"/>
        <v>-0.7071067811865487</v>
      </c>
    </row>
    <row r="372" spans="2:4" x14ac:dyDescent="0.25">
      <c r="B372" s="521">
        <v>116</v>
      </c>
      <c r="C372" s="522">
        <f t="shared" ca="1" si="12"/>
        <v>0.31591572619716185</v>
      </c>
      <c r="D372" s="523">
        <f t="shared" ca="1" si="13"/>
        <v>-0.5877852522924737</v>
      </c>
    </row>
    <row r="373" spans="2:4" x14ac:dyDescent="0.25">
      <c r="B373" s="521">
        <v>117</v>
      </c>
      <c r="C373" s="522">
        <f t="shared" ca="1" si="12"/>
        <v>0.318639137629896</v>
      </c>
      <c r="D373" s="523">
        <f t="shared" ca="1" si="13"/>
        <v>-0.4539904997395498</v>
      </c>
    </row>
    <row r="374" spans="2:4" x14ac:dyDescent="0.25">
      <c r="B374" s="521">
        <v>118</v>
      </c>
      <c r="C374" s="522">
        <f t="shared" ca="1" si="12"/>
        <v>0.3213625490626302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0.3240859604953643</v>
      </c>
      <c r="D375" s="523">
        <f t="shared" ca="1" si="13"/>
        <v>-0.15643446504023248</v>
      </c>
    </row>
    <row r="376" spans="2:4" x14ac:dyDescent="0.25">
      <c r="B376" s="521">
        <v>120</v>
      </c>
      <c r="C376" s="522">
        <f t="shared" ca="1" si="12"/>
        <v>0.32680937192809845</v>
      </c>
      <c r="D376" s="523">
        <f t="shared" ca="1" si="13"/>
        <v>-4.287501758288913e-15</v>
      </c>
    </row>
    <row r="379" spans="2:4" x14ac:dyDescent="0.25">
      <c r="B379" s="516" t="s">
        <v>1122</v>
      </c>
    </row>
    <row r="380" spans="2:4" x14ac:dyDescent="0.25">
      <c r="B380" s="516" t="s">
        <v>1119</v>
      </c>
      <c r="C380" s="516" t="s">
        <v>1120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0.0</v>
      </c>
    </row>
    <row r="382" spans="2:4" x14ac:dyDescent="0.25">
      <c r="B382" s="521">
        <v>1</v>
      </c>
      <c r="C382" s="522">
        <f t="shared" ca="1" si="14"/>
        <v>0.0036703248706209182</v>
      </c>
      <c r="D382" s="523">
        <f t="shared" ca="1" si="15"/>
        <v>0.15643446504023087</v>
      </c>
    </row>
    <row r="383" spans="2:4" x14ac:dyDescent="0.25">
      <c r="B383" s="521">
        <v>2</v>
      </c>
      <c r="C383" s="522">
        <f t="shared" ca="1" si="14"/>
        <v>0.0073406497412418364</v>
      </c>
      <c r="D383" s="523">
        <f t="shared" ca="1" si="15"/>
        <v>0.3090169943749474</v>
      </c>
    </row>
    <row r="384" spans="2:4" x14ac:dyDescent="0.25">
      <c r="B384" s="521">
        <v>3</v>
      </c>
      <c r="C384" s="522">
        <f t="shared" ca="1" si="14"/>
        <v>0.011010974611862753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0.014681299482483673</v>
      </c>
      <c r="D385" s="523">
        <f t="shared" ca="1" si="15"/>
        <v>0.5877852522924731</v>
      </c>
    </row>
    <row r="386" spans="2:4" x14ac:dyDescent="0.25">
      <c r="B386" s="521">
        <v>5</v>
      </c>
      <c r="C386" s="522">
        <f t="shared" ca="1" si="14"/>
        <v>0.01835162435310459</v>
      </c>
      <c r="D386" s="523">
        <f t="shared" ca="1" si="15"/>
        <v>0.7071067811865475</v>
      </c>
    </row>
    <row r="387" spans="2:4" x14ac:dyDescent="0.25">
      <c r="B387" s="521">
        <v>6</v>
      </c>
      <c r="C387" s="522">
        <f t="shared" ca="1" si="14"/>
        <v>0.022021949223725506</v>
      </c>
      <c r="D387" s="523">
        <f t="shared" ca="1" si="15"/>
        <v>0.8090169943749473</v>
      </c>
    </row>
    <row r="388" spans="2:4" x14ac:dyDescent="0.25">
      <c r="B388" s="521">
        <v>7</v>
      </c>
      <c r="C388" s="522">
        <f t="shared" ca="1" si="14"/>
        <v>0.025692274094346424</v>
      </c>
      <c r="D388" s="523">
        <f t="shared" ca="1" si="15"/>
        <v>0.8910065241883678</v>
      </c>
    </row>
    <row r="389" spans="2:4" x14ac:dyDescent="0.25">
      <c r="B389" s="521">
        <v>8</v>
      </c>
      <c r="C389" s="522">
        <f t="shared" ca="1" si="14"/>
        <v>0.029362598964967346</v>
      </c>
      <c r="D389" s="523">
        <f t="shared" ca="1" si="15"/>
        <v>0.9510565162951535</v>
      </c>
    </row>
    <row r="390" spans="2:4" x14ac:dyDescent="0.25">
      <c r="B390" s="521">
        <v>9</v>
      </c>
      <c r="C390" s="522">
        <f t="shared" ca="1" si="14"/>
        <v>0.033032923835588264</v>
      </c>
      <c r="D390" s="523">
        <f t="shared" ca="1" si="15"/>
        <v>0.9876883405951378</v>
      </c>
    </row>
    <row r="391" spans="2:4" x14ac:dyDescent="0.25">
      <c r="B391" s="521">
        <v>10</v>
      </c>
      <c r="C391" s="522">
        <f t="shared" ca="1" si="14"/>
        <v>0.03670324870620918</v>
      </c>
      <c r="D391" s="523">
        <f t="shared" ca="1" si="15"/>
        <v>1.0</v>
      </c>
    </row>
    <row r="392" spans="2:4" x14ac:dyDescent="0.25">
      <c r="B392" s="521">
        <v>11</v>
      </c>
      <c r="C392" s="522">
        <f t="shared" ca="1" si="14"/>
        <v>0.0403735735768301</v>
      </c>
      <c r="D392" s="523">
        <f t="shared" ca="1" si="15"/>
        <v>0.9876883405951378</v>
      </c>
    </row>
    <row r="393" spans="2:4" x14ac:dyDescent="0.25">
      <c r="B393" s="521">
        <v>12</v>
      </c>
      <c r="C393" s="522">
        <f t="shared" ca="1" si="14"/>
        <v>0.04404389844745101</v>
      </c>
      <c r="D393" s="523">
        <f t="shared" ca="1" si="15"/>
        <v>0.9510565162951536</v>
      </c>
    </row>
    <row r="394" spans="2:4" x14ac:dyDescent="0.25">
      <c r="B394" s="521">
        <v>13</v>
      </c>
      <c r="C394" s="522">
        <f t="shared" ca="1" si="14"/>
        <v>0.04771422331807194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0.05138454818869285</v>
      </c>
      <c r="D395" s="523">
        <f t="shared" ca="1" si="15"/>
        <v>0.8090169943749478</v>
      </c>
    </row>
    <row r="396" spans="2:4" x14ac:dyDescent="0.25">
      <c r="B396" s="521">
        <v>15</v>
      </c>
      <c r="C396" s="522">
        <f t="shared" ca="1" si="14"/>
        <v>0.055054873059313766</v>
      </c>
      <c r="D396" s="523">
        <f t="shared" ca="1" si="15"/>
        <v>0.7071067811865479</v>
      </c>
    </row>
    <row r="397" spans="2:4" x14ac:dyDescent="0.25">
      <c r="B397" s="521">
        <v>16</v>
      </c>
      <c r="C397" s="522">
        <f t="shared" ca="1" si="14"/>
        <v>0.05872519792993469</v>
      </c>
      <c r="D397" s="523">
        <f t="shared" ca="1" si="15"/>
        <v>0.5877852522924732</v>
      </c>
    </row>
    <row r="398" spans="2:4" x14ac:dyDescent="0.25">
      <c r="B398" s="521">
        <v>17</v>
      </c>
      <c r="C398" s="522">
        <f t="shared" ca="1" si="14"/>
        <v>0.0623955228005556</v>
      </c>
      <c r="D398" s="523">
        <f t="shared" ca="1" si="15"/>
        <v>0.4539904997395473</v>
      </c>
    </row>
    <row r="399" spans="2:4" x14ac:dyDescent="0.25">
      <c r="B399" s="521">
        <v>18</v>
      </c>
      <c r="C399" s="522">
        <f t="shared" ca="1" si="14"/>
        <v>0.06606584767117653</v>
      </c>
      <c r="D399" s="523">
        <f t="shared" ca="1" si="15"/>
        <v>0.3090169943749475</v>
      </c>
    </row>
    <row r="400" spans="2:4" x14ac:dyDescent="0.25">
      <c r="B400" s="521">
        <v>19</v>
      </c>
      <c r="C400" s="522">
        <f t="shared" ca="1" si="14"/>
        <v>0.06973617254179744</v>
      </c>
      <c r="D400" s="523">
        <f t="shared" ca="1" si="15"/>
        <v>0.15643446504023098</v>
      </c>
    </row>
    <row r="401" spans="2:4" x14ac:dyDescent="0.25">
      <c r="B401" s="521">
        <v>20</v>
      </c>
      <c r="C401" s="522">
        <f t="shared" ca="1" si="14"/>
        <v>0.07340649741241836</v>
      </c>
      <c r="D401" s="523">
        <f t="shared" ca="1" si="15"/>
        <v>1.2246467991473532e-16</v>
      </c>
    </row>
    <row r="402" spans="2:4" x14ac:dyDescent="0.25">
      <c r="B402" s="521">
        <v>21</v>
      </c>
      <c r="C402" s="522">
        <f t="shared" ca="1" si="14"/>
        <v>0.07707682228303928</v>
      </c>
      <c r="D402" s="523">
        <f t="shared" ca="1" si="15"/>
        <v>-0.15643446504023073</v>
      </c>
    </row>
    <row r="403" spans="2:4" x14ac:dyDescent="0.25">
      <c r="B403" s="521">
        <v>22</v>
      </c>
      <c r="C403" s="522">
        <f t="shared" ca="1" si="14"/>
        <v>0.0807471471536602</v>
      </c>
      <c r="D403" s="523">
        <f t="shared" ca="1" si="15"/>
        <v>-0.3090169943749473</v>
      </c>
    </row>
    <row r="404" spans="2:4" x14ac:dyDescent="0.25">
      <c r="B404" s="521">
        <v>23</v>
      </c>
      <c r="C404" s="522">
        <f t="shared" ca="1" si="14"/>
        <v>0.08441747202428111</v>
      </c>
      <c r="D404" s="523">
        <f t="shared" ca="1" si="15"/>
        <v>-0.4539904997395467</v>
      </c>
    </row>
    <row r="405" spans="2:4" x14ac:dyDescent="0.25">
      <c r="B405" s="521">
        <v>24</v>
      </c>
      <c r="C405" s="522">
        <f t="shared" ca="1" si="14"/>
        <v>0.08808779689490202</v>
      </c>
      <c r="D405" s="523">
        <f t="shared" ca="1" si="15"/>
        <v>-0.5877852522924727</v>
      </c>
    </row>
    <row r="406" spans="2:4" x14ac:dyDescent="0.25">
      <c r="B406" s="521">
        <v>25</v>
      </c>
      <c r="C406" s="522">
        <f t="shared" ca="1" si="14"/>
        <v>0.09175812176552295</v>
      </c>
      <c r="D406" s="523">
        <f t="shared" ca="1" si="15"/>
        <v>-0.7071067811865475</v>
      </c>
    </row>
    <row r="407" spans="2:4" x14ac:dyDescent="0.25">
      <c r="B407" s="521">
        <v>26</v>
      </c>
      <c r="C407" s="522">
        <f t="shared" ca="1" si="14"/>
        <v>0.09542844663614387</v>
      </c>
      <c r="D407" s="523">
        <f t="shared" ca="1" si="15"/>
        <v>-0.8090169943749473</v>
      </c>
    </row>
    <row r="408" spans="2:4" x14ac:dyDescent="0.25">
      <c r="B408" s="521">
        <v>27</v>
      </c>
      <c r="C408" s="522">
        <f t="shared" ca="1" si="14"/>
        <v>0.09909877150676479</v>
      </c>
      <c r="D408" s="523">
        <f t="shared" ca="1" si="15"/>
        <v>-0.8910065241883678</v>
      </c>
    </row>
    <row r="409" spans="2:4" x14ac:dyDescent="0.25">
      <c r="B409" s="521">
        <v>28</v>
      </c>
      <c r="C409" s="522">
        <f t="shared" ca="1" si="14"/>
        <v>0.1027690963773857</v>
      </c>
      <c r="D409" s="523">
        <f t="shared" ca="1" si="15"/>
        <v>-0.9510565162951532</v>
      </c>
    </row>
    <row r="410" spans="2:4" x14ac:dyDescent="0.25">
      <c r="B410" s="521">
        <v>29</v>
      </c>
      <c r="C410" s="522">
        <f t="shared" ca="1" si="14"/>
        <v>0.10643942124800662</v>
      </c>
      <c r="D410" s="523">
        <f t="shared" ca="1" si="15"/>
        <v>-0.9876883405951377</v>
      </c>
    </row>
    <row r="411" spans="2:4" x14ac:dyDescent="0.25">
      <c r="B411" s="521">
        <v>30</v>
      </c>
      <c r="C411" s="522">
        <f t="shared" ca="1" si="14"/>
        <v>0.11010974611862753</v>
      </c>
      <c r="D411" s="523">
        <f t="shared" ca="1" si="15"/>
        <v>-1.0</v>
      </c>
    </row>
    <row r="412" spans="2:4" x14ac:dyDescent="0.25">
      <c r="B412" s="521">
        <v>31</v>
      </c>
      <c r="C412" s="522">
        <f t="shared" ca="1" si="14"/>
        <v>0.11378007098924846</v>
      </c>
      <c r="D412" s="523">
        <f t="shared" ca="1" si="15"/>
        <v>-0.9876883405951378</v>
      </c>
    </row>
    <row r="413" spans="2:4" x14ac:dyDescent="0.25">
      <c r="B413" s="521">
        <v>32</v>
      </c>
      <c r="C413" s="522">
        <f t="shared" ca="1" si="14"/>
        <v>0.11745039585986938</v>
      </c>
      <c r="D413" s="523">
        <f t="shared" ca="1" si="15"/>
        <v>-0.9510565162951536</v>
      </c>
    </row>
    <row r="414" spans="2:4" x14ac:dyDescent="0.25">
      <c r="B414" s="521">
        <v>33</v>
      </c>
      <c r="C414" s="522">
        <f t="shared" ca="1" si="14"/>
        <v>0.12112072073049028</v>
      </c>
      <c r="D414" s="523">
        <f t="shared" ca="1" si="15"/>
        <v>-0.8910065241883683</v>
      </c>
    </row>
    <row r="415" spans="2:4" x14ac:dyDescent="0.25">
      <c r="B415" s="521">
        <v>34</v>
      </c>
      <c r="C415" s="522">
        <f t="shared" ca="1" si="14"/>
        <v>0.1247910456011112</v>
      </c>
      <c r="D415" s="523">
        <f t="shared" ca="1" si="15"/>
        <v>-0.8090169943749481</v>
      </c>
    </row>
    <row r="416" spans="2:4" x14ac:dyDescent="0.25">
      <c r="B416" s="521">
        <v>35</v>
      </c>
      <c r="C416" s="522">
        <f t="shared" ca="1" si="14"/>
        <v>0.12846137047173212</v>
      </c>
      <c r="D416" s="523">
        <f t="shared" ca="1" si="15"/>
        <v>-0.7071067811865483</v>
      </c>
    </row>
    <row r="417" spans="2:4" x14ac:dyDescent="0.25">
      <c r="B417" s="521">
        <v>36</v>
      </c>
      <c r="C417" s="522">
        <f t="shared" ca="1" si="14"/>
        <v>0.13213169534235306</v>
      </c>
      <c r="D417" s="523">
        <f t="shared" ca="1" si="15"/>
        <v>-0.5877852522924734</v>
      </c>
    </row>
    <row r="418" spans="2:4" x14ac:dyDescent="0.25">
      <c r="B418" s="521">
        <v>37</v>
      </c>
      <c r="C418" s="522">
        <f t="shared" ca="1" si="14"/>
        <v>0.13580202021297397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0.13947234508359488</v>
      </c>
      <c r="D419" s="523">
        <f t="shared" ca="1" si="15"/>
        <v>-0.3090169943749476</v>
      </c>
    </row>
    <row r="420" spans="2:4" x14ac:dyDescent="0.25">
      <c r="B420" s="521">
        <v>39</v>
      </c>
      <c r="C420" s="522">
        <f t="shared" ca="1" si="14"/>
        <v>0.1431426699542158</v>
      </c>
      <c r="D420" s="523">
        <f t="shared" ca="1" si="15"/>
        <v>-0.15643446504023198</v>
      </c>
    </row>
    <row r="421" spans="2:4" x14ac:dyDescent="0.25">
      <c r="B421" s="521">
        <v>40</v>
      </c>
      <c r="C421" s="522">
        <f t="shared" ca="1" si="14"/>
        <v>0.14681299482483673</v>
      </c>
      <c r="D421" s="523">
        <f t="shared" ca="1" si="15"/>
        <v>-2.4492935982947064e-16</v>
      </c>
    </row>
    <row r="422" spans="2:4" x14ac:dyDescent="0.25">
      <c r="B422" s="521">
        <v>41</v>
      </c>
      <c r="C422" s="522">
        <f t="shared" ca="1" si="14"/>
        <v>0.1504833196954576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0.15415364456607855</v>
      </c>
      <c r="D423" s="523">
        <f t="shared" ca="1" si="15"/>
        <v>0.3090169943749472</v>
      </c>
    </row>
    <row r="424" spans="2:4" x14ac:dyDescent="0.25">
      <c r="B424" s="521">
        <v>43</v>
      </c>
      <c r="C424" s="522">
        <f t="shared" ca="1" si="14"/>
        <v>0.15782396943669946</v>
      </c>
      <c r="D424" s="523">
        <f t="shared" ca="1" si="15"/>
        <v>0.45399049973954575</v>
      </c>
    </row>
    <row r="425" spans="2:4" x14ac:dyDescent="0.25">
      <c r="B425" s="521">
        <v>44</v>
      </c>
      <c r="C425" s="522">
        <f t="shared" ca="1" si="14"/>
        <v>0.1614942943073204</v>
      </c>
      <c r="D425" s="523">
        <f t="shared" ca="1" si="15"/>
        <v>0.5877852522924729</v>
      </c>
    </row>
    <row r="426" spans="2:4" x14ac:dyDescent="0.25">
      <c r="B426" s="521">
        <v>45</v>
      </c>
      <c r="C426" s="522">
        <f t="shared" ca="1" si="14"/>
        <v>0.1651646191779413</v>
      </c>
      <c r="D426" s="523">
        <f t="shared" ca="1" si="15"/>
        <v>0.7071067811865474</v>
      </c>
    </row>
    <row r="427" spans="2:4" x14ac:dyDescent="0.25">
      <c r="B427" s="521">
        <v>46</v>
      </c>
      <c r="C427" s="522">
        <f t="shared" ca="1" si="14"/>
        <v>0.16883494404856222</v>
      </c>
      <c r="D427" s="523">
        <f t="shared" ca="1" si="15"/>
        <v>0.8090169943749472</v>
      </c>
    </row>
    <row r="428" spans="2:4" x14ac:dyDescent="0.25">
      <c r="B428" s="521">
        <v>47</v>
      </c>
      <c r="C428" s="522">
        <f t="shared" ca="1" si="14"/>
        <v>0.17250526891918316</v>
      </c>
      <c r="D428" s="523">
        <f t="shared" ca="1" si="15"/>
        <v>0.8910065241883681</v>
      </c>
    </row>
    <row r="429" spans="2:4" x14ac:dyDescent="0.25">
      <c r="B429" s="521">
        <v>48</v>
      </c>
      <c r="C429" s="522">
        <f t="shared" ca="1" si="14"/>
        <v>0.17617559378980405</v>
      </c>
      <c r="D429" s="523">
        <f t="shared" ca="1" si="15"/>
        <v>0.9510565162951532</v>
      </c>
    </row>
    <row r="430" spans="2:4" x14ac:dyDescent="0.25">
      <c r="B430" s="521">
        <v>49</v>
      </c>
      <c r="C430" s="522">
        <f t="shared" ca="1" si="14"/>
        <v>0.17984591866042499</v>
      </c>
      <c r="D430" s="523">
        <f t="shared" ca="1" si="15"/>
        <v>0.9876883405951377</v>
      </c>
    </row>
    <row r="431" spans="2:4" x14ac:dyDescent="0.25">
      <c r="B431" s="521">
        <v>50</v>
      </c>
      <c r="C431" s="522">
        <f t="shared" ca="1" si="14"/>
        <v>0.1835162435310459</v>
      </c>
      <c r="D431" s="523">
        <f t="shared" ca="1" si="15"/>
        <v>1.0</v>
      </c>
    </row>
    <row r="432" spans="2:4" x14ac:dyDescent="0.25">
      <c r="B432" s="521">
        <v>51</v>
      </c>
      <c r="C432" s="522">
        <f t="shared" ca="1" si="14"/>
        <v>0.1871865684016668</v>
      </c>
      <c r="D432" s="523">
        <f t="shared" ca="1" si="15"/>
        <v>0.9876883405951379</v>
      </c>
    </row>
    <row r="433" spans="2:4" x14ac:dyDescent="0.25">
      <c r="B433" s="521">
        <v>52</v>
      </c>
      <c r="C433" s="522">
        <f t="shared" ca="1" si="14"/>
        <v>0.19085689327228775</v>
      </c>
      <c r="D433" s="523">
        <f t="shared" ca="1" si="15"/>
        <v>0.9510565162951536</v>
      </c>
    </row>
    <row r="434" spans="2:4" x14ac:dyDescent="0.25">
      <c r="B434" s="521">
        <v>53</v>
      </c>
      <c r="C434" s="522">
        <f t="shared" ca="1" si="14"/>
        <v>0.19452721814290866</v>
      </c>
      <c r="D434" s="523">
        <f t="shared" ca="1" si="15"/>
        <v>0.8910065241883685</v>
      </c>
    </row>
    <row r="435" spans="2:4" x14ac:dyDescent="0.25">
      <c r="B435" s="521">
        <v>54</v>
      </c>
      <c r="C435" s="522">
        <f t="shared" ca="1" si="14"/>
        <v>0.19819754301352957</v>
      </c>
      <c r="D435" s="523">
        <f t="shared" ca="1" si="15"/>
        <v>0.8090169943749477</v>
      </c>
    </row>
    <row r="436" spans="2:4" x14ac:dyDescent="0.25">
      <c r="B436" s="521">
        <v>55</v>
      </c>
      <c r="C436" s="522">
        <f t="shared" ca="1" si="14"/>
        <v>0.20186786788415048</v>
      </c>
      <c r="D436" s="523">
        <f t="shared" ca="1" si="15"/>
        <v>0.7071067811865483</v>
      </c>
    </row>
    <row r="437" spans="2:4" x14ac:dyDescent="0.25">
      <c r="B437" s="521">
        <v>56</v>
      </c>
      <c r="C437" s="522">
        <f t="shared" ca="1" si="14"/>
        <v>0.2055381927547714</v>
      </c>
      <c r="D437" s="523">
        <f t="shared" ca="1" si="15"/>
        <v>0.5877852522924748</v>
      </c>
    </row>
    <row r="438" spans="2:4" x14ac:dyDescent="0.25">
      <c r="B438" s="521">
        <v>57</v>
      </c>
      <c r="C438" s="522">
        <f t="shared" ca="1" si="14"/>
        <v>0.20920851762539233</v>
      </c>
      <c r="D438" s="523">
        <f t="shared" ca="1" si="15"/>
        <v>0.4539904997395479</v>
      </c>
    </row>
    <row r="439" spans="2:4" x14ac:dyDescent="0.25">
      <c r="B439" s="521">
        <v>58</v>
      </c>
      <c r="C439" s="522">
        <f t="shared" ca="1" si="14"/>
        <v>0.21287884249601324</v>
      </c>
      <c r="D439" s="523">
        <f t="shared" ca="1" si="15"/>
        <v>0.3090169943749478</v>
      </c>
    </row>
    <row r="440" spans="2:4" x14ac:dyDescent="0.25">
      <c r="B440" s="521">
        <v>59</v>
      </c>
      <c r="C440" s="522">
        <f t="shared" ca="1" si="14"/>
        <v>0.21654916736663418</v>
      </c>
      <c r="D440" s="523">
        <f t="shared" ca="1" si="15"/>
        <v>0.15643446504023034</v>
      </c>
    </row>
    <row r="441" spans="2:4" x14ac:dyDescent="0.25">
      <c r="B441" s="521">
        <v>60</v>
      </c>
      <c r="C441" s="522">
        <f t="shared" ca="1" si="14"/>
        <v>0.22021949223725507</v>
      </c>
      <c r="D441" s="523">
        <f t="shared" ca="1" si="15"/>
        <v>2.1437508791444563e-15</v>
      </c>
    </row>
    <row r="442" spans="2:4" x14ac:dyDescent="0.25">
      <c r="B442" s="521">
        <v>61</v>
      </c>
      <c r="C442" s="522">
        <f t="shared" ca="1" si="14"/>
        <v>0.22388981710787598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0.22756014197849692</v>
      </c>
      <c r="D443" s="523">
        <f t="shared" ca="1" si="15"/>
        <v>-0.30901699437494706</v>
      </c>
    </row>
    <row r="444" spans="2:4" x14ac:dyDescent="0.25">
      <c r="B444" s="521">
        <v>63</v>
      </c>
      <c r="C444" s="522">
        <f t="shared" ca="1" si="14"/>
        <v>0.23123046684911783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0.23490079171973877</v>
      </c>
      <c r="D445" s="523">
        <f t="shared" ref="D445:D501" ca="1" si="17">SIN(2*PI()*$C$50*C445)</f>
        <v>-0.5877852522924728</v>
      </c>
    </row>
    <row r="446" spans="2:4" x14ac:dyDescent="0.25">
      <c r="B446" s="521">
        <v>65</v>
      </c>
      <c r="C446" s="522">
        <f t="shared" ca="1" si="16"/>
        <v>0.23857111659035968</v>
      </c>
      <c r="D446" s="523">
        <f t="shared" ca="1" si="17"/>
        <v>-0.7071067811865466</v>
      </c>
    </row>
    <row r="447" spans="2:4" x14ac:dyDescent="0.25">
      <c r="B447" s="521">
        <v>66</v>
      </c>
      <c r="C447" s="522">
        <f t="shared" ca="1" si="16"/>
        <v>0.24224144146098056</v>
      </c>
      <c r="D447" s="523">
        <f t="shared" ca="1" si="17"/>
        <v>-0.8090169943749461</v>
      </c>
    </row>
    <row r="448" spans="2:4" x14ac:dyDescent="0.25">
      <c r="B448" s="521">
        <v>67</v>
      </c>
      <c r="C448" s="522">
        <f t="shared" ca="1" si="16"/>
        <v>0.2459117663316015</v>
      </c>
      <c r="D448" s="523">
        <f t="shared" ca="1" si="17"/>
        <v>-0.8910065241883672</v>
      </c>
    </row>
    <row r="449" spans="2:4" x14ac:dyDescent="0.25">
      <c r="B449" s="521">
        <v>68</v>
      </c>
      <c r="C449" s="522">
        <f t="shared" ca="1" si="16"/>
        <v>0.2495820912022224</v>
      </c>
      <c r="D449" s="523">
        <f t="shared" ca="1" si="17"/>
        <v>-0.9510565162951529</v>
      </c>
    </row>
    <row r="450" spans="2:4" x14ac:dyDescent="0.25">
      <c r="B450" s="521">
        <v>69</v>
      </c>
      <c r="C450" s="522">
        <f t="shared" ca="1" si="16"/>
        <v>0.2532524160728434</v>
      </c>
      <c r="D450" s="523">
        <f t="shared" ca="1" si="17"/>
        <v>-0.9876883405951378</v>
      </c>
    </row>
    <row r="451" spans="2:4" x14ac:dyDescent="0.25">
      <c r="B451" s="521">
        <v>70</v>
      </c>
      <c r="C451" s="522">
        <f t="shared" ca="1" si="16"/>
        <v>0.25692274094346423</v>
      </c>
      <c r="D451" s="523">
        <f t="shared" ca="1" si="17"/>
        <v>-1.0</v>
      </c>
    </row>
    <row r="452" spans="2:4" x14ac:dyDescent="0.25">
      <c r="B452" s="521">
        <v>71</v>
      </c>
      <c r="C452" s="522">
        <f t="shared" ca="1" si="16"/>
        <v>0.26059306581408515</v>
      </c>
      <c r="D452" s="523">
        <f t="shared" ca="1" si="17"/>
        <v>-0.9876883405951382</v>
      </c>
    </row>
    <row r="453" spans="2:4" x14ac:dyDescent="0.25">
      <c r="B453" s="521">
        <v>72</v>
      </c>
      <c r="C453" s="522">
        <f t="shared" ca="1" si="16"/>
        <v>0.2642633906847061</v>
      </c>
      <c r="D453" s="523">
        <f t="shared" ca="1" si="17"/>
        <v>-0.9510565162951538</v>
      </c>
    </row>
    <row r="454" spans="2:4" x14ac:dyDescent="0.25">
      <c r="B454" s="521">
        <v>73</v>
      </c>
      <c r="C454" s="522">
        <f t="shared" ca="1" si="16"/>
        <v>0.267933715555327</v>
      </c>
      <c r="D454" s="523">
        <f t="shared" ca="1" si="17"/>
        <v>-0.8910065241883677</v>
      </c>
    </row>
    <row r="455" spans="2:4" x14ac:dyDescent="0.25">
      <c r="B455" s="521">
        <v>74</v>
      </c>
      <c r="C455" s="522">
        <f t="shared" ca="1" si="16"/>
        <v>0.27160404042594793</v>
      </c>
      <c r="D455" s="523">
        <f t="shared" ca="1" si="17"/>
        <v>-0.8090169943749477</v>
      </c>
    </row>
    <row r="456" spans="2:4" x14ac:dyDescent="0.25">
      <c r="B456" s="521">
        <v>75</v>
      </c>
      <c r="C456" s="522">
        <f t="shared" ca="1" si="16"/>
        <v>0.27527436529656885</v>
      </c>
      <c r="D456" s="523">
        <f t="shared" ca="1" si="17"/>
        <v>-0.7071067811865485</v>
      </c>
    </row>
    <row r="457" spans="2:4" x14ac:dyDescent="0.25">
      <c r="B457" s="521">
        <v>76</v>
      </c>
      <c r="C457" s="522">
        <f t="shared" ca="1" si="16"/>
        <v>0.27894469016718976</v>
      </c>
      <c r="D457" s="523">
        <f t="shared" ca="1" si="17"/>
        <v>-0.5877852522924735</v>
      </c>
    </row>
    <row r="458" spans="2:4" x14ac:dyDescent="0.25">
      <c r="B458" s="521">
        <v>77</v>
      </c>
      <c r="C458" s="522">
        <f t="shared" ca="1" si="16"/>
        <v>0.28261501503781067</v>
      </c>
      <c r="D458" s="523">
        <f t="shared" ca="1" si="17"/>
        <v>-0.453990499739548</v>
      </c>
    </row>
    <row r="459" spans="2:4" x14ac:dyDescent="0.25">
      <c r="B459" s="521">
        <v>78</v>
      </c>
      <c r="C459" s="522">
        <f t="shared" ca="1" si="16"/>
        <v>0.2862853399084316</v>
      </c>
      <c r="D459" s="523">
        <f t="shared" ca="1" si="17"/>
        <v>-0.30901699437494956</v>
      </c>
    </row>
    <row r="460" spans="2:4" x14ac:dyDescent="0.25">
      <c r="B460" s="521">
        <v>79</v>
      </c>
      <c r="C460" s="522">
        <f t="shared" ca="1" si="16"/>
        <v>0.28995566477905255</v>
      </c>
      <c r="D460" s="523">
        <f t="shared" ca="1" si="17"/>
        <v>-0.15643446504023048</v>
      </c>
    </row>
    <row r="461" spans="2:4" x14ac:dyDescent="0.25">
      <c r="B461" s="521">
        <v>80</v>
      </c>
      <c r="C461" s="522">
        <f t="shared" ca="1" si="16"/>
        <v>0.29362598964967346</v>
      </c>
      <c r="D461" s="523">
        <f t="shared" ca="1" si="17"/>
        <v>-4.898587196589413e-16</v>
      </c>
    </row>
    <row r="462" spans="2:4" x14ac:dyDescent="0.25">
      <c r="B462" s="521">
        <v>81</v>
      </c>
      <c r="C462" s="522">
        <f t="shared" ca="1" si="16"/>
        <v>0.29729631452029437</v>
      </c>
      <c r="D462" s="523">
        <f t="shared" ca="1" si="17"/>
        <v>0.15643446504023126</v>
      </c>
    </row>
    <row r="463" spans="2:4" x14ac:dyDescent="0.25">
      <c r="B463" s="521">
        <v>82</v>
      </c>
      <c r="C463" s="522">
        <f t="shared" ca="1" si="16"/>
        <v>0.3009666393909152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0.3046369642615362</v>
      </c>
      <c r="D464" s="523">
        <f t="shared" ca="1" si="17"/>
        <v>0.4539904997395455</v>
      </c>
    </row>
    <row r="465" spans="2:4" x14ac:dyDescent="0.25">
      <c r="B465" s="521">
        <v>84</v>
      </c>
      <c r="C465" s="522">
        <f t="shared" ca="1" si="16"/>
        <v>0.3083072891321571</v>
      </c>
      <c r="D465" s="523">
        <f t="shared" ca="1" si="17"/>
        <v>0.5877852522924727</v>
      </c>
    </row>
    <row r="466" spans="2:4" x14ac:dyDescent="0.25">
      <c r="B466" s="521">
        <v>85</v>
      </c>
      <c r="C466" s="522">
        <f t="shared" ca="1" si="16"/>
        <v>0.311977614002778</v>
      </c>
      <c r="D466" s="523">
        <f t="shared" ca="1" si="17"/>
        <v>0.7071067811865466</v>
      </c>
    </row>
    <row r="467" spans="2:4" x14ac:dyDescent="0.25">
      <c r="B467" s="521">
        <v>86</v>
      </c>
      <c r="C467" s="522">
        <f t="shared" ca="1" si="16"/>
        <v>0.3156479388733989</v>
      </c>
      <c r="D467" s="523">
        <f t="shared" ca="1" si="17"/>
        <v>0.8090169943749461</v>
      </c>
    </row>
    <row r="468" spans="2:4" x14ac:dyDescent="0.25">
      <c r="B468" s="521">
        <v>87</v>
      </c>
      <c r="C468" s="522">
        <f t="shared" ca="1" si="16"/>
        <v>0.31931826374401984</v>
      </c>
      <c r="D468" s="523">
        <f t="shared" ca="1" si="17"/>
        <v>0.8910065241883672</v>
      </c>
    </row>
    <row r="469" spans="2:4" x14ac:dyDescent="0.25">
      <c r="B469" s="521">
        <v>88</v>
      </c>
      <c r="C469" s="522">
        <f t="shared" ca="1" si="16"/>
        <v>0.3229885886146408</v>
      </c>
      <c r="D469" s="523">
        <f t="shared" ca="1" si="17"/>
        <v>0.9510565162951534</v>
      </c>
    </row>
    <row r="470" spans="2:4" x14ac:dyDescent="0.25">
      <c r="B470" s="521">
        <v>89</v>
      </c>
      <c r="C470" s="522">
        <f t="shared" ca="1" si="16"/>
        <v>0.3266589134852617</v>
      </c>
      <c r="D470" s="523">
        <f t="shared" ca="1" si="17"/>
        <v>0.9876883405951378</v>
      </c>
    </row>
    <row r="471" spans="2:4" x14ac:dyDescent="0.25">
      <c r="B471" s="521">
        <v>90</v>
      </c>
      <c r="C471" s="522">
        <f t="shared" ca="1" si="16"/>
        <v>0.3303292383558826</v>
      </c>
      <c r="D471" s="523">
        <f t="shared" ca="1" si="17"/>
        <v>1.0</v>
      </c>
    </row>
    <row r="472" spans="2:4" x14ac:dyDescent="0.25">
      <c r="B472" s="521">
        <v>91</v>
      </c>
      <c r="C472" s="522">
        <f t="shared" ca="1" si="16"/>
        <v>0.33399956322650354</v>
      </c>
      <c r="D472" s="523">
        <f t="shared" ca="1" si="17"/>
        <v>0.987688340595138</v>
      </c>
    </row>
    <row r="473" spans="2:4" x14ac:dyDescent="0.25">
      <c r="B473" s="521">
        <v>92</v>
      </c>
      <c r="C473" s="522">
        <f t="shared" ca="1" si="16"/>
        <v>0.33766988809712445</v>
      </c>
      <c r="D473" s="523">
        <f t="shared" ca="1" si="17"/>
        <v>0.9510565162951538</v>
      </c>
    </row>
    <row r="474" spans="2:4" x14ac:dyDescent="0.25">
      <c r="B474" s="521">
        <v>93</v>
      </c>
      <c r="C474" s="522">
        <f t="shared" ca="1" si="16"/>
        <v>0.3413402129677454</v>
      </c>
      <c r="D474" s="523">
        <f t="shared" ca="1" si="17"/>
        <v>0.8910065241883677</v>
      </c>
    </row>
    <row r="475" spans="2:4" x14ac:dyDescent="0.25">
      <c r="B475" s="521">
        <v>94</v>
      </c>
      <c r="C475" s="522">
        <f t="shared" ca="1" si="16"/>
        <v>0.3450105378383663</v>
      </c>
      <c r="D475" s="523">
        <f t="shared" ca="1" si="17"/>
        <v>0.8090169943749467</v>
      </c>
    </row>
    <row r="476" spans="2:4" x14ac:dyDescent="0.25">
      <c r="B476" s="521">
        <v>95</v>
      </c>
      <c r="C476" s="522">
        <f t="shared" ca="1" si="16"/>
        <v>0.3486808627089872</v>
      </c>
      <c r="D476" s="523">
        <f t="shared" ca="1" si="17"/>
        <v>0.7071067811865486</v>
      </c>
    </row>
    <row r="477" spans="2:4" x14ac:dyDescent="0.25">
      <c r="B477" s="521">
        <v>96</v>
      </c>
      <c r="C477" s="522">
        <f t="shared" ca="1" si="16"/>
        <v>0.3523511875796081</v>
      </c>
      <c r="D477" s="523">
        <f t="shared" ca="1" si="17"/>
        <v>0.587785252292475</v>
      </c>
    </row>
    <row r="478" spans="2:4" x14ac:dyDescent="0.25">
      <c r="B478" s="521">
        <v>97</v>
      </c>
      <c r="C478" s="522">
        <f t="shared" ca="1" si="16"/>
        <v>0.356021512450229</v>
      </c>
      <c r="D478" s="523">
        <f t="shared" ca="1" si="17"/>
        <v>0.4539904997395497</v>
      </c>
    </row>
    <row r="479" spans="2:4" x14ac:dyDescent="0.25">
      <c r="B479" s="521">
        <v>98</v>
      </c>
      <c r="C479" s="522">
        <f t="shared" ca="1" si="16"/>
        <v>0.35969183732084997</v>
      </c>
      <c r="D479" s="523">
        <f t="shared" ca="1" si="17"/>
        <v>0.309016994374948</v>
      </c>
    </row>
    <row r="480" spans="2:4" x14ac:dyDescent="0.25">
      <c r="B480" s="521">
        <v>99</v>
      </c>
      <c r="C480" s="522">
        <f t="shared" ca="1" si="16"/>
        <v>0.3633621621914709</v>
      </c>
      <c r="D480" s="523">
        <f t="shared" ca="1" si="17"/>
        <v>0.15643446504023234</v>
      </c>
    </row>
    <row r="481" spans="2:4" x14ac:dyDescent="0.25">
      <c r="B481" s="521">
        <v>100</v>
      </c>
      <c r="C481" s="522">
        <f t="shared" ca="1" si="16"/>
        <v>0.3670324870620918</v>
      </c>
      <c r="D481" s="523">
        <f t="shared" ca="1" si="17"/>
        <v>6.123233995736766e-16</v>
      </c>
    </row>
    <row r="482" spans="2:4" x14ac:dyDescent="0.25">
      <c r="B482" s="521">
        <v>101</v>
      </c>
      <c r="C482" s="522">
        <f t="shared" ca="1" si="16"/>
        <v>0.3707028119327127</v>
      </c>
      <c r="D482" s="523">
        <f t="shared" ca="1" si="17"/>
        <v>-0.15643446504022937</v>
      </c>
    </row>
    <row r="483" spans="2:4" x14ac:dyDescent="0.25">
      <c r="B483" s="521">
        <v>102</v>
      </c>
      <c r="C483" s="522">
        <f t="shared" ca="1" si="16"/>
        <v>0.3743731368033336</v>
      </c>
      <c r="D483" s="523">
        <f t="shared" ca="1" si="17"/>
        <v>-0.3090169943749451</v>
      </c>
    </row>
    <row r="484" spans="2:4" x14ac:dyDescent="0.25">
      <c r="B484" s="521">
        <v>103</v>
      </c>
      <c r="C484" s="522">
        <f t="shared" ca="1" si="16"/>
        <v>0.3780434616739546</v>
      </c>
      <c r="D484" s="523">
        <f t="shared" ca="1" si="17"/>
        <v>-0.4539904997395454</v>
      </c>
    </row>
    <row r="485" spans="2:4" x14ac:dyDescent="0.25">
      <c r="B485" s="521">
        <v>104</v>
      </c>
      <c r="C485" s="522">
        <f t="shared" ca="1" si="16"/>
        <v>0.3817137865445755</v>
      </c>
      <c r="D485" s="523">
        <f t="shared" ca="1" si="17"/>
        <v>-0.5877852522924726</v>
      </c>
    </row>
    <row r="486" spans="2:4" x14ac:dyDescent="0.25">
      <c r="B486" s="521">
        <v>105</v>
      </c>
      <c r="C486" s="522">
        <f t="shared" ca="1" si="16"/>
        <v>0.3853841114151964</v>
      </c>
      <c r="D486" s="523">
        <f t="shared" ca="1" si="17"/>
        <v>-0.7071067811865477</v>
      </c>
    </row>
    <row r="487" spans="2:4" x14ac:dyDescent="0.25">
      <c r="B487" s="521">
        <v>106</v>
      </c>
      <c r="C487" s="522">
        <f t="shared" ca="1" si="16"/>
        <v>0.3890544362858173</v>
      </c>
      <c r="D487" s="523">
        <f t="shared" ca="1" si="17"/>
        <v>-0.809016994374946</v>
      </c>
    </row>
    <row r="488" spans="2:4" x14ac:dyDescent="0.25">
      <c r="B488" s="521">
        <v>107</v>
      </c>
      <c r="C488" s="522">
        <f t="shared" ca="1" si="16"/>
        <v>0.3927247611564382</v>
      </c>
      <c r="D488" s="523">
        <f t="shared" ca="1" si="17"/>
        <v>-0.8910065241883656</v>
      </c>
    </row>
    <row r="489" spans="2:4" x14ac:dyDescent="0.25">
      <c r="B489" s="521">
        <v>108</v>
      </c>
      <c r="C489" s="522">
        <f t="shared" ca="1" si="16"/>
        <v>0.39639508602705914</v>
      </c>
      <c r="D489" s="523">
        <f t="shared" ca="1" si="17"/>
        <v>-0.9510565162951534</v>
      </c>
    </row>
    <row r="490" spans="2:4" x14ac:dyDescent="0.25">
      <c r="B490" s="521">
        <v>109</v>
      </c>
      <c r="C490" s="522">
        <f t="shared" ca="1" si="16"/>
        <v>0.40006541089768005</v>
      </c>
      <c r="D490" s="523">
        <f t="shared" ca="1" si="17"/>
        <v>-0.9876883405951372</v>
      </c>
    </row>
    <row r="491" spans="2:4" x14ac:dyDescent="0.25">
      <c r="B491" s="521">
        <v>110</v>
      </c>
      <c r="C491" s="522">
        <f t="shared" ca="1" si="16"/>
        <v>0.40373573576830096</v>
      </c>
      <c r="D491" s="523">
        <f t="shared" ca="1" si="17"/>
        <v>-1.0</v>
      </c>
    </row>
    <row r="492" spans="2:4" x14ac:dyDescent="0.25">
      <c r="B492" s="521">
        <v>111</v>
      </c>
      <c r="C492" s="522">
        <f t="shared" ca="1" si="16"/>
        <v>0.4074060606389219</v>
      </c>
      <c r="D492" s="523">
        <f t="shared" ca="1" si="17"/>
        <v>-0.987688340595138</v>
      </c>
    </row>
    <row r="493" spans="2:4" x14ac:dyDescent="0.25">
      <c r="B493" s="521">
        <v>112</v>
      </c>
      <c r="C493" s="522">
        <f t="shared" ca="1" si="16"/>
        <v>0.4110763855095428</v>
      </c>
      <c r="D493" s="523">
        <f t="shared" ca="1" si="17"/>
        <v>-0.9510565162951549</v>
      </c>
    </row>
    <row r="494" spans="2:4" x14ac:dyDescent="0.25">
      <c r="B494" s="521">
        <v>113</v>
      </c>
      <c r="C494" s="522">
        <f t="shared" ca="1" si="16"/>
        <v>0.41474671038016375</v>
      </c>
      <c r="D494" s="523">
        <f t="shared" ca="1" si="17"/>
        <v>-0.8910065241883678</v>
      </c>
    </row>
    <row r="495" spans="2:4" x14ac:dyDescent="0.25">
      <c r="B495" s="521">
        <v>114</v>
      </c>
      <c r="C495" s="522">
        <f t="shared" ca="1" si="16"/>
        <v>0.41841703525078466</v>
      </c>
      <c r="D495" s="523">
        <f t="shared" ca="1" si="17"/>
        <v>-0.8090169943749489</v>
      </c>
    </row>
    <row r="496" spans="2:4" x14ac:dyDescent="0.25">
      <c r="B496" s="521">
        <v>115</v>
      </c>
      <c r="C496" s="522">
        <f t="shared" ca="1" si="16"/>
        <v>0.4220873601214056</v>
      </c>
      <c r="D496" s="523">
        <f t="shared" ca="1" si="17"/>
        <v>-0.7071067811865487</v>
      </c>
    </row>
    <row r="497" spans="2:24" x14ac:dyDescent="0.25">
      <c r="B497" s="521">
        <v>116</v>
      </c>
      <c r="C497" s="522">
        <f t="shared" ca="1" si="16"/>
        <v>0.4257576849920265</v>
      </c>
      <c r="D497" s="523">
        <f t="shared" ca="1" si="17"/>
        <v>-0.5877852522924737</v>
      </c>
    </row>
    <row r="498" spans="2:24" x14ac:dyDescent="0.25">
      <c r="B498" s="521">
        <v>117</v>
      </c>
      <c r="C498" s="522">
        <f t="shared" ca="1" si="16"/>
        <v>0.4294280098626474</v>
      </c>
      <c r="D498" s="523">
        <f t="shared" ca="1" si="17"/>
        <v>-0.4539904997395498</v>
      </c>
    </row>
    <row r="499" spans="2:24" x14ac:dyDescent="0.25">
      <c r="B499" s="521">
        <v>118</v>
      </c>
      <c r="C499" s="522">
        <f t="shared" ca="1" si="16"/>
        <v>0.43309833473326836</v>
      </c>
      <c r="D499" s="523">
        <f t="shared" ca="1" si="17"/>
        <v>-0.3090169943749464</v>
      </c>
    </row>
    <row r="500" spans="2:24" x14ac:dyDescent="0.25">
      <c r="B500" s="521">
        <v>119</v>
      </c>
      <c r="C500" s="522">
        <f t="shared" ca="1" si="16"/>
        <v>0.4367686596038893</v>
      </c>
      <c r="D500" s="523">
        <f t="shared" ca="1" si="17"/>
        <v>-0.15643446504023248</v>
      </c>
    </row>
    <row r="501" spans="2:24" x14ac:dyDescent="0.25">
      <c r="B501" s="521">
        <v>120</v>
      </c>
      <c r="C501" s="522">
        <f t="shared" ca="1" si="16"/>
        <v>0.44043898447451013</v>
      </c>
      <c r="D501" s="523">
        <f t="shared" ca="1" si="17"/>
        <v>-4.287501758288913e-15</v>
      </c>
    </row>
    <row r="502" spans="2:24" ht="15.75" thickBot="1" x14ac:dyDescent="0.3"/>
    <row r="503" spans="2:24" ht="15.75" thickBot="1" x14ac:dyDescent="0.3">
      <c r="B503" s="486" t="s">
        <v>1148</v>
      </c>
      <c r="C503" s="641" t="s">
        <v>1149</v>
      </c>
      <c r="D503" s="642"/>
      <c r="E503" s="642"/>
      <c r="F503" s="642"/>
      <c r="G503" s="642"/>
      <c r="H503" s="643"/>
      <c r="V503" s="528" t="s">
        <v>1881</v>
      </c>
      <c r="W503" s="528"/>
      <c r="X503" s="528"/>
    </row>
    <row r="504" spans="2:24" x14ac:dyDescent="0.25">
      <c r="V504" s="483" t="s">
        <v>1817</v>
      </c>
      <c r="W504" s="490">
        <v>1.31</v>
      </c>
      <c r="X504" s="1" t="s">
        <v>1815</v>
      </c>
    </row>
    <row r="505" spans="2:24" x14ac:dyDescent="0.25">
      <c r="B505" s="537" t="s">
        <v>1150</v>
      </c>
      <c r="C505" s="527">
        <f ca="1">W515</f>
        <v>0.45167791699116205</v>
      </c>
      <c r="D505" s="503" t="s">
        <v>1161</v>
      </c>
      <c r="E505" s="488" t="s">
        <v>1882</v>
      </c>
      <c r="V505" s="483" t="s">
        <v>1818</v>
      </c>
      <c r="W505" s="490">
        <v>5</v>
      </c>
      <c r="X505" s="1" t="s">
        <v>187</v>
      </c>
    </row>
    <row r="506" spans="2:24" x14ac:dyDescent="0.25">
      <c r="B506" s="537" t="s">
        <v>1151</v>
      </c>
      <c r="C506" s="527">
        <f ca="1">W516</f>
        <v>0.45167791699116205</v>
      </c>
      <c r="D506" s="503" t="s">
        <v>1161</v>
      </c>
      <c r="E506" s="488" t="s">
        <v>1883</v>
      </c>
      <c r="V506" s="483" t="s">
        <v>1819</v>
      </c>
      <c r="W506" s="1">
        <f>MAX(W504,Geometria!H1226)</f>
        <v>1.31</v>
      </c>
      <c r="X506" s="1" t="s">
        <v>1815</v>
      </c>
    </row>
    <row r="507" spans="2:24" x14ac:dyDescent="0.25">
      <c r="B507" s="537" t="s">
        <v>1152</v>
      </c>
      <c r="C507" s="527">
        <f ca="1">3*C505/(1-C505)</f>
        <v>2.4712368751189717</v>
      </c>
      <c r="D507" s="503" t="s">
        <v>1161</v>
      </c>
      <c r="E507" s="488" t="s">
        <v>1153</v>
      </c>
      <c r="V507" s="483" t="s">
        <v>1820</v>
      </c>
      <c r="W507" s="1">
        <f>IF(Geometria!H1226&gt;W504,Geometria!H1223,W505)</f>
        <v>5.0</v>
      </c>
      <c r="X507" s="1" t="s">
        <v>187</v>
      </c>
    </row>
    <row r="508" spans="2:24" x14ac:dyDescent="0.25">
      <c r="B508" s="537" t="s">
        <v>1154</v>
      </c>
      <c r="C508" s="527">
        <f ca="1">3*C506/(1-C506)</f>
        <v>2.4712368751189717</v>
      </c>
      <c r="D508" s="503" t="s">
        <v>1161</v>
      </c>
      <c r="E508" s="488" t="s">
        <v>1155</v>
      </c>
      <c r="V508" s="483" t="s">
        <v>1821</v>
      </c>
      <c r="W508" s="1">
        <f>MAX(W504,Geometria!H1232)</f>
        <v>1.31</v>
      </c>
      <c r="X508" s="1" t="s">
        <v>1815</v>
      </c>
    </row>
    <row r="509" spans="2:24" x14ac:dyDescent="0.25">
      <c r="B509" s="537" t="s">
        <v>1156</v>
      </c>
      <c r="C509" s="527">
        <f ca="1">F536</f>
        <v>3.6438417434692383</v>
      </c>
      <c r="D509" s="503" t="s">
        <v>1161</v>
      </c>
      <c r="E509" s="488" t="s">
        <v>1167</v>
      </c>
      <c r="V509" s="483" t="s">
        <v>1822</v>
      </c>
      <c r="W509" s="1">
        <f>IF(Geometria!H1232&gt;W504,Geometria!H1229,W505)</f>
        <v>5.0</v>
      </c>
      <c r="X509" s="1" t="s">
        <v>187</v>
      </c>
    </row>
    <row r="510" spans="2:24" x14ac:dyDescent="0.25">
      <c r="B510" s="537" t="s">
        <v>1157</v>
      </c>
      <c r="C510" s="527">
        <f ca="1">2*C509^2*SIN(C509)*SINH(C509)+C509*($C$507+$C$508)*(SIN(C509)*COSH(C509)-COS(C509)*SINH(C509))-$C$507*$C$508*(COS(C509)*COSH(C509)-1)</f>
        <v>-0.0007638669549123733</v>
      </c>
      <c r="D510" s="503" t="s">
        <v>1161</v>
      </c>
      <c r="E510" s="488" t="s">
        <v>1158</v>
      </c>
      <c r="V510" s="483" t="s">
        <v>1331</v>
      </c>
      <c r="W510" s="1">
        <f>(C3+C4-Geometria!N52)/100</f>
        <v>0.315</v>
      </c>
      <c r="X510" s="1" t="s">
        <v>83</v>
      </c>
    </row>
    <row r="511" spans="2:24" x14ac:dyDescent="0.25">
      <c r="B511" s="537" t="s">
        <v>1159</v>
      </c>
      <c r="C511" s="527">
        <f ca="1">E536-D536</f>
        <v>3.433227539151318e-06</v>
      </c>
      <c r="D511" s="503" t="s">
        <v>1161</v>
      </c>
      <c r="E511" s="488" t="s">
        <v>1192</v>
      </c>
      <c r="V511" s="483" t="s">
        <v>480</v>
      </c>
      <c r="W511" s="1">
        <f>Geometria!H26/100</f>
        <v>0.14</v>
      </c>
      <c r="X511" s="1" t="s">
        <v>83</v>
      </c>
    </row>
    <row r="512" spans="2:24" x14ac:dyDescent="0.25">
      <c r="B512" s="537" t="s">
        <v>1160</v>
      </c>
      <c r="C512" s="527">
        <f ca="1">(C509/PI())^2</f>
        <v>1.3453003901537761</v>
      </c>
      <c r="D512" s="503" t="s">
        <v>1161</v>
      </c>
      <c r="E512" s="488" t="s">
        <v>1764</v>
      </c>
      <c r="V512" s="483" t="s">
        <v>1823</v>
      </c>
      <c r="W512" s="1">
        <f>0.75*W506*(C5/100)*21000*W510^2/(25*W507/1000+W511)</f>
        <v>9656.885908018869</v>
      </c>
      <c r="X512" s="1" t="s">
        <v>1816</v>
      </c>
    </row>
    <row r="513" spans="4:24" x14ac:dyDescent="0.25">
      <c r="V513" s="483" t="s">
        <v>1824</v>
      </c>
      <c r="W513" s="1">
        <f>0.75*W508*(C5/100)*21000*W510^2/(25*W509/1000+W511)</f>
        <v>9656.885908018869</v>
      </c>
      <c r="X513" s="1" t="s">
        <v>1816</v>
      </c>
    </row>
    <row r="514" spans="4:24" ht="15.75" thickBot="1" x14ac:dyDescent="0.3">
      <c r="V514" s="483" t="s">
        <v>1137</v>
      </c>
      <c r="W514" s="490">
        <v>0.25</v>
      </c>
      <c r="X514" s="1" t="s">
        <v>1161</v>
      </c>
    </row>
    <row r="515" spans="4:24" ht="15.75" thickBot="1" x14ac:dyDescent="0.3">
      <c r="D515" s="641" t="s">
        <v>1166</v>
      </c>
      <c r="E515" s="642"/>
      <c r="F515" s="642"/>
      <c r="G515" s="643"/>
      <c r="V515" s="483" t="s">
        <v>1825</v>
      </c>
      <c r="W515" s="1">
        <f ca="1">IF(W512&gt;0,1/(1+3*C30*W514/(W512*(C14/100))),0)</f>
        <v>0.45167791699116205</v>
      </c>
      <c r="X515" s="1" t="s">
        <v>1161</v>
      </c>
    </row>
    <row r="516" spans="4:24" ht="15.75" thickBot="1" x14ac:dyDescent="0.3">
      <c r="D516" s="538" t="s">
        <v>1162</v>
      </c>
      <c r="E516" s="537" t="s">
        <v>1163</v>
      </c>
      <c r="F516" s="482" t="s">
        <v>1164</v>
      </c>
      <c r="G516" s="542" t="s">
        <v>1165</v>
      </c>
      <c r="V516" s="483" t="s">
        <v>1826</v>
      </c>
      <c r="W516" s="1">
        <f ca="1">IF(W513&gt;0,1/(1+3*C30*W514/(W513*(C14/100))),0)</f>
        <v>0.45167791699116205</v>
      </c>
      <c r="X516" s="1" t="s">
        <v>1161</v>
      </c>
    </row>
    <row r="517" spans="4:24" x14ac:dyDescent="0.25">
      <c r="D517" s="541">
        <v>3</v>
      </c>
      <c r="E517" s="541">
        <v>4.8</v>
      </c>
      <c r="F517" s="541">
        <f t="shared" ref="F517:F536" si="18">(D517+E517)/2</f>
        <v>3.9</v>
      </c>
      <c r="G517" s="541">
        <f ca="1">2*F517^2*SIN(F517)*SINH(F517)+F517*($C$507+$C$508)*(SIN(F517)*COSH(F517)-COS(F517)*SINH(F517))-$C$507*$C$508*(COS(F517)*COSH(F517)-1)</f>
        <v>-383.02789658861195</v>
      </c>
    </row>
    <row r="518" spans="4:24" x14ac:dyDescent="0.25">
      <c r="D518" s="539">
        <f t="shared" ref="D518:D536" ca="1" si="19">IF(G517&gt;0,F517,D517)</f>
        <v>3.0</v>
      </c>
      <c r="E518" s="539">
        <f t="shared" ref="E518:E536" ca="1" si="20">IF(G517&lt;0,F517,E517)</f>
        <v>3.9</v>
      </c>
      <c r="F518" s="539">
        <f t="shared" ca="1" si="18"/>
        <v>3.45</v>
      </c>
      <c r="G518" s="539">
        <f t="shared" ref="G518:G536" ca="1" si="21">2*F518^2*SIN(F518)*SINH(F518)+F518*($C$507+$C$508)*(SIN(F518)*COSH(F518)-COS(F518)*SINH(F518))-$C$507*$C$508*(COS(F518)*COSH(F518)-1)</f>
        <v>158.18754937295495</v>
      </c>
    </row>
    <row r="519" spans="4:24" x14ac:dyDescent="0.25">
      <c r="D519" s="539">
        <f t="shared" ca="1" si="19"/>
        <v>3.45</v>
      </c>
      <c r="E519" s="539">
        <f t="shared" ca="1" si="20"/>
        <v>3.9</v>
      </c>
      <c r="F519" s="539">
        <f t="shared" ca="1" si="18"/>
        <v>3.675</v>
      </c>
      <c r="G519" s="539">
        <f t="shared" ca="1" si="21"/>
        <v>-34.81949344721478</v>
      </c>
    </row>
    <row r="520" spans="4:24" x14ac:dyDescent="0.25">
      <c r="D520" s="539">
        <f t="shared" ca="1" si="19"/>
        <v>3.45</v>
      </c>
      <c r="E520" s="539">
        <f t="shared" ca="1" si="20"/>
        <v>3.675</v>
      </c>
      <c r="F520" s="539">
        <f t="shared" ca="1" si="18"/>
        <v>3.5625</v>
      </c>
      <c r="G520" s="539">
        <f t="shared" ca="1" si="21"/>
        <v>77.90417637784655</v>
      </c>
    </row>
    <row r="521" spans="4:24" x14ac:dyDescent="0.25">
      <c r="D521" s="539">
        <f t="shared" ca="1" si="19"/>
        <v>3.5625</v>
      </c>
      <c r="E521" s="539">
        <f t="shared" ca="1" si="20"/>
        <v>3.675</v>
      </c>
      <c r="F521" s="539">
        <f t="shared" ca="1" si="18"/>
        <v>3.61875</v>
      </c>
      <c r="G521" s="539">
        <f t="shared" ca="1" si="21"/>
        <v>25.976366496314498</v>
      </c>
    </row>
    <row r="522" spans="4:24" x14ac:dyDescent="0.25">
      <c r="D522" s="539">
        <f t="shared" ca="1" si="19"/>
        <v>3.61875</v>
      </c>
      <c r="E522" s="539">
        <f t="shared" ca="1" si="20"/>
        <v>3.675</v>
      </c>
      <c r="F522" s="539">
        <f t="shared" ca="1" si="18"/>
        <v>3.6468749999999996</v>
      </c>
      <c r="G522" s="539">
        <f t="shared" ca="1" si="21"/>
        <v>-3.26391827695349</v>
      </c>
    </row>
    <row r="523" spans="4:24" x14ac:dyDescent="0.25">
      <c r="D523" s="539">
        <f t="shared" ca="1" si="19"/>
        <v>3.61875</v>
      </c>
      <c r="E523" s="539">
        <f t="shared" ca="1" si="20"/>
        <v>3.6468749999999996</v>
      </c>
      <c r="F523" s="539">
        <f t="shared" ca="1" si="18"/>
        <v>3.6328125</v>
      </c>
      <c r="G523" s="539">
        <f t="shared" ca="1" si="21"/>
        <v>11.639418073861535</v>
      </c>
    </row>
    <row r="524" spans="4:24" x14ac:dyDescent="0.25">
      <c r="D524" s="539">
        <f t="shared" ca="1" si="19"/>
        <v>3.6328125</v>
      </c>
      <c r="E524" s="539">
        <f t="shared" ca="1" si="20"/>
        <v>3.6468749999999996</v>
      </c>
      <c r="F524" s="539">
        <f t="shared" ca="1" si="18"/>
        <v>3.63984375</v>
      </c>
      <c r="G524" s="539">
        <f t="shared" ca="1" si="21"/>
        <v>4.259320987433469</v>
      </c>
    </row>
    <row r="525" spans="4:24" x14ac:dyDescent="0.25">
      <c r="D525" s="539">
        <f t="shared" ca="1" si="19"/>
        <v>3.63984375</v>
      </c>
      <c r="E525" s="539">
        <f t="shared" ca="1" si="20"/>
        <v>3.6468749999999996</v>
      </c>
      <c r="F525" s="539">
        <f t="shared" ca="1" si="18"/>
        <v>3.6433593749999997</v>
      </c>
      <c r="G525" s="539">
        <f t="shared" ca="1" si="21"/>
        <v>0.5156911064203769</v>
      </c>
    </row>
    <row r="526" spans="4:24" x14ac:dyDescent="0.25">
      <c r="D526" s="539">
        <f t="shared" ca="1" si="19"/>
        <v>3.6433593749999997</v>
      </c>
      <c r="E526" s="539">
        <f t="shared" ca="1" si="20"/>
        <v>3.6468749999999996</v>
      </c>
      <c r="F526" s="539">
        <f t="shared" ca="1" si="18"/>
        <v>3.6451171874999995</v>
      </c>
      <c r="G526" s="539">
        <f t="shared" ca="1" si="21"/>
        <v>-1.369604000067028</v>
      </c>
    </row>
    <row r="527" spans="4:24" x14ac:dyDescent="0.25">
      <c r="D527" s="539">
        <f t="shared" ca="1" si="19"/>
        <v>3.6433593749999997</v>
      </c>
      <c r="E527" s="539">
        <f t="shared" ca="1" si="20"/>
        <v>3.6451171874999995</v>
      </c>
      <c r="F527" s="539">
        <f t="shared" ca="1" si="18"/>
        <v>3.64423828125</v>
      </c>
      <c r="G527" s="539">
        <f t="shared" ca="1" si="21"/>
        <v>-0.4258305700625442</v>
      </c>
    </row>
    <row r="528" spans="4:24" x14ac:dyDescent="0.25">
      <c r="D528" s="539">
        <f t="shared" ca="1" si="19"/>
        <v>3.6433593749999997</v>
      </c>
      <c r="E528" s="539">
        <f t="shared" ca="1" si="20"/>
        <v>3.64423828125</v>
      </c>
      <c r="F528" s="539">
        <f t="shared" ca="1" si="18"/>
        <v>3.643798828125</v>
      </c>
      <c r="G528" s="539">
        <f t="shared" ca="1" si="21"/>
        <v>0.045211547523848594</v>
      </c>
    </row>
    <row r="529" spans="2:9" x14ac:dyDescent="0.25">
      <c r="D529" s="539">
        <f t="shared" ca="1" si="19"/>
        <v>3.643798828125</v>
      </c>
      <c r="E529" s="539">
        <f t="shared" ca="1" si="20"/>
        <v>3.64423828125</v>
      </c>
      <c r="F529" s="539">
        <f t="shared" ca="1" si="18"/>
        <v>3.6440185546875</v>
      </c>
      <c r="G529" s="539">
        <f t="shared" ca="1" si="21"/>
        <v>-0.1902391677068067</v>
      </c>
    </row>
    <row r="530" spans="2:9" x14ac:dyDescent="0.25">
      <c r="D530" s="539">
        <f t="shared" ca="1" si="19"/>
        <v>3.643798828125</v>
      </c>
      <c r="E530" s="539">
        <f t="shared" ca="1" si="20"/>
        <v>3.6440185546875</v>
      </c>
      <c r="F530" s="539">
        <f t="shared" ca="1" si="18"/>
        <v>3.64390869140625</v>
      </c>
      <c r="G530" s="539">
        <f t="shared" ca="1" si="21"/>
        <v>-0.0724962271671501</v>
      </c>
    </row>
    <row r="531" spans="2:9" x14ac:dyDescent="0.25">
      <c r="D531" s="539">
        <f t="shared" ca="1" si="19"/>
        <v>3.643798828125</v>
      </c>
      <c r="E531" s="539">
        <f t="shared" ca="1" si="20"/>
        <v>3.64390869140625</v>
      </c>
      <c r="F531" s="539">
        <f t="shared" ca="1" si="18"/>
        <v>3.643853759765625</v>
      </c>
      <c r="G531" s="539">
        <f t="shared" ca="1" si="21"/>
        <v>-0.013637944461294182</v>
      </c>
    </row>
    <row r="532" spans="2:9" x14ac:dyDescent="0.25">
      <c r="D532" s="539">
        <f t="shared" ca="1" si="19"/>
        <v>3.643798828125</v>
      </c>
      <c r="E532" s="539">
        <f t="shared" ca="1" si="20"/>
        <v>3.643853759765625</v>
      </c>
      <c r="F532" s="539">
        <f t="shared" ca="1" si="18"/>
        <v>3.6438262939453123</v>
      </c>
      <c r="G532" s="539">
        <f t="shared" ca="1" si="21"/>
        <v>0.01578790032526456</v>
      </c>
    </row>
    <row r="533" spans="2:9" x14ac:dyDescent="0.25">
      <c r="D533" s="539">
        <f t="shared" ca="1" si="19"/>
        <v>3.6438262939453123</v>
      </c>
      <c r="E533" s="539">
        <f t="shared" ca="1" si="20"/>
        <v>3.643853759765625</v>
      </c>
      <c r="F533" s="539">
        <f t="shared" ca="1" si="18"/>
        <v>3.643840026855469</v>
      </c>
      <c r="G533" s="539">
        <f t="shared" ca="1" si="21"/>
        <v>0.0010752526360136017</v>
      </c>
    </row>
    <row r="534" spans="2:9" x14ac:dyDescent="0.25">
      <c r="D534" s="539">
        <f t="shared" ca="1" si="19"/>
        <v>3.643840026855469</v>
      </c>
      <c r="E534" s="539">
        <f t="shared" ca="1" si="20"/>
        <v>3.643853759765625</v>
      </c>
      <c r="F534" s="539">
        <f t="shared" ca="1" si="18"/>
        <v>3.6438468933105472</v>
      </c>
      <c r="G534" s="539">
        <f t="shared" ca="1" si="21"/>
        <v>-0.006281277236070082</v>
      </c>
    </row>
    <row r="535" spans="2:9" x14ac:dyDescent="0.25">
      <c r="D535" s="539">
        <f t="shared" ca="1" si="19"/>
        <v>3.643840026855469</v>
      </c>
      <c r="E535" s="539">
        <f t="shared" ca="1" si="20"/>
        <v>3.6438468933105472</v>
      </c>
      <c r="F535" s="539">
        <f t="shared" ca="1" si="18"/>
        <v>3.643843460083008</v>
      </c>
      <c r="G535" s="539">
        <f t="shared" ca="1" si="21"/>
        <v>-0.0026029951309141097</v>
      </c>
    </row>
    <row r="536" spans="2:9" ht="15.75" thickBot="1" x14ac:dyDescent="0.3">
      <c r="D536" s="540">
        <f t="shared" ca="1" si="19"/>
        <v>3.643840026855469</v>
      </c>
      <c r="E536" s="540">
        <f t="shared" ca="1" si="20"/>
        <v>3.643843460083008</v>
      </c>
      <c r="F536" s="540">
        <f t="shared" ca="1" si="18"/>
        <v>3.6438417434692383</v>
      </c>
      <c r="G536" s="540">
        <f t="shared" ca="1" si="21"/>
        <v>-0.0007638669549123733</v>
      </c>
    </row>
    <row r="537" spans="2:9" ht="15.75" thickBot="1" x14ac:dyDescent="0.3"/>
    <row r="538" spans="2:9" ht="15.75" thickBot="1" x14ac:dyDescent="0.3">
      <c r="B538" s="486" t="s">
        <v>1168</v>
      </c>
      <c r="C538" s="534" t="s">
        <v>1188</v>
      </c>
      <c r="D538" s="535"/>
      <c r="E538" s="535"/>
      <c r="F538" s="535"/>
      <c r="G538" s="535"/>
      <c r="H538" s="535"/>
      <c r="I538" s="536"/>
    </row>
    <row r="539" spans="2:9" ht="30" customHeight="1" x14ac:dyDescent="0.25">
      <c r="B539" s="530" t="s">
        <v>1169</v>
      </c>
      <c r="C539" s="533" t="s">
        <v>1170</v>
      </c>
      <c r="D539" s="646" t="s">
        <v>1171</v>
      </c>
      <c r="E539" s="646"/>
      <c r="F539" s="533" t="s">
        <v>1872</v>
      </c>
    </row>
    <row r="540" spans="2:9" ht="45" customHeight="1" x14ac:dyDescent="0.25">
      <c r="B540" s="531" t="s">
        <v>1172</v>
      </c>
      <c r="C540" s="532">
        <v>2.4</v>
      </c>
      <c r="D540" s="645" t="s">
        <v>1186</v>
      </c>
      <c r="E540" s="645"/>
      <c r="F540" s="532" t="str">
        <f ca="1">IF($C$51&gt;=C540,"Ok","Não atende")</f>
        <v>Ok</v>
      </c>
    </row>
    <row r="541" spans="2:9" ht="45" customHeight="1" x14ac:dyDescent="0.25">
      <c r="B541" s="531" t="s">
        <v>1173</v>
      </c>
      <c r="C541" s="532" t="s">
        <v>1174</v>
      </c>
      <c r="D541" s="645" t="s">
        <v>1175</v>
      </c>
      <c r="E541" s="645"/>
      <c r="F541" s="532" t="str">
        <f ca="1">IF($C$51&gt;=4.8,"Ok","Não atende")</f>
        <v>Ok</v>
      </c>
    </row>
    <row r="542" spans="2:9" ht="75" customHeight="1" x14ac:dyDescent="0.25">
      <c r="B542" s="531" t="s">
        <v>1176</v>
      </c>
      <c r="C542" s="532">
        <f>4.8*1.2</f>
        <v>5.76</v>
      </c>
      <c r="D542" s="645" t="s">
        <v>1191</v>
      </c>
      <c r="E542" s="645"/>
      <c r="F542" s="532" t="str">
        <f ca="1">IF($C$51&gt;=C542,"Ok","Não atende")</f>
        <v>Ok</v>
      </c>
    </row>
    <row r="543" spans="2:9" ht="45" customHeight="1" x14ac:dyDescent="0.25">
      <c r="B543" s="531" t="s">
        <v>1177</v>
      </c>
      <c r="C543" s="532" t="s">
        <v>1178</v>
      </c>
      <c r="D543" s="645" t="s">
        <v>1179</v>
      </c>
      <c r="E543" s="645"/>
      <c r="F543" s="532" t="str">
        <f ca="1">IF($C$51&gt;=6,"Ok","Não atende")</f>
        <v>Ok</v>
      </c>
    </row>
    <row r="544" spans="2:9" ht="60" customHeight="1" x14ac:dyDescent="0.25">
      <c r="B544" s="531" t="s">
        <v>1180</v>
      </c>
      <c r="C544" s="532">
        <f>6*1.2</f>
        <v>7.1999999999999993</v>
      </c>
      <c r="D544" s="645" t="s">
        <v>1190</v>
      </c>
      <c r="E544" s="645"/>
      <c r="F544" s="532" t="str">
        <f ca="1">IF($C$51&gt;=C544,"Ok","Não atende")</f>
        <v>Não atende</v>
      </c>
    </row>
    <row r="545" spans="2:9" ht="75" x14ac:dyDescent="0.25">
      <c r="B545" s="531" t="s">
        <v>1181</v>
      </c>
      <c r="C545" s="532">
        <f>1.2*8</f>
        <v>9.6</v>
      </c>
      <c r="D545" s="645" t="s">
        <v>1189</v>
      </c>
      <c r="E545" s="645"/>
      <c r="F545" s="532" t="str">
        <f ca="1">IF($C$51&gt;=C545,"Ok","Não atende")</f>
        <v>Não atende</v>
      </c>
    </row>
    <row r="547" spans="2:9" x14ac:dyDescent="0.25">
      <c r="B547" s="379"/>
    </row>
    <row r="549" spans="2:9" x14ac:dyDescent="0.25">
      <c r="B549" s="529" t="s">
        <v>1187</v>
      </c>
    </row>
    <row r="550" spans="2:9" x14ac:dyDescent="0.25">
      <c r="B550" s="379" t="s">
        <v>1182</v>
      </c>
    </row>
    <row r="551" spans="2:9" x14ac:dyDescent="0.25">
      <c r="B551" s="379" t="s">
        <v>1183</v>
      </c>
    </row>
    <row r="552" spans="2:9" x14ac:dyDescent="0.25">
      <c r="B552" s="379" t="s">
        <v>1184</v>
      </c>
    </row>
    <row r="553" spans="2:9" x14ac:dyDescent="0.25">
      <c r="B553" s="379" t="s">
        <v>1185</v>
      </c>
    </row>
    <row r="554" spans="2:9" x14ac:dyDescent="0.25">
      <c r="B554" s="543" t="s">
        <v>1193</v>
      </c>
    </row>
    <row r="557" spans="2:9" ht="15.75" thickBot="1" x14ac:dyDescent="0.3"/>
    <row r="558" spans="2:9" ht="15" customHeight="1" x14ac:dyDescent="0.25">
      <c r="B558" s="632" t="s">
        <v>1249</v>
      </c>
      <c r="C558" s="633"/>
      <c r="D558" s="633"/>
      <c r="E558" s="633"/>
      <c r="F558" s="633"/>
      <c r="G558" s="633"/>
      <c r="H558" s="633"/>
      <c r="I558" s="634"/>
    </row>
    <row r="559" spans="2:9" x14ac:dyDescent="0.25">
      <c r="B559" s="635"/>
      <c r="C559" s="636"/>
      <c r="D559" s="636"/>
      <c r="E559" s="636"/>
      <c r="F559" s="636"/>
      <c r="G559" s="636"/>
      <c r="H559" s="636"/>
      <c r="I559" s="637"/>
    </row>
    <row r="560" spans="2:9" x14ac:dyDescent="0.25">
      <c r="B560" s="635"/>
      <c r="C560" s="636"/>
      <c r="D560" s="636"/>
      <c r="E560" s="636"/>
      <c r="F560" s="636"/>
      <c r="G560" s="636"/>
      <c r="H560" s="636"/>
      <c r="I560" s="637"/>
    </row>
    <row r="561" spans="2:9" x14ac:dyDescent="0.25">
      <c r="B561" s="635"/>
      <c r="C561" s="636"/>
      <c r="D561" s="636"/>
      <c r="E561" s="636"/>
      <c r="F561" s="636"/>
      <c r="G561" s="636"/>
      <c r="H561" s="636"/>
      <c r="I561" s="637"/>
    </row>
    <row r="562" spans="2:9" x14ac:dyDescent="0.25">
      <c r="B562" s="635"/>
      <c r="C562" s="636"/>
      <c r="D562" s="636"/>
      <c r="E562" s="636"/>
      <c r="F562" s="636"/>
      <c r="G562" s="636"/>
      <c r="H562" s="636"/>
      <c r="I562" s="637"/>
    </row>
    <row r="563" spans="2:9" ht="15.75" thickBot="1" x14ac:dyDescent="0.3">
      <c r="B563" s="638"/>
      <c r="C563" s="639"/>
      <c r="D563" s="639"/>
      <c r="E563" s="639"/>
      <c r="F563" s="639"/>
      <c r="G563" s="639"/>
      <c r="H563" s="639"/>
      <c r="I563" s="640"/>
    </row>
    <row r="566" spans="2:9" x14ac:dyDescent="0.25">
      <c r="B566" s="626" t="s">
        <v>1196</v>
      </c>
      <c r="C566" s="626"/>
      <c r="D566" s="626"/>
      <c r="E566" s="626"/>
      <c r="F566" s="626"/>
      <c r="G566" s="626"/>
      <c r="H566" s="626"/>
    </row>
    <row r="567" spans="2:9" x14ac:dyDescent="0.25">
      <c r="B567" s="543" t="s">
        <v>1194</v>
      </c>
    </row>
    <row r="568" spans="2:9" x14ac:dyDescent="0.25">
      <c r="B568" s="543" t="s">
        <v>1195</v>
      </c>
    </row>
    <row r="570" spans="2:9" x14ac:dyDescent="0.25">
      <c r="B570" s="543" t="s">
        <v>1205</v>
      </c>
      <c r="C570" s="543"/>
    </row>
    <row r="571" spans="2:9" x14ac:dyDescent="0.25">
      <c r="B571" s="543" t="s">
        <v>1206</v>
      </c>
      <c r="C571" s="543"/>
    </row>
    <row r="572" spans="2:9" x14ac:dyDescent="0.25">
      <c r="C572" s="543"/>
    </row>
    <row r="573" spans="2:9" x14ac:dyDescent="0.25">
      <c r="B573" s="543" t="s">
        <v>1207</v>
      </c>
      <c r="C573" s="543"/>
    </row>
    <row r="574" spans="2:9" x14ac:dyDescent="0.25">
      <c r="C574" s="543"/>
    </row>
    <row r="575" spans="2:9" x14ac:dyDescent="0.25">
      <c r="B575" s="543" t="s">
        <v>1208</v>
      </c>
      <c r="C575" s="543"/>
    </row>
    <row r="576" spans="2:9" x14ac:dyDescent="0.25">
      <c r="B576" s="543"/>
      <c r="C576" s="543"/>
    </row>
    <row r="577" spans="2:3" x14ac:dyDescent="0.25">
      <c r="B577" s="553" t="s">
        <v>1209</v>
      </c>
      <c r="C577" s="543"/>
    </row>
    <row r="578" spans="2:3" x14ac:dyDescent="0.25">
      <c r="B578" s="543"/>
      <c r="C578" s="543"/>
    </row>
    <row r="579" spans="2:3" x14ac:dyDescent="0.25">
      <c r="B579" s="543"/>
      <c r="C579" s="543"/>
    </row>
    <row r="580" spans="2:3" x14ac:dyDescent="0.25">
      <c r="B580" t="s">
        <v>1221</v>
      </c>
      <c r="C580" s="543"/>
    </row>
    <row r="581" spans="2:3" x14ac:dyDescent="0.25">
      <c r="B581"/>
      <c r="C581" s="543"/>
    </row>
    <row r="582" spans="2:3" x14ac:dyDescent="0.25">
      <c r="B582" t="s">
        <v>1222</v>
      </c>
      <c r="C582" s="543"/>
    </row>
    <row r="583" spans="2:3" x14ac:dyDescent="0.25">
      <c r="B583" s="543"/>
      <c r="C583" s="543"/>
    </row>
    <row r="584" spans="2:3" x14ac:dyDescent="0.25">
      <c r="B584" t="s">
        <v>1224</v>
      </c>
      <c r="C584" s="543"/>
    </row>
    <row r="586" spans="2:3" x14ac:dyDescent="0.25">
      <c r="B586" s="552" t="s">
        <v>1223</v>
      </c>
    </row>
    <row r="588" spans="2:3" x14ac:dyDescent="0.25">
      <c r="B588" s="552" t="s">
        <v>1225</v>
      </c>
    </row>
    <row r="589" spans="2:3" x14ac:dyDescent="0.25">
      <c r="B589" s="543"/>
      <c r="C589" s="543"/>
    </row>
    <row r="590" spans="2:3" x14ac:dyDescent="0.25">
      <c r="B590" t="s">
        <v>1226</v>
      </c>
      <c r="C590" s="543"/>
    </row>
    <row r="591" spans="2:3" x14ac:dyDescent="0.25">
      <c r="B591" t="s">
        <v>1227</v>
      </c>
      <c r="C591" s="543"/>
    </row>
    <row r="592" spans="2:3" x14ac:dyDescent="0.25">
      <c r="C592" s="543"/>
    </row>
    <row r="593" spans="2:3" x14ac:dyDescent="0.25">
      <c r="B593" s="543" t="s">
        <v>1228</v>
      </c>
      <c r="C593" s="543"/>
    </row>
    <row r="594" spans="2:3" x14ac:dyDescent="0.25">
      <c r="B594" s="543"/>
      <c r="C594" s="543"/>
    </row>
    <row r="595" spans="2:3" x14ac:dyDescent="0.25">
      <c r="B595" s="1" t="s">
        <v>1230</v>
      </c>
      <c r="C595" s="543" t="s">
        <v>1229</v>
      </c>
    </row>
    <row r="596" spans="2:3" x14ac:dyDescent="0.25">
      <c r="C596" s="543"/>
    </row>
    <row r="597" spans="2:3" x14ac:dyDescent="0.25">
      <c r="B597" s="1" t="s">
        <v>1231</v>
      </c>
      <c r="C597" s="543" t="s">
        <v>1232</v>
      </c>
    </row>
    <row r="598" spans="2:3" x14ac:dyDescent="0.25">
      <c r="C598" s="543"/>
    </row>
    <row r="599" spans="2:3" x14ac:dyDescent="0.25">
      <c r="B599" s="556" t="s">
        <v>1247</v>
      </c>
    </row>
    <row r="600" spans="2:3" x14ac:dyDescent="0.25">
      <c r="B600" t="s">
        <v>1248</v>
      </c>
    </row>
    <row r="601" spans="2:3" x14ac:dyDescent="0.25">
      <c r="B601"/>
    </row>
    <row r="602" spans="2:3" x14ac:dyDescent="0.25">
      <c r="B602" s="543" t="s">
        <v>1239</v>
      </c>
    </row>
    <row r="603" spans="2:3" x14ac:dyDescent="0.25">
      <c r="B603" s="543"/>
    </row>
    <row r="604" spans="2:3" x14ac:dyDescent="0.25">
      <c r="B604" s="543" t="s">
        <v>1240</v>
      </c>
    </row>
    <row r="605" spans="2:3" x14ac:dyDescent="0.25">
      <c r="B605" s="543"/>
    </row>
    <row r="606" spans="2:3" x14ac:dyDescent="0.25">
      <c r="B606" s="543" t="s">
        <v>1241</v>
      </c>
    </row>
    <row r="607" spans="2:3" x14ac:dyDescent="0.25">
      <c r="B607" s="543"/>
    </row>
    <row r="608" spans="2:3" x14ac:dyDescent="0.25">
      <c r="B608" s="543" t="s">
        <v>1242</v>
      </c>
    </row>
    <row r="609" spans="2:11" x14ac:dyDescent="0.25">
      <c r="B609" s="543"/>
    </row>
    <row r="610" spans="2:11" x14ac:dyDescent="0.25">
      <c r="B610" s="644" t="s">
        <v>1245</v>
      </c>
      <c r="C610" s="626" t="s">
        <v>1243</v>
      </c>
      <c r="D610" s="626"/>
    </row>
    <row r="611" spans="2:11" x14ac:dyDescent="0.25">
      <c r="B611" s="644"/>
      <c r="C611" s="626" t="s">
        <v>1244</v>
      </c>
      <c r="D611" s="626"/>
    </row>
    <row r="612" spans="2:11" x14ac:dyDescent="0.25">
      <c r="B612" s="543"/>
    </row>
    <row r="613" spans="2:11" x14ac:dyDescent="0.25">
      <c r="B613" s="543" t="s">
        <v>1246</v>
      </c>
    </row>
    <row r="614" spans="2:11" x14ac:dyDescent="0.25">
      <c r="C614" s="543"/>
    </row>
    <row r="615" spans="2:11" ht="15.75" thickBot="1" x14ac:dyDescent="0.3">
      <c r="C615" s="543"/>
    </row>
    <row r="616" spans="2:11" ht="15.75" thickBot="1" x14ac:dyDescent="0.3">
      <c r="B616" s="554" t="s">
        <v>1157</v>
      </c>
      <c r="C616" s="629" t="s">
        <v>1233</v>
      </c>
      <c r="D616" s="630"/>
      <c r="E616" s="630"/>
      <c r="F616" s="630"/>
      <c r="G616" s="630"/>
      <c r="H616" s="630"/>
      <c r="I616" s="630"/>
      <c r="J616" s="630"/>
      <c r="K616" s="631"/>
    </row>
    <row r="617" spans="2:11" x14ac:dyDescent="0.25">
      <c r="C617" s="543"/>
    </row>
    <row r="618" spans="2:11" ht="15.75" thickBot="1" x14ac:dyDescent="0.3">
      <c r="B618" s="543"/>
      <c r="C618" s="543"/>
    </row>
    <row r="619" spans="2:11" ht="30.75" thickBot="1" x14ac:dyDescent="0.3">
      <c r="B619" s="546" t="s">
        <v>1210</v>
      </c>
      <c r="C619" s="546" t="s">
        <v>1211</v>
      </c>
      <c r="D619" s="546" t="s">
        <v>1212</v>
      </c>
    </row>
    <row r="620" spans="2:11" ht="45.75" thickBot="1" x14ac:dyDescent="0.3">
      <c r="B620" s="545" t="s">
        <v>1213</v>
      </c>
      <c r="C620" s="549" t="s">
        <v>1214</v>
      </c>
      <c r="D620" s="549" t="s">
        <v>1215</v>
      </c>
    </row>
    <row r="621" spans="2:11" ht="45.75" thickBot="1" x14ac:dyDescent="0.3">
      <c r="B621" s="546" t="s">
        <v>1216</v>
      </c>
      <c r="C621" s="546" t="s">
        <v>1217</v>
      </c>
      <c r="D621" s="546" t="s">
        <v>1218</v>
      </c>
    </row>
    <row r="623" spans="2:11" ht="15.75" thickBot="1" x14ac:dyDescent="0.3"/>
    <row r="624" spans="2:11" ht="15.75" thickBot="1" x14ac:dyDescent="0.3">
      <c r="B624" s="550" t="s">
        <v>1197</v>
      </c>
      <c r="C624" s="551" t="s">
        <v>1219</v>
      </c>
      <c r="D624" s="550" t="s">
        <v>1220</v>
      </c>
    </row>
    <row r="625" spans="2:10" ht="45.75" thickBot="1" x14ac:dyDescent="0.3">
      <c r="B625" s="546" t="s">
        <v>1198</v>
      </c>
      <c r="C625" s="546" t="s">
        <v>1238</v>
      </c>
      <c r="D625" s="546" t="s">
        <v>1199</v>
      </c>
    </row>
    <row r="626" spans="2:10" ht="60.75" thickBot="1" x14ac:dyDescent="0.3">
      <c r="B626" s="549" t="s">
        <v>1200</v>
      </c>
      <c r="C626" s="549" t="s">
        <v>1237</v>
      </c>
      <c r="D626" s="549" t="s">
        <v>1201</v>
      </c>
    </row>
    <row r="627" spans="2:10" ht="30.75" thickBot="1" x14ac:dyDescent="0.3">
      <c r="B627" s="547" t="s">
        <v>1202</v>
      </c>
      <c r="C627" s="548" t="s">
        <v>1203</v>
      </c>
      <c r="D627" s="547" t="s">
        <v>1204</v>
      </c>
    </row>
    <row r="629" spans="2:10" ht="15.75" thickBot="1" x14ac:dyDescent="0.3"/>
    <row r="630" spans="2:10" ht="15" customHeight="1" x14ac:dyDescent="0.25">
      <c r="B630" s="632" t="s">
        <v>1235</v>
      </c>
      <c r="C630" s="633"/>
      <c r="D630" s="633"/>
      <c r="E630" s="633"/>
      <c r="F630" s="633"/>
      <c r="G630" s="633"/>
      <c r="H630" s="633"/>
      <c r="I630" s="633"/>
      <c r="J630" s="634"/>
    </row>
    <row r="631" spans="2:10" x14ac:dyDescent="0.25">
      <c r="B631" s="635"/>
      <c r="C631" s="636"/>
      <c r="D631" s="636"/>
      <c r="E631" s="636"/>
      <c r="F631" s="636"/>
      <c r="G631" s="636"/>
      <c r="H631" s="636"/>
      <c r="I631" s="636"/>
      <c r="J631" s="637"/>
    </row>
    <row r="632" spans="2:10" x14ac:dyDescent="0.25">
      <c r="B632" s="635"/>
      <c r="C632" s="636"/>
      <c r="D632" s="636"/>
      <c r="E632" s="636"/>
      <c r="F632" s="636"/>
      <c r="G632" s="636"/>
      <c r="H632" s="636"/>
      <c r="I632" s="636"/>
      <c r="J632" s="637"/>
    </row>
    <row r="633" spans="2:10" x14ac:dyDescent="0.25">
      <c r="B633" s="635"/>
      <c r="C633" s="636"/>
      <c r="D633" s="636"/>
      <c r="E633" s="636"/>
      <c r="F633" s="636"/>
      <c r="G633" s="636"/>
      <c r="H633" s="636"/>
      <c r="I633" s="636"/>
      <c r="J633" s="637"/>
    </row>
    <row r="634" spans="2:10" x14ac:dyDescent="0.25">
      <c r="B634" s="635"/>
      <c r="C634" s="636"/>
      <c r="D634" s="636"/>
      <c r="E634" s="636"/>
      <c r="F634" s="636"/>
      <c r="G634" s="636"/>
      <c r="H634" s="636"/>
      <c r="I634" s="636"/>
      <c r="J634" s="637"/>
    </row>
    <row r="635" spans="2:10" x14ac:dyDescent="0.25">
      <c r="B635" s="635"/>
      <c r="C635" s="636"/>
      <c r="D635" s="636"/>
      <c r="E635" s="636"/>
      <c r="F635" s="636"/>
      <c r="G635" s="636"/>
      <c r="H635" s="636"/>
      <c r="I635" s="636"/>
      <c r="J635" s="637"/>
    </row>
    <row r="636" spans="2:10" x14ac:dyDescent="0.25">
      <c r="B636" s="635"/>
      <c r="C636" s="636"/>
      <c r="D636" s="636"/>
      <c r="E636" s="636"/>
      <c r="F636" s="636"/>
      <c r="G636" s="636"/>
      <c r="H636" s="636"/>
      <c r="I636" s="636"/>
      <c r="J636" s="637"/>
    </row>
    <row r="637" spans="2:10" x14ac:dyDescent="0.25">
      <c r="B637" s="635"/>
      <c r="C637" s="636"/>
      <c r="D637" s="636"/>
      <c r="E637" s="636"/>
      <c r="F637" s="636"/>
      <c r="G637" s="636"/>
      <c r="H637" s="636"/>
      <c r="I637" s="636"/>
      <c r="J637" s="637"/>
    </row>
    <row r="638" spans="2:10" x14ac:dyDescent="0.25">
      <c r="B638" s="635"/>
      <c r="C638" s="636"/>
      <c r="D638" s="636"/>
      <c r="E638" s="636"/>
      <c r="F638" s="636"/>
      <c r="G638" s="636"/>
      <c r="H638" s="636"/>
      <c r="I638" s="636"/>
      <c r="J638" s="637"/>
    </row>
    <row r="639" spans="2:10" x14ac:dyDescent="0.25">
      <c r="B639" s="635"/>
      <c r="C639" s="636"/>
      <c r="D639" s="636"/>
      <c r="E639" s="636"/>
      <c r="F639" s="636"/>
      <c r="G639" s="636"/>
      <c r="H639" s="636"/>
      <c r="I639" s="636"/>
      <c r="J639" s="637"/>
    </row>
    <row r="640" spans="2:10" x14ac:dyDescent="0.25">
      <c r="B640" s="635"/>
      <c r="C640" s="636"/>
      <c r="D640" s="636"/>
      <c r="E640" s="636"/>
      <c r="F640" s="636"/>
      <c r="G640" s="636"/>
      <c r="H640" s="636"/>
      <c r="I640" s="636"/>
      <c r="J640" s="637"/>
    </row>
    <row r="641" spans="2:12" x14ac:dyDescent="0.25">
      <c r="B641" s="635"/>
      <c r="C641" s="636"/>
      <c r="D641" s="636"/>
      <c r="E641" s="636"/>
      <c r="F641" s="636"/>
      <c r="G641" s="636"/>
      <c r="H641" s="636"/>
      <c r="I641" s="636"/>
      <c r="J641" s="637"/>
    </row>
    <row r="642" spans="2:12" x14ac:dyDescent="0.25">
      <c r="B642" s="635"/>
      <c r="C642" s="636"/>
      <c r="D642" s="636"/>
      <c r="E642" s="636"/>
      <c r="F642" s="636"/>
      <c r="G642" s="636"/>
      <c r="H642" s="636"/>
      <c r="I642" s="636"/>
      <c r="J642" s="637"/>
    </row>
    <row r="643" spans="2:12" x14ac:dyDescent="0.25">
      <c r="B643" s="635"/>
      <c r="C643" s="636"/>
      <c r="D643" s="636"/>
      <c r="E643" s="636"/>
      <c r="F643" s="636"/>
      <c r="G643" s="636"/>
      <c r="H643" s="636"/>
      <c r="I643" s="636"/>
      <c r="J643" s="637"/>
    </row>
    <row r="644" spans="2:12" ht="15.75" thickBot="1" x14ac:dyDescent="0.3">
      <c r="B644" s="635"/>
      <c r="C644" s="636"/>
      <c r="D644" s="636"/>
      <c r="E644" s="636"/>
      <c r="F644" s="636"/>
      <c r="G644" s="636"/>
      <c r="H644" s="636"/>
      <c r="I644" s="636"/>
      <c r="J644" s="637"/>
    </row>
    <row r="645" spans="2:12" ht="15.75" thickBot="1" x14ac:dyDescent="0.3">
      <c r="B645" s="635"/>
      <c r="C645" s="636"/>
      <c r="D645" s="636"/>
      <c r="E645" s="636"/>
      <c r="F645" s="636"/>
      <c r="G645" s="636"/>
      <c r="H645" s="636"/>
      <c r="I645" s="636"/>
      <c r="J645" s="637"/>
      <c r="K645" s="555" t="s">
        <v>1234</v>
      </c>
      <c r="L645" s="555" t="s">
        <v>1236</v>
      </c>
    </row>
    <row r="646" spans="2:12" x14ac:dyDescent="0.25">
      <c r="B646" s="635"/>
      <c r="C646" s="636"/>
      <c r="D646" s="636"/>
      <c r="E646" s="636"/>
      <c r="F646" s="636"/>
      <c r="G646" s="636"/>
      <c r="H646" s="636"/>
      <c r="I646" s="636"/>
      <c r="J646" s="637"/>
    </row>
    <row r="647" spans="2:12" x14ac:dyDescent="0.25">
      <c r="B647" s="635"/>
      <c r="C647" s="636"/>
      <c r="D647" s="636"/>
      <c r="E647" s="636"/>
      <c r="F647" s="636"/>
      <c r="G647" s="636"/>
      <c r="H647" s="636"/>
      <c r="I647" s="636"/>
      <c r="J647" s="637"/>
    </row>
    <row r="648" spans="2:12" x14ac:dyDescent="0.25">
      <c r="B648" s="635"/>
      <c r="C648" s="636"/>
      <c r="D648" s="636"/>
      <c r="E648" s="636"/>
      <c r="F648" s="636"/>
      <c r="G648" s="636"/>
      <c r="H648" s="636"/>
      <c r="I648" s="636"/>
      <c r="J648" s="637"/>
    </row>
    <row r="649" spans="2:12" x14ac:dyDescent="0.25">
      <c r="B649" s="635"/>
      <c r="C649" s="636"/>
      <c r="D649" s="636"/>
      <c r="E649" s="636"/>
      <c r="F649" s="636"/>
      <c r="G649" s="636"/>
      <c r="H649" s="636"/>
      <c r="I649" s="636"/>
      <c r="J649" s="637"/>
    </row>
    <row r="650" spans="2:12" x14ac:dyDescent="0.25">
      <c r="B650" s="635"/>
      <c r="C650" s="636"/>
      <c r="D650" s="636"/>
      <c r="E650" s="636"/>
      <c r="F650" s="636"/>
      <c r="G650" s="636"/>
      <c r="H650" s="636"/>
      <c r="I650" s="636"/>
      <c r="J650" s="637"/>
    </row>
    <row r="651" spans="2:12" x14ac:dyDescent="0.25">
      <c r="B651" s="635"/>
      <c r="C651" s="636"/>
      <c r="D651" s="636"/>
      <c r="E651" s="636"/>
      <c r="F651" s="636"/>
      <c r="G651" s="636"/>
      <c r="H651" s="636"/>
      <c r="I651" s="636"/>
      <c r="J651" s="637"/>
    </row>
    <row r="652" spans="2:12" x14ac:dyDescent="0.25">
      <c r="B652" s="635"/>
      <c r="C652" s="636"/>
      <c r="D652" s="636"/>
      <c r="E652" s="636"/>
      <c r="F652" s="636"/>
      <c r="G652" s="636"/>
      <c r="H652" s="636"/>
      <c r="I652" s="636"/>
      <c r="J652" s="637"/>
    </row>
    <row r="653" spans="2:12" x14ac:dyDescent="0.25">
      <c r="B653" s="635"/>
      <c r="C653" s="636"/>
      <c r="D653" s="636"/>
      <c r="E653" s="636"/>
      <c r="F653" s="636"/>
      <c r="G653" s="636"/>
      <c r="H653" s="636"/>
      <c r="I653" s="636"/>
      <c r="J653" s="637"/>
    </row>
    <row r="654" spans="2:12" x14ac:dyDescent="0.25">
      <c r="B654" s="635"/>
      <c r="C654" s="636"/>
      <c r="D654" s="636"/>
      <c r="E654" s="636"/>
      <c r="F654" s="636"/>
      <c r="G654" s="636"/>
      <c r="H654" s="636"/>
      <c r="I654" s="636"/>
      <c r="J654" s="637"/>
    </row>
    <row r="655" spans="2:12" x14ac:dyDescent="0.25">
      <c r="B655" s="635"/>
      <c r="C655" s="636"/>
      <c r="D655" s="636"/>
      <c r="E655" s="636"/>
      <c r="F655" s="636"/>
      <c r="G655" s="636"/>
      <c r="H655" s="636"/>
      <c r="I655" s="636"/>
      <c r="J655" s="637"/>
    </row>
    <row r="656" spans="2:12" x14ac:dyDescent="0.25">
      <c r="B656" s="635"/>
      <c r="C656" s="636"/>
      <c r="D656" s="636"/>
      <c r="E656" s="636"/>
      <c r="F656" s="636"/>
      <c r="G656" s="636"/>
      <c r="H656" s="636"/>
      <c r="I656" s="636"/>
      <c r="J656" s="637"/>
    </row>
    <row r="657" spans="2:13" x14ac:dyDescent="0.25">
      <c r="B657" s="635"/>
      <c r="C657" s="636"/>
      <c r="D657" s="636"/>
      <c r="E657" s="636"/>
      <c r="F657" s="636"/>
      <c r="G657" s="636"/>
      <c r="H657" s="636"/>
      <c r="I657" s="636"/>
      <c r="J657" s="637"/>
    </row>
    <row r="658" spans="2:13" x14ac:dyDescent="0.25">
      <c r="B658" s="635"/>
      <c r="C658" s="636"/>
      <c r="D658" s="636"/>
      <c r="E658" s="636"/>
      <c r="F658" s="636"/>
      <c r="G658" s="636"/>
      <c r="H658" s="636"/>
      <c r="I658" s="636"/>
      <c r="J658" s="637"/>
    </row>
    <row r="659" spans="2:13" x14ac:dyDescent="0.25">
      <c r="B659" s="635"/>
      <c r="C659" s="636"/>
      <c r="D659" s="636"/>
      <c r="E659" s="636"/>
      <c r="F659" s="636"/>
      <c r="G659" s="636"/>
      <c r="H659" s="636"/>
      <c r="I659" s="636"/>
      <c r="J659" s="637"/>
    </row>
    <row r="660" spans="2:13" x14ac:dyDescent="0.25">
      <c r="B660" s="635"/>
      <c r="C660" s="636"/>
      <c r="D660" s="636"/>
      <c r="E660" s="636"/>
      <c r="F660" s="636"/>
      <c r="G660" s="636"/>
      <c r="H660" s="636"/>
      <c r="I660" s="636"/>
      <c r="J660" s="637"/>
    </row>
    <row r="661" spans="2:13" x14ac:dyDescent="0.25">
      <c r="B661" s="635"/>
      <c r="C661" s="636"/>
      <c r="D661" s="636"/>
      <c r="E661" s="636"/>
      <c r="F661" s="636"/>
      <c r="G661" s="636"/>
      <c r="H661" s="636"/>
      <c r="I661" s="636"/>
      <c r="J661" s="637"/>
    </row>
    <row r="662" spans="2:13" x14ac:dyDescent="0.25">
      <c r="B662" s="635"/>
      <c r="C662" s="636"/>
      <c r="D662" s="636"/>
      <c r="E662" s="636"/>
      <c r="F662" s="636"/>
      <c r="G662" s="636"/>
      <c r="H662" s="636"/>
      <c r="I662" s="636"/>
      <c r="J662" s="637"/>
    </row>
    <row r="663" spans="2:13" ht="15.75" thickBot="1" x14ac:dyDescent="0.3">
      <c r="B663" s="638"/>
      <c r="C663" s="639"/>
      <c r="D663" s="639"/>
      <c r="E663" s="639"/>
      <c r="F663" s="639"/>
      <c r="G663" s="639"/>
      <c r="H663" s="639"/>
      <c r="I663" s="639"/>
      <c r="J663" s="640"/>
    </row>
    <row r="666" spans="2:13" x14ac:dyDescent="0.25">
      <c r="B666" s="2" t="s">
        <v>1259</v>
      </c>
    </row>
    <row r="667" spans="2:13" x14ac:dyDescent="0.25">
      <c r="B667"/>
    </row>
    <row r="668" spans="2:13" x14ac:dyDescent="0.25">
      <c r="B668" t="s">
        <v>1255</v>
      </c>
    </row>
    <row r="669" spans="2:13" x14ac:dyDescent="0.25">
      <c r="B669"/>
    </row>
    <row r="670" spans="2:13" x14ac:dyDescent="0.25">
      <c r="B670" t="s">
        <v>1252</v>
      </c>
    </row>
    <row r="671" spans="2:13" x14ac:dyDescent="0.25">
      <c r="B671"/>
    </row>
    <row r="672" spans="2:13" x14ac:dyDescent="0.25">
      <c r="B672" s="627" t="s">
        <v>1253</v>
      </c>
      <c r="C672" s="627"/>
      <c r="D672" s="627"/>
      <c r="E672" s="627"/>
      <c r="F672" s="627"/>
      <c r="G672" s="627"/>
      <c r="H672" s="627"/>
      <c r="I672" s="627"/>
      <c r="J672" s="627"/>
      <c r="K672" s="627"/>
      <c r="L672" s="627"/>
      <c r="M672" s="627"/>
    </row>
    <row r="673" spans="2:13" x14ac:dyDescent="0.25">
      <c r="B673" s="627"/>
      <c r="C673" s="627"/>
      <c r="D673" s="627"/>
      <c r="E673" s="627"/>
      <c r="F673" s="627"/>
      <c r="G673" s="627"/>
      <c r="H673" s="627"/>
      <c r="I673" s="627"/>
      <c r="J673" s="627"/>
      <c r="K673" s="627"/>
      <c r="L673" s="627"/>
      <c r="M673" s="627"/>
    </row>
    <row r="674" spans="2:13" x14ac:dyDescent="0.25">
      <c r="B674" s="627"/>
      <c r="C674" s="627"/>
      <c r="D674" s="627"/>
      <c r="E674" s="627"/>
      <c r="F674" s="627"/>
      <c r="G674" s="627"/>
      <c r="H674" s="627"/>
      <c r="I674" s="627"/>
      <c r="J674" s="627"/>
      <c r="K674" s="627"/>
      <c r="L674" s="627"/>
      <c r="M674" s="627"/>
    </row>
    <row r="675" spans="2:13" x14ac:dyDescent="0.25">
      <c r="B675" s="627"/>
      <c r="C675" s="627"/>
      <c r="D675" s="627"/>
      <c r="E675" s="627"/>
      <c r="F675" s="627"/>
      <c r="G675" s="627"/>
      <c r="H675" s="627"/>
      <c r="I675" s="627"/>
      <c r="J675" s="627"/>
      <c r="K675" s="627"/>
      <c r="L675" s="627"/>
      <c r="M675" s="627"/>
    </row>
    <row r="676" spans="2:13" x14ac:dyDescent="0.25">
      <c r="B676" s="544"/>
      <c r="C676" s="544"/>
      <c r="D676" s="544"/>
      <c r="E676" s="544"/>
      <c r="F676" s="544"/>
      <c r="G676" s="544"/>
      <c r="H676" s="544"/>
      <c r="I676" s="544"/>
      <c r="J676" s="544"/>
      <c r="K676" s="544"/>
      <c r="L676" s="544"/>
      <c r="M676" s="544"/>
    </row>
    <row r="677" spans="2:13" x14ac:dyDescent="0.25">
      <c r="B677" s="2" t="s">
        <v>1257</v>
      </c>
    </row>
    <row r="678" spans="2:13" x14ac:dyDescent="0.25">
      <c r="B678" s="627" t="s">
        <v>1254</v>
      </c>
      <c r="C678" s="627"/>
      <c r="D678" s="627"/>
      <c r="E678" s="627"/>
      <c r="F678" s="627"/>
      <c r="G678" s="627"/>
      <c r="H678" s="627"/>
      <c r="I678" s="627"/>
      <c r="J678" s="627"/>
      <c r="K678" s="627"/>
      <c r="L678" s="627"/>
      <c r="M678" s="627"/>
    </row>
    <row r="679" spans="2:13" x14ac:dyDescent="0.25">
      <c r="B679" s="627"/>
      <c r="C679" s="627"/>
      <c r="D679" s="627"/>
      <c r="E679" s="627"/>
      <c r="F679" s="627"/>
      <c r="G679" s="627"/>
      <c r="H679" s="627"/>
      <c r="I679" s="627"/>
      <c r="J679" s="627"/>
      <c r="K679" s="627"/>
      <c r="L679" s="627"/>
      <c r="M679" s="627"/>
    </row>
    <row r="680" spans="2:13" x14ac:dyDescent="0.25">
      <c r="B680" s="627"/>
      <c r="C680" s="627"/>
      <c r="D680" s="627"/>
      <c r="E680" s="627"/>
      <c r="F680" s="627"/>
      <c r="G680" s="627"/>
      <c r="H680" s="627"/>
      <c r="I680" s="627"/>
      <c r="J680" s="627"/>
      <c r="K680" s="627"/>
      <c r="L680" s="627"/>
      <c r="M680" s="627"/>
    </row>
    <row r="681" spans="2:13" x14ac:dyDescent="0.25">
      <c r="B681" s="627"/>
      <c r="C681" s="627"/>
      <c r="D681" s="627"/>
      <c r="E681" s="627"/>
      <c r="F681" s="627"/>
      <c r="G681" s="627"/>
      <c r="H681" s="627"/>
      <c r="I681" s="627"/>
      <c r="J681" s="627"/>
      <c r="K681" s="627"/>
      <c r="L681" s="627"/>
      <c r="M681" s="627"/>
    </row>
    <row r="682" spans="2:13" x14ac:dyDescent="0.25">
      <c r="B682" s="627"/>
      <c r="C682" s="627"/>
      <c r="D682" s="627"/>
      <c r="E682" s="627"/>
      <c r="F682" s="627"/>
      <c r="G682" s="627"/>
      <c r="H682" s="627"/>
      <c r="I682" s="627"/>
      <c r="J682" s="627"/>
      <c r="K682" s="627"/>
      <c r="L682" s="627"/>
      <c r="M682" s="627"/>
    </row>
    <row r="683" spans="2:13" x14ac:dyDescent="0.25">
      <c r="B683"/>
    </row>
    <row r="684" spans="2:13" x14ac:dyDescent="0.25">
      <c r="B684" s="2" t="s">
        <v>1256</v>
      </c>
    </row>
    <row r="685" spans="2:13" ht="15" customHeight="1" x14ac:dyDescent="0.25">
      <c r="B685" s="628" t="s">
        <v>1250</v>
      </c>
      <c r="C685" s="628"/>
      <c r="D685" s="628"/>
      <c r="E685" s="628"/>
      <c r="F685" s="628"/>
      <c r="G685" s="628"/>
      <c r="H685" s="628"/>
      <c r="I685" s="628"/>
      <c r="J685" s="628"/>
      <c r="K685" s="628"/>
      <c r="L685" s="628"/>
      <c r="M685" s="628"/>
    </row>
    <row r="686" spans="2:13" x14ac:dyDescent="0.25">
      <c r="B686" s="628"/>
      <c r="C686" s="628"/>
      <c r="D686" s="628"/>
      <c r="E686" s="628"/>
      <c r="F686" s="628"/>
      <c r="G686" s="628"/>
      <c r="H686" s="628"/>
      <c r="I686" s="628"/>
      <c r="J686" s="628"/>
      <c r="K686" s="628"/>
      <c r="L686" s="628"/>
      <c r="M686" s="628"/>
    </row>
    <row r="687" spans="2:13" x14ac:dyDescent="0.25">
      <c r="B687" s="628"/>
      <c r="C687" s="628"/>
      <c r="D687" s="628"/>
      <c r="E687" s="628"/>
      <c r="F687" s="628"/>
      <c r="G687" s="628"/>
      <c r="H687" s="628"/>
      <c r="I687" s="628"/>
      <c r="J687" s="628"/>
      <c r="K687" s="628"/>
      <c r="L687" s="628"/>
      <c r="M687" s="628"/>
    </row>
    <row r="688" spans="2:13" x14ac:dyDescent="0.25">
      <c r="B688" s="628"/>
      <c r="C688" s="628"/>
      <c r="D688" s="628"/>
      <c r="E688" s="628"/>
      <c r="F688" s="628"/>
      <c r="G688" s="628"/>
      <c r="H688" s="628"/>
      <c r="I688" s="628"/>
      <c r="J688" s="628"/>
      <c r="K688" s="628"/>
      <c r="L688" s="628"/>
      <c r="M688" s="628"/>
    </row>
    <row r="689" spans="2:13" x14ac:dyDescent="0.25">
      <c r="B689" s="557"/>
      <c r="C689" s="557"/>
      <c r="D689" s="557"/>
      <c r="E689" s="557"/>
      <c r="F689" s="557"/>
      <c r="G689" s="557"/>
      <c r="H689" s="557"/>
      <c r="I689" s="557"/>
      <c r="J689" s="557"/>
      <c r="K689" s="557"/>
      <c r="L689" s="557"/>
      <c r="M689" s="557"/>
    </row>
    <row r="690" spans="2:13" x14ac:dyDescent="0.25">
      <c r="B690"/>
    </row>
    <row r="691" spans="2:13" x14ac:dyDescent="0.25">
      <c r="B691" s="2" t="s">
        <v>1258</v>
      </c>
    </row>
    <row r="692" spans="2:13" x14ac:dyDescent="0.25">
      <c r="B692" s="627" t="s">
        <v>1251</v>
      </c>
      <c r="C692" s="627"/>
      <c r="D692" s="627"/>
      <c r="E692" s="627"/>
      <c r="F692" s="627"/>
      <c r="G692" s="627"/>
      <c r="H692" s="627"/>
      <c r="I692" s="627"/>
      <c r="J692" s="627"/>
      <c r="K692" s="627"/>
      <c r="L692" s="627"/>
      <c r="M692" s="627"/>
    </row>
    <row r="693" spans="2:13" x14ac:dyDescent="0.25">
      <c r="B693" s="627"/>
      <c r="C693" s="627"/>
      <c r="D693" s="627"/>
      <c r="E693" s="627"/>
      <c r="F693" s="627"/>
      <c r="G693" s="627"/>
      <c r="H693" s="627"/>
      <c r="I693" s="627"/>
      <c r="J693" s="627"/>
      <c r="K693" s="627"/>
      <c r="L693" s="627"/>
      <c r="M693" s="627"/>
    </row>
    <row r="694" spans="2:13" x14ac:dyDescent="0.25">
      <c r="B694" s="627"/>
      <c r="C694" s="627"/>
      <c r="D694" s="627"/>
      <c r="E694" s="627"/>
      <c r="F694" s="627"/>
      <c r="G694" s="627"/>
      <c r="H694" s="627"/>
      <c r="I694" s="627"/>
      <c r="J694" s="627"/>
      <c r="K694" s="627"/>
      <c r="L694" s="627"/>
      <c r="M694" s="627"/>
    </row>
    <row r="695" spans="2:13" x14ac:dyDescent="0.25">
      <c r="B695" s="627"/>
      <c r="C695" s="627"/>
      <c r="D695" s="627"/>
      <c r="E695" s="627"/>
      <c r="F695" s="627"/>
      <c r="G695" s="627"/>
      <c r="H695" s="627"/>
      <c r="I695" s="627"/>
      <c r="J695" s="627"/>
      <c r="K695" s="627"/>
      <c r="L695" s="627"/>
      <c r="M695" s="627"/>
    </row>
    <row r="719" spans="2:19" ht="15.75" thickBot="1" x14ac:dyDescent="0.3">
      <c r="B719" s="486" t="s">
        <v>1765</v>
      </c>
      <c r="C719" s="624" t="inlineStr">
        <is>
          <t xml:space="preserve">ACELERAÇÃO DE PICO POR CAMINHADA - PANO PRONTO, COM CAPA (AISC DG11, cap. 4)</t>
        </is>
      </c>
      <c r="D719" s="625"/>
      <c r="E719" s="625"/>
      <c r="F719" s="625"/>
      <c r="G719" s="625"/>
      <c r="H719" s="625"/>
      <c r="I719" s="625"/>
      <c r="J719" s="625"/>
      <c r="K719" s="625"/>
      <c r="L719" s="625"/>
      <c r="M719" s="625"/>
      <c r="N719" s="625"/>
      <c r="O719" s="625"/>
      <c r="P719" s="625"/>
      <c r="Q719" s="625"/>
      <c r="R719" s="625"/>
      <c r="S719" s="625"/>
    </row>
    <row r="720" spans="2:19" x14ac:dyDescent="0.25">
      <c r="B720" s="624" t="s">
        <v>1768</v>
      </c>
      <c r="C720" s="626"/>
      <c r="D720" s="626"/>
      <c r="E720" s="626"/>
      <c r="F720" s="626"/>
      <c r="G720" s="626"/>
      <c r="H720" s="626"/>
      <c r="I720" s="626"/>
      <c r="J720" s="626"/>
      <c r="K720" s="626"/>
      <c r="L720" s="626"/>
      <c r="M720" s="626"/>
      <c r="N720" s="626"/>
      <c r="O720" s="626"/>
      <c r="P720" s="626"/>
      <c r="Q720" s="626"/>
      <c r="R720" s="626"/>
      <c r="S720" s="626"/>
    </row>
    <row r="721" spans="2:19" x14ac:dyDescent="0.25">
      <c r="B721" s="626"/>
      <c r="C721" s="626"/>
      <c r="D721" s="626"/>
      <c r="E721" s="626"/>
      <c r="F721" s="626"/>
      <c r="G721" s="626"/>
      <c r="H721" s="626"/>
      <c r="I721" s="626"/>
      <c r="J721" s="626"/>
      <c r="K721" s="626"/>
      <c r="L721" s="626"/>
      <c r="M721" s="626"/>
      <c r="N721" s="626"/>
      <c r="O721" s="626"/>
      <c r="P721" s="626"/>
      <c r="Q721" s="626"/>
      <c r="R721" s="626"/>
      <c r="S721" s="626"/>
    </row>
    <row r="722" spans="2:19" x14ac:dyDescent="0.25">
      <c r="B722" s="483" t="s">
        <v>1769</v>
      </c>
      <c r="C722" s="490">
        <v>50</v>
      </c>
      <c r="D722" s="1" t="s">
        <v>21</v>
      </c>
      <c r="E722" s="488" t="s">
        <v>1770</v>
      </c>
    </row>
    <row r="723" spans="2:19" x14ac:dyDescent="0.25">
      <c r="B723" s="482" t="s">
        <v>1771</v>
      </c>
      <c r="C723" s="501">
        <f ca="1">IF($W$48&gt;0,1/SQRT(1/(((C40/((C20*C39*(C14/100))+(C722*(C14/100)*(C39*C5/100))+(C46*(C14/100)*(C39*C5/100))))^0.5)*1/(2*PI())*$C$512)^2+1/$W$48^2),((C40/((C20*C39*(C14/100))+(C722*(C14/100)*(C39*C5/100))+(C46*(C14/100)*(C39*C5/100))))^0.5)*1/(2*PI())*$C$512)</f>
        <v>7.0817744310912065</v>
      </c>
      <c r="D723" s="1" t="s">
        <v>1074</v>
      </c>
      <c r="E723" s="488" t="s">
        <v>1885</v>
      </c>
    </row>
    <row r="724" spans="2:19" x14ac:dyDescent="0.25">
      <c r="B724" s="482" t="s">
        <v>1772</v>
      </c>
      <c r="C724" s="1">
        <f>(C4/100)^3/12</f>
        <v>1.041666666666667E-5</v>
      </c>
      <c r="D724" s="1" t="s">
        <v>1773</v>
      </c>
      <c r="E724" s="488" t="s">
        <v>1774</v>
      </c>
    </row>
    <row r="725" spans="2:19" x14ac:dyDescent="0.25">
      <c r="B725" s="482" t="s">
        <v>1775</v>
      </c>
      <c r="C725" s="1">
        <f ca="1">C19/(C5/100)</f>
        <v>2.8572187018761561E-3</v>
      </c>
      <c r="D725" s="1" t="s">
        <v>1773</v>
      </c>
      <c r="E725" s="488" t="s">
        <v>1776</v>
      </c>
    </row>
    <row r="726" spans="2:19" x14ac:dyDescent="0.25">
      <c r="B726" s="483" t="s">
        <v>1777</v>
      </c>
      <c r="C726" s="490">
        <v>2</v>
      </c>
      <c r="D726" s="1" t="s">
        <v>1161</v>
      </c>
      <c r="E726" s="488" t="s">
        <v>1778</v>
      </c>
    </row>
    <row r="727" spans="2:19" x14ac:dyDescent="0.25">
      <c r="B727" s="482" t="s">
        <v>1779</v>
      </c>
      <c r="C727" s="1">
        <f ca="1">MIN(C726*(C724/C725)^0.25*(C14/100),2/3*C38/100)</f>
        <v>5.34693878096174</v>
      </c>
      <c r="D727" s="1" t="s">
        <v>83</v>
      </c>
      <c r="E727" s="488" t="s">
        <v>1780</v>
      </c>
    </row>
    <row r="728" spans="2:19" x14ac:dyDescent="0.25">
      <c r="B728" s="482" t="s">
        <v>1781</v>
      </c>
      <c r="C728" s="1">
        <f ca="1">((C20/(C5/100))+C722+C46)*9.81/1000*C727*(C14/100)</f>
        <v>493.3819337003898</v>
      </c>
      <c r="D728" s="1" t="s">
        <v>96</v>
      </c>
      <c r="E728" s="488" t="s">
        <v>1782</v>
      </c>
    </row>
    <row r="729" spans="2:19" x14ac:dyDescent="0.25">
      <c r="B729" s="483" t="s">
        <v>1301</v>
      </c>
      <c r="C729" s="490">
        <v>0.03</v>
      </c>
      <c r="D729" s="1" t="s">
        <v>1161</v>
      </c>
      <c r="E729" s="488" t="s">
        <v>1783</v>
      </c>
    </row>
    <row r="730" spans="2:19" x14ac:dyDescent="0.25">
      <c r="B730" s="483" t="s">
        <v>1784</v>
      </c>
      <c r="C730" s="490">
        <v>0.28999999999999998</v>
      </c>
      <c r="D730" s="1" t="s">
        <v>96</v>
      </c>
      <c r="E730" s="488" t="s">
        <v>1785</v>
      </c>
    </row>
    <row r="731" spans="2:19" x14ac:dyDescent="0.25">
      <c r="B731" s="482" t="s">
        <v>1786</v>
      </c>
      <c r="C731" s="501">
        <f ca="1">C730*EXP(-0.35*C723)/(C729*C728)*100</f>
        <v>0.1643016993420104</v>
      </c>
      <c r="D731" s="1" t="s">
        <v>1787</v>
      </c>
      <c r="E731" s="488" t="s">
        <v>1788</v>
      </c>
    </row>
    <row r="732" spans="2:19" x14ac:dyDescent="0.25">
      <c r="B732" s="483" t="s">
        <v>1789</v>
      </c>
      <c r="C732" s="490">
        <v>0.5</v>
      </c>
      <c r="D732" s="1" t="s">
        <v>1787</v>
      </c>
      <c r="E732" s="488" t="s">
        <v>1790</v>
      </c>
    </row>
    <row r="733" spans="2:19" x14ac:dyDescent="0.25">
      <c r="B733" s="482" t="s">
        <v>1791</v>
      </c>
      <c r="C733" s="1">
        <f ca="1">48*C30/(C14/100)^3/1000</f>
        <v>6.3382032624498974</v>
      </c>
      <c r="D733" s="1" t="s">
        <v>1792</v>
      </c>
      <c r="E733" s="488" t="s">
        <v>1793</v>
      </c>
    </row>
    <row r="734" spans="2:19" x14ac:dyDescent="0.25">
      <c r="B734" s="506" t="s">
        <v>1085</v>
      </c>
      <c r="C734" s="507" t="str">
        <f ca="1">IF(C723&gt;=9,IF(C733&gt;=1,"fn ≥ 9 Hz: Ok (rigidez)","fn ≥ 9 Hz: Não atende (rigidez &lt; 1 kN/mm)"),IF(C731&lt;=C732,"Ok","Não atende - aumentar rigidez, massa ou amortecimento"))</f>
        <v>Ok</v>
      </c>
    </row>
    <row r="736" spans="2:19">
      <c r="B736" s="486" t="inlineStr">
        <is>
          <t xml:space="preserve">7.1</t>
        </is>
      </c>
      <c r="C736" s="624" t="inlineStr">
        <is>
          <t xml:space="preserve">ACELERAÇÃO POR CAMINHADA - LAJE SEM CAPA (laje isolada, mesma condição do item 2.1)</t>
        </is>
      </c>
      <c r="D736" s="625"/>
      <c r="E736" s="625"/>
      <c r="F736" s="625"/>
      <c r="G736" s="625"/>
      <c r="H736" s="625"/>
      <c r="I736" s="625"/>
      <c r="J736" s="625"/>
      <c r="K736" s="625"/>
      <c r="L736" s="625"/>
      <c r="M736" s="625"/>
      <c r="N736" s="625"/>
      <c r="O736" s="625"/>
      <c r="P736" s="625"/>
      <c r="Q736" s="625"/>
      <c r="R736" s="625"/>
      <c r="S736" s="625"/>
    </row>
    <row r="737" spans="2:19">
      <c r="B737" s="624" t="inlineStr">
        <is>
          <t xml:space="preserve">*Laje pré-fabricada sozinha, antes da capa e da chaveta (montagem ou piso sem capa): biapoiada, sem engaste, com o módulo e o daf da laje isolada (item 2.1). Sem capa as lajes não trabalham juntas, então a faixa que vibra é a própria laje. Mesmo critério do item 7.</t>
        </is>
      </c>
    </row>
    <row r="738" spans="2:19"/>
    <row r="740" spans="2:19">
      <c r="B740" s="483" t="inlineStr">
        <is>
          <t xml:space="preserve">q,uso</t>
        </is>
      </c>
      <c r="C740" s="490">
        <f>C722</f>
        <v>50.0</v>
      </c>
      <c r="D740" s="1" t="inlineStr">
        <is>
          <t xml:space="preserve">kgf/m²</t>
        </is>
      </c>
      <c r="E740" s="488" t="inlineStr">
        <is>
          <t xml:space="preserve">*Sobrecarga de uso real sobre a laje (padrão = a do item 7)</t>
        </is>
      </c>
    </row>
    <row r="741" spans="2:19">
      <c r="B741" s="483" t="inlineStr">
        <is>
          <t xml:space="preserve">g,rev</t>
        </is>
      </c>
      <c r="C741" s="490">
        <v>0</v>
      </c>
      <c r="D741" s="1" t="inlineStr">
        <is>
          <t xml:space="preserve">kgf/m²</t>
        </is>
      </c>
      <c r="E741" s="488" t="inlineStr">
        <is>
          <t xml:space="preserve">*Revestimento presente sem capa (normalmente 0)</t>
        </is>
      </c>
    </row>
    <row r="742" spans="2:19">
      <c r="B742" s="482" t="inlineStr">
        <is>
          <t xml:space="preserve">fn,ac</t>
        </is>
      </c>
      <c r="C742" s="501">
        <f>((C26/((C10+(C740+C741)*C5/100)*(C14/100)))^0.5)/(2*PI())</f>
        <v>5.124224326230031</v>
      </c>
      <c r="D742" s="1" t="inlineStr">
        <is>
          <t xml:space="preserve">Hz</t>
        </is>
      </c>
      <c r="E742" s="488" t="inlineStr">
        <is>
          <t xml:space="preserve">*Frequência da laje isolada com a carga de uso (mesma fórmula do item 2.1, biapoiada)</t>
        </is>
      </c>
    </row>
    <row r="743" spans="2:19">
      <c r="B743" s="483" t="inlineStr">
        <is>
          <t xml:space="preserve">Bj</t>
        </is>
      </c>
      <c r="C743" s="490">
        <f>C5/100</f>
        <v>1.25</v>
      </c>
      <c r="D743" s="1" t="inlineStr">
        <is>
          <t xml:space="preserve">m</t>
        </is>
      </c>
      <c r="E743" s="488" t="inlineStr">
        <is>
          <t xml:space="preserve">*Largura que vibra: só a laje, porque sem capa não há rigidez transversal (com chaveta grauteada pode ser maior)</t>
        </is>
      </c>
    </row>
    <row r="744" spans="2:19">
      <c r="B744" s="482" t="inlineStr">
        <is>
          <t xml:space="preserve">W</t>
        </is>
      </c>
      <c r="C744" s="1">
        <f>(C10/(C5/100)+C740+C741)*9.81/1000*C743*(C14/100)</f>
        <v>56.5585004663041</v>
      </c>
      <c r="D744" s="1" t="inlineStr">
        <is>
          <t xml:space="preserve">kN</t>
        </is>
      </c>
      <c r="E744" s="488" t="inlineStr">
        <is>
          <t xml:space="preserve">*Peso da laje que participa da vibração</t>
        </is>
      </c>
    </row>
    <row r="745" spans="2:19">
      <c r="B745" s="483" t="inlineStr">
        <is>
          <t xml:space="preserve">β</t>
        </is>
      </c>
      <c r="C745" s="490">
        <v>0.02</v>
      </c>
      <c r="D745" s="1" t="inlineStr">
        <is>
          <t xml:space="preserve">-</t>
        </is>
      </c>
      <c r="E745" s="488" t="inlineStr">
        <is>
          <t xml:space="preserve">*Amortecimento de laje nua, sem acabamentos (AISC: 0,02)</t>
        </is>
      </c>
    </row>
    <row r="746" spans="2:19">
      <c r="B746" s="482" t="inlineStr">
        <is>
          <t xml:space="preserve">ap/g</t>
        </is>
      </c>
      <c r="C746" s="501">
        <f>C730*EXP(-0.35*C742)/(C745*C744)*100</f>
        <v>4.265523054643696</v>
      </c>
      <c r="D746" s="1" t="inlineStr">
        <is>
          <t xml:space="preserve">%g</t>
        </is>
      </c>
      <c r="E746" s="488" t="inlineStr">
        <is>
          <t xml:space="preserve">*Aceleração de pico estimada, com P0 do item 7</t>
        </is>
      </c>
    </row>
    <row r="747" spans="2:19">
      <c r="B747" s="482" t="inlineStr">
        <is>
          <t xml:space="preserve">a0/g</t>
        </is>
      </c>
      <c r="C747" s="1">
        <f>C732</f>
        <v>0.5</v>
      </c>
      <c r="D747" s="1" t="inlineStr">
        <is>
          <t xml:space="preserve">%g</t>
        </is>
      </c>
      <c r="E747" s="488" t="inlineStr">
        <is>
          <t xml:space="preserve">*Mesmo limite do item 7</t>
        </is>
      </c>
    </row>
    <row r="748" spans="2:19">
      <c r="B748" s="482" t="inlineStr">
        <is>
          <t xml:space="preserve">kpontual</t>
        </is>
      </c>
      <c r="C748" s="1">
        <f>48*C24/(C14/100)^3/1000</f>
        <v>2.9450090259046244</v>
      </c>
      <c r="D748" s="1" t="inlineStr">
        <is>
          <t xml:space="preserve">kN/mm</t>
        </is>
      </c>
      <c r="E748" s="488" t="inlineStr">
        <is>
          <t xml:space="preserve">*Rigidez a força concentrada no meio do vão da laje isolada (48EI/L³). Usada só quando fn ≥ 9 Hz</t>
        </is>
      </c>
    </row>
    <row r="749" spans="2:19">
      <c r="B749" s="506" t="inlineStr">
        <is>
          <t xml:space="preserve">Situação:</t>
        </is>
      </c>
      <c r="C749" s="507" t="str">
        <f>IF(C742&gt;=9,IF(C748&gt;=1,"fn ≥ 9 Hz: Ok (rigidez)","fn ≥ 9 Hz: Não atende (rigidez &lt; 1 kN/mm)"),IF(C746&lt;=C747,"Ok","Não atende - aumentar rigidez, massa ou amortecimento"))</f>
        <v>Não atende - aumentar rigidez, massa ou amortecimento</v>
      </c>
    </row>
  </sheetData>
  <mergeCells count="31">
    <mergeCell ref="C45:S45"/>
    <mergeCell ref="C2:S2"/>
    <mergeCell ref="C12:S12"/>
    <mergeCell ref="C22:S22"/>
    <mergeCell ref="C28:S28"/>
    <mergeCell ref="C36:S36"/>
    <mergeCell ref="B42:S43"/>
    <mergeCell ref="C616:K616"/>
    <mergeCell ref="B630:J66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C719:S719"/>
    <mergeCell ref="B720:S721"/>
    <mergeCell ref="B692:M695"/>
    <mergeCell ref="B672:M675"/>
    <mergeCell ref="B678:M682"/>
    <mergeCell ref="B685:M688"/>
    <mergeCell ref="C736:S736"/>
    <mergeCell ref="B737:S738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K28"/>
  <sheetViews>
    <sheetView showGridLines="0" workbookViewId="0">
      <selection activeCell="D10" sqref="D10"/>
    </sheetView>
  </sheetViews>
  <sheetFormatPr defaultRowHeight="15" x14ac:dyDescent="0.25"/>
  <cols>
    <col min="1" max="1" width="3" customWidth="1"/>
    <col min="2" max="2" width="16" customWidth="1"/>
    <col min="3" max="4" width="15.42578125" customWidth="1"/>
    <col min="5" max="5" width="8" customWidth="1"/>
    <col min="6" max="6" width="90" customWidth="1"/>
  </cols>
  <sheetData>
    <row r="2" spans="2:11" x14ac:dyDescent="0.25">
      <c r="B2" s="486" t="s">
        <v>1827</v>
      </c>
      <c r="C2" s="625" t="s">
        <v>1828</v>
      </c>
      <c r="D2" s="625"/>
      <c r="E2" s="625"/>
      <c r="F2" s="625"/>
      <c r="G2" s="625"/>
      <c r="H2" s="625"/>
      <c r="I2" s="625"/>
      <c r="J2" s="625"/>
      <c r="K2" s="625"/>
    </row>
    <row r="3" spans="2:11" x14ac:dyDescent="0.25">
      <c r="B3" s="624" t="s">
        <v>1886</v>
      </c>
      <c r="C3" s="812"/>
      <c r="D3" s="812"/>
      <c r="E3" s="812"/>
      <c r="F3" s="812"/>
      <c r="G3" s="812"/>
      <c r="H3" s="812"/>
      <c r="I3" s="812"/>
      <c r="J3" s="812"/>
      <c r="K3" s="812"/>
    </row>
    <row r="4" spans="2:11" x14ac:dyDescent="0.25">
      <c r="B4" s="812"/>
      <c r="C4" s="812"/>
      <c r="D4" s="812"/>
      <c r="E4" s="812"/>
      <c r="F4" s="812"/>
      <c r="G4" s="812"/>
      <c r="H4" s="812"/>
      <c r="I4" s="812"/>
      <c r="J4" s="812"/>
      <c r="K4" s="812"/>
    </row>
    <row r="6" spans="2:11" x14ac:dyDescent="0.25">
      <c r="C6" s="482" t="s">
        <v>1829</v>
      </c>
      <c r="D6" s="482" t="s">
        <v>1830</v>
      </c>
      <c r="E6" s="482" t="s">
        <v>1831</v>
      </c>
    </row>
    <row r="7" spans="2:11" x14ac:dyDescent="0.25">
      <c r="B7" s="483" t="s">
        <v>1832</v>
      </c>
      <c r="C7" s="490" t="s">
        <v>1011</v>
      </c>
      <c r="D7" s="490" t="s">
        <v>1011</v>
      </c>
      <c r="E7" s="1" t="s">
        <v>1161</v>
      </c>
      <c r="F7" s="488" t="s">
        <v>1833</v>
      </c>
    </row>
    <row r="8" spans="2:11" x14ac:dyDescent="0.25">
      <c r="B8" s="483" t="s">
        <v>1834</v>
      </c>
      <c r="C8" s="490">
        <v>8</v>
      </c>
      <c r="D8" s="490">
        <v>8</v>
      </c>
      <c r="E8" s="1" t="s">
        <v>83</v>
      </c>
      <c r="F8" s="488" t="s">
        <v>1835</v>
      </c>
    </row>
    <row r="9" spans="2:11" x14ac:dyDescent="0.25">
      <c r="B9" s="483" t="s">
        <v>1312</v>
      </c>
      <c r="C9" s="490">
        <v>40</v>
      </c>
      <c r="D9" s="490">
        <v>40</v>
      </c>
      <c r="E9" s="1" t="s">
        <v>80</v>
      </c>
      <c r="F9" s="488" t="s">
        <v>1836</v>
      </c>
    </row>
    <row r="10" spans="2:11" x14ac:dyDescent="0.25">
      <c r="B10" s="483" t="s">
        <v>3</v>
      </c>
      <c r="C10" s="490">
        <v>60</v>
      </c>
      <c r="D10" s="490">
        <v>60</v>
      </c>
      <c r="E10" s="1" t="s">
        <v>80</v>
      </c>
      <c r="F10" s="488" t="s">
        <v>1837</v>
      </c>
    </row>
    <row r="11" spans="2:11" x14ac:dyDescent="0.25">
      <c r="B11" s="483" t="s">
        <v>214</v>
      </c>
      <c r="C11" s="490">
        <v>50</v>
      </c>
      <c r="D11" s="490">
        <v>50</v>
      </c>
      <c r="E11" s="1" t="s">
        <v>60</v>
      </c>
      <c r="F11" s="488" t="s">
        <v>1838</v>
      </c>
    </row>
    <row r="12" spans="2:11" x14ac:dyDescent="0.25">
      <c r="B12" s="483" t="s">
        <v>1839</v>
      </c>
      <c r="C12" s="490">
        <v>1</v>
      </c>
      <c r="D12" s="490">
        <v>1</v>
      </c>
      <c r="E12" s="1" t="s">
        <v>1161</v>
      </c>
      <c r="F12" s="488" t="s">
        <v>1840</v>
      </c>
    </row>
    <row r="13" spans="2:11" x14ac:dyDescent="0.25">
      <c r="B13" s="482" t="s">
        <v>1032</v>
      </c>
      <c r="C13" s="1">
        <f>Geometria!H1290</f>
        <v>1.3</v>
      </c>
      <c r="D13" s="1">
        <f>Geometria!H1290</f>
        <v>1.3</v>
      </c>
      <c r="E13" s="1" t="s">
        <v>1161</v>
      </c>
      <c r="F13" s="488" t="s">
        <v>1841</v>
      </c>
    </row>
    <row r="14" spans="2:11" x14ac:dyDescent="0.25">
      <c r="B14" s="482" t="s">
        <v>1437</v>
      </c>
      <c r="C14" s="1">
        <f>C12*5600*SQRT(C11)*MIN(1,0.8+0.2*C11/80)*C13</f>
        <v>47616.570645102111</v>
      </c>
      <c r="D14" s="1">
        <f>D12*5600*SQRT(D11)*MIN(1,0.8+0.2*D11/80)*D13</f>
        <v>47616.570645102111</v>
      </c>
      <c r="E14" s="1" t="s">
        <v>60</v>
      </c>
      <c r="F14" s="488" t="s">
        <v>1842</v>
      </c>
    </row>
    <row r="15" spans="2:11" x14ac:dyDescent="0.25">
      <c r="B15" s="482" t="s">
        <v>1056</v>
      </c>
      <c r="C15" s="1">
        <f>C9/100*(C10/100)^3/12</f>
        <v>7.2000000000000007E-3</v>
      </c>
      <c r="D15" s="1">
        <f>D9/100*(D10/100)^3/12</f>
        <v>7.2000000000000007E-3</v>
      </c>
      <c r="E15" s="1" t="s">
        <v>1804</v>
      </c>
      <c r="F15" s="488" t="s">
        <v>1843</v>
      </c>
    </row>
    <row r="16" spans="2:11" x14ac:dyDescent="0.25">
      <c r="B16" s="483" t="s">
        <v>1844</v>
      </c>
      <c r="C16" s="490"/>
      <c r="D16" s="490"/>
      <c r="E16" s="1" t="s">
        <v>1804</v>
      </c>
      <c r="F16" s="488" t="s">
        <v>1845</v>
      </c>
    </row>
    <row r="17" spans="2:6" x14ac:dyDescent="0.25">
      <c r="B17" s="482" t="s">
        <v>1846</v>
      </c>
      <c r="C17" s="1">
        <f>IF(ISNUMBER(C16),C16,C15)</f>
        <v>7.2000000000000007E-3</v>
      </c>
      <c r="D17" s="1">
        <f>IF(ISNUMBER(D16),D16,D15)</f>
        <v>7.2000000000000007E-3</v>
      </c>
      <c r="E17" s="1" t="s">
        <v>1804</v>
      </c>
      <c r="F17" s="488" t="s">
        <v>1847</v>
      </c>
    </row>
    <row r="18" spans="2:6" x14ac:dyDescent="0.25">
      <c r="B18" s="482" t="s">
        <v>1848</v>
      </c>
      <c r="C18" s="1">
        <f ca="1">(Frequência!$C$20/(Frequência!$C$5/100)+Frequência!$C$47*Frequência!$C$48+Frequência!$C$46)*9.81/1000</f>
        <v>9.167740471581185</v>
      </c>
      <c r="D18" s="1">
        <f ca="1">(Frequência!$C$20/(Frequência!$C$5/100)+Frequência!$C$47*Frequência!$C$48+Frequência!$C$46)*9.81/1000</f>
        <v>9.167740471581185</v>
      </c>
      <c r="E18" s="1" t="s">
        <v>63</v>
      </c>
      <c r="F18" s="488" t="s">
        <v>1849</v>
      </c>
    </row>
    <row r="19" spans="2:6" x14ac:dyDescent="0.25">
      <c r="B19" s="482" t="s">
        <v>1850</v>
      </c>
      <c r="C19" s="1">
        <f>Frequência!$C$14/100</f>
        <v>10.88</v>
      </c>
      <c r="D19" s="1">
        <f>Frequência!$C$14/100</f>
        <v>10.88</v>
      </c>
      <c r="E19" s="1" t="s">
        <v>83</v>
      </c>
      <c r="F19" s="488" t="s">
        <v>1851</v>
      </c>
    </row>
    <row r="20" spans="2:6" x14ac:dyDescent="0.25">
      <c r="B20" s="483" t="s">
        <v>1852</v>
      </c>
      <c r="C20" s="490">
        <v>0</v>
      </c>
      <c r="D20" s="490">
        <v>0</v>
      </c>
      <c r="E20" s="1" t="s">
        <v>83</v>
      </c>
      <c r="F20" s="488" t="s">
        <v>1853</v>
      </c>
    </row>
    <row r="21" spans="2:6" x14ac:dyDescent="0.25">
      <c r="B21" s="482" t="s">
        <v>1854</v>
      </c>
      <c r="C21" s="1">
        <f ca="1">C18*(C19+C20)/2</f>
        <v>49.872508165401648</v>
      </c>
      <c r="D21" s="1">
        <f ca="1">D18*(D19+D20)/2</f>
        <v>49.872508165401648</v>
      </c>
      <c r="E21" s="1" t="s">
        <v>47</v>
      </c>
      <c r="F21" s="488" t="s">
        <v>1855</v>
      </c>
    </row>
    <row r="22" spans="2:6" x14ac:dyDescent="0.25">
      <c r="B22" s="482" t="s">
        <v>1856</v>
      </c>
      <c r="C22" s="1">
        <f>C9/100*C10/100*25</f>
        <v>6</v>
      </c>
      <c r="D22" s="1">
        <f>D9/100*D10/100*25</f>
        <v>6</v>
      </c>
      <c r="E22" s="1" t="s">
        <v>47</v>
      </c>
      <c r="F22" s="488" t="s">
        <v>1857</v>
      </c>
    </row>
    <row r="23" spans="2:6" x14ac:dyDescent="0.25">
      <c r="B23" s="482" t="s">
        <v>1766</v>
      </c>
      <c r="C23" s="1">
        <f ca="1">C21+C22</f>
        <v>55.872508165401648</v>
      </c>
      <c r="D23" s="1">
        <f ca="1">D21+D22</f>
        <v>55.872508165401648</v>
      </c>
      <c r="E23" s="1" t="s">
        <v>47</v>
      </c>
      <c r="F23" s="488" t="s">
        <v>1858</v>
      </c>
    </row>
    <row r="24" spans="2:6" x14ac:dyDescent="0.25">
      <c r="B24" s="483" t="s">
        <v>1859</v>
      </c>
      <c r="C24" s="490">
        <v>0.25</v>
      </c>
      <c r="D24" s="490">
        <v>0.25</v>
      </c>
      <c r="E24" s="1" t="s">
        <v>1161</v>
      </c>
      <c r="F24" s="488" t="s">
        <v>1860</v>
      </c>
    </row>
    <row r="25" spans="2:6" x14ac:dyDescent="0.25">
      <c r="B25" s="482" t="s">
        <v>1861</v>
      </c>
      <c r="C25" s="1">
        <f ca="1">C24*5*C23*C8^4/(384*C14*1000*C17)*1000</f>
        <v>2.172932790243884</v>
      </c>
      <c r="D25" s="1">
        <f ca="1">D24*5*D23*D8^4/(384*D14*1000*D17)*1000</f>
        <v>2.172932790243884</v>
      </c>
      <c r="E25" s="1" t="s">
        <v>187</v>
      </c>
      <c r="F25" s="488" t="s">
        <v>1862</v>
      </c>
    </row>
    <row r="26" spans="2:6" x14ac:dyDescent="0.25">
      <c r="B26" s="483" t="s">
        <v>1863</v>
      </c>
      <c r="C26" s="490">
        <v>3</v>
      </c>
      <c r="D26" s="490">
        <v>3</v>
      </c>
      <c r="E26" s="1" t="s">
        <v>187</v>
      </c>
      <c r="F26" s="488" t="s">
        <v>1864</v>
      </c>
    </row>
    <row r="27" spans="2:6" x14ac:dyDescent="0.25">
      <c r="B27" s="482" t="s">
        <v>1865</v>
      </c>
      <c r="C27" s="501">
        <f>IF(C7="Sim",IF(ISNUMBER(C26),C26,C25),0)</f>
        <v>0</v>
      </c>
      <c r="D27" s="501">
        <f>IF(D7="Sim",IF(ISNUMBER(D26),D26,D25),0)</f>
        <v>0</v>
      </c>
      <c r="E27" s="1" t="s">
        <v>187</v>
      </c>
      <c r="F27" s="488" t="s">
        <v>1887</v>
      </c>
    </row>
    <row r="28" spans="2:6" x14ac:dyDescent="0.25">
      <c r="B28" s="482" t="s">
        <v>1767</v>
      </c>
      <c r="C28" s="1" t="str">
        <f>IF(C27&gt;0,0.18*SQRT(9.81/(C27/1000)),"-")</f>
        <v>-</v>
      </c>
      <c r="D28" s="1" t="str">
        <f>IF(D27&gt;0,0.18*SQRT(9.81/(D27/1000)),"-")</f>
        <v>-</v>
      </c>
      <c r="E28" s="1" t="s">
        <v>1074</v>
      </c>
      <c r="F28" s="488" t="s">
        <v>1866</v>
      </c>
    </row>
  </sheetData>
  <mergeCells count="2">
    <mergeCell ref="C2:K2"/>
    <mergeCell ref="B3:K4"/>
  </mergeCells>
  <dataValidations count="1">
    <dataValidation type="list" allowBlank="1" showInputMessage="1" showErrorMessage="1" sqref="C7:D7" xr:uid="{00000000-0002-0000-0800-000000000000}">
      <formula1>"Sim,Não"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6" t="s">
        <v>693</v>
      </c>
      <c r="I1" s="857"/>
      <c r="J1" s="862"/>
      <c r="K1" s="863"/>
      <c r="L1" s="863"/>
      <c r="M1" s="863"/>
      <c r="N1" s="863"/>
      <c r="O1" s="863"/>
      <c r="P1" s="863"/>
      <c r="Q1" s="863"/>
    </row>
    <row r="2" spans="8:17" x14ac:dyDescent="0.25">
      <c r="H2" s="858" t="s">
        <v>694</v>
      </c>
      <c r="I2" s="859"/>
      <c r="J2" s="860"/>
      <c r="K2" s="861"/>
      <c r="L2" s="861"/>
      <c r="M2" s="861"/>
      <c r="N2" s="861"/>
      <c r="O2" s="861"/>
      <c r="P2" s="861"/>
      <c r="Q2" s="861"/>
    </row>
    <row r="3" spans="8:17" ht="15.75" thickBot="1" x14ac:dyDescent="0.3"/>
    <row r="4" spans="8:17" x14ac:dyDescent="0.25">
      <c r="H4" s="214" t="s">
        <v>695</v>
      </c>
      <c r="I4" s="7">
        <f>Geometria!H21</f>
        <v>1088</v>
      </c>
      <c r="J4" s="235" t="s">
        <v>80</v>
      </c>
      <c r="K4" s="870" t="str">
        <f ca="1">Geometria!L6</f>
        <v>Domínio 3</v>
      </c>
      <c r="L4" s="871"/>
      <c r="M4" s="871"/>
      <c r="N4" s="872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3"/>
      <c r="L5" s="874"/>
      <c r="M5" s="874"/>
      <c r="N5" s="875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2" t="s">
        <v>688</v>
      </c>
      <c r="L7" s="823"/>
      <c r="M7" s="876">
        <f>Geometria!M11</f>
        <v>0</v>
      </c>
      <c r="N7" s="660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4"/>
      <c r="L8" s="825"/>
      <c r="M8" s="877"/>
      <c r="N8" s="878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4" t="s">
        <v>495</v>
      </c>
      <c r="L9" s="855"/>
      <c r="M9" s="879">
        <f ca="1">Geometria!M13</f>
        <v>112.1620024226159</v>
      </c>
      <c r="N9" s="791"/>
    </row>
    <row r="10" spans="8:17" ht="15.75" thickBot="1" x14ac:dyDescent="0.3">
      <c r="H10" s="214" t="s">
        <v>701</v>
      </c>
      <c r="I10" s="7">
        <f>Geometria!H6</f>
        <v>300</v>
      </c>
      <c r="J10" s="235" t="s">
        <v>702</v>
      </c>
      <c r="K10" s="828"/>
      <c r="L10" s="829"/>
      <c r="M10" s="880"/>
      <c r="N10" s="792"/>
    </row>
    <row r="11" spans="8:17" x14ac:dyDescent="0.25">
      <c r="H11" s="214" t="s">
        <v>703</v>
      </c>
      <c r="I11" s="7">
        <f>Geometria!H8</f>
        <v>300</v>
      </c>
      <c r="J11" s="235" t="s">
        <v>702</v>
      </c>
      <c r="K11" s="826" t="s">
        <v>1447</v>
      </c>
      <c r="L11" s="827"/>
      <c r="M11" s="881">
        <f ca="1">Geometria!M15</f>
        <v>162.19627086958582</v>
      </c>
      <c r="N11" s="882"/>
    </row>
    <row r="12" spans="8:17" ht="15.75" thickBot="1" x14ac:dyDescent="0.3">
      <c r="K12" s="828"/>
      <c r="L12" s="829"/>
      <c r="M12" s="880"/>
      <c r="N12" s="792"/>
    </row>
    <row r="13" spans="8:17" ht="15" customHeight="1" x14ac:dyDescent="0.25">
      <c r="K13" s="883" t="str">
        <f ca="1">Geometria!L17</f>
        <v>Cisalhamento Ok</v>
      </c>
      <c r="L13" s="883"/>
      <c r="M13" s="883"/>
      <c r="N13" s="883"/>
    </row>
    <row r="14" spans="8:17" ht="15" customHeight="1" thickBot="1" x14ac:dyDescent="0.3">
      <c r="K14" s="883"/>
      <c r="L14" s="883"/>
      <c r="M14" s="883"/>
      <c r="N14" s="883"/>
    </row>
    <row r="15" spans="8:17" ht="15.75" thickBot="1" x14ac:dyDescent="0.3">
      <c r="K15" s="836" t="s">
        <v>474</v>
      </c>
      <c r="L15" s="837"/>
      <c r="M15" s="837"/>
      <c r="N15" s="838"/>
    </row>
    <row r="16" spans="8:17" x14ac:dyDescent="0.25">
      <c r="K16" s="864">
        <f>Geometria!L20</f>
        <v>0</v>
      </c>
      <c r="L16" s="865"/>
      <c r="M16" s="865"/>
      <c r="N16" s="866"/>
    </row>
    <row r="17" spans="11:14" ht="15.75" thickBot="1" x14ac:dyDescent="0.3">
      <c r="K17" s="867"/>
      <c r="L17" s="868"/>
      <c r="M17" s="868"/>
      <c r="N17" s="869"/>
    </row>
    <row r="18" spans="11:14" ht="15.75" thickBot="1" x14ac:dyDescent="0.3">
      <c r="L18" s="143"/>
      <c r="M18" s="143"/>
    </row>
    <row r="19" spans="11:14" ht="15.75" thickBot="1" x14ac:dyDescent="0.3">
      <c r="K19" s="836" t="s">
        <v>476</v>
      </c>
      <c r="L19" s="837"/>
      <c r="M19" s="837"/>
      <c r="N19" s="838"/>
    </row>
    <row r="20" spans="11:14" x14ac:dyDescent="0.25">
      <c r="K20" s="864" t="str">
        <f>Geometria!L24</f>
        <v>10Ø12,7mm</v>
      </c>
      <c r="L20" s="865"/>
      <c r="M20" s="865"/>
      <c r="N20" s="866"/>
    </row>
    <row r="21" spans="11:14" ht="15.75" thickBot="1" x14ac:dyDescent="0.3">
      <c r="K21" s="867"/>
      <c r="L21" s="868"/>
      <c r="M21" s="868"/>
      <c r="N21" s="869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6" t="s">
        <v>689</v>
      </c>
      <c r="L23" s="837"/>
      <c r="M23" s="837"/>
      <c r="N23" s="838"/>
    </row>
    <row r="24" spans="11:14" x14ac:dyDescent="0.25">
      <c r="K24" s="839">
        <f ca="1">Geometria!L1000</f>
        <v>-1.5957836077096723</v>
      </c>
      <c r="L24" s="840"/>
      <c r="M24" s="840"/>
      <c r="N24" s="841"/>
    </row>
    <row r="25" spans="11:14" ht="15.75" thickBot="1" x14ac:dyDescent="0.3">
      <c r="K25" s="842"/>
      <c r="L25" s="843"/>
      <c r="M25" s="843"/>
      <c r="N25" s="844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6" t="s">
        <v>690</v>
      </c>
      <c r="L27" s="837"/>
      <c r="M27" s="837"/>
      <c r="N27" s="838"/>
    </row>
    <row r="28" spans="11:14" x14ac:dyDescent="0.25">
      <c r="K28" s="839">
        <f ca="1">Geometria!H1000</f>
        <v>-0.80320193140836271</v>
      </c>
      <c r="L28" s="840"/>
      <c r="M28" s="840"/>
      <c r="N28" s="841"/>
    </row>
    <row r="29" spans="11:14" ht="15.75" thickBot="1" x14ac:dyDescent="0.3">
      <c r="K29" s="842"/>
      <c r="L29" s="843"/>
      <c r="M29" s="843"/>
      <c r="N29" s="844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6" t="s">
        <v>691</v>
      </c>
      <c r="L31" s="837"/>
      <c r="M31" s="837"/>
      <c r="N31" s="838"/>
    </row>
    <row r="32" spans="11:14" x14ac:dyDescent="0.25">
      <c r="K32" s="830">
        <f>Geometria!L126</f>
        <v>79.054373522458647</v>
      </c>
      <c r="L32" s="831"/>
      <c r="M32" s="831"/>
      <c r="N32" s="832"/>
    </row>
    <row r="33" spans="8:17" ht="15.75" thickBot="1" x14ac:dyDescent="0.3">
      <c r="K33" s="833"/>
      <c r="L33" s="834"/>
      <c r="M33" s="834"/>
      <c r="N33" s="835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6" t="s">
        <v>692</v>
      </c>
      <c r="L35" s="837"/>
      <c r="M35" s="837"/>
      <c r="N35" s="838"/>
    </row>
    <row r="36" spans="8:17" x14ac:dyDescent="0.25">
      <c r="K36" s="830">
        <f>Geometria!L139</f>
        <v>60.060060060060053</v>
      </c>
      <c r="L36" s="831"/>
      <c r="M36" s="831"/>
      <c r="N36" s="832"/>
    </row>
    <row r="37" spans="8:17" ht="15.75" thickBot="1" x14ac:dyDescent="0.3">
      <c r="K37" s="833"/>
      <c r="L37" s="834"/>
      <c r="M37" s="834"/>
      <c r="N37" s="835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5" t="s">
        <v>689</v>
      </c>
      <c r="L39" s="846"/>
      <c r="M39" s="846"/>
      <c r="N39" s="847"/>
    </row>
    <row r="40" spans="8:17" x14ac:dyDescent="0.25">
      <c r="K40" s="848">
        <f ca="1">Geometria!L28</f>
        <v>-1.5957836077096723</v>
      </c>
      <c r="L40" s="849"/>
      <c r="M40" s="849"/>
      <c r="N40" s="850"/>
    </row>
    <row r="41" spans="8:17" ht="15.75" thickBot="1" x14ac:dyDescent="0.3">
      <c r="K41" s="851"/>
      <c r="L41" s="852"/>
      <c r="M41" s="852"/>
      <c r="N41" s="853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5" t="s">
        <v>690</v>
      </c>
      <c r="L43" s="846"/>
      <c r="M43" s="846"/>
      <c r="N43" s="847"/>
    </row>
    <row r="44" spans="8:17" x14ac:dyDescent="0.25">
      <c r="K44" s="848">
        <f ca="1">Geometria!L32</f>
        <v>-0.80320193140836271</v>
      </c>
      <c r="L44" s="849"/>
      <c r="M44" s="849"/>
      <c r="N44" s="850"/>
    </row>
    <row r="45" spans="8:17" ht="15.75" thickBot="1" x14ac:dyDescent="0.3">
      <c r="K45" s="851"/>
      <c r="L45" s="852"/>
      <c r="M45" s="852"/>
      <c r="N45" s="853"/>
    </row>
    <row r="46" spans="8:17" x14ac:dyDescent="0.25">
      <c r="K46" s="331"/>
      <c r="L46" s="331"/>
      <c r="M46" s="331"/>
      <c r="N46" s="331"/>
    </row>
    <row r="47" spans="8:17" x14ac:dyDescent="0.25">
      <c r="H47" s="644" t="s">
        <v>709</v>
      </c>
      <c r="I47" s="644"/>
      <c r="J47" s="644"/>
      <c r="K47" s="644"/>
      <c r="L47" s="644"/>
      <c r="M47" s="644"/>
      <c r="N47" s="644"/>
      <c r="O47" s="644"/>
      <c r="P47" s="644"/>
      <c r="Q47" s="644"/>
    </row>
    <row r="48" spans="8:17" x14ac:dyDescent="0.25">
      <c r="H48" s="644"/>
      <c r="I48" s="644"/>
      <c r="J48" s="644"/>
      <c r="K48" s="644"/>
      <c r="L48" s="644"/>
      <c r="M48" s="644"/>
      <c r="N48" s="644"/>
      <c r="O48" s="644"/>
      <c r="P48" s="644"/>
      <c r="Q48" s="644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6" t="s">
        <v>273</v>
      </c>
      <c r="J62" s="816"/>
      <c r="K62" s="816"/>
      <c r="L62" s="816"/>
      <c r="M62" s="816"/>
      <c r="N62" s="816"/>
      <c r="O62" s="816"/>
      <c r="P62" s="816"/>
    </row>
    <row r="63" spans="9:16" x14ac:dyDescent="0.25">
      <c r="I63" s="718" t="s">
        <v>706</v>
      </c>
      <c r="J63" s="718">
        <f>Geometria!$J$137</f>
        <v>0</v>
      </c>
      <c r="K63" s="817">
        <f>Geometria!$K$137</f>
        <v>9.5</v>
      </c>
      <c r="L63" s="817"/>
      <c r="M63" s="817"/>
      <c r="N63" s="820">
        <f>Geometria!$H$21/100</f>
        <v>10.88</v>
      </c>
      <c r="O63" s="820"/>
      <c r="P63" s="820"/>
    </row>
    <row r="64" spans="9:16" x14ac:dyDescent="0.25">
      <c r="I64" s="718"/>
      <c r="J64" s="818"/>
      <c r="K64" s="819"/>
      <c r="L64" s="819"/>
      <c r="M64" s="819"/>
      <c r="N64" s="821"/>
      <c r="O64" s="821"/>
      <c r="P64" s="821"/>
    </row>
    <row r="65" spans="9:16" x14ac:dyDescent="0.25">
      <c r="I65" s="813" t="s">
        <v>707</v>
      </c>
      <c r="J65" s="813"/>
      <c r="K65" s="813"/>
      <c r="L65" s="813"/>
      <c r="M65" s="813"/>
      <c r="N65" s="815">
        <f>K32</f>
        <v>79.054373522458647</v>
      </c>
      <c r="O65" s="815"/>
      <c r="P65" s="815"/>
    </row>
    <row r="66" spans="9:16" x14ac:dyDescent="0.25">
      <c r="I66" s="813"/>
      <c r="J66" s="813"/>
      <c r="K66" s="813"/>
      <c r="L66" s="813"/>
      <c r="M66" s="813"/>
      <c r="N66" s="815"/>
      <c r="O66" s="815"/>
      <c r="P66" s="815"/>
    </row>
    <row r="67" spans="9:16" x14ac:dyDescent="0.25">
      <c r="I67" s="813" t="s">
        <v>708</v>
      </c>
      <c r="J67" s="813"/>
      <c r="K67" s="813"/>
      <c r="L67" s="813"/>
      <c r="M67" s="813"/>
      <c r="N67" s="814">
        <f>Geometria!L104</f>
        <v>500</v>
      </c>
      <c r="O67" s="814"/>
      <c r="P67" s="814"/>
    </row>
    <row r="68" spans="9:16" x14ac:dyDescent="0.25">
      <c r="I68" s="813"/>
      <c r="J68" s="813"/>
      <c r="K68" s="813"/>
      <c r="L68" s="813"/>
      <c r="M68" s="813"/>
      <c r="N68" s="814"/>
      <c r="O68" s="814"/>
      <c r="P68" s="814"/>
    </row>
    <row r="71" spans="9:16" x14ac:dyDescent="0.25">
      <c r="I71" s="816" t="s">
        <v>272</v>
      </c>
      <c r="J71" s="816"/>
      <c r="K71" s="816"/>
      <c r="L71" s="816"/>
      <c r="M71" s="816"/>
      <c r="N71" s="816"/>
      <c r="O71" s="816"/>
      <c r="P71" s="816"/>
    </row>
    <row r="72" spans="9:16" x14ac:dyDescent="0.25">
      <c r="I72" s="718" t="s">
        <v>705</v>
      </c>
      <c r="J72" s="718">
        <f>Geometria!$J$124</f>
        <v>10</v>
      </c>
      <c r="K72" s="817">
        <f>Geometria!$K$124</f>
        <v>12.7</v>
      </c>
      <c r="L72" s="817"/>
      <c r="M72" s="817"/>
      <c r="N72" s="820">
        <f>Geometria!$H$21/100</f>
        <v>10.88</v>
      </c>
      <c r="O72" s="820"/>
      <c r="P72" s="820"/>
    </row>
    <row r="73" spans="9:16" x14ac:dyDescent="0.25">
      <c r="I73" s="718"/>
      <c r="J73" s="718"/>
      <c r="K73" s="817"/>
      <c r="L73" s="817"/>
      <c r="M73" s="817"/>
      <c r="N73" s="820"/>
      <c r="O73" s="820"/>
      <c r="P73" s="820"/>
    </row>
    <row r="74" spans="9:16" x14ac:dyDescent="0.25">
      <c r="I74" s="813" t="s">
        <v>707</v>
      </c>
      <c r="J74" s="813"/>
      <c r="K74" s="813"/>
      <c r="L74" s="813"/>
      <c r="M74" s="813"/>
      <c r="N74" s="815">
        <f>K36</f>
        <v>60.060060060060053</v>
      </c>
      <c r="O74" s="815"/>
      <c r="P74" s="815"/>
    </row>
    <row r="75" spans="9:16" x14ac:dyDescent="0.25">
      <c r="I75" s="813"/>
      <c r="J75" s="813"/>
      <c r="K75" s="813"/>
      <c r="L75" s="813"/>
      <c r="M75" s="813"/>
      <c r="N75" s="815"/>
      <c r="O75" s="815"/>
      <c r="P75" s="815"/>
    </row>
    <row r="76" spans="9:16" x14ac:dyDescent="0.25">
      <c r="I76" s="813" t="s">
        <v>708</v>
      </c>
      <c r="J76" s="813"/>
      <c r="K76" s="813"/>
      <c r="L76" s="813"/>
      <c r="M76" s="813"/>
      <c r="N76" s="814">
        <f>Geometria!I104</f>
        <v>1463</v>
      </c>
      <c r="O76" s="814"/>
      <c r="P76" s="814"/>
    </row>
    <row r="77" spans="9:16" x14ac:dyDescent="0.25">
      <c r="I77" s="813"/>
      <c r="J77" s="813"/>
      <c r="K77" s="813"/>
      <c r="L77" s="813"/>
      <c r="M77" s="813"/>
      <c r="N77" s="814"/>
      <c r="O77" s="814"/>
      <c r="P77" s="814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644" t="s">
        <v>65</v>
      </c>
      <c r="I94" s="644"/>
      <c r="J94" s="644"/>
      <c r="K94" s="644"/>
      <c r="L94" s="644"/>
      <c r="M94" s="644"/>
      <c r="N94" s="644"/>
      <c r="O94" s="644"/>
      <c r="P94" s="644"/>
      <c r="Q94" s="644"/>
    </row>
    <row r="95" spans="8:17" x14ac:dyDescent="0.25">
      <c r="H95" s="644"/>
      <c r="I95" s="644"/>
      <c r="J95" s="644"/>
      <c r="K95" s="644"/>
      <c r="L95" s="644"/>
      <c r="M95" s="644"/>
      <c r="N95" s="644"/>
      <c r="O95" s="644"/>
      <c r="P95" s="644"/>
      <c r="Q95" s="644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644" t="s">
        <v>432</v>
      </c>
      <c r="I141" s="644"/>
      <c r="J141" s="644"/>
      <c r="K141" s="644"/>
      <c r="L141" s="644"/>
      <c r="M141" s="644"/>
      <c r="N141" s="644"/>
      <c r="O141" s="644"/>
      <c r="P141" s="644"/>
      <c r="Q141" s="644"/>
    </row>
    <row r="142" spans="8:17" x14ac:dyDescent="0.25">
      <c r="H142" s="644"/>
      <c r="I142" s="644"/>
      <c r="J142" s="644"/>
      <c r="K142" s="644"/>
      <c r="L142" s="644"/>
      <c r="M142" s="644"/>
      <c r="N142" s="644"/>
      <c r="O142" s="644"/>
      <c r="P142" s="644"/>
      <c r="Q142" s="644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4" t="s">
        <v>348</v>
      </c>
      <c r="O2" s="885"/>
    </row>
    <row r="3" spans="1:69" x14ac:dyDescent="0.25">
      <c r="N3" s="886"/>
      <c r="O3" s="887"/>
    </row>
    <row r="4" spans="1:69" ht="15.75" thickBot="1" x14ac:dyDescent="0.3">
      <c r="N4" s="888"/>
      <c r="O4" s="889"/>
    </row>
    <row r="5" spans="1:69" ht="15.75" thickBot="1" x14ac:dyDescent="0.3"/>
    <row r="6" spans="1:69" ht="15.75" thickBot="1" x14ac:dyDescent="0.3">
      <c r="A6" s="652" t="s">
        <v>294</v>
      </c>
      <c r="B6" s="892"/>
      <c r="C6" s="892"/>
      <c r="D6" s="653"/>
      <c r="E6" s="10"/>
      <c r="F6" s="893" t="s">
        <v>295</v>
      </c>
      <c r="G6" s="894"/>
      <c r="H6" s="894"/>
      <c r="I6" s="895"/>
      <c r="J6" s="1"/>
      <c r="K6" s="652" t="s">
        <v>294</v>
      </c>
      <c r="L6" s="892"/>
      <c r="M6" s="892"/>
      <c r="N6" s="653"/>
      <c r="O6" s="10"/>
      <c r="P6" s="893" t="s">
        <v>295</v>
      </c>
      <c r="Q6" s="894"/>
      <c r="R6" s="894"/>
      <c r="S6" s="895"/>
      <c r="T6" s="1"/>
      <c r="U6" s="652" t="s">
        <v>294</v>
      </c>
      <c r="V6" s="892"/>
      <c r="W6" s="892"/>
      <c r="X6" s="653"/>
      <c r="Y6" s="10"/>
      <c r="Z6" s="893" t="s">
        <v>295</v>
      </c>
      <c r="AA6" s="894"/>
      <c r="AB6" s="894"/>
      <c r="AC6" s="895"/>
      <c r="AD6" s="1"/>
      <c r="AE6" s="652" t="s">
        <v>294</v>
      </c>
      <c r="AF6" s="892"/>
      <c r="AG6" s="892"/>
      <c r="AH6" s="653"/>
      <c r="AI6" s="10"/>
      <c r="AJ6" s="893" t="s">
        <v>295</v>
      </c>
      <c r="AK6" s="894"/>
      <c r="AL6" s="894"/>
      <c r="AM6" s="895"/>
      <c r="AN6" s="1"/>
      <c r="AO6" s="652" t="s">
        <v>294</v>
      </c>
      <c r="AP6" s="892"/>
      <c r="AQ6" s="892"/>
      <c r="AR6" s="653"/>
      <c r="AS6" s="10"/>
      <c r="AT6" s="893" t="s">
        <v>295</v>
      </c>
      <c r="AU6" s="894"/>
      <c r="AV6" s="894"/>
      <c r="AW6" s="895"/>
      <c r="AX6" s="1"/>
      <c r="AY6" s="652" t="s">
        <v>294</v>
      </c>
      <c r="AZ6" s="892"/>
      <c r="BA6" s="892"/>
      <c r="BB6" s="653"/>
      <c r="BC6" s="10"/>
      <c r="BD6" s="893" t="s">
        <v>295</v>
      </c>
      <c r="BE6" s="894"/>
      <c r="BF6" s="894"/>
      <c r="BG6" s="895"/>
      <c r="BH6" s="1"/>
      <c r="BI6" s="652" t="s">
        <v>294</v>
      </c>
      <c r="BJ6" s="892"/>
      <c r="BK6" s="892"/>
      <c r="BL6" s="653"/>
      <c r="BM6" s="10"/>
      <c r="BN6" s="893" t="s">
        <v>295</v>
      </c>
      <c r="BO6" s="894"/>
      <c r="BP6" s="894"/>
      <c r="BQ6" s="895"/>
    </row>
    <row r="7" spans="1:69" ht="18" x14ac:dyDescent="0.35">
      <c r="A7" s="11" t="s">
        <v>296</v>
      </c>
      <c r="B7" s="12">
        <f ca="1">Geometria!M158</f>
        <v>1869.6295971361794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1869.6295971361794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1869.6295971361794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1869.6295971361794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1869.6295971361794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1869.6295971361794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1869.6295971361794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654" t="s">
        <v>310</v>
      </c>
      <c r="B12" s="655"/>
      <c r="C12" s="896" t="s">
        <v>311</v>
      </c>
      <c r="D12" s="897"/>
      <c r="E12" s="2"/>
      <c r="F12" s="2"/>
      <c r="G12" s="2"/>
      <c r="H12" s="1"/>
      <c r="I12" s="10"/>
      <c r="J12" s="10"/>
      <c r="K12" s="654" t="s">
        <v>310</v>
      </c>
      <c r="L12" s="655"/>
      <c r="M12" s="896" t="s">
        <v>311</v>
      </c>
      <c r="N12" s="897"/>
      <c r="O12" s="2"/>
      <c r="P12" s="2"/>
      <c r="Q12" s="2"/>
      <c r="R12" s="1"/>
      <c r="S12" s="10"/>
      <c r="T12" s="10"/>
      <c r="U12" s="654" t="s">
        <v>310</v>
      </c>
      <c r="V12" s="655"/>
      <c r="W12" s="896" t="s">
        <v>311</v>
      </c>
      <c r="X12" s="897"/>
      <c r="Y12" s="2"/>
      <c r="Z12" s="2"/>
      <c r="AA12" s="2"/>
      <c r="AB12" s="1"/>
      <c r="AC12" s="10"/>
      <c r="AD12" s="10"/>
      <c r="AE12" s="654" t="s">
        <v>310</v>
      </c>
      <c r="AF12" s="655"/>
      <c r="AG12" s="896" t="s">
        <v>311</v>
      </c>
      <c r="AH12" s="897"/>
      <c r="AI12" s="2"/>
      <c r="AJ12" s="2"/>
      <c r="AK12" s="2"/>
      <c r="AL12" s="1"/>
      <c r="AM12" s="10"/>
      <c r="AN12" s="10"/>
      <c r="AO12" s="654" t="s">
        <v>310</v>
      </c>
      <c r="AP12" s="655"/>
      <c r="AQ12" s="896" t="s">
        <v>311</v>
      </c>
      <c r="AR12" s="897"/>
      <c r="AS12" s="2"/>
      <c r="AT12" s="2"/>
      <c r="AU12" s="2"/>
      <c r="AV12" s="1"/>
      <c r="AW12" s="10"/>
      <c r="AX12" s="10"/>
      <c r="AY12" s="654" t="s">
        <v>310</v>
      </c>
      <c r="AZ12" s="655"/>
      <c r="BA12" s="896" t="s">
        <v>311</v>
      </c>
      <c r="BB12" s="897"/>
      <c r="BC12" s="2"/>
      <c r="BD12" s="2"/>
      <c r="BE12" s="2"/>
      <c r="BF12" s="1"/>
      <c r="BG12" s="10"/>
      <c r="BH12" s="10"/>
      <c r="BI12" s="654" t="s">
        <v>310</v>
      </c>
      <c r="BJ12" s="655"/>
      <c r="BK12" s="896" t="s">
        <v>311</v>
      </c>
      <c r="BL12" s="897"/>
      <c r="BM12" s="2"/>
      <c r="BN12" s="2"/>
      <c r="BO12" s="2"/>
      <c r="BP12" s="1"/>
      <c r="BQ12" s="10"/>
    </row>
    <row r="13" spans="1:69" ht="17.25" thickBot="1" x14ac:dyDescent="0.35">
      <c r="A13" s="890" t="s">
        <v>312</v>
      </c>
      <c r="B13" s="891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0" t="s">
        <v>312</v>
      </c>
      <c r="L13" s="891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0" t="s">
        <v>312</v>
      </c>
      <c r="V13" s="891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0" t="s">
        <v>312</v>
      </c>
      <c r="AF13" s="891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0" t="s">
        <v>312</v>
      </c>
      <c r="AP13" s="891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0" t="s">
        <v>312</v>
      </c>
      <c r="AZ13" s="891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0" t="s">
        <v>312</v>
      </c>
      <c r="BJ13" s="891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1.1120720682572869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1.1120720682572869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1.0482391953836079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0.94602445188868212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0.87883329379183495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0.79589306267559967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0.79589306267559967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-4.1511407612511729E-4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-4.1511407612511729E-4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-3.9128655198732122E-4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-3.531318495868242E-4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-3.2805074530114733E-4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-2.9709082966602671E-4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-2.9709082966602671E-4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7.3857067030057399E-2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7.3857067030057399E-2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9.7811240706716346E-2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0.15896808209738883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0.23126897458831686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0.4242018866179294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0.4242018866179294</v>
      </c>
      <c r="BM22" s="1"/>
      <c r="BN22" s="10"/>
      <c r="BO22" s="10"/>
      <c r="BP22" s="1"/>
      <c r="BQ22" s="10"/>
    </row>
    <row r="23" spans="1:69" ht="15.75" thickBot="1" x14ac:dyDescent="0.3">
      <c r="A23" s="890" t="s">
        <v>328</v>
      </c>
      <c r="B23" s="891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0" t="s">
        <v>328</v>
      </c>
      <c r="L23" s="891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0" t="s">
        <v>328</v>
      </c>
      <c r="V23" s="891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0" t="s">
        <v>328</v>
      </c>
      <c r="AF23" s="891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0" t="s">
        <v>328</v>
      </c>
      <c r="AP23" s="891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0" t="s">
        <v>328</v>
      </c>
      <c r="AZ23" s="891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0" t="s">
        <v>328</v>
      </c>
      <c r="BJ23" s="891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9.9570165656750369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9.9570165656750369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14.129116628003839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23.512600057397158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32.431170854379523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46.634032443055929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46.634032443055929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40.05106501120968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40.05106501120968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39.841600491620291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39.311124024384043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38.695756772160763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37.157858295158576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37.157858295158576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32.993986029598211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32.993986029598211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47.240910798373029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86.530322223620473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138.27062202483859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303.14822459757556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303.14822459757556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1.1356411213978796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1.1356411213978796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2.6393912318651367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9.6040145345204344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23.621008521795925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90.590312737469731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90.590312737469731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7.0476371552747816E-2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0.20722805003521688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0.28448433817172708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0.2729694680364988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0.24299028971942732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0.14890100421413643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0.17065053071396888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7.3857067030057397</v>
      </c>
      <c r="C29" s="36" t="s">
        <v>336</v>
      </c>
      <c r="D29" s="40">
        <f ca="1">((D21/100)^3+D23*(D21/100)^2+D24*(D21/100))/((D21/100)^3+D25*(D21/100)^2+D26*(D21/100)+D27)</f>
        <v>0.99799440072070533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7.3857067030057397</v>
      </c>
      <c r="M29" s="36" t="s">
        <v>336</v>
      </c>
      <c r="N29" s="40">
        <f ca="1">((N21/100)^3+N23*(N21/100)^2+N24*(N21/100))/((N21/100)^3+N25*(N21/100)^2+N26*(N21/100)+N27)</f>
        <v>0.99799440072070533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9.781124070671634</v>
      </c>
      <c r="W29" s="36" t="s">
        <v>336</v>
      </c>
      <c r="X29" s="40">
        <f ca="1">((X21/100)^3+X23*(X21/100)^2+X24*(X21/100))/((X21/100)^3+X25*(X21/100)^2+X26*(X21/100)+X27)</f>
        <v>0.99876717907533885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15.896808209738884</v>
      </c>
      <c r="AG29" s="36" t="s">
        <v>336</v>
      </c>
      <c r="AH29" s="40">
        <f ca="1">((AH21/100)^3+AH23*(AH21/100)^2+AH24*(AH21/100))/((AH21/100)^3+AH25*(AH21/100)^2+AH26*(AH21/100)+AH27)</f>
        <v>1.0004118949102208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23.126897458831685</v>
      </c>
      <c r="AQ29" s="36" t="s">
        <v>336</v>
      </c>
      <c r="AR29" s="40">
        <f ca="1">((AR21/100)^3+AR23*(AR21/100)^2+AR24*(AR21/100))/((AR21/100)^3+AR25*(AR21/100)^2+AR26*(AR21/100)+AR27)</f>
        <v>1.0017381866156225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42.420188661792942</v>
      </c>
      <c r="BA29" s="36" t="s">
        <v>336</v>
      </c>
      <c r="BB29" s="40">
        <f ca="1">((BB21/100)^3+BB23*(BB21/100)^2+BB24*(BB21/100))/((BB21/100)^3+BB25*(BB21/100)^2+BB26*(BB21/100)+BB27)</f>
        <v>1.0019111541418424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42.420188661792942</v>
      </c>
      <c r="BK29" s="36" t="s">
        <v>336</v>
      </c>
      <c r="BL29" s="40">
        <f ca="1">((BL21/100)^3+BL23*(BL21/100)^2+BL24*(BL21/100))/((BL21/100)^3+BL25*(BL21/100)^2+BL26*(BL21/100)+BL27)</f>
        <v>1.0019111541418424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1.8033387722503205</v>
      </c>
      <c r="C30" s="42" t="s">
        <v>338</v>
      </c>
      <c r="D30" s="43">
        <f ca="1">D18*(D29-D28)</f>
        <v>-3.8502578976744631E-4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1.8033387722503205</v>
      </c>
      <c r="M30" s="42" t="s">
        <v>338</v>
      </c>
      <c r="N30" s="43">
        <f ca="1">N18*(N29-N28)</f>
        <v>-3.2825824309563705E-4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1.7387229557821002</v>
      </c>
      <c r="W30" s="42" t="s">
        <v>338</v>
      </c>
      <c r="X30" s="43">
        <f ca="1">X18*(X29-X28)</f>
        <v>-2.7948926996088254E-4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1.6128678592107069</v>
      </c>
      <c r="AG30" s="42" t="s">
        <v>338</v>
      </c>
      <c r="AH30" s="43">
        <f ca="1">AH18*(AH29-AH28)</f>
        <v>-2.5688308966984556E-4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1.5101224826339728</v>
      </c>
      <c r="AQ30" s="42" t="s">
        <v>338</v>
      </c>
      <c r="AR30" s="43">
        <f ca="1">AR18*(AR29-AR28)</f>
        <v>-2.4890781307247489E-4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1.3524500721906032</v>
      </c>
      <c r="BA30" s="42" t="s">
        <v>338</v>
      </c>
      <c r="BB30" s="43">
        <f ca="1">BB18*(BB29-BB28)</f>
        <v>-2.53421493155564E-4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1.3524500721906032</v>
      </c>
      <c r="BK30" s="42" t="s">
        <v>338</v>
      </c>
      <c r="BL30" s="43">
        <f ca="1">BL18*(BL29-BL28)</f>
        <v>-2.4695990828288553E-4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2.7050081583754806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2.7050081583754806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2.6080844336731506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2.4193017888160604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2.2651837239509591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2.0286751082859049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2.0286751082859049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1.2172536712689663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1.2172536712689663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1.1736379951529177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1.0886858049672272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1.0193326757779317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0.91290379872865723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0.91290379872865723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1.2172536712689663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1.2172536712689663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1.1736379951529177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1.0886858049672272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1.0193326757779317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0.91290379872865723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0.91290379872865723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0" t="s">
        <v>342</v>
      </c>
      <c r="B34" s="891"/>
      <c r="C34" s="10"/>
      <c r="D34" s="10"/>
      <c r="E34" s="10"/>
      <c r="F34" s="10"/>
      <c r="G34" s="10"/>
      <c r="H34" s="10"/>
      <c r="I34" s="10"/>
      <c r="J34" s="10"/>
      <c r="K34" s="890" t="s">
        <v>342</v>
      </c>
      <c r="L34" s="891"/>
      <c r="M34" s="10"/>
      <c r="N34" s="10"/>
      <c r="O34" s="10"/>
      <c r="P34" s="10"/>
      <c r="Q34" s="10"/>
      <c r="R34" s="10"/>
      <c r="S34" s="10"/>
      <c r="T34" s="10"/>
      <c r="U34" s="890" t="s">
        <v>342</v>
      </c>
      <c r="V34" s="891"/>
      <c r="W34" s="10"/>
      <c r="X34" s="10"/>
      <c r="Y34" s="10"/>
      <c r="Z34" s="10"/>
      <c r="AA34" s="10"/>
      <c r="AB34" s="10"/>
      <c r="AC34" s="10"/>
      <c r="AD34" s="10"/>
      <c r="AE34" s="890" t="s">
        <v>342</v>
      </c>
      <c r="AF34" s="891"/>
      <c r="AG34" s="10"/>
      <c r="AH34" s="10"/>
      <c r="AI34" s="10"/>
      <c r="AJ34" s="10"/>
      <c r="AK34" s="10"/>
      <c r="AL34" s="10"/>
      <c r="AM34" s="10"/>
      <c r="AN34" s="10"/>
      <c r="AO34" s="890" t="s">
        <v>342</v>
      </c>
      <c r="AP34" s="891"/>
      <c r="AQ34" s="10"/>
      <c r="AR34" s="10"/>
      <c r="AS34" s="10"/>
      <c r="AT34" s="10"/>
      <c r="AU34" s="10"/>
      <c r="AV34" s="10"/>
      <c r="AW34" s="10"/>
      <c r="AX34" s="10"/>
      <c r="AY34" s="890" t="s">
        <v>342</v>
      </c>
      <c r="AZ34" s="891"/>
      <c r="BA34" s="10"/>
      <c r="BB34" s="10"/>
      <c r="BC34" s="10"/>
      <c r="BD34" s="10"/>
      <c r="BE34" s="10"/>
      <c r="BF34" s="10"/>
      <c r="BG34" s="10"/>
      <c r="BH34" s="10"/>
      <c r="BI34" s="890" t="s">
        <v>342</v>
      </c>
      <c r="BJ34" s="891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7.3857067030057399E-2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7.3857067030057399E-2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9.7811240706716346E-2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0.15896808209738883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0.23126897458831686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0.4242018866179294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0.4242018866179294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154.53567316912117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154.53567316912117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167.20384803784549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197.79715924619171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230.78580752087186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302.65520139402753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302.65520139402753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199.47127591333023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199.47127591333023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264.76508039390535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416.8592277678199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570.75850323165264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856.85482553529914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856.85482553529914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263.49454023938165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263.49454023938165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289.55147108768102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355.80027880350326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433.30459182012203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632.45257874976744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632.45257874976744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4370.2862363841959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4370.2862363841959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5089.693224551711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6773.3112450028284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8491.4497379573222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11758.906222368785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11758.906222368785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0.13000158885165422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0.32084712624234202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0.48717682996288725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0.56122006185466677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0.58620274841247932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0.55528218608495461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0.58420912574736739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0.9963950835571882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0.9963950835571882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0.99595544463839147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0.9947880199799487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0.99333687471427401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0.98922200063356314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0.98922200063356314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2.0940322450779969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1.5563863832623588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1.2007817228764388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1.0191326830942975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0.93621958393266191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0.90166641909162915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0.86443845537610053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4" t="s">
        <v>349</v>
      </c>
      <c r="O49" s="885"/>
    </row>
    <row r="50" spans="1:39" x14ac:dyDescent="0.25">
      <c r="N50" s="886"/>
      <c r="O50" s="887"/>
    </row>
    <row r="51" spans="1:39" ht="15.75" thickBot="1" x14ac:dyDescent="0.3">
      <c r="N51" s="888"/>
      <c r="O51" s="889"/>
    </row>
    <row r="53" spans="1:39" ht="15.75" thickBot="1" x14ac:dyDescent="0.3"/>
    <row r="54" spans="1:39" ht="15.75" thickBot="1" x14ac:dyDescent="0.3">
      <c r="A54" s="652" t="s">
        <v>294</v>
      </c>
      <c r="B54" s="892"/>
      <c r="C54" s="892"/>
      <c r="D54" s="653"/>
      <c r="E54" s="10"/>
      <c r="F54" s="893" t="s">
        <v>295</v>
      </c>
      <c r="G54" s="894"/>
      <c r="H54" s="894"/>
      <c r="I54" s="895"/>
      <c r="J54" s="1"/>
      <c r="K54" s="652" t="s">
        <v>294</v>
      </c>
      <c r="L54" s="892"/>
      <c r="M54" s="892"/>
      <c r="N54" s="653"/>
      <c r="O54" s="10"/>
      <c r="P54" s="893" t="s">
        <v>295</v>
      </c>
      <c r="Q54" s="894"/>
      <c r="R54" s="894"/>
      <c r="S54" s="895"/>
      <c r="T54" s="1"/>
      <c r="U54" s="652" t="s">
        <v>294</v>
      </c>
      <c r="V54" s="892"/>
      <c r="W54" s="892"/>
      <c r="X54" s="653"/>
      <c r="Y54" s="10"/>
      <c r="Z54" s="893" t="s">
        <v>295</v>
      </c>
      <c r="AA54" s="894"/>
      <c r="AB54" s="894"/>
      <c r="AC54" s="895"/>
      <c r="AD54" s="1"/>
      <c r="AE54" s="652" t="s">
        <v>294</v>
      </c>
      <c r="AF54" s="892"/>
      <c r="AG54" s="892"/>
      <c r="AH54" s="653"/>
      <c r="AI54" s="10"/>
      <c r="AJ54" s="893" t="s">
        <v>295</v>
      </c>
      <c r="AK54" s="894"/>
      <c r="AL54" s="894"/>
      <c r="AM54" s="895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654" t="s">
        <v>310</v>
      </c>
      <c r="B60" s="655"/>
      <c r="C60" s="896" t="s">
        <v>311</v>
      </c>
      <c r="D60" s="897"/>
      <c r="E60" s="2"/>
      <c r="F60" s="2"/>
      <c r="G60" s="2"/>
      <c r="H60" s="1"/>
      <c r="I60" s="10"/>
      <c r="J60" s="10"/>
      <c r="K60" s="654" t="s">
        <v>310</v>
      </c>
      <c r="L60" s="655"/>
      <c r="M60" s="896" t="s">
        <v>311</v>
      </c>
      <c r="N60" s="897"/>
      <c r="O60" s="2"/>
      <c r="P60" s="2"/>
      <c r="Q60" s="2"/>
      <c r="R60" s="1"/>
      <c r="S60" s="10"/>
      <c r="T60" s="10"/>
      <c r="U60" s="654" t="s">
        <v>310</v>
      </c>
      <c r="V60" s="655"/>
      <c r="W60" s="896" t="s">
        <v>311</v>
      </c>
      <c r="X60" s="897"/>
      <c r="Y60" s="2"/>
      <c r="Z60" s="2"/>
      <c r="AA60" s="2"/>
      <c r="AB60" s="1"/>
      <c r="AC60" s="10"/>
      <c r="AD60" s="10"/>
      <c r="AE60" s="654" t="s">
        <v>310</v>
      </c>
      <c r="AF60" s="655"/>
      <c r="AG60" s="896" t="s">
        <v>311</v>
      </c>
      <c r="AH60" s="897"/>
      <c r="AI60" s="2"/>
      <c r="AJ60" s="2"/>
      <c r="AK60" s="2"/>
      <c r="AL60" s="1"/>
      <c r="AM60" s="10"/>
    </row>
    <row r="61" spans="1:39" ht="17.25" thickBot="1" x14ac:dyDescent="0.35">
      <c r="A61" s="890" t="s">
        <v>312</v>
      </c>
      <c r="B61" s="891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0" t="s">
        <v>312</v>
      </c>
      <c r="L61" s="891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0" t="s">
        <v>312</v>
      </c>
      <c r="V61" s="891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0" t="s">
        <v>312</v>
      </c>
      <c r="AF61" s="891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0" t="s">
        <v>328</v>
      </c>
      <c r="B71" s="891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0" t="s">
        <v>328</v>
      </c>
      <c r="L71" s="891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0" t="s">
        <v>328</v>
      </c>
      <c r="V71" s="891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0" t="s">
        <v>328</v>
      </c>
      <c r="AF71" s="891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0" t="s">
        <v>342</v>
      </c>
      <c r="B82" s="891"/>
      <c r="C82" s="10"/>
      <c r="D82" s="10"/>
      <c r="E82" s="10"/>
      <c r="F82" s="10"/>
      <c r="G82" s="10"/>
      <c r="H82" s="10"/>
      <c r="I82" s="10"/>
      <c r="J82" s="10"/>
      <c r="K82" s="890" t="s">
        <v>342</v>
      </c>
      <c r="L82" s="891"/>
      <c r="M82" s="10"/>
      <c r="N82" s="10"/>
      <c r="O82" s="10"/>
      <c r="P82" s="10"/>
      <c r="Q82" s="10"/>
      <c r="R82" s="10"/>
      <c r="S82" s="10"/>
      <c r="T82" s="10"/>
      <c r="U82" s="890" t="s">
        <v>342</v>
      </c>
      <c r="V82" s="891"/>
      <c r="W82" s="10"/>
      <c r="X82" s="10"/>
      <c r="Y82" s="10"/>
      <c r="Z82" s="10"/>
      <c r="AA82" s="10"/>
      <c r="AB82" s="10"/>
      <c r="AC82" s="10"/>
      <c r="AD82" s="10"/>
      <c r="AE82" s="890" t="s">
        <v>342</v>
      </c>
      <c r="AF82" s="891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644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644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644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644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644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644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644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644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644"/>
      <c r="Q13" s="79"/>
      <c r="R13" s="79"/>
      <c r="X13">
        <f>M13</f>
        <v>109.19055815603389</v>
      </c>
      <c r="Y13">
        <f>Y12</f>
        <v>25</v>
      </c>
      <c r="Z13" s="644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644"/>
      <c r="Q14" s="79"/>
      <c r="R14" s="79"/>
      <c r="X14">
        <f>X13</f>
        <v>109.19055815603389</v>
      </c>
      <c r="Y14">
        <f>Y11</f>
        <v>20</v>
      </c>
      <c r="Z14" s="644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1123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0</v>
      </c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>
        <f>IF(R13&gt;0,"Preenchido",0)</f>
        <v>0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>
        <f>IF(R13&gt;2,"Preenchido",0)</f>
        <v>0</v>
      </c>
      <c r="X17" s="327">
        <f>IF(R13&gt;5,"Preenchido",0)</f>
        <v>0</v>
      </c>
      <c r="Y17" s="328">
        <f>IF(R13&gt;1,"Preenchido",0)</f>
        <v>0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20.23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21.28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22.26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23.21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24.06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24.82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25.46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25.96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26.28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26.45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26.45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26.28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25.96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25.46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24.82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24.06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23.21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22.26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21.28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20.23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21.28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22.26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23.21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24.06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24.82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25.46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25.96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26.28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26.45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26.45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26.28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25.96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25.46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24.82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24.06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23.21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22.26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21.28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1716</v>
      </c>
    </row>
    <row r="5" spans="2:23" x14ac:dyDescent="0.25">
      <c r="B5" t="s">
        <v>781</v>
      </c>
    </row>
    <row r="6" spans="2:23" x14ac:dyDescent="0.25">
      <c r="B6" t="s">
        <v>1717</v>
      </c>
    </row>
    <row r="7" spans="2:23" x14ac:dyDescent="0.25">
      <c r="B7" t="s">
        <v>1718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0.54400000000000004</v>
      </c>
      <c r="E11">
        <f>((3-1)/20)*(Geometria!$H$21/100)</f>
        <v>1.0880000000000001</v>
      </c>
      <c r="F11">
        <f>((4-1)/20)*(Geometria!$H$21/100)</f>
        <v>1.6320000000000001</v>
      </c>
      <c r="G11">
        <f>((5-1)/20)*(Geometria!$H$21/100)</f>
        <v>2.1760000000000002</v>
      </c>
      <c r="H11">
        <f>((6-1)/20)*(Geometria!$H$21/100)</f>
        <v>2.72</v>
      </c>
      <c r="I11">
        <f>((7-1)/20)*(Geometria!$H$21/100)</f>
        <v>3.2640000000000002</v>
      </c>
      <c r="J11">
        <f>((8-1)/20)*(Geometria!$H$21/100)</f>
        <v>3.8079999999999998</v>
      </c>
      <c r="K11">
        <f>((9-1)/20)*(Geometria!$H$21/100)</f>
        <v>4.3520000000000003</v>
      </c>
      <c r="L11">
        <f>((10-1)/20)*(Geometria!$H$21/100)</f>
        <v>4.8960000000000008</v>
      </c>
      <c r="M11">
        <f>((11-1)/20)*(Geometria!$H$21/100)</f>
        <v>5.44</v>
      </c>
      <c r="N11">
        <f>((12-1)/20)*(Geometria!$H$21/100)</f>
        <v>5.9840000000000009</v>
      </c>
      <c r="O11">
        <f>((13-1)/20)*(Geometria!$H$21/100)</f>
        <v>6.5280000000000005</v>
      </c>
      <c r="P11">
        <f>((14-1)/20)*(Geometria!$H$21/100)</f>
        <v>7.072000000000001</v>
      </c>
      <c r="Q11">
        <f>((15-1)/20)*(Geometria!$H$21/100)</f>
        <v>7.6159999999999997</v>
      </c>
      <c r="R11">
        <f>((16-1)/20)*(Geometria!$H$21/100)</f>
        <v>8.16</v>
      </c>
      <c r="S11">
        <f>((17-1)/20)*(Geometria!$H$21/100)</f>
        <v>8.7040000000000006</v>
      </c>
      <c r="T11">
        <f>((18-1)/20)*(Geometria!$H$21/100)</f>
        <v>9.2480000000000011</v>
      </c>
      <c r="U11">
        <f>((19-1)/20)*(Geometria!$H$21/100)</f>
        <v>9.7920000000000016</v>
      </c>
      <c r="V11">
        <f>((20-1)/20)*(Geometria!$H$21/100)</f>
        <v>10.336</v>
      </c>
      <c r="W11">
        <f>((21-1)/20)*(Geometria!$H$21/100)</f>
        <v>10.88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54.400000000000006</v>
      </c>
      <c r="E12">
        <f t="shared" si="0"/>
        <v>108.80000000000001</v>
      </c>
      <c r="F12">
        <f t="shared" si="0"/>
        <v>163.20000000000002</v>
      </c>
      <c r="G12">
        <f t="shared" si="0"/>
        <v>217.60000000000002</v>
      </c>
      <c r="H12">
        <f t="shared" si="0"/>
        <v>272</v>
      </c>
      <c r="I12">
        <f t="shared" si="0"/>
        <v>326.40000000000003</v>
      </c>
      <c r="J12">
        <f t="shared" si="0"/>
        <v>380.79999999999995</v>
      </c>
      <c r="K12">
        <f t="shared" si="0"/>
        <v>435.20000000000005</v>
      </c>
      <c r="L12">
        <f t="shared" si="0"/>
        <v>489.60000000000008</v>
      </c>
      <c r="M12">
        <f t="shared" si="0"/>
        <v>544</v>
      </c>
      <c r="N12">
        <f t="shared" si="0"/>
        <v>598.40000000000009</v>
      </c>
      <c r="O12">
        <f t="shared" si="0"/>
        <v>652.80000000000007</v>
      </c>
      <c r="P12">
        <f t="shared" si="0"/>
        <v>707.2</v>
      </c>
      <c r="Q12">
        <f t="shared" si="0"/>
        <v>761.59999999999991</v>
      </c>
      <c r="R12">
        <f t="shared" si="0"/>
        <v>816</v>
      </c>
      <c r="S12">
        <f t="shared" si="0"/>
        <v>870.40000000000009</v>
      </c>
      <c r="T12">
        <f t="shared" si="0"/>
        <v>924.80000000000007</v>
      </c>
      <c r="U12">
        <f t="shared" si="0"/>
        <v>979.20000000000016</v>
      </c>
      <c r="V12">
        <f t="shared" si="0"/>
        <v>1033.6000000000001</v>
      </c>
      <c r="W12">
        <f t="shared" si="0"/>
        <v>1088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13.140654230879697</v>
      </c>
      <c r="E15">
        <f ca="1">(Geometria!$I73*(Geometria!$H$21/100)*E$11/2)-(Geometria!$I73*E$11^2/2)</f>
        <v>24.898081700614163</v>
      </c>
      <c r="F15">
        <f ca="1">(Geometria!$I73*(Geometria!$H$21/100)*F$11/2)-(Geometria!$I73*F$11^2/2)</f>
        <v>35.272282409203399</v>
      </c>
      <c r="G15">
        <f ca="1">(Geometria!$I73*(Geometria!$H$21/100)*G$11/2)-(Geometria!$I73*G$11^2/2)</f>
        <v>44.263256356647403</v>
      </c>
      <c r="H15">
        <f ca="1">(Geometria!$I73*(Geometria!$H$21/100)*H$11/2)-(Geometria!$I73*H$11^2/2)</f>
        <v>51.87100354294617</v>
      </c>
      <c r="I15">
        <f ca="1">(Geometria!$I73*(Geometria!$H$21/100)*I$11/2)-(Geometria!$I73*I$11^2/2)</f>
        <v>58.09552396809972</v>
      </c>
      <c r="J15">
        <f ca="1">(Geometria!$I73*(Geometria!$H$21/100)*J$11/2)-(Geometria!$I73*J$11^2/2)</f>
        <v>62.936817632108017</v>
      </c>
      <c r="K15">
        <f ca="1">(Geometria!$I73*(Geometria!$H$21/100)*K$11/2)-(Geometria!$I73*K$11^2/2)</f>
        <v>66.394884534971112</v>
      </c>
      <c r="L15">
        <f ca="1">(Geometria!$I73*(Geometria!$H$21/100)*L$11/2)-(Geometria!$I73*L$11^2/2)</f>
        <v>68.469724676688941</v>
      </c>
      <c r="M15">
        <f ca="1">(Geometria!$I73*(Geometria!$H$21/100)*M$11/2)-(Geometria!$I73*M$11^2/2)</f>
        <v>69.161338057261545</v>
      </c>
      <c r="N15">
        <f ca="1">(Geometria!$I73*(Geometria!$H$21/100)*N$11/2)-(Geometria!$I73*N$11^2/2)</f>
        <v>68.469724676688941</v>
      </c>
      <c r="O15">
        <f ca="1">(Geometria!$I73*(Geometria!$H$21/100)*O$11/2)-(Geometria!$I73*O$11^2/2)</f>
        <v>66.394884534971112</v>
      </c>
      <c r="P15">
        <f ca="1">(Geometria!$I73*(Geometria!$H$21/100)*P$11/2)-(Geometria!$I73*P$11^2/2)</f>
        <v>62.936817632108017</v>
      </c>
      <c r="Q15">
        <f ca="1">(Geometria!$I73*(Geometria!$H$21/100)*Q$11/2)-(Geometria!$I73*Q$11^2/2)</f>
        <v>58.095523968099712</v>
      </c>
      <c r="R15">
        <f ca="1">(Geometria!$I73*(Geometria!$H$21/100)*R$11/2)-(Geometria!$I73*R$11^2/2)</f>
        <v>51.87100354294617</v>
      </c>
      <c r="S15">
        <f ca="1">(Geometria!$I73*(Geometria!$H$21/100)*S$11/2)-(Geometria!$I73*S$11^2/2)</f>
        <v>44.263256356647418</v>
      </c>
      <c r="T15">
        <f ca="1">(Geometria!$I73*(Geometria!$H$21/100)*T$11/2)-(Geometria!$I73*T$11^2/2)</f>
        <v>35.27228240920337</v>
      </c>
      <c r="U15">
        <f ca="1">(Geometria!$I73*(Geometria!$H$21/100)*U$11/2)-(Geometria!$I73*U$11^2/2)</f>
        <v>24.898081700614142</v>
      </c>
      <c r="V15">
        <f ca="1">(Geometria!$I73*(Geometria!$H$21/100)*V$11/2)-(Geometria!$I73*V$11^2/2)</f>
        <v>13.140654230879704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0.54836903808000015</v>
      </c>
      <c r="E16">
        <f ca="1">(Geometria!$I74*(Geometria!$H$21/100)*E$11/2)-(Geometria!$I74*E$11^2/2)</f>
        <v>1.0390150195200003</v>
      </c>
      <c r="F16">
        <f ca="1">(Geometria!$I74*(Geometria!$H$21/100)*F$11/2)-(Geometria!$I74*F$11^2/2)</f>
        <v>1.4719379443200005</v>
      </c>
      <c r="G16">
        <f ca="1">(Geometria!$I74*(Geometria!$H$21/100)*G$11/2)-(Geometria!$I74*G$11^2/2)</f>
        <v>1.8471378124800004</v>
      </c>
      <c r="H16">
        <f ca="1">(Geometria!$I74*(Geometria!$H$21/100)*H$11/2)-(Geometria!$I74*H$11^2/2)</f>
        <v>2.1646146240000004</v>
      </c>
      <c r="I16">
        <f ca="1">(Geometria!$I74*(Geometria!$H$21/100)*I$11/2)-(Geometria!$I74*I$11^2/2)</f>
        <v>2.4243683788800006</v>
      </c>
      <c r="J16">
        <f ca="1">(Geometria!$I74*(Geometria!$H$21/100)*J$11/2)-(Geometria!$I74*J$11^2/2)</f>
        <v>2.6263990771200003</v>
      </c>
      <c r="K16">
        <f ca="1">(Geometria!$I74*(Geometria!$H$21/100)*K$11/2)-(Geometria!$I74*K$11^2/2)</f>
        <v>2.7707067187200005</v>
      </c>
      <c r="L16">
        <f ca="1">(Geometria!$I74*(Geometria!$H$21/100)*L$11/2)-(Geometria!$I74*L$11^2/2)</f>
        <v>2.8572913036800012</v>
      </c>
      <c r="M16">
        <f ca="1">(Geometria!$I74*(Geometria!$H$21/100)*M$11/2)-(Geometria!$I74*M$11^2/2)</f>
        <v>2.8861528320000001</v>
      </c>
      <c r="N16">
        <f ca="1">(Geometria!$I74*(Geometria!$H$21/100)*N$11/2)-(Geometria!$I74*N$11^2/2)</f>
        <v>2.8572913036800007</v>
      </c>
      <c r="O16">
        <f ca="1">(Geometria!$I74*(Geometria!$H$21/100)*O$11/2)-(Geometria!$I74*O$11^2/2)</f>
        <v>2.7707067187200005</v>
      </c>
      <c r="P16">
        <f ca="1">(Geometria!$I74*(Geometria!$H$21/100)*P$11/2)-(Geometria!$I74*P$11^2/2)</f>
        <v>2.6263990771200003</v>
      </c>
      <c r="Q16">
        <f ca="1">(Geometria!$I74*(Geometria!$H$21/100)*Q$11/2)-(Geometria!$I74*Q$11^2/2)</f>
        <v>2.4243683788800006</v>
      </c>
      <c r="R16">
        <f ca="1">(Geometria!$I74*(Geometria!$H$21/100)*R$11/2)-(Geometria!$I74*R$11^2/2)</f>
        <v>2.1646146240000013</v>
      </c>
      <c r="S16">
        <f ca="1">(Geometria!$I74*(Geometria!$H$21/100)*S$11/2)-(Geometria!$I74*S$11^2/2)</f>
        <v>1.8471378124800006</v>
      </c>
      <c r="T16">
        <f ca="1">(Geometria!$I74*(Geometria!$H$21/100)*T$11/2)-(Geometria!$I74*T$11^2/2)</f>
        <v>1.4719379443200005</v>
      </c>
      <c r="U16">
        <f ca="1">(Geometria!$I74*(Geometria!$H$21/100)*U$11/2)-(Geometria!$I74*U$11^2/2)</f>
        <v>1.0390150195200007</v>
      </c>
      <c r="V16">
        <f ca="1">(Geometria!$I74*(Geometria!$H$21/100)*V$11/2)-(Geometria!$I74*V$11^2/2)</f>
        <v>0.54836903808000237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6.1499199999999998</v>
      </c>
      <c r="E17">
        <f>(Geometria!$I75*(Geometria!$H$21/100)*E$11/2)-(Geometria!$I75*E$11^2/2)</f>
        <v>11.652480000000001</v>
      </c>
      <c r="F17">
        <f>(Geometria!$I75*(Geometria!$H$21/100)*F$11/2)-(Geometria!$I75*F$11^2/2)</f>
        <v>16.507680000000004</v>
      </c>
      <c r="G17">
        <f>(Geometria!$I75*(Geometria!$H$21/100)*G$11/2)-(Geometria!$I75*G$11^2/2)</f>
        <v>20.715520000000001</v>
      </c>
      <c r="H17">
        <f>(Geometria!$I75*(Geometria!$H$21/100)*H$11/2)-(Geometria!$I75*H$11^2/2)</f>
        <v>24.276</v>
      </c>
      <c r="I17">
        <f>(Geometria!$I75*(Geometria!$H$21/100)*I$11/2)-(Geometria!$I75*I$11^2/2)</f>
        <v>27.189120000000003</v>
      </c>
      <c r="J17">
        <f>(Geometria!$I75*(Geometria!$H$21/100)*J$11/2)-(Geometria!$I75*J$11^2/2)</f>
        <v>29.454879999999999</v>
      </c>
      <c r="K17">
        <f>(Geometria!$I75*(Geometria!$H$21/100)*K$11/2)-(Geometria!$I75*K$11^2/2)</f>
        <v>31.07328</v>
      </c>
      <c r="L17">
        <f>(Geometria!$I75*(Geometria!$H$21/100)*L$11/2)-(Geometria!$I75*L$11^2/2)</f>
        <v>32.044320000000006</v>
      </c>
      <c r="M17">
        <f>(Geometria!$I75*(Geometria!$H$21/100)*M$11/2)-(Geometria!$I75*M$11^2/2)</f>
        <v>32.367999999999995</v>
      </c>
      <c r="N17">
        <f>(Geometria!$I75*(Geometria!$H$21/100)*N$11/2)-(Geometria!$I75*N$11^2/2)</f>
        <v>32.044319999999999</v>
      </c>
      <c r="O17">
        <f>(Geometria!$I75*(Geometria!$H$21/100)*O$11/2)-(Geometria!$I75*O$11^2/2)</f>
        <v>31.073280000000004</v>
      </c>
      <c r="P17">
        <f>(Geometria!$I75*(Geometria!$H$21/100)*P$11/2)-(Geometria!$I75*P$11^2/2)</f>
        <v>29.454880000000003</v>
      </c>
      <c r="Q17">
        <f>(Geometria!$I75*(Geometria!$H$21/100)*Q$11/2)-(Geometria!$I75*Q$11^2/2)</f>
        <v>27.189120000000003</v>
      </c>
      <c r="R17">
        <f>(Geometria!$I75*(Geometria!$H$21/100)*R$11/2)-(Geometria!$I75*R$11^2/2)</f>
        <v>24.275999999999996</v>
      </c>
      <c r="S17">
        <f>(Geometria!$I75*(Geometria!$H$21/100)*S$11/2)-(Geometria!$I75*S$11^2/2)</f>
        <v>20.715519999999998</v>
      </c>
      <c r="T17">
        <f>(Geometria!$I75*(Geometria!$H$21/100)*T$11/2)-(Geometria!$I75*T$11^2/2)</f>
        <v>16.507679999999993</v>
      </c>
      <c r="U17">
        <f>(Geometria!$I75*(Geometria!$H$21/100)*U$11/2)-(Geometria!$I75*U$11^2/2)</f>
        <v>11.652479999999997</v>
      </c>
      <c r="V17">
        <f>(Geometria!$I75*(Geometria!$H$21/100)*V$11/2)-(Geometria!$I75*V$11^2/2)</f>
        <v>6.1499199999999945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10.542720000000001</v>
      </c>
      <c r="E18">
        <f>(Geometria!$I76*(Geometria!$H$21/100)*E$11/2)-(Geometria!$I76*E$11^2/2)</f>
        <v>19.975680000000004</v>
      </c>
      <c r="F18">
        <f>(Geometria!$I76*(Geometria!$H$21/100)*F$11/2)-(Geometria!$I76*F$11^2/2)</f>
        <v>28.298880000000004</v>
      </c>
      <c r="G18">
        <f>(Geometria!$I76*(Geometria!$H$21/100)*G$11/2)-(Geometria!$I76*G$11^2/2)</f>
        <v>35.512320000000003</v>
      </c>
      <c r="H18">
        <f>(Geometria!$I76*(Geometria!$H$21/100)*H$11/2)-(Geometria!$I76*H$11^2/2)</f>
        <v>41.616</v>
      </c>
      <c r="I18">
        <f>(Geometria!$I76*(Geometria!$H$21/100)*I$11/2)-(Geometria!$I76*I$11^2/2)</f>
        <v>46.60992000000001</v>
      </c>
      <c r="J18">
        <f>(Geometria!$I76*(Geometria!$H$21/100)*J$11/2)-(Geometria!$I76*J$11^2/2)</f>
        <v>50.494080000000004</v>
      </c>
      <c r="K18">
        <f>(Geometria!$I76*(Geometria!$H$21/100)*K$11/2)-(Geometria!$I76*K$11^2/2)</f>
        <v>53.268480000000011</v>
      </c>
      <c r="L18">
        <f>(Geometria!$I76*(Geometria!$H$21/100)*L$11/2)-(Geometria!$I76*L$11^2/2)</f>
        <v>54.933120000000017</v>
      </c>
      <c r="M18">
        <f>(Geometria!$I76*(Geometria!$H$21/100)*M$11/2)-(Geometria!$I76*M$11^2/2)</f>
        <v>55.488</v>
      </c>
      <c r="N18">
        <f>(Geometria!$I76*(Geometria!$H$21/100)*N$11/2)-(Geometria!$I76*N$11^2/2)</f>
        <v>54.933120000000017</v>
      </c>
      <c r="O18">
        <f>(Geometria!$I76*(Geometria!$H$21/100)*O$11/2)-(Geometria!$I76*O$11^2/2)</f>
        <v>53.268480000000011</v>
      </c>
      <c r="P18">
        <f>(Geometria!$I76*(Geometria!$H$21/100)*P$11/2)-(Geometria!$I76*P$11^2/2)</f>
        <v>50.494079999999997</v>
      </c>
      <c r="Q18">
        <f>(Geometria!$I76*(Geometria!$H$21/100)*Q$11/2)-(Geometria!$I76*Q$11^2/2)</f>
        <v>46.609920000000017</v>
      </c>
      <c r="R18">
        <f>(Geometria!$I76*(Geometria!$H$21/100)*R$11/2)-(Geometria!$I76*R$11^2/2)</f>
        <v>41.616000000000028</v>
      </c>
      <c r="S18">
        <f>(Geometria!$I76*(Geometria!$H$21/100)*S$11/2)-(Geometria!$I76*S$11^2/2)</f>
        <v>35.512320000000017</v>
      </c>
      <c r="T18">
        <f>(Geometria!$I76*(Geometria!$H$21/100)*T$11/2)-(Geometria!$I76*T$11^2/2)</f>
        <v>28.298879999999997</v>
      </c>
      <c r="U18">
        <f>(Geometria!$I76*(Geometria!$H$21/100)*U$11/2)-(Geometria!$I76*U$11^2/2)</f>
        <v>19.975680000000011</v>
      </c>
      <c r="V18">
        <f>(Geometria!$I76*(Geometria!$H$21/100)*V$11/2)-(Geometria!$I76*V$11^2/2)</f>
        <v>10.542720000000003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13.354112000000004</v>
      </c>
      <c r="E20">
        <f>(Geometria!$I78*(Geometria!$H$21/100)*E$11/2)-(Geometria!$I78*E$11^2/2)</f>
        <v>25.302528000000006</v>
      </c>
      <c r="F20">
        <f>(Geometria!$I78*(Geometria!$H$21/100)*F$11/2)-(Geometria!$I78*F$11^2/2)</f>
        <v>35.845248000000012</v>
      </c>
      <c r="G20">
        <f>(Geometria!$I78*(Geometria!$H$21/100)*G$11/2)-(Geometria!$I78*G$11^2/2)</f>
        <v>44.982272000000016</v>
      </c>
      <c r="H20">
        <f>(Geometria!$I78*(Geometria!$H$21/100)*H$11/2)-(Geometria!$I78*H$11^2/2)</f>
        <v>52.713600000000014</v>
      </c>
      <c r="I20">
        <f>(Geometria!$I78*(Geometria!$H$21/100)*I$11/2)-(Geometria!$I78*I$11^2/2)</f>
        <v>59.039232000000013</v>
      </c>
      <c r="J20">
        <f>(Geometria!$I78*(Geometria!$H$21/100)*J$11/2)-(Geometria!$I78*J$11^2/2)</f>
        <v>63.959168000000012</v>
      </c>
      <c r="K20">
        <f>(Geometria!$I78*(Geometria!$H$21/100)*K$11/2)-(Geometria!$I78*K$11^2/2)</f>
        <v>67.473408000000035</v>
      </c>
      <c r="L20">
        <f>(Geometria!$I78*(Geometria!$H$21/100)*L$11/2)-(Geometria!$I78*L$11^2/2)</f>
        <v>69.581952000000015</v>
      </c>
      <c r="M20">
        <f>(Geometria!$I78*(Geometria!$H$21/100)*M$11/2)-(Geometria!$I78*M$11^2/2)</f>
        <v>70.284800000000018</v>
      </c>
      <c r="N20">
        <f>(Geometria!$I78*(Geometria!$H$21/100)*N$11/2)-(Geometria!$I78*N$11^2/2)</f>
        <v>69.58195200000003</v>
      </c>
      <c r="O20">
        <f>(Geometria!$I78*(Geometria!$H$21/100)*O$11/2)-(Geometria!$I78*O$11^2/2)</f>
        <v>67.47340800000002</v>
      </c>
      <c r="P20">
        <f>(Geometria!$I78*(Geometria!$H$21/100)*P$11/2)-(Geometria!$I78*P$11^2/2)</f>
        <v>63.959168000000005</v>
      </c>
      <c r="Q20">
        <f>(Geometria!$I78*(Geometria!$H$21/100)*Q$11/2)-(Geometria!$I78*Q$11^2/2)</f>
        <v>59.039232000000027</v>
      </c>
      <c r="R20">
        <f>(Geometria!$I78*(Geometria!$H$21/100)*R$11/2)-(Geometria!$I78*R$11^2/2)</f>
        <v>52.713600000000014</v>
      </c>
      <c r="S20">
        <f>(Geometria!$I78*(Geometria!$H$21/100)*S$11/2)-(Geometria!$I78*S$11^2/2)</f>
        <v>44.982272000000052</v>
      </c>
      <c r="T20">
        <f>(Geometria!$I78*(Geometria!$H$21/100)*T$11/2)-(Geometria!$I78*T$11^2/2)</f>
        <v>35.845247999999998</v>
      </c>
      <c r="U20">
        <f>(Geometria!$I78*(Geometria!$H$21/100)*U$11/2)-(Geometria!$I78*U$11^2/2)</f>
        <v>25.302527999999995</v>
      </c>
      <c r="V20">
        <f>(Geometria!$I78*(Geometria!$H$21/100)*V$11/2)-(Geometria!$I78*V$11^2/2)</f>
        <v>13.354112000000043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9.8699999999999992</v>
      </c>
    </row>
    <row r="24" spans="2:23" x14ac:dyDescent="0.25">
      <c r="B24" t="s">
        <v>795</v>
      </c>
      <c r="C24">
        <f>Geometria!$H$168</f>
        <v>0</v>
      </c>
    </row>
    <row r="25" spans="2:23" x14ac:dyDescent="0.25">
      <c r="B25" t="s">
        <v>796</v>
      </c>
      <c r="C25">
        <f ca="1">Geometria!$H$167</f>
        <v>11.670803680538116</v>
      </c>
    </row>
    <row r="26" spans="2:23" x14ac:dyDescent="0.25">
      <c r="B26" t="s">
        <v>797</v>
      </c>
      <c r="C26">
        <f ca="1">Geometria!$H$169</f>
        <v>15.329196319461884</v>
      </c>
    </row>
    <row r="27" spans="2:23" x14ac:dyDescent="0.25">
      <c r="B27" t="s">
        <v>798</v>
      </c>
      <c r="C27">
        <f ca="1">Geometria!$H$36</f>
        <v>1869.6295971361794</v>
      </c>
    </row>
    <row r="28" spans="2:23" x14ac:dyDescent="0.25">
      <c r="B28" t="s">
        <v>799</v>
      </c>
      <c r="C28">
        <f ca="1">Geometria!$H$37</f>
        <v>215733.36466301672</v>
      </c>
    </row>
    <row r="29" spans="2:23" x14ac:dyDescent="0.25">
      <c r="B29" t="s">
        <v>800</v>
      </c>
      <c r="C29">
        <f ca="1">Geometria!$I$37</f>
        <v>332876.34191951604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1719</v>
      </c>
      <c r="C33">
        <f>Geometria!$L$105</f>
        <v>50</v>
      </c>
    </row>
    <row r="34" spans="2:3" x14ac:dyDescent="0.25">
      <c r="B34" t="s">
        <v>804</v>
      </c>
      <c r="C34">
        <f>Geometria!$H$175</f>
        <v>1136.6833396764496</v>
      </c>
    </row>
    <row r="35" spans="2:3" x14ac:dyDescent="0.25">
      <c r="B35" t="s">
        <v>805</v>
      </c>
      <c r="C35">
        <f ca="1">Geometria!$H$176</f>
        <v>132.66008104302264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-7.7005157953489265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2.0940322450779969</v>
      </c>
    </row>
    <row r="40" spans="2:3" x14ac:dyDescent="0.25">
      <c r="B40" t="s">
        <v>810</v>
      </c>
      <c r="C40">
        <f ca="1">Geometria!$M$203</f>
        <v>1.2007817228764388</v>
      </c>
    </row>
    <row r="41" spans="2:3" x14ac:dyDescent="0.25">
      <c r="B41" t="s">
        <v>811</v>
      </c>
      <c r="C41">
        <f ca="1">Geometria!$M$204</f>
        <v>1.8924585423584261</v>
      </c>
    </row>
    <row r="42" spans="2:3" x14ac:dyDescent="0.25">
      <c r="B42" t="s">
        <v>812</v>
      </c>
      <c r="C42">
        <f ca="1">Geometria!$M$205</f>
        <v>1.4523606645942131</v>
      </c>
    </row>
    <row r="43" spans="2:3" x14ac:dyDescent="0.25">
      <c r="B43" t="s">
        <v>813</v>
      </c>
      <c r="C43">
        <f ca="1">Geometria!$M$206</f>
        <v>1.3050925727448055</v>
      </c>
    </row>
    <row r="44" spans="2:3" x14ac:dyDescent="0.25">
      <c r="B44" t="s">
        <v>814</v>
      </c>
      <c r="C44">
        <f ca="1">Geometria!$M$207</f>
        <v>1.2090482076356228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2.0470161225389987</v>
      </c>
    </row>
    <row r="47" spans="2:3" x14ac:dyDescent="0.25">
      <c r="B47" t="s">
        <v>816</v>
      </c>
      <c r="C47">
        <f ca="1">Geometria!$L$217</f>
        <v>2.1804287676078835</v>
      </c>
    </row>
    <row r="48" spans="2:3" x14ac:dyDescent="0.25">
      <c r="B48" t="s">
        <v>817</v>
      </c>
      <c r="C48">
        <f ca="1">Geometria!$L$218</f>
        <v>3.0364653732193951</v>
      </c>
    </row>
    <row r="49" spans="2:23" x14ac:dyDescent="0.25">
      <c r="B49" t="s">
        <v>818</v>
      </c>
      <c r="C49">
        <f ca="1">Geometria!$L$219</f>
        <v>5.2791205354891972E-3</v>
      </c>
    </row>
    <row r="50" spans="2:23" x14ac:dyDescent="0.25">
      <c r="B50" t="s">
        <v>819</v>
      </c>
      <c r="C50">
        <f ca="1">(Geometria!$I$24-Geometria!$H$144)/100</f>
        <v>0.15335419624589497</v>
      </c>
    </row>
    <row r="51" spans="2:23" x14ac:dyDescent="0.25">
      <c r="B51" t="s">
        <v>1720</v>
      </c>
      <c r="C51">
        <f ca="1">(Geometria!$H$23-Geometria!$M$134-Geometria!$I$24)/100</f>
        <v>0.11664580375410502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13256.40681602137</v>
      </c>
      <c r="D55">
        <f t="shared" ca="1" si="1"/>
        <v>12545.520041497704</v>
      </c>
      <c r="E55">
        <f t="shared" ca="1" si="1"/>
        <v>11909.463453766006</v>
      </c>
      <c r="F55">
        <f t="shared" ca="1" si="1"/>
        <v>11348.237052826269</v>
      </c>
      <c r="G55">
        <f t="shared" ca="1" si="1"/>
        <v>10861.840838678499</v>
      </c>
      <c r="H55">
        <f t="shared" ca="1" si="1"/>
        <v>10450.274811322693</v>
      </c>
      <c r="I55">
        <f t="shared" ca="1" si="1"/>
        <v>10113.538970758853</v>
      </c>
      <c r="J55">
        <f t="shared" ca="1" si="1"/>
        <v>9851.6333169869758</v>
      </c>
      <c r="K55">
        <f t="shared" ca="1" si="1"/>
        <v>9664.5578500070624</v>
      </c>
      <c r="L55">
        <f t="shared" ca="1" si="1"/>
        <v>9552.3125698191161</v>
      </c>
      <c r="M55">
        <f t="shared" ca="1" si="1"/>
        <v>9514.8974764231352</v>
      </c>
      <c r="N55">
        <f t="shared" ca="1" si="1"/>
        <v>9552.3125698191161</v>
      </c>
      <c r="O55">
        <f t="shared" ca="1" si="1"/>
        <v>9664.5578500070624</v>
      </c>
      <c r="P55">
        <f t="shared" ca="1" si="1"/>
        <v>9851.6333169869758</v>
      </c>
      <c r="Q55">
        <f t="shared" ca="1" si="1"/>
        <v>10113.538970758853</v>
      </c>
      <c r="R55">
        <f t="shared" ca="1" si="1"/>
        <v>10450.274811322693</v>
      </c>
      <c r="S55">
        <f t="shared" ca="1" si="1"/>
        <v>10861.840838678498</v>
      </c>
      <c r="T55">
        <f t="shared" ca="1" si="1"/>
        <v>11348.237052826271</v>
      </c>
      <c r="U55">
        <f t="shared" ca="1" si="1"/>
        <v>11909.463453766006</v>
      </c>
      <c r="V55">
        <f t="shared" ca="1" si="1"/>
        <v>12545.520041497704</v>
      </c>
      <c r="W55">
        <f t="shared" ca="1" si="1"/>
        <v>13256.40681602137</v>
      </c>
    </row>
    <row r="56" spans="2:23" x14ac:dyDescent="0.25">
      <c r="B56" t="s">
        <v>99</v>
      </c>
      <c r="C56">
        <f t="shared" ref="C56:W56" ca="1" si="2">($C$34/($C$27/100^2)+((-$C$35+C15)/($C$28/100^4))*$C$26/100)</f>
        <v>-3346.5984435338505</v>
      </c>
      <c r="D56">
        <f t="shared" ca="1" si="2"/>
        <v>-2412.8732926469111</v>
      </c>
      <c r="E56">
        <f t="shared" ca="1" si="2"/>
        <v>-1577.4349997480722</v>
      </c>
      <c r="F56">
        <f t="shared" ca="1" si="2"/>
        <v>-840.28356483733114</v>
      </c>
      <c r="G56">
        <f t="shared" ca="1" si="2"/>
        <v>-201.41898791468884</v>
      </c>
      <c r="H56">
        <f t="shared" ca="1" si="2"/>
        <v>339.15873101985471</v>
      </c>
      <c r="I56">
        <f t="shared" ca="1" si="2"/>
        <v>781.44959196630043</v>
      </c>
      <c r="J56">
        <f t="shared" ca="1" si="2"/>
        <v>1125.4535949246456</v>
      </c>
      <c r="K56">
        <f t="shared" ca="1" si="2"/>
        <v>1371.1707398948929</v>
      </c>
      <c r="L56">
        <f t="shared" ca="1" si="2"/>
        <v>1518.6010268770406</v>
      </c>
      <c r="M56">
        <f t="shared" ca="1" si="2"/>
        <v>1567.7444558710886</v>
      </c>
      <c r="N56">
        <f t="shared" ca="1" si="2"/>
        <v>1518.6010268770406</v>
      </c>
      <c r="O56">
        <f t="shared" ca="1" si="2"/>
        <v>1371.1707398948929</v>
      </c>
      <c r="P56">
        <f t="shared" ca="1" si="2"/>
        <v>1125.4535949246456</v>
      </c>
      <c r="Q56">
        <f t="shared" ca="1" si="2"/>
        <v>781.44959196630043</v>
      </c>
      <c r="R56">
        <f t="shared" ca="1" si="2"/>
        <v>339.15873101985471</v>
      </c>
      <c r="S56">
        <f t="shared" ca="1" si="2"/>
        <v>-201.41898791468702</v>
      </c>
      <c r="T56">
        <f t="shared" ca="1" si="2"/>
        <v>-840.28356483733205</v>
      </c>
      <c r="U56">
        <f t="shared" ca="1" si="2"/>
        <v>-1577.434999748074</v>
      </c>
      <c r="V56">
        <f t="shared" ca="1" si="2"/>
        <v>-2412.8732926469111</v>
      </c>
      <c r="W56">
        <f t="shared" ca="1" si="2"/>
        <v>-3346.5984435338505</v>
      </c>
    </row>
    <row r="57" spans="2:23" x14ac:dyDescent="0.25">
      <c r="B57" t="s">
        <v>821</v>
      </c>
      <c r="C57">
        <f t="shared" ref="C57:W57" ca="1" si="3">$C$36*C55/10000</f>
        <v>8.0026490164089772</v>
      </c>
      <c r="D57">
        <f t="shared" ca="1" si="3"/>
        <v>7.5734997434668996</v>
      </c>
      <c r="E57">
        <f t="shared" ca="1" si="3"/>
        <v>7.189524078202937</v>
      </c>
      <c r="F57">
        <f t="shared" ca="1" si="3"/>
        <v>6.8507220206170869</v>
      </c>
      <c r="G57">
        <f t="shared" ca="1" si="3"/>
        <v>6.5570935707093509</v>
      </c>
      <c r="H57">
        <f t="shared" ca="1" si="3"/>
        <v>6.3086387284797283</v>
      </c>
      <c r="I57">
        <f t="shared" ca="1" si="3"/>
        <v>6.1053574939282189</v>
      </c>
      <c r="J57">
        <f t="shared" ca="1" si="3"/>
        <v>5.9472498670548219</v>
      </c>
      <c r="K57">
        <f t="shared" ca="1" si="3"/>
        <v>5.8343158478595374</v>
      </c>
      <c r="L57">
        <f t="shared" ca="1" si="3"/>
        <v>5.7665554363423679</v>
      </c>
      <c r="M57">
        <f t="shared" ca="1" si="3"/>
        <v>5.7439686325033126</v>
      </c>
      <c r="N57">
        <f t="shared" ca="1" si="3"/>
        <v>5.7665554363423679</v>
      </c>
      <c r="O57">
        <f t="shared" ca="1" si="3"/>
        <v>5.8343158478595374</v>
      </c>
      <c r="P57">
        <f t="shared" ca="1" si="3"/>
        <v>5.9472498670548219</v>
      </c>
      <c r="Q57">
        <f t="shared" ca="1" si="3"/>
        <v>6.1053574939282189</v>
      </c>
      <c r="R57">
        <f t="shared" ca="1" si="3"/>
        <v>6.3086387284797283</v>
      </c>
      <c r="S57">
        <f t="shared" ca="1" si="3"/>
        <v>6.5570935707093509</v>
      </c>
      <c r="T57">
        <f t="shared" ca="1" si="3"/>
        <v>6.8507220206170878</v>
      </c>
      <c r="U57">
        <f t="shared" ca="1" si="3"/>
        <v>7.189524078202937</v>
      </c>
      <c r="V57">
        <f t="shared" ca="1" si="3"/>
        <v>7.5734997434668996</v>
      </c>
      <c r="W57">
        <f t="shared" ca="1" si="3"/>
        <v>8.0026490164089772</v>
      </c>
    </row>
    <row r="58" spans="2:23" x14ac:dyDescent="0.25">
      <c r="B58" t="s">
        <v>822</v>
      </c>
      <c r="C58">
        <f t="shared" ref="C58:W58" ca="1" si="4">$C$36*C56/10000</f>
        <v>-2.0202799381574748</v>
      </c>
      <c r="D58">
        <f t="shared" ca="1" si="4"/>
        <v>-1.4566072352866728</v>
      </c>
      <c r="E58">
        <f t="shared" ca="1" si="4"/>
        <v>-0.9522685011391141</v>
      </c>
      <c r="F58">
        <f t="shared" ca="1" si="4"/>
        <v>-0.50726373571479688</v>
      </c>
      <c r="G58">
        <f t="shared" ca="1" si="4"/>
        <v>-0.12159293901372209</v>
      </c>
      <c r="H58">
        <f t="shared" ca="1" si="4"/>
        <v>0.2047438889641105</v>
      </c>
      <c r="I58">
        <f t="shared" ca="1" si="4"/>
        <v>0.47174674821870138</v>
      </c>
      <c r="J58">
        <f t="shared" ca="1" si="4"/>
        <v>0.67941563875004896</v>
      </c>
      <c r="K58">
        <f t="shared" ca="1" si="4"/>
        <v>0.82775056055815477</v>
      </c>
      <c r="L58">
        <f t="shared" ca="1" si="4"/>
        <v>0.91675151364301788</v>
      </c>
      <c r="M58">
        <f t="shared" ca="1" si="4"/>
        <v>0.94641849800463829</v>
      </c>
      <c r="N58">
        <f t="shared" ca="1" si="4"/>
        <v>0.91675151364301788</v>
      </c>
      <c r="O58">
        <f t="shared" ca="1" si="4"/>
        <v>0.82775056055815477</v>
      </c>
      <c r="P58">
        <f t="shared" ca="1" si="4"/>
        <v>0.67941563875004896</v>
      </c>
      <c r="Q58">
        <f t="shared" ca="1" si="4"/>
        <v>0.47174674821870138</v>
      </c>
      <c r="R58">
        <f t="shared" ca="1" si="4"/>
        <v>0.2047438889641105</v>
      </c>
      <c r="S58">
        <f t="shared" ca="1" si="4"/>
        <v>-0.12159293901372098</v>
      </c>
      <c r="T58">
        <f t="shared" ca="1" si="4"/>
        <v>-0.50726373571479744</v>
      </c>
      <c r="U58">
        <f t="shared" ca="1" si="4"/>
        <v>-0.9522685011391151</v>
      </c>
      <c r="V58">
        <f t="shared" ca="1" si="4"/>
        <v>-1.4566072352866728</v>
      </c>
      <c r="W58">
        <f t="shared" ca="1" si="4"/>
        <v>-2.0202799381574748</v>
      </c>
    </row>
    <row r="59" spans="2:23" x14ac:dyDescent="0.25">
      <c r="B59" t="s">
        <v>823</v>
      </c>
      <c r="C59">
        <f t="shared" ref="C59:W59" ca="1" si="5">$C$30-$C$31-$C$32-C57</f>
        <v>107.16283625982707</v>
      </c>
      <c r="D59">
        <f t="shared" ca="1" si="5"/>
        <v>107.59198553276916</v>
      </c>
      <c r="E59">
        <f t="shared" ca="1" si="5"/>
        <v>107.97596119803312</v>
      </c>
      <c r="F59">
        <f t="shared" ca="1" si="5"/>
        <v>108.31476325561897</v>
      </c>
      <c r="G59">
        <f t="shared" ca="1" si="5"/>
        <v>108.6083917055267</v>
      </c>
      <c r="H59">
        <f t="shared" ca="1" si="5"/>
        <v>108.85684654775633</v>
      </c>
      <c r="I59">
        <f t="shared" ca="1" si="5"/>
        <v>109.06012778230783</v>
      </c>
      <c r="J59">
        <f t="shared" ca="1" si="5"/>
        <v>109.21823540918123</v>
      </c>
      <c r="K59">
        <f t="shared" ca="1" si="5"/>
        <v>109.33116942837651</v>
      </c>
      <c r="L59">
        <f t="shared" ca="1" si="5"/>
        <v>109.39892983989368</v>
      </c>
      <c r="M59">
        <f t="shared" ca="1" si="5"/>
        <v>109.42151664373274</v>
      </c>
      <c r="N59">
        <f t="shared" ca="1" si="5"/>
        <v>109.39892983989368</v>
      </c>
      <c r="O59">
        <f t="shared" ca="1" si="5"/>
        <v>109.33116942837651</v>
      </c>
      <c r="P59">
        <f t="shared" ca="1" si="5"/>
        <v>109.21823540918123</v>
      </c>
      <c r="Q59">
        <f t="shared" ca="1" si="5"/>
        <v>109.06012778230783</v>
      </c>
      <c r="R59">
        <f t="shared" ca="1" si="5"/>
        <v>108.85684654775633</v>
      </c>
      <c r="S59">
        <f t="shared" ca="1" si="5"/>
        <v>108.6083917055267</v>
      </c>
      <c r="T59">
        <f t="shared" ca="1" si="5"/>
        <v>108.31476325561897</v>
      </c>
      <c r="U59">
        <f t="shared" ca="1" si="5"/>
        <v>107.97596119803312</v>
      </c>
      <c r="V59">
        <f t="shared" ca="1" si="5"/>
        <v>107.59198553276916</v>
      </c>
      <c r="W59">
        <f t="shared" ca="1" si="5"/>
        <v>107.16283625982707</v>
      </c>
    </row>
    <row r="60" spans="2:23" x14ac:dyDescent="0.25">
      <c r="B60" t="s">
        <v>1721</v>
      </c>
      <c r="C60">
        <f ca="1">$C$33-$C$31-Geometria!$H$190-C58</f>
        <v>51.097203015080552</v>
      </c>
      <c r="D60">
        <f ca="1">$C$33-$C$31-Geometria!$H$190-D58</f>
        <v>50.533530312209756</v>
      </c>
      <c r="E60">
        <f ca="1">$C$33-$C$31-Geometria!$H$190-E58</f>
        <v>50.029191578062196</v>
      </c>
      <c r="F60">
        <f ca="1">$C$33-$C$31-Geometria!$H$190-F58</f>
        <v>49.584186812637874</v>
      </c>
      <c r="G60">
        <f ca="1">$C$33-$C$31-Geometria!$H$190-G58</f>
        <v>49.198516015936804</v>
      </c>
      <c r="H60">
        <f ca="1">$C$33-$C$31-Geometria!$H$190-H58</f>
        <v>48.87217918795897</v>
      </c>
      <c r="I60">
        <f ca="1">$C$33-$C$31-Geometria!$H$190-I58</f>
        <v>48.605176328704381</v>
      </c>
      <c r="J60">
        <f ca="1">$C$33-$C$31-Geometria!$H$190-J58</f>
        <v>48.397507438173029</v>
      </c>
      <c r="K60">
        <f ca="1">$C$33-$C$31-Geometria!$H$190-K58</f>
        <v>48.249172516364922</v>
      </c>
      <c r="L60">
        <f ca="1">$C$33-$C$31-Geometria!$H$190-L58</f>
        <v>48.160171563280059</v>
      </c>
      <c r="M60">
        <f ca="1">$C$33-$C$31-Geometria!$H$190-M58</f>
        <v>48.13050457891844</v>
      </c>
      <c r="N60">
        <f ca="1">$C$33-$C$31-Geometria!$H$190-N58</f>
        <v>48.160171563280059</v>
      </c>
      <c r="O60">
        <f ca="1">$C$33-$C$31-Geometria!$H$190-O58</f>
        <v>48.249172516364922</v>
      </c>
      <c r="P60">
        <f ca="1">$C$33-$C$31-Geometria!$H$190-P58</f>
        <v>48.397507438173029</v>
      </c>
      <c r="Q60">
        <f ca="1">$C$33-$C$31-Geometria!$H$190-Q58</f>
        <v>48.605176328704381</v>
      </c>
      <c r="R60">
        <f ca="1">$C$33-$C$31-Geometria!$H$190-R58</f>
        <v>48.87217918795897</v>
      </c>
      <c r="S60">
        <f ca="1">$C$33-$C$31-Geometria!$H$190-S58</f>
        <v>49.198516015936804</v>
      </c>
      <c r="T60">
        <f ca="1">$C$33-$C$31-Geometria!$H$190-T58</f>
        <v>49.584186812637874</v>
      </c>
      <c r="U60">
        <f ca="1">$C$33-$C$31-Geometria!$H$190-U58</f>
        <v>50.029191578062196</v>
      </c>
      <c r="V60">
        <f ca="1">$C$33-$C$31-Geometria!$H$190-V58</f>
        <v>50.533530312209756</v>
      </c>
      <c r="W60">
        <f ca="1">$C$33-$C$31-Geometria!$H$190-W58</f>
        <v>51.097203015080552</v>
      </c>
    </row>
    <row r="61" spans="2:23" x14ac:dyDescent="0.25">
      <c r="B61" t="s">
        <v>824</v>
      </c>
      <c r="C61">
        <f t="shared" ref="C61:W61" ca="1" si="6">100-(C59*100)/$C$30</f>
        <v>8.4391351163473587</v>
      </c>
      <c r="D61">
        <f t="shared" ca="1" si="6"/>
        <v>8.0724662228561641</v>
      </c>
      <c r="E61">
        <f t="shared" ca="1" si="6"/>
        <v>7.7443940549956523</v>
      </c>
      <c r="F61">
        <f t="shared" ca="1" si="6"/>
        <v>7.4549186127657663</v>
      </c>
      <c r="G61">
        <f t="shared" ca="1" si="6"/>
        <v>7.2040398961665346</v>
      </c>
      <c r="H61">
        <f t="shared" ca="1" si="6"/>
        <v>6.991757905197943</v>
      </c>
      <c r="I61">
        <f t="shared" ca="1" si="6"/>
        <v>6.8180726398600342</v>
      </c>
      <c r="J61">
        <f t="shared" ca="1" si="6"/>
        <v>6.6829841001527512</v>
      </c>
      <c r="K61">
        <f t="shared" ca="1" si="6"/>
        <v>6.5864922860761368</v>
      </c>
      <c r="L61">
        <f t="shared" ca="1" si="6"/>
        <v>6.5285971976301624</v>
      </c>
      <c r="M61">
        <f t="shared" ca="1" si="6"/>
        <v>6.5092988348148282</v>
      </c>
      <c r="N61">
        <f t="shared" ca="1" si="6"/>
        <v>6.5285971976301624</v>
      </c>
      <c r="O61">
        <f t="shared" ca="1" si="6"/>
        <v>6.5864922860761368</v>
      </c>
      <c r="P61">
        <f t="shared" ca="1" si="6"/>
        <v>6.6829841001527512</v>
      </c>
      <c r="Q61">
        <f t="shared" ca="1" si="6"/>
        <v>6.8180726398600342</v>
      </c>
      <c r="R61">
        <f t="shared" ca="1" si="6"/>
        <v>6.991757905197943</v>
      </c>
      <c r="S61">
        <f t="shared" ca="1" si="6"/>
        <v>7.2040398961665346</v>
      </c>
      <c r="T61">
        <f t="shared" ca="1" si="6"/>
        <v>7.4549186127657663</v>
      </c>
      <c r="U61">
        <f t="shared" ca="1" si="6"/>
        <v>7.7443940549956523</v>
      </c>
      <c r="V61">
        <f t="shared" ca="1" si="6"/>
        <v>8.0724662228561641</v>
      </c>
      <c r="W61">
        <f t="shared" ca="1" si="6"/>
        <v>8.4391351163473587</v>
      </c>
    </row>
    <row r="62" spans="2:23" x14ac:dyDescent="0.25">
      <c r="B62" t="s">
        <v>825</v>
      </c>
      <c r="C62">
        <f t="shared" ref="C62:W62" ca="1" si="7">100-(C60*100)/$C$30</f>
        <v>56.342102687046705</v>
      </c>
      <c r="D62">
        <f t="shared" ca="1" si="7"/>
        <v>56.823709576034048</v>
      </c>
      <c r="E62">
        <f t="shared" ca="1" si="7"/>
        <v>57.254621003022734</v>
      </c>
      <c r="F62">
        <f t="shared" ca="1" si="7"/>
        <v>57.634836968012763</v>
      </c>
      <c r="G62">
        <f t="shared" ca="1" si="7"/>
        <v>57.964357471004107</v>
      </c>
      <c r="H62">
        <f t="shared" ca="1" si="7"/>
        <v>58.243182511996785</v>
      </c>
      <c r="I62">
        <f t="shared" ca="1" si="7"/>
        <v>58.471312090990793</v>
      </c>
      <c r="J62">
        <f t="shared" ca="1" si="7"/>
        <v>58.648746207986136</v>
      </c>
      <c r="K62">
        <f t="shared" ca="1" si="7"/>
        <v>58.775484862982815</v>
      </c>
      <c r="L62">
        <f t="shared" ca="1" si="7"/>
        <v>58.851528055980822</v>
      </c>
      <c r="M62">
        <f t="shared" ca="1" si="7"/>
        <v>58.87687578698015</v>
      </c>
      <c r="N62">
        <f t="shared" ca="1" si="7"/>
        <v>58.851528055980822</v>
      </c>
      <c r="O62">
        <f t="shared" ca="1" si="7"/>
        <v>58.775484862982815</v>
      </c>
      <c r="P62">
        <f t="shared" ca="1" si="7"/>
        <v>58.648746207986136</v>
      </c>
      <c r="Q62">
        <f t="shared" ca="1" si="7"/>
        <v>58.471312090990793</v>
      </c>
      <c r="R62">
        <f t="shared" ca="1" si="7"/>
        <v>58.243182511996785</v>
      </c>
      <c r="S62">
        <f t="shared" ca="1" si="7"/>
        <v>57.964357471004107</v>
      </c>
      <c r="T62">
        <f t="shared" ca="1" si="7"/>
        <v>57.634836968012763</v>
      </c>
      <c r="U62">
        <f t="shared" ca="1" si="7"/>
        <v>57.254621003022734</v>
      </c>
      <c r="V62">
        <f t="shared" ca="1" si="7"/>
        <v>56.823709576034048</v>
      </c>
      <c r="W62">
        <f t="shared" ca="1" si="7"/>
        <v>56.342102687046705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1057.6971938844931</v>
      </c>
      <c r="D65">
        <f t="shared" ca="1" si="8"/>
        <v>1061.9328972084315</v>
      </c>
      <c r="E65">
        <f t="shared" ca="1" si="8"/>
        <v>1065.7227370245869</v>
      </c>
      <c r="F65">
        <f t="shared" ca="1" si="8"/>
        <v>1069.0667133329591</v>
      </c>
      <c r="G65">
        <f t="shared" ca="1" si="8"/>
        <v>1071.9648261335485</v>
      </c>
      <c r="H65">
        <f t="shared" ca="1" si="8"/>
        <v>1074.417075426355</v>
      </c>
      <c r="I65">
        <f t="shared" ca="1" si="8"/>
        <v>1076.4234612113783</v>
      </c>
      <c r="J65">
        <f t="shared" ca="1" si="8"/>
        <v>1077.9839834886186</v>
      </c>
      <c r="K65">
        <f t="shared" ca="1" si="8"/>
        <v>1079.0986422580761</v>
      </c>
      <c r="L65">
        <f t="shared" ca="1" si="8"/>
        <v>1079.7674375197505</v>
      </c>
      <c r="M65">
        <f t="shared" ca="1" si="8"/>
        <v>1079.990369273642</v>
      </c>
      <c r="N65">
        <f t="shared" ca="1" si="8"/>
        <v>1079.7674375197505</v>
      </c>
      <c r="O65">
        <f t="shared" ca="1" si="8"/>
        <v>1079.0986422580761</v>
      </c>
      <c r="P65">
        <f t="shared" ca="1" si="8"/>
        <v>1077.9839834886186</v>
      </c>
      <c r="Q65">
        <f t="shared" ca="1" si="8"/>
        <v>1076.4234612113783</v>
      </c>
      <c r="R65">
        <f t="shared" ca="1" si="8"/>
        <v>1074.417075426355</v>
      </c>
      <c r="S65">
        <f t="shared" ca="1" si="8"/>
        <v>1071.9648261335485</v>
      </c>
      <c r="T65">
        <f t="shared" ca="1" si="8"/>
        <v>1069.0667133329591</v>
      </c>
      <c r="U65">
        <f t="shared" ca="1" si="8"/>
        <v>1065.7227370245869</v>
      </c>
      <c r="V65">
        <f t="shared" ca="1" si="8"/>
        <v>1061.9328972084315</v>
      </c>
      <c r="W65">
        <f t="shared" ca="1" si="8"/>
        <v>1057.6971938844931</v>
      </c>
    </row>
    <row r="66" spans="2:23" x14ac:dyDescent="0.25">
      <c r="B66" t="s">
        <v>828</v>
      </c>
      <c r="C66">
        <f t="shared" ref="C66:W66" ca="1" si="9">$C$23*C59*$C$25/100-$C$24*C60*$C$26/100</f>
        <v>123.44176303281979</v>
      </c>
      <c r="D66">
        <f t="shared" ca="1" si="9"/>
        <v>123.93610365224667</v>
      </c>
      <c r="E66">
        <f t="shared" ca="1" si="9"/>
        <v>124.37840841699703</v>
      </c>
      <c r="F66">
        <f t="shared" ca="1" si="9"/>
        <v>124.76867732707086</v>
      </c>
      <c r="G66">
        <f t="shared" ca="1" si="9"/>
        <v>125.1069103824682</v>
      </c>
      <c r="H66">
        <f t="shared" ca="1" si="9"/>
        <v>125.39310758318904</v>
      </c>
      <c r="I66">
        <f t="shared" ca="1" si="9"/>
        <v>125.62726892923331</v>
      </c>
      <c r="J66">
        <f t="shared" ca="1" si="9"/>
        <v>125.80939442060109</v>
      </c>
      <c r="K66">
        <f t="shared" ca="1" si="9"/>
        <v>125.93948405729238</v>
      </c>
      <c r="L66">
        <f t="shared" ca="1" si="9"/>
        <v>126.01753783930715</v>
      </c>
      <c r="M66">
        <f t="shared" ca="1" si="9"/>
        <v>126.0435557666454</v>
      </c>
      <c r="N66">
        <f t="shared" ca="1" si="9"/>
        <v>126.01753783930715</v>
      </c>
      <c r="O66">
        <f t="shared" ca="1" si="9"/>
        <v>125.93948405729238</v>
      </c>
      <c r="P66">
        <f t="shared" ca="1" si="9"/>
        <v>125.80939442060109</v>
      </c>
      <c r="Q66">
        <f t="shared" ca="1" si="9"/>
        <v>125.62726892923331</v>
      </c>
      <c r="R66">
        <f t="shared" ca="1" si="9"/>
        <v>125.39310758318904</v>
      </c>
      <c r="S66">
        <f t="shared" ca="1" si="9"/>
        <v>125.1069103824682</v>
      </c>
      <c r="T66">
        <f t="shared" ca="1" si="9"/>
        <v>124.76867732707086</v>
      </c>
      <c r="U66">
        <f t="shared" ca="1" si="9"/>
        <v>124.37840841699703</v>
      </c>
      <c r="V66">
        <f t="shared" ca="1" si="9"/>
        <v>123.93610365224667</v>
      </c>
      <c r="W66">
        <f t="shared" ca="1" si="9"/>
        <v>123.44176303281979</v>
      </c>
    </row>
    <row r="67" spans="2:23" x14ac:dyDescent="0.25">
      <c r="B67" t="s">
        <v>829</v>
      </c>
      <c r="C67">
        <f t="shared" ref="C67:W67" ca="1" si="10">(C65/($C$27/100^2)+(C66-C15)/($C$28/100^4)*$C$25/100)*$C$39</f>
        <v>25830.394900483152</v>
      </c>
      <c r="D67">
        <f t="shared" ca="1" si="10"/>
        <v>24445.216671546754</v>
      </c>
      <c r="E67">
        <f t="shared" ca="1" si="10"/>
        <v>23205.846677235233</v>
      </c>
      <c r="F67">
        <f t="shared" ca="1" si="10"/>
        <v>22112.284917548594</v>
      </c>
      <c r="G67">
        <f t="shared" ca="1" si="10"/>
        <v>21164.531392486839</v>
      </c>
      <c r="H67">
        <f t="shared" ca="1" si="10"/>
        <v>20362.58610204998</v>
      </c>
      <c r="I67">
        <f t="shared" ca="1" si="10"/>
        <v>19706.449046237994</v>
      </c>
      <c r="J67">
        <f t="shared" ca="1" si="10"/>
        <v>19196.120225050894</v>
      </c>
      <c r="K67">
        <f t="shared" ca="1" si="10"/>
        <v>18831.599638488678</v>
      </c>
      <c r="L67">
        <f t="shared" ca="1" si="10"/>
        <v>18612.887286551355</v>
      </c>
      <c r="M67">
        <f t="shared" ca="1" si="10"/>
        <v>18539.983169238909</v>
      </c>
      <c r="N67">
        <f t="shared" ca="1" si="10"/>
        <v>18612.887286551355</v>
      </c>
      <c r="O67">
        <f t="shared" ca="1" si="10"/>
        <v>18831.599638488678</v>
      </c>
      <c r="P67">
        <f t="shared" ca="1" si="10"/>
        <v>19196.120225050894</v>
      </c>
      <c r="Q67">
        <f t="shared" ca="1" si="10"/>
        <v>19706.449046237994</v>
      </c>
      <c r="R67">
        <f t="shared" ca="1" si="10"/>
        <v>20362.58610204998</v>
      </c>
      <c r="S67">
        <f t="shared" ca="1" si="10"/>
        <v>21164.531392486839</v>
      </c>
      <c r="T67">
        <f t="shared" ca="1" si="10"/>
        <v>22112.284917548597</v>
      </c>
      <c r="U67">
        <f t="shared" ca="1" si="10"/>
        <v>23205.846677235233</v>
      </c>
      <c r="V67">
        <f t="shared" ca="1" si="10"/>
        <v>24445.216671546754</v>
      </c>
      <c r="W67">
        <f t="shared" ca="1" si="10"/>
        <v>25830.394900483152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665.24329544235081</v>
      </c>
      <c r="E68">
        <f t="shared" ca="1" si="11"/>
        <v>1260.4609808381383</v>
      </c>
      <c r="F68">
        <f t="shared" ca="1" si="11"/>
        <v>1785.6530561873628</v>
      </c>
      <c r="G68">
        <f t="shared" ca="1" si="11"/>
        <v>2240.8195214900238</v>
      </c>
      <c r="H68">
        <f t="shared" ca="1" si="11"/>
        <v>2625.9603767461213</v>
      </c>
      <c r="I68">
        <f t="shared" ca="1" si="11"/>
        <v>2941.075621955657</v>
      </c>
      <c r="J68">
        <f t="shared" ca="1" si="11"/>
        <v>3186.1652571186273</v>
      </c>
      <c r="K68">
        <f t="shared" ca="1" si="11"/>
        <v>3361.229282235036</v>
      </c>
      <c r="L68">
        <f t="shared" ca="1" si="11"/>
        <v>3466.267697304881</v>
      </c>
      <c r="M68">
        <f t="shared" ca="1" si="11"/>
        <v>3501.2805023281617</v>
      </c>
      <c r="N68">
        <f t="shared" ca="1" si="11"/>
        <v>3466.2676973048806</v>
      </c>
      <c r="O68">
        <f t="shared" ca="1" si="11"/>
        <v>3361.229282235036</v>
      </c>
      <c r="P68">
        <f t="shared" ca="1" si="11"/>
        <v>3186.1652571186282</v>
      </c>
      <c r="Q68">
        <f t="shared" ca="1" si="11"/>
        <v>2941.075621955657</v>
      </c>
      <c r="R68">
        <f t="shared" ca="1" si="11"/>
        <v>2625.9603767461213</v>
      </c>
      <c r="S68">
        <f t="shared" ca="1" si="11"/>
        <v>2240.8195214900238</v>
      </c>
      <c r="T68">
        <f t="shared" ca="1" si="11"/>
        <v>1785.6530561873622</v>
      </c>
      <c r="U68">
        <f t="shared" ca="1" si="11"/>
        <v>1260.4609808381381</v>
      </c>
      <c r="V68">
        <f t="shared" ca="1" si="11"/>
        <v>665.24329544235025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633.879525910486</v>
      </c>
      <c r="E69">
        <f t="shared" ca="1" si="12"/>
        <v>1201.0348911988156</v>
      </c>
      <c r="F69">
        <f t="shared" ca="1" si="12"/>
        <v>1701.4660958649888</v>
      </c>
      <c r="G69">
        <f t="shared" ca="1" si="12"/>
        <v>2135.1731399090054</v>
      </c>
      <c r="H69">
        <f t="shared" ca="1" si="12"/>
        <v>2502.1560233308651</v>
      </c>
      <c r="I69">
        <f t="shared" ca="1" si="12"/>
        <v>2802.4147461305697</v>
      </c>
      <c r="J69">
        <f t="shared" ca="1" si="12"/>
        <v>3035.949308308117</v>
      </c>
      <c r="K69">
        <f t="shared" ca="1" si="12"/>
        <v>3202.7597098635083</v>
      </c>
      <c r="L69">
        <f t="shared" ca="1" si="12"/>
        <v>3302.8459507967436</v>
      </c>
      <c r="M69">
        <f t="shared" ca="1" si="12"/>
        <v>3336.2080311078207</v>
      </c>
      <c r="N69">
        <f t="shared" ca="1" si="12"/>
        <v>3302.8459507967436</v>
      </c>
      <c r="O69">
        <f t="shared" ca="1" si="12"/>
        <v>3202.7597098635083</v>
      </c>
      <c r="P69">
        <f t="shared" ca="1" si="12"/>
        <v>3035.949308308117</v>
      </c>
      <c r="Q69">
        <f t="shared" ca="1" si="12"/>
        <v>2802.4147461305702</v>
      </c>
      <c r="R69">
        <f t="shared" ca="1" si="12"/>
        <v>2502.1560233308674</v>
      </c>
      <c r="S69">
        <f t="shared" ca="1" si="12"/>
        <v>2135.1731399090063</v>
      </c>
      <c r="T69">
        <f t="shared" ca="1" si="12"/>
        <v>1701.4660958649886</v>
      </c>
      <c r="U69">
        <f t="shared" ca="1" si="12"/>
        <v>1201.034891198816</v>
      </c>
      <c r="V69">
        <f t="shared" ca="1" si="12"/>
        <v>633.879525910486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297.53040752546718</v>
      </c>
      <c r="E70">
        <f t="shared" ca="1" si="13"/>
        <v>563.74182478509567</v>
      </c>
      <c r="F70">
        <f t="shared" ca="1" si="13"/>
        <v>798.63425177888564</v>
      </c>
      <c r="G70">
        <f t="shared" ca="1" si="13"/>
        <v>1002.2076885068368</v>
      </c>
      <c r="H70">
        <f t="shared" ca="1" si="13"/>
        <v>1174.4621349689494</v>
      </c>
      <c r="I70">
        <f t="shared" ca="1" si="13"/>
        <v>1315.3975911652235</v>
      </c>
      <c r="J70">
        <f t="shared" ca="1" si="13"/>
        <v>1425.0140570956582</v>
      </c>
      <c r="K70">
        <f t="shared" ca="1" si="13"/>
        <v>1503.3115327602554</v>
      </c>
      <c r="L70">
        <f t="shared" ca="1" si="13"/>
        <v>1550.290018159013</v>
      </c>
      <c r="M70">
        <f t="shared" ca="1" si="13"/>
        <v>1565.9495132919326</v>
      </c>
      <c r="N70">
        <f t="shared" ca="1" si="13"/>
        <v>1550.2900181590135</v>
      </c>
      <c r="O70">
        <f t="shared" ca="1" si="13"/>
        <v>1503.3115327602554</v>
      </c>
      <c r="P70">
        <f t="shared" ca="1" si="13"/>
        <v>1425.0140570956582</v>
      </c>
      <c r="Q70">
        <f t="shared" ca="1" si="13"/>
        <v>1315.3975911652237</v>
      </c>
      <c r="R70">
        <f t="shared" ca="1" si="13"/>
        <v>1174.4621349689494</v>
      </c>
      <c r="S70">
        <f t="shared" ca="1" si="13"/>
        <v>1002.2076885068377</v>
      </c>
      <c r="T70">
        <f t="shared" ca="1" si="13"/>
        <v>798.6342517788853</v>
      </c>
      <c r="U70">
        <f t="shared" ca="1" si="13"/>
        <v>563.74182478509545</v>
      </c>
      <c r="V70">
        <f t="shared" ca="1" si="13"/>
        <v>297.53040752546809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13.04631956775575</v>
      </c>
      <c r="D71">
        <f t="shared" ca="1" si="14"/>
        <v>11.540267250487078</v>
      </c>
      <c r="E71">
        <f t="shared" ca="1" si="14"/>
        <v>10.192746756088786</v>
      </c>
      <c r="F71">
        <f t="shared" ca="1" si="14"/>
        <v>9.0037580845608804</v>
      </c>
      <c r="G71">
        <f t="shared" ca="1" si="14"/>
        <v>7.9733012359033619</v>
      </c>
      <c r="H71">
        <f t="shared" ca="1" si="14"/>
        <v>7.1013762101162357</v>
      </c>
      <c r="I71">
        <f t="shared" ca="1" si="14"/>
        <v>6.387983007199491</v>
      </c>
      <c r="J71">
        <f t="shared" ca="1" si="14"/>
        <v>5.833121627153135</v>
      </c>
      <c r="K71">
        <f t="shared" ca="1" si="14"/>
        <v>5.4367920699771641</v>
      </c>
      <c r="L71">
        <f t="shared" ca="1" si="14"/>
        <v>5.1989943356715846</v>
      </c>
      <c r="M71">
        <f t="shared" ca="1" si="14"/>
        <v>5.1197284242363903</v>
      </c>
      <c r="N71">
        <f t="shared" ca="1" si="14"/>
        <v>5.1989943356715846</v>
      </c>
      <c r="O71">
        <f t="shared" ca="1" si="14"/>
        <v>5.4367920699771641</v>
      </c>
      <c r="P71">
        <f t="shared" ca="1" si="14"/>
        <v>5.833121627153135</v>
      </c>
      <c r="Q71">
        <f t="shared" ca="1" si="14"/>
        <v>6.387983007199491</v>
      </c>
      <c r="R71">
        <f t="shared" ca="1" si="14"/>
        <v>7.1013762101162339</v>
      </c>
      <c r="S71">
        <f t="shared" ca="1" si="14"/>
        <v>7.9733012359033619</v>
      </c>
      <c r="T71">
        <f t="shared" ca="1" si="14"/>
        <v>9.0037580845608804</v>
      </c>
      <c r="U71">
        <f t="shared" ca="1" si="14"/>
        <v>10.192746756088786</v>
      </c>
      <c r="V71">
        <f t="shared" ca="1" si="14"/>
        <v>11.540267250487078</v>
      </c>
      <c r="W71">
        <f t="shared" ca="1" si="14"/>
        <v>13.04631956775575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-6520.919323730137</v>
      </c>
      <c r="D72">
        <f t="shared" ca="1" si="15"/>
        <v>-4591.7827262225883</v>
      </c>
      <c r="E72">
        <f t="shared" ca="1" si="15"/>
        <v>-2865.7131389789929</v>
      </c>
      <c r="F72">
        <f t="shared" ca="1" si="15"/>
        <v>-1342.7105619993442</v>
      </c>
      <c r="G72">
        <f t="shared" ca="1" si="15"/>
        <v>-22.774995283654018</v>
      </c>
      <c r="H72">
        <f t="shared" ca="1" si="15"/>
        <v>1094.0935611680854</v>
      </c>
      <c r="I72">
        <f t="shared" ca="1" si="15"/>
        <v>2007.8951073558742</v>
      </c>
      <c r="J72">
        <f t="shared" ca="1" si="15"/>
        <v>2718.6296432797067</v>
      </c>
      <c r="K72">
        <f t="shared" ca="1" si="15"/>
        <v>3226.2971689395922</v>
      </c>
      <c r="L72">
        <f t="shared" ca="1" si="15"/>
        <v>3530.8976843355181</v>
      </c>
      <c r="M72">
        <f t="shared" ca="1" si="15"/>
        <v>3632.4311894674934</v>
      </c>
      <c r="N72">
        <f t="shared" ca="1" si="15"/>
        <v>3530.8976843355181</v>
      </c>
      <c r="O72">
        <f t="shared" ca="1" si="15"/>
        <v>3226.2971689395922</v>
      </c>
      <c r="P72">
        <f t="shared" ca="1" si="15"/>
        <v>2718.6296432797067</v>
      </c>
      <c r="Q72">
        <f t="shared" ca="1" si="15"/>
        <v>2007.8951073558742</v>
      </c>
      <c r="R72">
        <f t="shared" ca="1" si="15"/>
        <v>1094.0935611680854</v>
      </c>
      <c r="S72">
        <f t="shared" ca="1" si="15"/>
        <v>-22.774995283652114</v>
      </c>
      <c r="T72">
        <f t="shared" ca="1" si="15"/>
        <v>-1342.7105619993499</v>
      </c>
      <c r="U72">
        <f t="shared" ca="1" si="15"/>
        <v>-2865.7131389789965</v>
      </c>
      <c r="V72">
        <f t="shared" ca="1" si="15"/>
        <v>-4591.7827262225883</v>
      </c>
      <c r="W72">
        <f t="shared" ca="1" si="15"/>
        <v>-6520.919323730137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873.77402235347915</v>
      </c>
      <c r="E73">
        <f t="shared" ca="1" si="16"/>
        <v>1655.5718318276447</v>
      </c>
      <c r="F73">
        <f t="shared" ca="1" si="16"/>
        <v>2345.393428422497</v>
      </c>
      <c r="G73">
        <f t="shared" ca="1" si="16"/>
        <v>2943.238812138035</v>
      </c>
      <c r="H73">
        <f t="shared" ca="1" si="16"/>
        <v>3449.1079829742598</v>
      </c>
      <c r="I73">
        <f t="shared" ca="1" si="16"/>
        <v>3863.0009409311724</v>
      </c>
      <c r="J73">
        <f t="shared" ca="1" si="16"/>
        <v>4184.9176860087682</v>
      </c>
      <c r="K73">
        <f t="shared" ca="1" si="16"/>
        <v>4414.8582182070522</v>
      </c>
      <c r="L73">
        <f t="shared" ca="1" si="16"/>
        <v>4552.8225375260236</v>
      </c>
      <c r="M73">
        <f t="shared" ca="1" si="16"/>
        <v>4598.8106439656794</v>
      </c>
      <c r="N73">
        <f t="shared" ca="1" si="16"/>
        <v>4552.8225375260226</v>
      </c>
      <c r="O73">
        <f t="shared" ca="1" si="16"/>
        <v>4414.8582182070522</v>
      </c>
      <c r="P73">
        <f t="shared" ca="1" si="16"/>
        <v>4184.9176860087691</v>
      </c>
      <c r="Q73">
        <f t="shared" ca="1" si="16"/>
        <v>3863.0009409311724</v>
      </c>
      <c r="R73">
        <f t="shared" ca="1" si="16"/>
        <v>3449.1079829742598</v>
      </c>
      <c r="S73">
        <f t="shared" ca="1" si="16"/>
        <v>2943.238812138035</v>
      </c>
      <c r="T73">
        <f t="shared" ca="1" si="16"/>
        <v>2345.3934284224961</v>
      </c>
      <c r="U73">
        <f t="shared" ca="1" si="16"/>
        <v>1655.5718318276442</v>
      </c>
      <c r="V73">
        <f t="shared" ca="1" si="16"/>
        <v>873.77402235347859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482.14778984294611</v>
      </c>
      <c r="E74">
        <f t="shared" ca="1" si="17"/>
        <v>913.54318075505569</v>
      </c>
      <c r="F74">
        <f t="shared" ca="1" si="17"/>
        <v>1294.1861727363289</v>
      </c>
      <c r="G74">
        <f t="shared" ca="1" si="17"/>
        <v>1624.0767657867657</v>
      </c>
      <c r="H74">
        <f t="shared" ca="1" si="17"/>
        <v>1903.2149599063659</v>
      </c>
      <c r="I74">
        <f t="shared" ca="1" si="17"/>
        <v>2131.6007550951304</v>
      </c>
      <c r="J74">
        <f t="shared" ca="1" si="17"/>
        <v>2309.2341513530573</v>
      </c>
      <c r="K74">
        <f t="shared" ca="1" si="17"/>
        <v>2436.1151486801491</v>
      </c>
      <c r="L74">
        <f t="shared" ca="1" si="17"/>
        <v>2512.2437470764039</v>
      </c>
      <c r="M74">
        <f t="shared" ca="1" si="17"/>
        <v>2537.6199465418208</v>
      </c>
      <c r="N74">
        <f t="shared" ca="1" si="17"/>
        <v>2512.2437470764039</v>
      </c>
      <c r="O74">
        <f t="shared" ca="1" si="17"/>
        <v>2436.1151486801491</v>
      </c>
      <c r="P74">
        <f t="shared" ca="1" si="17"/>
        <v>2309.2341513530573</v>
      </c>
      <c r="Q74">
        <f t="shared" ca="1" si="17"/>
        <v>2131.6007550951304</v>
      </c>
      <c r="R74">
        <f t="shared" ca="1" si="17"/>
        <v>1903.2149599063671</v>
      </c>
      <c r="S74">
        <f t="shared" ca="1" si="17"/>
        <v>1624.0767657867664</v>
      </c>
      <c r="T74">
        <f t="shared" ca="1" si="17"/>
        <v>1294.1861727363287</v>
      </c>
      <c r="U74">
        <f t="shared" ca="1" si="17"/>
        <v>913.54318075505614</v>
      </c>
      <c r="V74">
        <f t="shared" ca="1" si="17"/>
        <v>482.14778984294617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226.31055671568265</v>
      </c>
      <c r="E75">
        <f t="shared" ca="1" si="18"/>
        <v>428.79894956655653</v>
      </c>
      <c r="F75">
        <f t="shared" ca="1" si="18"/>
        <v>607.46517855262175</v>
      </c>
      <c r="G75">
        <f t="shared" ca="1" si="18"/>
        <v>762.30924367387831</v>
      </c>
      <c r="H75">
        <f t="shared" ca="1" si="18"/>
        <v>893.33114493032622</v>
      </c>
      <c r="I75">
        <f t="shared" ca="1" si="18"/>
        <v>1000.5308823219652</v>
      </c>
      <c r="J75">
        <f t="shared" ca="1" si="18"/>
        <v>1083.9084558487957</v>
      </c>
      <c r="K75">
        <f t="shared" ca="1" si="18"/>
        <v>1143.4638655108176</v>
      </c>
      <c r="L75">
        <f t="shared" ca="1" si="18"/>
        <v>1179.1971113080306</v>
      </c>
      <c r="M75">
        <f t="shared" ca="1" si="18"/>
        <v>1191.1081932404347</v>
      </c>
      <c r="N75">
        <f t="shared" ca="1" si="18"/>
        <v>1179.1971113080306</v>
      </c>
      <c r="O75">
        <f t="shared" ca="1" si="18"/>
        <v>1143.4638655108174</v>
      </c>
      <c r="P75">
        <f t="shared" ca="1" si="18"/>
        <v>1083.9084558487955</v>
      </c>
      <c r="Q75">
        <f t="shared" ca="1" si="18"/>
        <v>1000.5308823219656</v>
      </c>
      <c r="R75">
        <f t="shared" ca="1" si="18"/>
        <v>893.33114493032622</v>
      </c>
      <c r="S75">
        <f t="shared" ca="1" si="18"/>
        <v>762.30924367387911</v>
      </c>
      <c r="T75">
        <f t="shared" ca="1" si="18"/>
        <v>607.46517855262164</v>
      </c>
      <c r="U75">
        <f t="shared" ca="1" si="18"/>
        <v>428.79894956655636</v>
      </c>
      <c r="V75">
        <f t="shared" ca="1" si="18"/>
        <v>226.3105567156833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-3.2935616238428396</v>
      </c>
      <c r="D76">
        <f t="shared" ca="1" si="19"/>
        <v>-1.5200524756975982</v>
      </c>
      <c r="E76">
        <f t="shared" ca="1" si="19"/>
        <v>6.6771498958669517E-2</v>
      </c>
      <c r="F76">
        <f t="shared" ca="1" si="19"/>
        <v>1.4669103001259678</v>
      </c>
      <c r="G76">
        <f t="shared" ca="1" si="19"/>
        <v>2.6803639278042897</v>
      </c>
      <c r="H76">
        <f t="shared" ca="1" si="19"/>
        <v>3.7071323819936408</v>
      </c>
      <c r="I76">
        <f t="shared" ca="1" si="19"/>
        <v>4.5472156626940201</v>
      </c>
      <c r="J76">
        <f t="shared" ca="1" si="19"/>
        <v>5.2006137699054227</v>
      </c>
      <c r="K76">
        <f t="shared" ca="1" si="19"/>
        <v>5.6673267036278565</v>
      </c>
      <c r="L76">
        <f t="shared" ca="1" si="19"/>
        <v>5.9473544638613154</v>
      </c>
      <c r="M76">
        <f t="shared" ca="1" si="19"/>
        <v>6.0406970506057993</v>
      </c>
      <c r="N76">
        <f t="shared" ca="1" si="19"/>
        <v>5.9473544638613145</v>
      </c>
      <c r="O76">
        <f t="shared" ca="1" si="19"/>
        <v>5.6673267036278565</v>
      </c>
      <c r="P76">
        <f t="shared" ca="1" si="19"/>
        <v>5.2006137699054236</v>
      </c>
      <c r="Q76">
        <f t="shared" ca="1" si="19"/>
        <v>4.5472156626940201</v>
      </c>
      <c r="R76">
        <f t="shared" ca="1" si="19"/>
        <v>3.7071323819936413</v>
      </c>
      <c r="S76">
        <f t="shared" ca="1" si="19"/>
        <v>2.6803639278042914</v>
      </c>
      <c r="T76">
        <f t="shared" ca="1" si="19"/>
        <v>1.4669103001259642</v>
      </c>
      <c r="U76">
        <f t="shared" ca="1" si="19"/>
        <v>6.6771498958667602E-2</v>
      </c>
      <c r="V76">
        <f t="shared" ca="1" si="19"/>
        <v>-1.5200524756975984</v>
      </c>
      <c r="W76">
        <f t="shared" ca="1" si="19"/>
        <v>-3.2935616238428396</v>
      </c>
    </row>
    <row r="77" spans="2:23" x14ac:dyDescent="0.25">
      <c r="B77" t="s">
        <v>839</v>
      </c>
      <c r="C77">
        <f t="shared" ref="C77:W77" ca="1" si="20">C59/190</f>
        <v>0.56401492768330042</v>
      </c>
      <c r="D77">
        <f t="shared" ca="1" si="20"/>
        <v>0.56627360806720606</v>
      </c>
      <c r="E77">
        <f t="shared" ca="1" si="20"/>
        <v>0.56829453262122698</v>
      </c>
      <c r="F77">
        <f t="shared" ca="1" si="20"/>
        <v>0.57007770134536295</v>
      </c>
      <c r="G77">
        <f t="shared" ca="1" si="20"/>
        <v>0.57162311423961421</v>
      </c>
      <c r="H77">
        <f t="shared" ca="1" si="20"/>
        <v>0.57293077130398073</v>
      </c>
      <c r="I77">
        <f t="shared" ca="1" si="20"/>
        <v>0.57400067253846232</v>
      </c>
      <c r="J77">
        <f t="shared" ca="1" si="20"/>
        <v>0.57483281794305907</v>
      </c>
      <c r="K77">
        <f t="shared" ca="1" si="20"/>
        <v>0.5754272075177711</v>
      </c>
      <c r="L77">
        <f t="shared" ca="1" si="20"/>
        <v>0.57578384126259829</v>
      </c>
      <c r="M77">
        <f t="shared" ca="1" si="20"/>
        <v>0.57590271917754077</v>
      </c>
      <c r="N77">
        <f t="shared" ca="1" si="20"/>
        <v>0.57578384126259829</v>
      </c>
      <c r="O77">
        <f t="shared" ca="1" si="20"/>
        <v>0.5754272075177711</v>
      </c>
      <c r="P77">
        <f t="shared" ca="1" si="20"/>
        <v>0.57483281794305907</v>
      </c>
      <c r="Q77">
        <f t="shared" ca="1" si="20"/>
        <v>0.57400067253846232</v>
      </c>
      <c r="R77">
        <f t="shared" ca="1" si="20"/>
        <v>0.57293077130398073</v>
      </c>
      <c r="S77">
        <f t="shared" ca="1" si="20"/>
        <v>0.57162311423961421</v>
      </c>
      <c r="T77">
        <f t="shared" ca="1" si="20"/>
        <v>0.57007770134536295</v>
      </c>
      <c r="U77">
        <f t="shared" ca="1" si="20"/>
        <v>0.56829453262122698</v>
      </c>
      <c r="V77">
        <f t="shared" ca="1" si="20"/>
        <v>0.56627360806720606</v>
      </c>
      <c r="W77">
        <f t="shared" ca="1" si="20"/>
        <v>0.56401492768330042</v>
      </c>
    </row>
    <row r="78" spans="2:23" x14ac:dyDescent="0.25">
      <c r="B78" t="s">
        <v>840</v>
      </c>
      <c r="C78">
        <f t="shared" ref="C78:W78" ca="1" si="21">C60/190</f>
        <v>0.26893264744779238</v>
      </c>
      <c r="D78">
        <f t="shared" ca="1" si="21"/>
        <v>0.26596594901163029</v>
      </c>
      <c r="E78">
        <f t="shared" ca="1" si="21"/>
        <v>0.26331153462137996</v>
      </c>
      <c r="F78">
        <f t="shared" ca="1" si="21"/>
        <v>0.26096940427704146</v>
      </c>
      <c r="G78">
        <f t="shared" ca="1" si="21"/>
        <v>0.25893955797861473</v>
      </c>
      <c r="H78">
        <f t="shared" ca="1" si="21"/>
        <v>0.25722199572609983</v>
      </c>
      <c r="I78">
        <f t="shared" ca="1" si="21"/>
        <v>0.25581671751949675</v>
      </c>
      <c r="J78">
        <f t="shared" ca="1" si="21"/>
        <v>0.25472372335880544</v>
      </c>
      <c r="K78">
        <f t="shared" ca="1" si="21"/>
        <v>0.25394301324402591</v>
      </c>
      <c r="L78">
        <f t="shared" ca="1" si="21"/>
        <v>0.25347458717515819</v>
      </c>
      <c r="M78">
        <f t="shared" ca="1" si="21"/>
        <v>0.25331844515220231</v>
      </c>
      <c r="N78">
        <f t="shared" ca="1" si="21"/>
        <v>0.25347458717515819</v>
      </c>
      <c r="O78">
        <f t="shared" ca="1" si="21"/>
        <v>0.25394301324402591</v>
      </c>
      <c r="P78">
        <f t="shared" ca="1" si="21"/>
        <v>0.25472372335880544</v>
      </c>
      <c r="Q78">
        <f t="shared" ca="1" si="21"/>
        <v>0.25581671751949675</v>
      </c>
      <c r="R78">
        <f t="shared" ca="1" si="21"/>
        <v>0.25722199572609983</v>
      </c>
      <c r="S78">
        <f t="shared" ca="1" si="21"/>
        <v>0.25893955797861473</v>
      </c>
      <c r="T78">
        <f t="shared" ca="1" si="21"/>
        <v>0.26096940427704146</v>
      </c>
      <c r="U78">
        <f t="shared" ca="1" si="21"/>
        <v>0.26331153462137996</v>
      </c>
      <c r="V78">
        <f t="shared" ca="1" si="21"/>
        <v>0.26596594901163029</v>
      </c>
      <c r="W78">
        <f t="shared" ca="1" si="21"/>
        <v>0.26893264744779238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2.0804851497072638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2.1538922621841974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2.2195723101898772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2.2775252937242967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2.3277512127874624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2.3702500673793745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2.4050218575000262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2.4320665831494201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2.4513842443275613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2.4629748410344452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2.4668383732700754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2.4629748410344452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2.4513842443275613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2.4320665831494201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2.4050218575000262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2.3702500673793745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2.3277512127874624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2.2775252937242967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2.2195723101898772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2.1538922621841974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2.0804851497072638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2.1024321788098304E-2</v>
      </c>
      <c r="D81">
        <f t="shared" ca="1" si="22"/>
        <v>2.1774270782686286E-2</v>
      </c>
      <c r="E81">
        <f t="shared" ca="1" si="22"/>
        <v>2.2445754846236093E-2</v>
      </c>
      <c r="F81">
        <f t="shared" ca="1" si="22"/>
        <v>2.3038615458754918E-2</v>
      </c>
      <c r="G81">
        <f t="shared" ca="1" si="22"/>
        <v>2.3552712454532346E-2</v>
      </c>
      <c r="H81">
        <f t="shared" ca="1" si="22"/>
        <v>2.398792413225493E-2</v>
      </c>
      <c r="I81">
        <f t="shared" ca="1" si="22"/>
        <v>2.4344147350811179E-2</v>
      </c>
      <c r="J81">
        <f t="shared" ca="1" si="22"/>
        <v>2.4621297610626643E-2</v>
      </c>
      <c r="K81">
        <f t="shared" ca="1" si="22"/>
        <v>2.4819309120395396E-2</v>
      </c>
      <c r="L81">
        <f t="shared" ca="1" si="22"/>
        <v>2.4938134849097789E-2</v>
      </c>
      <c r="M81">
        <f t="shared" ca="1" si="22"/>
        <v>2.4977746563217648E-2</v>
      </c>
      <c r="N81">
        <f t="shared" ca="1" si="22"/>
        <v>2.4938134849097789E-2</v>
      </c>
      <c r="O81">
        <f t="shared" ca="1" si="22"/>
        <v>2.4819309120395396E-2</v>
      </c>
      <c r="P81">
        <f t="shared" ca="1" si="22"/>
        <v>2.4621297610626643E-2</v>
      </c>
      <c r="Q81">
        <f t="shared" ca="1" si="22"/>
        <v>2.4344147350811179E-2</v>
      </c>
      <c r="R81">
        <f t="shared" ca="1" si="22"/>
        <v>2.398792413225493E-2</v>
      </c>
      <c r="S81">
        <f t="shared" ca="1" si="22"/>
        <v>2.3552712454532346E-2</v>
      </c>
      <c r="T81">
        <f t="shared" ca="1" si="22"/>
        <v>2.3038615458754918E-2</v>
      </c>
      <c r="U81">
        <f t="shared" ca="1" si="22"/>
        <v>2.2445754846236093E-2</v>
      </c>
      <c r="V81">
        <f t="shared" ca="1" si="22"/>
        <v>2.1774270782686286E-2</v>
      </c>
      <c r="W81">
        <f t="shared" ca="1" si="22"/>
        <v>2.1024321788098304E-2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1722</v>
      </c>
      <c r="C83">
        <f t="shared" ref="C83:W83" ca="1" si="24">1+C81</f>
        <v>1.0210243217880983</v>
      </c>
      <c r="D83">
        <f t="shared" ca="1" si="24"/>
        <v>1.0217742707826862</v>
      </c>
      <c r="E83">
        <f t="shared" ca="1" si="24"/>
        <v>1.022445754846236</v>
      </c>
      <c r="F83">
        <f t="shared" ca="1" si="24"/>
        <v>1.023038615458755</v>
      </c>
      <c r="G83">
        <f t="shared" ca="1" si="24"/>
        <v>1.0235527124545323</v>
      </c>
      <c r="H83">
        <f t="shared" ca="1" si="24"/>
        <v>1.0239879241322549</v>
      </c>
      <c r="I83">
        <f t="shared" ca="1" si="24"/>
        <v>1.0243441473508113</v>
      </c>
      <c r="J83">
        <f t="shared" ca="1" si="24"/>
        <v>1.0246212976106266</v>
      </c>
      <c r="K83">
        <f t="shared" ca="1" si="24"/>
        <v>1.0248193091203954</v>
      </c>
      <c r="L83">
        <f t="shared" ca="1" si="24"/>
        <v>1.0249381348490978</v>
      </c>
      <c r="M83">
        <f t="shared" ca="1" si="24"/>
        <v>1.0249777465632177</v>
      </c>
      <c r="N83">
        <f t="shared" ca="1" si="24"/>
        <v>1.0249381348490978</v>
      </c>
      <c r="O83">
        <f t="shared" ca="1" si="24"/>
        <v>1.0248193091203954</v>
      </c>
      <c r="P83">
        <f t="shared" ca="1" si="24"/>
        <v>1.0246212976106266</v>
      </c>
      <c r="Q83">
        <f t="shared" ca="1" si="24"/>
        <v>1.0243441473508113</v>
      </c>
      <c r="R83">
        <f t="shared" ca="1" si="24"/>
        <v>1.0239879241322549</v>
      </c>
      <c r="S83">
        <f t="shared" ca="1" si="24"/>
        <v>1.0235527124545323</v>
      </c>
      <c r="T83">
        <f t="shared" ca="1" si="24"/>
        <v>1.023038615458755</v>
      </c>
      <c r="U83">
        <f t="shared" ca="1" si="24"/>
        <v>1.022445754846236</v>
      </c>
      <c r="V83">
        <f t="shared" ca="1" si="24"/>
        <v>1.0217742707826862</v>
      </c>
      <c r="W83">
        <f t="shared" ca="1" si="24"/>
        <v>1.0210243217880983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2.2530259532518935</v>
      </c>
      <c r="D85">
        <f t="shared" ca="1" si="26"/>
        <v>2.3427370270373808</v>
      </c>
      <c r="E85">
        <f t="shared" ca="1" si="26"/>
        <v>2.4236019543377521</v>
      </c>
      <c r="F85">
        <f t="shared" ca="1" si="26"/>
        <v>2.4954221791522824</v>
      </c>
      <c r="G85">
        <f t="shared" ca="1" si="26"/>
        <v>2.5580222199894864</v>
      </c>
      <c r="H85">
        <f t="shared" ca="1" si="26"/>
        <v>2.611249776264096</v>
      </c>
      <c r="I85">
        <f t="shared" ca="1" si="26"/>
        <v>2.6549758208307979</v>
      </c>
      <c r="J85">
        <f t="shared" ca="1" si="26"/>
        <v>2.6890946785169323</v>
      </c>
      <c r="K85">
        <f t="shared" ca="1" si="26"/>
        <v>2.7135240905371996</v>
      </c>
      <c r="L85">
        <f t="shared" ca="1" si="26"/>
        <v>2.7282052646942567</v>
      </c>
      <c r="M85">
        <f t="shared" ca="1" si="26"/>
        <v>2.7331029112900582</v>
      </c>
      <c r="N85">
        <f t="shared" ca="1" si="26"/>
        <v>2.7282052646942567</v>
      </c>
      <c r="O85">
        <f t="shared" ca="1" si="26"/>
        <v>2.7135240905371996</v>
      </c>
      <c r="P85">
        <f t="shared" ca="1" si="26"/>
        <v>2.6890946785169323</v>
      </c>
      <c r="Q85">
        <f t="shared" ca="1" si="26"/>
        <v>2.6549758208307979</v>
      </c>
      <c r="R85">
        <f t="shared" ca="1" si="26"/>
        <v>2.611249776264096</v>
      </c>
      <c r="S85">
        <f t="shared" ca="1" si="26"/>
        <v>2.5580222199894864</v>
      </c>
      <c r="T85">
        <f t="shared" ca="1" si="26"/>
        <v>2.4954221791522824</v>
      </c>
      <c r="U85">
        <f t="shared" ca="1" si="26"/>
        <v>2.4236019543377521</v>
      </c>
      <c r="V85">
        <f t="shared" ca="1" si="26"/>
        <v>2.3427370270373808</v>
      </c>
      <c r="W85">
        <f t="shared" ca="1" si="26"/>
        <v>2.2530259532518935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-20.174718005188282</v>
      </c>
      <c r="D87">
        <f t="shared" ca="1" si="28"/>
        <v>-18.919904199165984</v>
      </c>
      <c r="E87">
        <f t="shared" ca="1" si="28"/>
        <v>-17.799089387481359</v>
      </c>
      <c r="F87">
        <f t="shared" ca="1" si="28"/>
        <v>-16.811634665841616</v>
      </c>
      <c r="G87">
        <f t="shared" ca="1" si="28"/>
        <v>-15.956976959518776</v>
      </c>
      <c r="H87">
        <f t="shared" ca="1" si="28"/>
        <v>-15.234628773208804</v>
      </c>
      <c r="I87">
        <f t="shared" ca="1" si="28"/>
        <v>-14.644177974915763</v>
      </c>
      <c r="J87">
        <f t="shared" ca="1" si="28"/>
        <v>-14.185287613571765</v>
      </c>
      <c r="K87">
        <f t="shared" ca="1" si="28"/>
        <v>-13.857695770148657</v>
      </c>
      <c r="L87">
        <f t="shared" ca="1" si="28"/>
        <v>-13.661215442062289</v>
      </c>
      <c r="M87">
        <f t="shared" ca="1" si="28"/>
        <v>-13.595734460714453</v>
      </c>
      <c r="N87">
        <f t="shared" ca="1" si="28"/>
        <v>-13.661215442062289</v>
      </c>
      <c r="O87">
        <f t="shared" ca="1" si="28"/>
        <v>-13.857695770148657</v>
      </c>
      <c r="P87">
        <f t="shared" ca="1" si="28"/>
        <v>-14.185287613571765</v>
      </c>
      <c r="Q87">
        <f t="shared" ca="1" si="28"/>
        <v>-14.644177974915763</v>
      </c>
      <c r="R87">
        <f t="shared" ca="1" si="28"/>
        <v>-15.234628773208801</v>
      </c>
      <c r="S87">
        <f t="shared" ca="1" si="28"/>
        <v>-15.956976959518776</v>
      </c>
      <c r="T87">
        <f t="shared" ca="1" si="28"/>
        <v>-16.811634665841616</v>
      </c>
      <c r="U87">
        <f t="shared" ca="1" si="28"/>
        <v>-17.799089387481359</v>
      </c>
      <c r="V87">
        <f t="shared" ca="1" si="28"/>
        <v>-18.919904199165984</v>
      </c>
      <c r="W87">
        <f t="shared" ca="1" si="28"/>
        <v>-20.174718005188282</v>
      </c>
    </row>
    <row r="88" spans="2:23" x14ac:dyDescent="0.25">
      <c r="B88" t="s">
        <v>847</v>
      </c>
      <c r="C88">
        <f t="shared" ref="C88:W88" ca="1" si="29">($C$37-C76-C86)/(C84+$C$46*$C$38*$C$48*$C$49)</f>
        <v>-3.780415754855698</v>
      </c>
      <c r="D88">
        <f t="shared" ca="1" si="29"/>
        <v>-5.3017844063335664</v>
      </c>
      <c r="E88">
        <f t="shared" ca="1" si="29"/>
        <v>-6.6630089892348154</v>
      </c>
      <c r="F88">
        <f t="shared" ca="1" si="29"/>
        <v>-7.86408950355945</v>
      </c>
      <c r="G88">
        <f t="shared" ca="1" si="29"/>
        <v>-8.9050259493074631</v>
      </c>
      <c r="H88">
        <f t="shared" ca="1" si="29"/>
        <v>-9.7858183264788607</v>
      </c>
      <c r="I88">
        <f t="shared" ca="1" si="29"/>
        <v>-10.506466635073641</v>
      </c>
      <c r="J88">
        <f t="shared" ca="1" si="29"/>
        <v>-11.066970875091803</v>
      </c>
      <c r="K88">
        <f t="shared" ca="1" si="29"/>
        <v>-11.467331046533348</v>
      </c>
      <c r="L88">
        <f t="shared" ca="1" si="29"/>
        <v>-11.707547149398275</v>
      </c>
      <c r="M88">
        <f t="shared" ca="1" si="29"/>
        <v>-11.787619183686582</v>
      </c>
      <c r="N88">
        <f t="shared" ca="1" si="29"/>
        <v>-11.707547149398273</v>
      </c>
      <c r="O88">
        <f t="shared" ca="1" si="29"/>
        <v>-11.467331046533348</v>
      </c>
      <c r="P88">
        <f t="shared" ca="1" si="29"/>
        <v>-11.066970875091805</v>
      </c>
      <c r="Q88">
        <f t="shared" ca="1" si="29"/>
        <v>-10.506466635073641</v>
      </c>
      <c r="R88">
        <f t="shared" ca="1" si="29"/>
        <v>-9.7858183264788607</v>
      </c>
      <c r="S88">
        <f t="shared" ca="1" si="29"/>
        <v>-8.9050259493074648</v>
      </c>
      <c r="T88">
        <f t="shared" ca="1" si="29"/>
        <v>-7.8640895035594474</v>
      </c>
      <c r="U88">
        <f t="shared" ca="1" si="29"/>
        <v>-6.6630089892348137</v>
      </c>
      <c r="V88">
        <f t="shared" ca="1" si="29"/>
        <v>-5.3017844063335664</v>
      </c>
      <c r="W88">
        <f t="shared" ca="1" si="29"/>
        <v>-3.780415754855698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86.988118254638792</v>
      </c>
      <c r="D91">
        <f t="shared" ca="1" si="30"/>
        <v>88.672081333603174</v>
      </c>
      <c r="E91">
        <f t="shared" ca="1" si="30"/>
        <v>90.176871810551759</v>
      </c>
      <c r="F91">
        <f t="shared" ca="1" si="30"/>
        <v>91.503128589777361</v>
      </c>
      <c r="G91">
        <f t="shared" ca="1" si="30"/>
        <v>92.65141474600793</v>
      </c>
      <c r="H91">
        <f t="shared" ca="1" si="30"/>
        <v>93.622217774547522</v>
      </c>
      <c r="I91">
        <f t="shared" ca="1" si="30"/>
        <v>94.415949807392067</v>
      </c>
      <c r="J91">
        <f t="shared" ca="1" si="30"/>
        <v>95.032947795609473</v>
      </c>
      <c r="K91">
        <f t="shared" ca="1" si="30"/>
        <v>95.47347365822786</v>
      </c>
      <c r="L91">
        <f t="shared" ca="1" si="30"/>
        <v>95.737714397831397</v>
      </c>
      <c r="M91">
        <f t="shared" ca="1" si="30"/>
        <v>95.825782183018291</v>
      </c>
      <c r="N91">
        <f t="shared" ca="1" si="30"/>
        <v>95.737714397831397</v>
      </c>
      <c r="O91">
        <f t="shared" ca="1" si="30"/>
        <v>95.47347365822786</v>
      </c>
      <c r="P91">
        <f t="shared" ca="1" si="30"/>
        <v>95.032947795609473</v>
      </c>
      <c r="Q91">
        <f t="shared" ca="1" si="30"/>
        <v>94.415949807392067</v>
      </c>
      <c r="R91">
        <f t="shared" ca="1" si="30"/>
        <v>93.622217774547536</v>
      </c>
      <c r="S91">
        <f t="shared" ca="1" si="30"/>
        <v>92.65141474600793</v>
      </c>
      <c r="T91">
        <f t="shared" ca="1" si="30"/>
        <v>91.503128589777361</v>
      </c>
      <c r="U91">
        <f t="shared" ca="1" si="30"/>
        <v>90.176871810551759</v>
      </c>
      <c r="V91">
        <f t="shared" ca="1" si="30"/>
        <v>88.672081333603174</v>
      </c>
      <c r="W91">
        <f t="shared" ca="1" si="30"/>
        <v>86.988118254638792</v>
      </c>
    </row>
    <row r="92" spans="2:23" x14ac:dyDescent="0.25">
      <c r="B92" t="s">
        <v>850</v>
      </c>
      <c r="C92">
        <f t="shared" ref="C92:W92" ca="1" si="31">C60-ABS(C88)</f>
        <v>47.316787260224856</v>
      </c>
      <c r="D92">
        <f t="shared" ca="1" si="31"/>
        <v>45.231745905876188</v>
      </c>
      <c r="E92">
        <f t="shared" ca="1" si="31"/>
        <v>43.366182588827378</v>
      </c>
      <c r="F92">
        <f t="shared" ca="1" si="31"/>
        <v>41.720097309078426</v>
      </c>
      <c r="G92">
        <f t="shared" ca="1" si="31"/>
        <v>40.293490066629339</v>
      </c>
      <c r="H92">
        <f t="shared" ca="1" si="31"/>
        <v>39.086360861480109</v>
      </c>
      <c r="I92">
        <f t="shared" ca="1" si="31"/>
        <v>38.098709693630738</v>
      </c>
      <c r="J92">
        <f t="shared" ca="1" si="31"/>
        <v>37.330536563081225</v>
      </c>
      <c r="K92">
        <f t="shared" ca="1" si="31"/>
        <v>36.781841469831576</v>
      </c>
      <c r="L92">
        <f t="shared" ca="1" si="31"/>
        <v>36.452624413881786</v>
      </c>
      <c r="M92">
        <f t="shared" ca="1" si="31"/>
        <v>36.34288539523186</v>
      </c>
      <c r="N92">
        <f t="shared" ca="1" si="31"/>
        <v>36.452624413881786</v>
      </c>
      <c r="O92">
        <f t="shared" ca="1" si="31"/>
        <v>36.781841469831576</v>
      </c>
      <c r="P92">
        <f t="shared" ca="1" si="31"/>
        <v>37.330536563081225</v>
      </c>
      <c r="Q92">
        <f t="shared" ca="1" si="31"/>
        <v>38.098709693630738</v>
      </c>
      <c r="R92">
        <f t="shared" ca="1" si="31"/>
        <v>39.086360861480109</v>
      </c>
      <c r="S92">
        <f t="shared" ca="1" si="31"/>
        <v>40.293490066629339</v>
      </c>
      <c r="T92">
        <f t="shared" ca="1" si="31"/>
        <v>41.720097309078426</v>
      </c>
      <c r="U92">
        <f t="shared" ca="1" si="31"/>
        <v>43.366182588827385</v>
      </c>
      <c r="V92">
        <f t="shared" ca="1" si="31"/>
        <v>45.231745905876188</v>
      </c>
      <c r="W92">
        <f t="shared" ca="1" si="31"/>
        <v>47.316787260224856</v>
      </c>
    </row>
    <row r="93" spans="2:23" x14ac:dyDescent="0.25">
      <c r="B93" t="s">
        <v>851</v>
      </c>
      <c r="C93">
        <f t="shared" ref="C93:W93" ca="1" si="32">100-(C91*100)/$C$30</f>
        <v>25.676590691525305</v>
      </c>
      <c r="D93">
        <f t="shared" ca="1" si="32"/>
        <v>24.237797903619992</v>
      </c>
      <c r="E93">
        <f t="shared" ca="1" si="32"/>
        <v>22.952091754484144</v>
      </c>
      <c r="F93">
        <f t="shared" ca="1" si="32"/>
        <v>21.818926358700139</v>
      </c>
      <c r="G93">
        <f t="shared" ca="1" si="32"/>
        <v>20.837820620293996</v>
      </c>
      <c r="H93">
        <f t="shared" ca="1" si="32"/>
        <v>20.008358019012732</v>
      </c>
      <c r="I93">
        <f t="shared" ca="1" si="32"/>
        <v>19.330186425673233</v>
      </c>
      <c r="J93">
        <f t="shared" ca="1" si="32"/>
        <v>18.803017946335046</v>
      </c>
      <c r="K93">
        <f t="shared" ca="1" si="32"/>
        <v>18.426628795088988</v>
      </c>
      <c r="L93">
        <f t="shared" ca="1" si="32"/>
        <v>18.200859195291017</v>
      </c>
      <c r="M93">
        <f t="shared" ca="1" si="32"/>
        <v>18.125613309109468</v>
      </c>
      <c r="N93">
        <f t="shared" ca="1" si="32"/>
        <v>18.200859195291017</v>
      </c>
      <c r="O93">
        <f t="shared" ca="1" si="32"/>
        <v>18.426628795088988</v>
      </c>
      <c r="P93">
        <f t="shared" ca="1" si="32"/>
        <v>18.803017946335046</v>
      </c>
      <c r="Q93">
        <f t="shared" ca="1" si="32"/>
        <v>19.330186425673233</v>
      </c>
      <c r="R93">
        <f t="shared" ca="1" si="32"/>
        <v>20.008358019012718</v>
      </c>
      <c r="S93">
        <f t="shared" ca="1" si="32"/>
        <v>20.837820620293996</v>
      </c>
      <c r="T93">
        <f t="shared" ca="1" si="32"/>
        <v>21.818926358700139</v>
      </c>
      <c r="U93">
        <f t="shared" ca="1" si="32"/>
        <v>22.952091754484144</v>
      </c>
      <c r="V93">
        <f t="shared" ca="1" si="32"/>
        <v>24.237797903619992</v>
      </c>
      <c r="W93">
        <f t="shared" ca="1" si="32"/>
        <v>25.676590691525305</v>
      </c>
    </row>
    <row r="94" spans="2:23" x14ac:dyDescent="0.25">
      <c r="B94" t="s">
        <v>1723</v>
      </c>
      <c r="C94">
        <f t="shared" ref="C94:W94" ca="1" si="33">100-(C92*100)/$C$33</f>
        <v>5.366425479550287</v>
      </c>
      <c r="D94">
        <f t="shared" ca="1" si="33"/>
        <v>9.5365081882476233</v>
      </c>
      <c r="E94">
        <f t="shared" ca="1" si="33"/>
        <v>13.267634822345244</v>
      </c>
      <c r="F94">
        <f t="shared" ca="1" si="33"/>
        <v>16.559805381843148</v>
      </c>
      <c r="G94">
        <f t="shared" ca="1" si="33"/>
        <v>19.413019866741323</v>
      </c>
      <c r="H94">
        <f t="shared" ca="1" si="33"/>
        <v>21.827278277039781</v>
      </c>
      <c r="I94">
        <f t="shared" ca="1" si="33"/>
        <v>23.802580612738524</v>
      </c>
      <c r="J94">
        <f t="shared" ca="1" si="33"/>
        <v>25.338926873837551</v>
      </c>
      <c r="K94">
        <f t="shared" ca="1" si="33"/>
        <v>26.436317060336847</v>
      </c>
      <c r="L94">
        <f t="shared" ca="1" si="33"/>
        <v>27.094751172236428</v>
      </c>
      <c r="M94">
        <f t="shared" ca="1" si="33"/>
        <v>27.314229209536279</v>
      </c>
      <c r="N94">
        <f t="shared" ca="1" si="33"/>
        <v>27.094751172236428</v>
      </c>
      <c r="O94">
        <f t="shared" ca="1" si="33"/>
        <v>26.436317060336847</v>
      </c>
      <c r="P94">
        <f t="shared" ca="1" si="33"/>
        <v>25.338926873837551</v>
      </c>
      <c r="Q94">
        <f t="shared" ca="1" si="33"/>
        <v>23.802580612738524</v>
      </c>
      <c r="R94">
        <f t="shared" ca="1" si="33"/>
        <v>21.827278277039781</v>
      </c>
      <c r="S94">
        <f t="shared" ca="1" si="33"/>
        <v>19.413019866741323</v>
      </c>
      <c r="T94">
        <f t="shared" ca="1" si="33"/>
        <v>16.559805381843148</v>
      </c>
      <c r="U94">
        <f t="shared" ca="1" si="33"/>
        <v>13.267634822345229</v>
      </c>
      <c r="V94">
        <f t="shared" ca="1" si="33"/>
        <v>9.5365081882476233</v>
      </c>
      <c r="W94">
        <f t="shared" ca="1" si="33"/>
        <v>5.366425479550287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858.57272717328476</v>
      </c>
      <c r="D97">
        <f t="shared" ca="1" si="34"/>
        <v>875.19344276266327</v>
      </c>
      <c r="E97">
        <f t="shared" ca="1" si="34"/>
        <v>890.04572477014574</v>
      </c>
      <c r="F97">
        <f t="shared" ca="1" si="34"/>
        <v>903.1358791811025</v>
      </c>
      <c r="G97">
        <f t="shared" ca="1" si="34"/>
        <v>914.46946354309819</v>
      </c>
      <c r="H97">
        <f t="shared" ca="1" si="34"/>
        <v>924.05128943478394</v>
      </c>
      <c r="I97">
        <f t="shared" ca="1" si="34"/>
        <v>931.88542459895962</v>
      </c>
      <c r="J97">
        <f t="shared" ca="1" si="34"/>
        <v>937.97519474266539</v>
      </c>
      <c r="K97">
        <f t="shared" ca="1" si="34"/>
        <v>942.32318500670885</v>
      </c>
      <c r="L97">
        <f t="shared" ca="1" si="34"/>
        <v>944.93124110659585</v>
      </c>
      <c r="M97">
        <f t="shared" ca="1" si="34"/>
        <v>945.80047014639047</v>
      </c>
      <c r="N97">
        <f t="shared" ca="1" si="34"/>
        <v>944.93124110659585</v>
      </c>
      <c r="O97">
        <f t="shared" ca="1" si="34"/>
        <v>942.32318500670885</v>
      </c>
      <c r="P97">
        <f t="shared" ca="1" si="34"/>
        <v>937.97519474266539</v>
      </c>
      <c r="Q97">
        <f t="shared" ca="1" si="34"/>
        <v>931.88542459895962</v>
      </c>
      <c r="R97">
        <f t="shared" ca="1" si="34"/>
        <v>924.05128943478417</v>
      </c>
      <c r="S97">
        <f t="shared" ca="1" si="34"/>
        <v>914.46946354309819</v>
      </c>
      <c r="T97">
        <f t="shared" ca="1" si="34"/>
        <v>903.1358791811025</v>
      </c>
      <c r="U97">
        <f t="shared" ca="1" si="34"/>
        <v>890.04572477014574</v>
      </c>
      <c r="V97">
        <f t="shared" ca="1" si="34"/>
        <v>875.19344276266327</v>
      </c>
      <c r="W97">
        <f t="shared" ca="1" si="34"/>
        <v>858.57272717328476</v>
      </c>
    </row>
    <row r="98" spans="2:23" x14ac:dyDescent="0.25">
      <c r="B98" t="s">
        <v>854</v>
      </c>
      <c r="C98">
        <f t="shared" ref="C98:W98" ca="1" si="35">$C$23*C91*$C$25/100-$C$24*C92*$C$26/100</f>
        <v>100.2023374430362</v>
      </c>
      <c r="D98">
        <f t="shared" ca="1" si="35"/>
        <v>102.14210852977315</v>
      </c>
      <c r="E98">
        <f t="shared" ca="1" si="35"/>
        <v>103.87548920494632</v>
      </c>
      <c r="F98">
        <f t="shared" ca="1" si="35"/>
        <v>105.40321542772837</v>
      </c>
      <c r="G98">
        <f t="shared" ca="1" si="35"/>
        <v>106.72593580858508</v>
      </c>
      <c r="H98">
        <f t="shared" ca="1" si="35"/>
        <v>107.84421189741468</v>
      </c>
      <c r="I98">
        <f t="shared" ca="1" si="35"/>
        <v>108.75851843249362</v>
      </c>
      <c r="J98">
        <f t="shared" ca="1" si="35"/>
        <v>109.46924355056154</v>
      </c>
      <c r="K98">
        <f t="shared" ca="1" si="35"/>
        <v>109.97668895832697</v>
      </c>
      <c r="L98">
        <f t="shared" ca="1" si="35"/>
        <v>110.28107006562308</v>
      </c>
      <c r="M98">
        <f t="shared" ca="1" si="35"/>
        <v>110.38251608039174</v>
      </c>
      <c r="N98">
        <f t="shared" ca="1" si="35"/>
        <v>110.28107006562308</v>
      </c>
      <c r="O98">
        <f t="shared" ca="1" si="35"/>
        <v>109.97668895832697</v>
      </c>
      <c r="P98">
        <f t="shared" ca="1" si="35"/>
        <v>109.46924355056154</v>
      </c>
      <c r="Q98">
        <f t="shared" ca="1" si="35"/>
        <v>108.75851843249362</v>
      </c>
      <c r="R98">
        <f t="shared" ca="1" si="35"/>
        <v>107.84421189741471</v>
      </c>
      <c r="S98">
        <f t="shared" ca="1" si="35"/>
        <v>106.72593580858508</v>
      </c>
      <c r="T98">
        <f t="shared" ca="1" si="35"/>
        <v>105.40321542772837</v>
      </c>
      <c r="U98">
        <f t="shared" ca="1" si="35"/>
        <v>103.87548920494632</v>
      </c>
      <c r="V98">
        <f t="shared" ca="1" si="35"/>
        <v>102.14210852977315</v>
      </c>
      <c r="W98">
        <f t="shared" ca="1" si="35"/>
        <v>100.2023374430362</v>
      </c>
    </row>
    <row r="99" spans="2:23" x14ac:dyDescent="0.25">
      <c r="B99" t="s">
        <v>855</v>
      </c>
      <c r="C99">
        <f t="shared" ref="C99:W99" ca="1" si="36">$C$23*C59+$C$24*C60</f>
        <v>1057.6971938844931</v>
      </c>
      <c r="D99">
        <f t="shared" ca="1" si="36"/>
        <v>1061.9328972084315</v>
      </c>
      <c r="E99">
        <f t="shared" ca="1" si="36"/>
        <v>1065.7227370245869</v>
      </c>
      <c r="F99">
        <f t="shared" ca="1" si="36"/>
        <v>1069.0667133329591</v>
      </c>
      <c r="G99">
        <f t="shared" ca="1" si="36"/>
        <v>1071.9648261335485</v>
      </c>
      <c r="H99">
        <f t="shared" ca="1" si="36"/>
        <v>1074.417075426355</v>
      </c>
      <c r="I99">
        <f t="shared" ca="1" si="36"/>
        <v>1076.4234612113783</v>
      </c>
      <c r="J99">
        <f t="shared" ca="1" si="36"/>
        <v>1077.9839834886186</v>
      </c>
      <c r="K99">
        <f t="shared" ca="1" si="36"/>
        <v>1079.0986422580761</v>
      </c>
      <c r="L99">
        <f t="shared" ca="1" si="36"/>
        <v>1079.7674375197505</v>
      </c>
      <c r="M99">
        <f t="shared" ca="1" si="36"/>
        <v>1079.990369273642</v>
      </c>
      <c r="N99">
        <f t="shared" ca="1" si="36"/>
        <v>1079.7674375197505</v>
      </c>
      <c r="O99">
        <f t="shared" ca="1" si="36"/>
        <v>1079.0986422580761</v>
      </c>
      <c r="P99">
        <f t="shared" ca="1" si="36"/>
        <v>1077.9839834886186</v>
      </c>
      <c r="Q99">
        <f t="shared" ca="1" si="36"/>
        <v>1076.4234612113783</v>
      </c>
      <c r="R99">
        <f t="shared" ca="1" si="36"/>
        <v>1074.417075426355</v>
      </c>
      <c r="S99">
        <f t="shared" ca="1" si="36"/>
        <v>1071.9648261335485</v>
      </c>
      <c r="T99">
        <f t="shared" ca="1" si="36"/>
        <v>1069.0667133329591</v>
      </c>
      <c r="U99">
        <f t="shared" ca="1" si="36"/>
        <v>1065.7227370245869</v>
      </c>
      <c r="V99">
        <f t="shared" ca="1" si="36"/>
        <v>1061.9328972084315</v>
      </c>
      <c r="W99">
        <f t="shared" ca="1" si="36"/>
        <v>1057.6971938844931</v>
      </c>
    </row>
    <row r="100" spans="2:23" x14ac:dyDescent="0.25">
      <c r="B100" t="s">
        <v>856</v>
      </c>
      <c r="C100">
        <f t="shared" ref="C100:W100" ca="1" si="37">$C$23*C59*$C$25/100-$C$24*C60*$C$26/100</f>
        <v>123.44176303281979</v>
      </c>
      <c r="D100">
        <f t="shared" ca="1" si="37"/>
        <v>123.93610365224667</v>
      </c>
      <c r="E100">
        <f t="shared" ca="1" si="37"/>
        <v>124.37840841699703</v>
      </c>
      <c r="F100">
        <f t="shared" ca="1" si="37"/>
        <v>124.76867732707086</v>
      </c>
      <c r="G100">
        <f t="shared" ca="1" si="37"/>
        <v>125.1069103824682</v>
      </c>
      <c r="H100">
        <f t="shared" ca="1" si="37"/>
        <v>125.39310758318904</v>
      </c>
      <c r="I100">
        <f t="shared" ca="1" si="37"/>
        <v>125.62726892923331</v>
      </c>
      <c r="J100">
        <f t="shared" ca="1" si="37"/>
        <v>125.80939442060109</v>
      </c>
      <c r="K100">
        <f t="shared" ca="1" si="37"/>
        <v>125.93948405729238</v>
      </c>
      <c r="L100">
        <f t="shared" ca="1" si="37"/>
        <v>126.01753783930715</v>
      </c>
      <c r="M100">
        <f t="shared" ca="1" si="37"/>
        <v>126.0435557666454</v>
      </c>
      <c r="N100">
        <f t="shared" ca="1" si="37"/>
        <v>126.01753783930715</v>
      </c>
      <c r="O100">
        <f t="shared" ca="1" si="37"/>
        <v>125.93948405729238</v>
      </c>
      <c r="P100">
        <f t="shared" ca="1" si="37"/>
        <v>125.80939442060109</v>
      </c>
      <c r="Q100">
        <f t="shared" ca="1" si="37"/>
        <v>125.62726892923331</v>
      </c>
      <c r="R100">
        <f t="shared" ca="1" si="37"/>
        <v>125.39310758318904</v>
      </c>
      <c r="S100">
        <f t="shared" ca="1" si="37"/>
        <v>125.1069103824682</v>
      </c>
      <c r="T100">
        <f t="shared" ca="1" si="37"/>
        <v>124.76867732707086</v>
      </c>
      <c r="U100">
        <f t="shared" ca="1" si="37"/>
        <v>124.37840841699703</v>
      </c>
      <c r="V100">
        <f t="shared" ca="1" si="37"/>
        <v>123.93610365224667</v>
      </c>
      <c r="W100">
        <f t="shared" ca="1" si="37"/>
        <v>123.44176303281979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1724</v>
      </c>
      <c r="C104">
        <f ca="1">M91</f>
        <v>95.825782183018291</v>
      </c>
      <c r="D104">
        <f ca="1">Geometria!$J$237</f>
        <v>95.825782183018291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36.34288539523186</v>
      </c>
      <c r="D105">
        <f ca="1">Geometria!$J$238</f>
        <v>36.34288539523186</v>
      </c>
      <c r="E105">
        <f t="shared" ca="1" si="38"/>
        <v>0</v>
      </c>
    </row>
    <row r="106" spans="2:23" x14ac:dyDescent="0.25">
      <c r="B106" t="s">
        <v>1725</v>
      </c>
      <c r="C106">
        <f ca="1">M97</f>
        <v>945.80047014639047</v>
      </c>
      <c r="D106">
        <f ca="1">Geometria!$J$242</f>
        <v>945.80047014639047</v>
      </c>
      <c r="E106">
        <f t="shared" ca="1" si="38"/>
        <v>0</v>
      </c>
    </row>
    <row r="107" spans="2:23" x14ac:dyDescent="0.25">
      <c r="B107" t="s">
        <v>1726</v>
      </c>
      <c r="C107">
        <f ca="1">M98</f>
        <v>110.38251608039174</v>
      </c>
      <c r="D107">
        <f ca="1">Geometria!$J$243</f>
        <v>110.38251608039174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1079.990369273642</v>
      </c>
      <c r="D108">
        <f ca="1">Geometria!$M$166</f>
        <v>1079.990369273642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126.0435557666454</v>
      </c>
      <c r="D109">
        <f ca="1">Geometria!$M$167</f>
        <v>126.0435557666454</v>
      </c>
      <c r="E109">
        <f t="shared" ca="1" si="38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11.670803680538116</v>
      </c>
    </row>
    <row r="15" spans="2:3" x14ac:dyDescent="0.25">
      <c r="B15" t="s">
        <v>878</v>
      </c>
      <c r="C15">
        <f>Geometria!$H$166-$C$7*(VLOOKUP(Geometria!$K$124,Geometria!$K$110:$M$113,3))</f>
        <v>9.8699999999999992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132.66008104302264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9514.8974764231334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1567.7444558710904</v>
      </c>
    </row>
    <row r="20" spans="2:3" x14ac:dyDescent="0.25">
      <c r="B20" t="s">
        <v>882</v>
      </c>
      <c r="C20">
        <f ca="1">Geometria!$H$185*C18/10000</f>
        <v>5.7439686325033117</v>
      </c>
    </row>
    <row r="21" spans="2:3" x14ac:dyDescent="0.25">
      <c r="B21" t="s">
        <v>883</v>
      </c>
      <c r="C21">
        <f ca="1">Geometria!$H$185*C19/10000</f>
        <v>0.94641849800463929</v>
      </c>
    </row>
    <row r="22" spans="2:3" x14ac:dyDescent="0.25">
      <c r="B22" t="s">
        <v>884</v>
      </c>
      <c r="C22">
        <f ca="1">Geometria!$I$105-Geometria!$H$151-Geometria!$H$161-C20</f>
        <v>109.42151664373274</v>
      </c>
    </row>
    <row r="23" spans="2:3" x14ac:dyDescent="0.25">
      <c r="B23" t="s">
        <v>1727</v>
      </c>
      <c r="C23">
        <f ca="1">(Geometria!$L$105-Geometria!$H$151-Geometria!$H$190-C21)</f>
        <v>48.13050457891844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1079.990369273642</v>
      </c>
    </row>
    <row r="27" spans="2:3" x14ac:dyDescent="0.25">
      <c r="B27" t="s">
        <v>887</v>
      </c>
      <c r="C27">
        <f ca="1">C15*C22*C14/100-Geometria!$H$168*C23*Geometria!$H$169/100</f>
        <v>126.0435557666454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18539.983169238909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3501.2805023281639</v>
      </c>
    </row>
    <row r="33" spans="2:3" x14ac:dyDescent="0.25">
      <c r="B33" t="s">
        <v>892</v>
      </c>
      <c r="C33">
        <f ca="1">Geometria!$M$172</f>
        <v>3336.2080311078221</v>
      </c>
    </row>
    <row r="34" spans="2:3" x14ac:dyDescent="0.25">
      <c r="B34" t="s">
        <v>893</v>
      </c>
      <c r="C34">
        <f ca="1">Geometria!$M$173</f>
        <v>1565.9495132919328</v>
      </c>
    </row>
    <row r="35" spans="2:3" x14ac:dyDescent="0.25">
      <c r="B35" t="s">
        <v>894</v>
      </c>
      <c r="C35">
        <f ca="1">Geometria!$M$176*(C31-C32-C33-C34)/100^2</f>
        <v>5.1197284242363885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3632.4311894674984</v>
      </c>
    </row>
    <row r="37" spans="2:3" x14ac:dyDescent="0.25">
      <c r="B37" t="s">
        <v>896</v>
      </c>
      <c r="C37">
        <f ca="1">Geometria!$M$183</f>
        <v>4598.8106439656813</v>
      </c>
    </row>
    <row r="38" spans="2:3" x14ac:dyDescent="0.25">
      <c r="B38" t="s">
        <v>897</v>
      </c>
      <c r="C38">
        <f ca="1">Geometria!$M$184</f>
        <v>2537.6199465418217</v>
      </c>
    </row>
    <row r="39" spans="2:3" x14ac:dyDescent="0.25">
      <c r="B39" t="s">
        <v>898</v>
      </c>
      <c r="C39">
        <f ca="1">Geometria!$M$185</f>
        <v>1191.1081932404347</v>
      </c>
    </row>
    <row r="40" spans="2:3" x14ac:dyDescent="0.25">
      <c r="B40" t="s">
        <v>899</v>
      </c>
      <c r="C40">
        <f ca="1">Geometria!$M$176*(C36+C37+C38+C39)/100^2</f>
        <v>6.0406970506058029</v>
      </c>
    </row>
    <row r="41" spans="2:3" x14ac:dyDescent="0.25">
      <c r="B41" t="s">
        <v>900</v>
      </c>
      <c r="C41">
        <f ca="1">C22/190</f>
        <v>0.57590271917754077</v>
      </c>
    </row>
    <row r="42" spans="2:3" x14ac:dyDescent="0.25">
      <c r="B42" t="s">
        <v>901</v>
      </c>
      <c r="C42">
        <f ca="1">C23/190</f>
        <v>0.25331844515220231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2.4668383732700754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2.4977746563217648E-2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1.0249777465632177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2.7331029112900582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2.1804287676078835</v>
      </c>
    </row>
    <row r="52" spans="2:3" x14ac:dyDescent="0.25">
      <c r="B52" t="s">
        <v>911</v>
      </c>
      <c r="C52">
        <f ca="1">(C15+Geometria!$H$168)/Geometria!$H$36</f>
        <v>5.2791205354891972E-3</v>
      </c>
    </row>
    <row r="53" spans="2:3" x14ac:dyDescent="0.25">
      <c r="B53" t="s">
        <v>912</v>
      </c>
      <c r="C53">
        <f ca="1">(Geometria!$H$213-C35-C49)/(C47+Geometria!$L$216*Geometria!$M$176*C51*C52)</f>
        <v>-13.595734460714453</v>
      </c>
    </row>
    <row r="54" spans="2:3" x14ac:dyDescent="0.25">
      <c r="B54" t="s">
        <v>913</v>
      </c>
      <c r="C54">
        <f ca="1">(Geometria!$H$213-C40-C50)/(C48+Geometria!$L$216*Geometria!$M$176*Geometria!$L$218*C52)</f>
        <v>-11.787619183686584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95.825782183018291</v>
      </c>
    </row>
    <row r="57" spans="2:3" x14ac:dyDescent="0.25">
      <c r="B57" t="s">
        <v>916</v>
      </c>
      <c r="C57">
        <f ca="1">C23-ABS(C54)</f>
        <v>36.34288539523186</v>
      </c>
    </row>
    <row r="58" spans="2:3" x14ac:dyDescent="0.25">
      <c r="B58" t="s">
        <v>917</v>
      </c>
      <c r="C58">
        <f ca="1">C15*C56+Geometria!$H$168*C57</f>
        <v>945.80047014639047</v>
      </c>
    </row>
    <row r="59" spans="2:3" x14ac:dyDescent="0.25">
      <c r="B59" t="s">
        <v>918</v>
      </c>
      <c r="C59">
        <f ca="1">C15*C56*C14/100-Geometria!$H$168*C57*Geometria!$H$169/100</f>
        <v>110.38251608039174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5" t="s">
        <v>1009</v>
      </c>
      <c r="E2" s="906"/>
      <c r="F2" s="906"/>
      <c r="G2" s="906"/>
      <c r="H2" s="906"/>
      <c r="I2" s="906"/>
      <c r="J2" s="906"/>
      <c r="K2" s="906"/>
      <c r="L2" s="906"/>
      <c r="M2" s="907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5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08" t="s">
        <v>971</v>
      </c>
      <c r="AE8" s="909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0" t="s">
        <v>975</v>
      </c>
      <c r="AE9" s="911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2" t="s">
        <v>988</v>
      </c>
      <c r="AM13" s="913"/>
      <c r="AN13" s="913"/>
      <c r="AO13" s="913"/>
      <c r="AP13" s="913"/>
      <c r="AQ13" s="913"/>
      <c r="AR13" s="914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5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2.75</v>
      </c>
      <c r="H18" s="330" t="s">
        <v>80</v>
      </c>
      <c r="I18" s="420" t="s">
        <v>609</v>
      </c>
      <c r="J18" s="451">
        <f>J15-G18</f>
        <v>32.25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8.6752500000000001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18.20564516129032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0.19625000000000001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5" t="s">
        <v>1009</v>
      </c>
      <c r="E2" s="906"/>
      <c r="F2" s="906"/>
      <c r="G2" s="906"/>
      <c r="H2" s="906"/>
      <c r="I2" s="906"/>
      <c r="J2" s="906"/>
      <c r="K2" s="906"/>
      <c r="L2" s="906"/>
      <c r="M2" s="907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-5.6843418860808015E-14</v>
      </c>
      <c r="I4" s="330" t="s">
        <v>967</v>
      </c>
      <c r="J4" s="420" t="s">
        <v>968</v>
      </c>
      <c r="K4" s="421">
        <f>Geometria!H1229</f>
        <v>5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08" t="s">
        <v>971</v>
      </c>
      <c r="AE8" s="909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0" t="s">
        <v>975</v>
      </c>
      <c r="AE9" s="911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2" t="s">
        <v>988</v>
      </c>
      <c r="AM13" s="913"/>
      <c r="AN13" s="913"/>
      <c r="AO13" s="913"/>
      <c r="AP13" s="913"/>
      <c r="AQ13" s="913"/>
      <c r="AR13" s="914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5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2.75</v>
      </c>
      <c r="H18" s="330" t="s">
        <v>80</v>
      </c>
      <c r="I18" s="420" t="s">
        <v>609</v>
      </c>
      <c r="J18" s="451">
        <f>J15-G18</f>
        <v>32.25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-5.6843418860808015E-14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-7.9580786405131216E-14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-5.6755289529240868E-15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8.6752500000000001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18.20564516129032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0.19625000000000001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IF(Geometria!H1228&gt;0,G15/K37,0)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1" t="s">
        <v>1728</v>
      </c>
    </row>
    <row r="2" spans="2:20" ht="32.1" customHeight="1" x14ac:dyDescent="0.25">
      <c r="B2" s="628" t="s">
        <v>1729</v>
      </c>
      <c r="C2" s="812"/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</row>
    <row r="3" spans="2:20" ht="32.1" customHeight="1" x14ac:dyDescent="0.25">
      <c r="B3" s="628" t="s">
        <v>1730</v>
      </c>
      <c r="C3" s="812"/>
      <c r="D3" s="812"/>
      <c r="E3" s="812"/>
      <c r="F3" s="812"/>
      <c r="G3" s="812"/>
      <c r="H3" s="812"/>
      <c r="I3" s="812"/>
      <c r="J3" s="812"/>
      <c r="K3" s="812"/>
      <c r="L3" s="812"/>
      <c r="M3" s="812"/>
      <c r="N3" s="812"/>
      <c r="O3" s="812"/>
      <c r="P3" s="812"/>
      <c r="Q3" s="812"/>
      <c r="R3" s="812"/>
      <c r="S3" s="812"/>
      <c r="T3" s="812"/>
    </row>
    <row r="4" spans="2:20" ht="32.1" customHeight="1" x14ac:dyDescent="0.25">
      <c r="B4" s="628" t="s">
        <v>1731</v>
      </c>
      <c r="C4" s="812"/>
      <c r="D4" s="812"/>
      <c r="E4" s="812"/>
      <c r="F4" s="812"/>
      <c r="G4" s="812"/>
      <c r="H4" s="812"/>
      <c r="I4" s="812"/>
      <c r="J4" s="812"/>
      <c r="K4" s="812"/>
      <c r="L4" s="812"/>
      <c r="M4" s="812"/>
      <c r="N4" s="812"/>
      <c r="O4" s="812"/>
      <c r="P4" s="812"/>
      <c r="Q4" s="812"/>
      <c r="R4" s="812"/>
      <c r="S4" s="812"/>
      <c r="T4" s="812"/>
    </row>
    <row r="5" spans="2:20" ht="45" customHeight="1" x14ac:dyDescent="0.25">
      <c r="B5" s="618" t="s">
        <v>1732</v>
      </c>
      <c r="C5" s="618" t="s">
        <v>250</v>
      </c>
      <c r="D5" s="618" t="s">
        <v>1733</v>
      </c>
      <c r="E5" s="618" t="s">
        <v>1734</v>
      </c>
      <c r="F5" s="618" t="s">
        <v>1735</v>
      </c>
      <c r="G5" s="618" t="s">
        <v>1736</v>
      </c>
      <c r="H5" s="618" t="s">
        <v>1737</v>
      </c>
      <c r="I5" s="618" t="s">
        <v>1738</v>
      </c>
      <c r="J5" s="618" t="s">
        <v>1739</v>
      </c>
      <c r="K5" s="618" t="s">
        <v>1740</v>
      </c>
      <c r="L5" s="618" t="s">
        <v>1741</v>
      </c>
      <c r="M5" s="618" t="s">
        <v>1742</v>
      </c>
      <c r="N5" s="618" t="s">
        <v>1743</v>
      </c>
      <c r="O5" s="618" t="s">
        <v>1744</v>
      </c>
      <c r="P5" s="618" t="s">
        <v>314</v>
      </c>
      <c r="Q5" s="618" t="s">
        <v>1745</v>
      </c>
      <c r="R5" s="618" t="s">
        <v>1746</v>
      </c>
      <c r="S5" s="618" t="s">
        <v>1463</v>
      </c>
      <c r="T5" s="618" t="s">
        <v>1747</v>
      </c>
    </row>
    <row r="6" spans="2:20" x14ac:dyDescent="0.25">
      <c r="B6" s="620">
        <v>1</v>
      </c>
      <c r="C6" s="620" t="s">
        <v>251</v>
      </c>
      <c r="D6" s="620" t="s">
        <v>260</v>
      </c>
      <c r="E6" s="619">
        <f>Geometria!$I$201</f>
        <v>1</v>
      </c>
      <c r="F6" s="623">
        <f>EXP(Fluência!$B$17*(1-(28/E6)^(1/2)))</f>
        <v>0.42388184737889384</v>
      </c>
      <c r="G6" s="619">
        <f>MAX(Geometria!$H$60,MIN(Geometria!$H$58,F6*Geometria!$H$58))</f>
        <v>35</v>
      </c>
      <c r="H6" s="623">
        <f t="shared" ref="H6:H12" si="0">IF(G6&lt;=50,0.3*G6^(2/3),2.12*LN(1+0.11*G6))</f>
        <v>3.2099624416952368</v>
      </c>
      <c r="I6" s="619">
        <f ca="1">Geometria!$I$194</f>
        <v>109.42151664373274</v>
      </c>
      <c r="J6" s="619">
        <f ca="1">Geometria!$I$195</f>
        <v>48.13050457891844</v>
      </c>
      <c r="K6" s="619">
        <f ca="1">Geometria!$H$166*I6+Geometria!$H$168*J6</f>
        <v>1079.990369273642</v>
      </c>
      <c r="L6" s="619">
        <f ca="1">Geometria!$H$166*I6*Geometria!$H$167-Geometria!$H$168*J6*Geometria!$H$169</f>
        <v>12604.35557666454</v>
      </c>
      <c r="M6" s="619">
        <f ca="1">Geometria!$H$36</f>
        <v>1869.6295971361794</v>
      </c>
      <c r="N6" s="619">
        <f ca="1">Geometria!$H$41</f>
        <v>14704.945234132105</v>
      </c>
      <c r="O6" s="619">
        <f ca="1">IF(D6="Composta",Geometria!$I$41,Geometria!$H$41)</f>
        <v>14704.945234132105</v>
      </c>
      <c r="P6" s="619">
        <f>Geometria!$N$51</f>
        <v>1.3</v>
      </c>
      <c r="Q6" s="619">
        <f t="shared" ref="Q6:Q12" ca="1" si="1">P6*H6/10*O6+N6*K6/M6+L6</f>
        <v>27234.959856623314</v>
      </c>
      <c r="R6" s="619">
        <f>0</f>
        <v>0</v>
      </c>
      <c r="S6" s="622" t="str">
        <f ca="1">IF(Q6&gt;R6,"Estádio I","Estádio II")</f>
        <v>Estádio I</v>
      </c>
      <c r="T6" s="623">
        <f ca="1">IF(S6="Estádio I",1,1/Geometria!$H$1008)</f>
        <v>1</v>
      </c>
    </row>
    <row r="7" spans="2:20" x14ac:dyDescent="0.25">
      <c r="B7" s="620">
        <v>2</v>
      </c>
      <c r="C7" s="620" t="s">
        <v>1748</v>
      </c>
      <c r="D7" s="620" t="s">
        <v>260</v>
      </c>
      <c r="E7" s="619">
        <f>Geometria!$I$202</f>
        <v>1</v>
      </c>
      <c r="F7" s="623">
        <f>EXP(Fluência!$B$17*(1-(28/E7)^(1/2)))</f>
        <v>0.42388184737889384</v>
      </c>
      <c r="G7" s="619">
        <f>MAX(Geometria!$H$60,MIN(Geometria!$H$58,F7*Geometria!$H$58))</f>
        <v>35</v>
      </c>
      <c r="H7" s="623">
        <f t="shared" si="0"/>
        <v>3.2099624416952368</v>
      </c>
      <c r="I7" s="619">
        <f ca="1">Geometria!$I$194</f>
        <v>109.42151664373274</v>
      </c>
      <c r="J7" s="619">
        <f ca="1">Geometria!$I$195</f>
        <v>48.13050457891844</v>
      </c>
      <c r="K7" s="619">
        <f ca="1">Geometria!$H$166*I7+Geometria!$H$168*J7</f>
        <v>1079.990369273642</v>
      </c>
      <c r="L7" s="619">
        <f ca="1">Geometria!$H$166*I7*Geometria!$H$167-Geometria!$H$168*J7*Geometria!$H$169</f>
        <v>12604.35557666454</v>
      </c>
      <c r="M7" s="619">
        <f ca="1">Geometria!$H$36</f>
        <v>1869.6295971361794</v>
      </c>
      <c r="N7" s="619">
        <f ca="1">Geometria!$H$41</f>
        <v>14704.945234132105</v>
      </c>
      <c r="O7" s="619">
        <f ca="1">IF(D7="Composta",Geometria!$I$41,Geometria!$H$41)</f>
        <v>14704.945234132105</v>
      </c>
      <c r="P7" s="619">
        <f>Geometria!$N$51</f>
        <v>1.3</v>
      </c>
      <c r="Q7" s="619">
        <f t="shared" ca="1" si="1"/>
        <v>27234.959856623314</v>
      </c>
      <c r="R7" s="619">
        <f ca="1">R6+Geometria!$J$81*100</f>
        <v>6916.1338057261573</v>
      </c>
      <c r="S7" s="622" t="str">
        <f t="shared" ref="S7:S12" ca="1" si="2">IF(S6="Estádio II","Estádio II",IF(Q7&gt;R7,"Estádio I","Estádio II"))</f>
        <v>Estádio I</v>
      </c>
      <c r="T7" s="623">
        <f ca="1">IF(S7="Estádio I",1,1/Geometria!$H$1008)</f>
        <v>1</v>
      </c>
    </row>
    <row r="8" spans="2:20" x14ac:dyDescent="0.25">
      <c r="B8" s="620">
        <v>3</v>
      </c>
      <c r="C8" s="620" t="s">
        <v>1749</v>
      </c>
      <c r="D8" s="620" t="s">
        <v>260</v>
      </c>
      <c r="E8" s="619">
        <f>Geometria!$I$203</f>
        <v>15</v>
      </c>
      <c r="F8" s="623">
        <f>EXP(Fluência!$B$17*(1-(28/E8)^(1/2)))</f>
        <v>0.92936658114797221</v>
      </c>
      <c r="G8" s="619">
        <f>MAX(Geometria!$H$60,MIN(Geometria!$H$58,F8*Geometria!$H$58))</f>
        <v>46.468329057398613</v>
      </c>
      <c r="H8" s="623">
        <f t="shared" si="0"/>
        <v>3.8775668342279466</v>
      </c>
      <c r="I8" s="619">
        <f ca="1">Geometria!$I$194</f>
        <v>109.42151664373274</v>
      </c>
      <c r="J8" s="619">
        <f ca="1">Geometria!$I$195</f>
        <v>48.13050457891844</v>
      </c>
      <c r="K8" s="619">
        <f ca="1">Geometria!$H$166*I8+Geometria!$H$168*J8</f>
        <v>1079.990369273642</v>
      </c>
      <c r="L8" s="619">
        <f ca="1">Geometria!$H$166*I8*Geometria!$H$167-Geometria!$H$168*J8*Geometria!$H$169</f>
        <v>12604.35557666454</v>
      </c>
      <c r="M8" s="619">
        <f ca="1">Geometria!$H$36</f>
        <v>1869.6295971361794</v>
      </c>
      <c r="N8" s="619">
        <f ca="1">Geometria!$H$41</f>
        <v>14704.945234132105</v>
      </c>
      <c r="O8" s="619">
        <f ca="1">IF(D8="Composta",Geometria!$I$41,Geometria!$H$41)</f>
        <v>14704.945234132105</v>
      </c>
      <c r="P8" s="619">
        <f>Geometria!$N$51</f>
        <v>1.3</v>
      </c>
      <c r="Q8" s="619">
        <f t="shared" ca="1" si="1"/>
        <v>28511.18104055705</v>
      </c>
      <c r="R8" s="619">
        <f ca="1">R7+Geometria!$J$82*100</f>
        <v>7204.7490889261571</v>
      </c>
      <c r="S8" s="622" t="str">
        <f t="shared" ca="1" si="2"/>
        <v>Estádio I</v>
      </c>
      <c r="T8" s="623">
        <f ca="1">IF(S8="Estádio I",1,1/Geometria!$H$1008)</f>
        <v>1</v>
      </c>
    </row>
    <row r="9" spans="2:20" x14ac:dyDescent="0.25">
      <c r="B9" s="620">
        <v>4</v>
      </c>
      <c r="C9" s="620" t="s">
        <v>1750</v>
      </c>
      <c r="D9" s="620" t="s">
        <v>260</v>
      </c>
      <c r="E9" s="619">
        <f>Geometria!$I$204</f>
        <v>30</v>
      </c>
      <c r="F9" s="623">
        <f>EXP(Fluência!$B$17*(1-(28/E9)^(1/2)))</f>
        <v>1.0068046907979593</v>
      </c>
      <c r="G9" s="619">
        <f>MAX(Geometria!$H$60,MIN(Geometria!$H$58,F9*Geometria!$H$58))</f>
        <v>50</v>
      </c>
      <c r="H9" s="623">
        <f t="shared" si="0"/>
        <v>4.0716264248923588</v>
      </c>
      <c r="I9" s="619">
        <f ca="1">Geometria!$I$194</f>
        <v>109.42151664373274</v>
      </c>
      <c r="J9" s="619">
        <f ca="1">Geometria!$I$195</f>
        <v>48.13050457891844</v>
      </c>
      <c r="K9" s="619">
        <f ca="1">Geometria!$H$166*I9+Geometria!$H$168*J9</f>
        <v>1079.990369273642</v>
      </c>
      <c r="L9" s="619">
        <f ca="1">Geometria!$H$166*I9*Geometria!$H$167-Geometria!$H$168*J9*Geometria!$H$169</f>
        <v>12604.35557666454</v>
      </c>
      <c r="M9" s="619">
        <f ca="1">Geometria!$H$36</f>
        <v>1869.6295971361794</v>
      </c>
      <c r="N9" s="619">
        <f ca="1">Geometria!$H$41</f>
        <v>14704.945234132105</v>
      </c>
      <c r="O9" s="619">
        <f ca="1">IF(D9="Composta",Geometria!$I$41,Geometria!$H$41)</f>
        <v>14704.945234132105</v>
      </c>
      <c r="P9" s="619">
        <f>Geometria!$N$51</f>
        <v>1.3</v>
      </c>
      <c r="Q9" s="619">
        <f t="shared" ca="1" si="1"/>
        <v>28882.153675431226</v>
      </c>
      <c r="R9" s="619">
        <f ca="1">R8+Geometria!$J$83*100</f>
        <v>10441.549088926158</v>
      </c>
      <c r="S9" s="622" t="str">
        <f t="shared" ca="1" si="2"/>
        <v>Estádio I</v>
      </c>
      <c r="T9" s="623">
        <f ca="1">IF(S9="Estádio I",1,1/Geometria!$H$1008)</f>
        <v>1</v>
      </c>
    </row>
    <row r="10" spans="2:20" x14ac:dyDescent="0.25">
      <c r="B10" s="620">
        <v>5</v>
      </c>
      <c r="C10" s="620" t="s">
        <v>1751</v>
      </c>
      <c r="D10" s="620" t="str">
        <f>IF(Geometria!$I$15="1 - Sim","Composta","Pré-fabricada")</f>
        <v>Composta</v>
      </c>
      <c r="E10" s="619">
        <f>Geometria!$I$205</f>
        <v>45</v>
      </c>
      <c r="F10" s="623">
        <f>EXP(Fluência!$B$17*(1-(28/E10)^(1/2)))</f>
        <v>1.0431425841237678</v>
      </c>
      <c r="G10" s="619">
        <f>MAX(Geometria!$H$60,MIN(Geometria!$H$58,F10*Geometria!$H$58))</f>
        <v>50</v>
      </c>
      <c r="H10" s="623">
        <f t="shared" si="0"/>
        <v>4.0716264248923588</v>
      </c>
      <c r="I10" s="619">
        <f ca="1">Geometria!$I$194</f>
        <v>109.42151664373274</v>
      </c>
      <c r="J10" s="619">
        <f ca="1">Geometria!$I$195</f>
        <v>48.13050457891844</v>
      </c>
      <c r="K10" s="619">
        <f ca="1">Geometria!$H$166*I10+Geometria!$H$168*J10</f>
        <v>1079.990369273642</v>
      </c>
      <c r="L10" s="619">
        <f ca="1">Geometria!$H$166*I10*Geometria!$H$167-Geometria!$H$168*J10*Geometria!$H$169</f>
        <v>12604.35557666454</v>
      </c>
      <c r="M10" s="619">
        <f ca="1">Geometria!$H$36</f>
        <v>1869.6295971361794</v>
      </c>
      <c r="N10" s="619">
        <f ca="1">Geometria!$H$41</f>
        <v>14704.945234132105</v>
      </c>
      <c r="O10" s="619">
        <f ca="1">IF(D10="Composta",Geometria!$I$41,Geometria!$H$41)</f>
        <v>18154.825399965102</v>
      </c>
      <c r="P10" s="619">
        <f>Geometria!$N$51</f>
        <v>1.3</v>
      </c>
      <c r="Q10" s="619">
        <f t="shared" ca="1" si="1"/>
        <v>30708.214697400526</v>
      </c>
      <c r="R10" s="619">
        <f ca="1">R9+Geometria!$J$85*100</f>
        <v>10441.549088926158</v>
      </c>
      <c r="S10" s="622" t="str">
        <f t="shared" ca="1" si="2"/>
        <v>Estádio I</v>
      </c>
      <c r="T10" s="623">
        <f ca="1">IF(S10="Estádio I",1,1/Geometria!$H$1008)</f>
        <v>1</v>
      </c>
    </row>
    <row r="11" spans="2:20" x14ac:dyDescent="0.25">
      <c r="B11" s="620">
        <v>6</v>
      </c>
      <c r="C11" s="620" t="s">
        <v>1752</v>
      </c>
      <c r="D11" s="620" t="str">
        <f>IF(Geometria!$I$15="1 - Sim","Composta","Pré-fabricada")</f>
        <v>Composta</v>
      </c>
      <c r="E11" s="619">
        <f>Geometria!$I$206</f>
        <v>60</v>
      </c>
      <c r="F11" s="623">
        <f>EXP(Fluência!$B$17*(1-(28/E11)^(1/2)))</f>
        <v>1.0654252228833427</v>
      </c>
      <c r="G11" s="619">
        <f>MAX(Geometria!$H$60,MIN(Geometria!$H$58,F11*Geometria!$H$58))</f>
        <v>50</v>
      </c>
      <c r="H11" s="623">
        <f t="shared" si="0"/>
        <v>4.0716264248923588</v>
      </c>
      <c r="I11" s="619">
        <f ca="1">Geometria!$I$194</f>
        <v>109.42151664373274</v>
      </c>
      <c r="J11" s="619">
        <f ca="1">Geometria!$I$195</f>
        <v>48.13050457891844</v>
      </c>
      <c r="K11" s="619">
        <f ca="1">Geometria!$H$166*I11+Geometria!$H$168*J11</f>
        <v>1079.990369273642</v>
      </c>
      <c r="L11" s="619">
        <f ca="1">Geometria!$H$166*I11*Geometria!$H$167-Geometria!$H$168*J11*Geometria!$H$169</f>
        <v>12604.35557666454</v>
      </c>
      <c r="M11" s="619">
        <f ca="1">Geometria!$H$36</f>
        <v>1869.6295971361794</v>
      </c>
      <c r="N11" s="619">
        <f ca="1">Geometria!$H$41</f>
        <v>14704.945234132105</v>
      </c>
      <c r="O11" s="619">
        <f ca="1">IF(D11="Composta",Geometria!$I$41,Geometria!$H$41)</f>
        <v>18154.825399965102</v>
      </c>
      <c r="P11" s="619">
        <f>Geometria!$N$51</f>
        <v>1.3</v>
      </c>
      <c r="Q11" s="619">
        <f t="shared" ca="1" si="1"/>
        <v>30708.214697400526</v>
      </c>
      <c r="R11" s="619">
        <f ca="1">R10+Geometria!$J$84*100</f>
        <v>15990.349088926159</v>
      </c>
      <c r="S11" s="622" t="str">
        <f t="shared" ca="1" si="2"/>
        <v>Estádio I</v>
      </c>
      <c r="T11" s="623">
        <f ca="1">IF(S11="Estádio I",1,1/Geometria!$H$1008)</f>
        <v>1</v>
      </c>
    </row>
    <row r="12" spans="2:20" x14ac:dyDescent="0.25">
      <c r="B12" s="620">
        <v>7</v>
      </c>
      <c r="C12" s="620" t="s">
        <v>1753</v>
      </c>
      <c r="D12" s="620" t="str">
        <f>IF(Geometria!$I$15="1 - Sim","Composta","Pré-fabricada")</f>
        <v>Composta</v>
      </c>
      <c r="E12" s="619">
        <f>Geometria!$I$207</f>
        <v>75</v>
      </c>
      <c r="F12" s="623">
        <f>EXP(Fluência!$B$17*(1-(28/E12)^(1/2)))</f>
        <v>1.0809042739171246</v>
      </c>
      <c r="G12" s="619">
        <f>MAX(Geometria!$H$60,MIN(Geometria!$H$58,F12*Geometria!$H$58))</f>
        <v>50</v>
      </c>
      <c r="H12" s="623">
        <f t="shared" si="0"/>
        <v>4.0716264248923588</v>
      </c>
      <c r="I12" s="619">
        <f ca="1">Geometria!$J$237</f>
        <v>95.825782183018291</v>
      </c>
      <c r="J12" s="619">
        <f ca="1">Geometria!$J$238</f>
        <v>36.34288539523186</v>
      </c>
      <c r="K12" s="619">
        <f ca="1">Geometria!$H$166*I12+Geometria!$H$168*J12</f>
        <v>945.80047014639047</v>
      </c>
      <c r="L12" s="619">
        <f ca="1">Geometria!$H$166*I12*Geometria!$H$167-Geometria!$H$168*J12*Geometria!$H$169</f>
        <v>11038.251608039174</v>
      </c>
      <c r="M12" s="619">
        <f ca="1">Geometria!$H$36</f>
        <v>1869.6295971361794</v>
      </c>
      <c r="N12" s="619">
        <f ca="1">Geometria!$H$41</f>
        <v>14704.945234132105</v>
      </c>
      <c r="O12" s="619">
        <f ca="1">IF(D12="Composta",Geometria!$I$41,Geometria!$H$41)</f>
        <v>18154.825399965102</v>
      </c>
      <c r="P12" s="619">
        <f>Geometria!$N$51</f>
        <v>1.3</v>
      </c>
      <c r="Q12" s="619">
        <f t="shared" ca="1" si="1"/>
        <v>28086.685033406146</v>
      </c>
      <c r="R12" s="619">
        <f ca="1">R11+Geometria!$J$86*100</f>
        <v>23018.829088926163</v>
      </c>
      <c r="S12" s="622" t="str">
        <f t="shared" ca="1" si="2"/>
        <v>Estádio I</v>
      </c>
      <c r="T12" s="623">
        <f ca="1">IF(S12="Estádio I",1,1/Geometria!$H$1008)</f>
        <v>1</v>
      </c>
    </row>
    <row r="14" spans="2:20" ht="18" x14ac:dyDescent="0.3">
      <c r="B14" s="621" t="s">
        <v>1754</v>
      </c>
    </row>
    <row r="15" spans="2:20" x14ac:dyDescent="0.25">
      <c r="B15" s="628" t="s">
        <v>1755</v>
      </c>
      <c r="C15" s="812"/>
      <c r="D15" s="812"/>
      <c r="E15" s="812"/>
      <c r="F15" s="812"/>
      <c r="G15" s="812"/>
      <c r="H15" s="812"/>
      <c r="I15" s="812"/>
      <c r="J15" s="812"/>
      <c r="K15" s="812"/>
      <c r="L15" s="812"/>
      <c r="M15" s="812"/>
      <c r="N15" s="812"/>
      <c r="O15" s="812"/>
      <c r="P15" s="812"/>
      <c r="Q15" s="812"/>
      <c r="R15" s="812"/>
      <c r="S15" s="812"/>
      <c r="T15" s="812"/>
    </row>
    <row r="16" spans="2:20" x14ac:dyDescent="0.25">
      <c r="B16" s="628" t="s">
        <v>1756</v>
      </c>
      <c r="C16" s="812"/>
      <c r="D16" s="812"/>
      <c r="E16" s="812"/>
      <c r="F16" s="812"/>
      <c r="G16" s="812"/>
      <c r="H16" s="812"/>
      <c r="I16" s="812"/>
      <c r="J16" s="812"/>
      <c r="K16" s="812"/>
      <c r="L16" s="812"/>
      <c r="M16" s="812"/>
      <c r="N16" s="812"/>
      <c r="O16" s="812"/>
      <c r="P16" s="812"/>
      <c r="Q16" s="812"/>
      <c r="R16" s="812"/>
      <c r="S16" s="812"/>
      <c r="T16" s="812"/>
    </row>
    <row r="17" spans="2:20" x14ac:dyDescent="0.25">
      <c r="B17" s="628" t="s">
        <v>1757</v>
      </c>
      <c r="C17" s="812"/>
      <c r="D17" s="812"/>
      <c r="E17" s="812"/>
      <c r="F17" s="812"/>
      <c r="G17" s="812"/>
      <c r="H17" s="812"/>
      <c r="I17" s="812"/>
      <c r="J17" s="812"/>
      <c r="K17" s="812"/>
      <c r="L17" s="812"/>
      <c r="M17" s="812"/>
      <c r="N17" s="812"/>
      <c r="O17" s="812"/>
      <c r="P17" s="812"/>
      <c r="Q17" s="812"/>
      <c r="R17" s="812"/>
      <c r="S17" s="812"/>
      <c r="T17" s="812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8</vt:i4>
      </vt:variant>
    </vt:vector>
  </HeadingPairs>
  <TitlesOfParts>
    <vt:vector size="31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Deslocamento viga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2026-09-25T12:07:20Z</dcterms:modified>
</cp:coreProperties>
</file>