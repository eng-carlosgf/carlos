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Deslocamento viga" sheetId="33" r:id="rId30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9">Resumo!$H$1:$Q$210</definedName>
    <definedName name="FirstX" localSheetId="5">#REF!</definedName>
    <definedName name="FirstX" localSheetId="17">'Propriedades geométricas chavet'!$B$6</definedName>
    <definedName name="FirstX" localSheetId="13">'Propriedades geométricas LA '!$B$6</definedName>
    <definedName name="FirstX" localSheetId="12">'Propriedades geométricas VI'!$B$6</definedName>
    <definedName name="FirstX" localSheetId="16">#REF!</definedName>
    <definedName name="FirstX" localSheetId="11">#REF!</definedName>
    <definedName name="FirstX" localSheetId="15">'Valores "A" e "Y"'!$B$6</definedName>
    <definedName name="FirstX" localSheetId="14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7">OFFSET('Propriedades geométricas chavet'!FirstX,0,0,COUNT('Propriedades geométricas chavet'!$B$1:$B$65531))</definedName>
    <definedName name="X" localSheetId="13">OFFSET('Propriedades geométricas LA '!FirstX,0,0,COUNT('Propriedades geométricas LA '!$B$1:$B$65531))</definedName>
    <definedName name="X" localSheetId="12">OFFSET('Propriedades geométricas VI'!FirstX,0,0,COUNT('Propriedades geométricas VI'!$B$1:$B$65531))</definedName>
    <definedName name="X" localSheetId="16">OFFSET('Seções '!FirstX,0,0,COUNT(#REF!))</definedName>
    <definedName name="X" localSheetId="11">OFFSET('Seções Compostas'!FirstX,0,0,COUNT(#REF!))</definedName>
    <definedName name="X" localSheetId="15">OFFSET('Valores "A" e "Y"'!FirstX,0,0,COUNT('Valores "A" e "Y"'!$B$1:$B$65531))</definedName>
    <definedName name="X" localSheetId="14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7">OFFSET('Propriedades geométricas chavet'!X,0,1)</definedName>
    <definedName name="Y" localSheetId="13">OFFSET('Propriedades geométricas LA '!X,0,1)</definedName>
    <definedName name="Y" localSheetId="12">OFFSET('Propriedades geométricas VI'!X,0,1)</definedName>
    <definedName name="Y" localSheetId="16">OFFSET('Seções '!X,0,1)</definedName>
    <definedName name="Y" localSheetId="11">OFFSET('Seções Compostas'!X,0,1)</definedName>
    <definedName name="Y" localSheetId="15">OFFSET('Valores "A" e "Y"'!X,0,1)</definedName>
    <definedName name="Y" localSheetId="14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<sst xmlns="http://schemas.openxmlformats.org/spreadsheetml/2006/main" count="4752" uniqueCount="1775">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</sst>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worksheet" Target="worksheets/sheet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</v>
      </c>
      <c r="I1290" s="235" t="inlineStr">
        <is>
          <t>Majorador do módulo para avaliação de efeito dinâmico (calibrado em 1,0 com ensaios de campo - ver aba Frequência, item 9)</t>
        </is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8.97484351928673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10078.467802782858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14.586418949229744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15693.924269506913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8.260792266570299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838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30.0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5.0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125.0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50.0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C750*C748</f>
        <v>36628.13126546316</v>
      </c>
      <c r="D7" s="1" t="s">
        <v>50</v>
      </c>
      <c r="E7" s="488" t="inlineStr">
        <is>
          <t xml:space="preserve">*Módulo secante da laje × daf da laje isolada (item 8)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0.002192510094213845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473.49084484607977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35.0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849.0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</v>
      </c>
      <c r="W15" s="529">
        <f>(Geometria!H31*Geometria!H33)/100^2</f>
        <v>0.060595</v>
      </c>
    </row>
    <row r="16" spans="2:23" ht="18" x14ac:dyDescent="0.35">
      <c r="B16" s="483" t="s">
        <v>1052</v>
      </c>
      <c r="C16" s="490">
        <f>C6</f>
        <v>50.0</v>
      </c>
      <c r="D16" s="1" t="s">
        <v>50</v>
      </c>
      <c r="E16" s="488" t="inlineStr">
        <is>
          <t xml:space="preserve">*fck de referência: a seção composta é homogeneizada para o concreto da laje (item 8)</t>
        </is>
      </c>
      <c r="S16" s="489"/>
      <c r="V16" s="530">
        <f>Geometria!H58</f>
        <v>50.0</v>
      </c>
      <c r="W16" s="530">
        <f>Geometria!H59</f>
        <v>30.0</v>
      </c>
    </row>
    <row r="17" spans="2:23" ht="18" x14ac:dyDescent="0.35">
      <c r="B17" s="492" t="s">
        <v>1054</v>
      </c>
      <c r="C17" s="493">
        <f>C750*C749</f>
        <v>36628.13126546316</v>
      </c>
      <c r="D17" s="1" t="s">
        <v>50</v>
      </c>
      <c r="E17" s="488" t="inlineStr">
        <is>
          <t xml:space="preserve">*Módulo secante da laje × daf do pano pronto (item 8)</t>
        </is>
      </c>
      <c r="S17" s="489"/>
      <c r="V17" s="500"/>
    </row>
    <row r="18" spans="2:23" ht="18" customHeight="1" x14ac:dyDescent="0.35">
      <c r="B18" s="483" t="s">
        <v>1073</v>
      </c>
      <c r="C18" s="495">
        <f>C767</f>
        <v>0.2518963379384319</v>
      </c>
      <c r="D18" s="1" t="s">
        <v>631</v>
      </c>
      <c r="E18" s="488" t="inlineStr">
        <is>
          <t xml:space="preserve">*Área real de concreto: laje + capa na largura da laje (a chaveta é somada em C20)</t>
        </is>
      </c>
      <c r="S18" s="489"/>
      <c r="V18" s="531">
        <f ca="1">((V15*V16)+(W15*W16))/(V15+W15)</f>
        <v>45.15223203334162</v>
      </c>
      <c r="W18" s="532" t="s">
        <v>1179</v>
      </c>
    </row>
    <row r="19" spans="2:23" x14ac:dyDescent="0.25">
      <c r="B19" s="483" t="s">
        <v>1058</v>
      </c>
      <c r="C19" s="495">
        <f>C766</f>
        <v>0.003414118897043114</v>
      </c>
      <c r="D19" s="1" t="s">
        <v>1059</v>
      </c>
      <c r="E19" s="488" t="inlineStr">
        <is>
          <t xml:space="preserve">*Inércia da seção composta (laje + capa + chaveta) homogeneizada para o concreto da laje (item 8)</t>
        </is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649.2460948460798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8.97484351928673</v>
      </c>
      <c r="D23" s="502" t="s">
        <v>1079</v>
      </c>
      <c r="E23" s="488" t="inlineStr">
        <is>
          <t xml:space="preserve">*Frequência natural da laje isolada (montagem). Atenção: no ensaio 1 do item 9 a laje solta, sem graute nos apoios, mediu cerca de 15% abaixo deste cálculo</t>
        </is>
      </c>
      <c r="S23" s="489"/>
    </row>
    <row r="24" spans="2:23" x14ac:dyDescent="0.25">
      <c r="B24" s="482" t="s">
        <v>1081</v>
      </c>
      <c r="C24" s="1">
        <f ca="1">C7*C9*1000</f>
        <v>80307.54753171772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10078.467802782858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12782999.839642419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14.586418949229744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125052.7951167935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15693.924269506913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19905350.232410662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150000000.0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14.586418949229744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16.0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318485603.7185706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100.0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2500.0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8.260792266570299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8.97484351928673</v>
      </c>
    </row>
    <row r="56" spans="2:19" ht="15" customHeight="1" x14ac:dyDescent="0.25">
      <c r="B56" s="517" t="s">
        <v>1117</v>
      </c>
      <c r="C56" s="518">
        <f ca="1">C29</f>
        <v>14.586418949229744</v>
      </c>
    </row>
    <row r="57" spans="2:19" ht="15" customHeight="1" x14ac:dyDescent="0.25">
      <c r="B57" s="517" t="s">
        <v>1118</v>
      </c>
      <c r="C57" s="518">
        <f ca="1">C50</f>
        <v>8.260792266570299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40.43172614715871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31.946055227384665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25.87630473418158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21.385375813373205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17.96965606540387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15.31142291963407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13.202196292949786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11.50057988185848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10.107931536789678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8.953738662346568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7.986513806846166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7.1679514499117944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6.469076183545395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5.867642796866571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5.346343953343301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4.891550989448314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4.492414016350968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65.71190853139842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51.92052032110493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42.05562146009499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34.75671195049172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29.20529268062152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24.884983112482242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21.456949724538262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18.691387315597773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16.427977132849605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14.552118152282006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12.980130080276233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11.649756637145426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10.513905365023748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9.536422099794782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8.68917798762293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7.950022960320415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7.30132317015538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37.214920790850854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29.404381859437716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23.817549306144546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19.683925046400454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16.539964795933713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14.09322444150565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12.151810870481913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10.585577469397577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9.303730197712714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8.241366541918527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7.351095464859429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6.597659087574667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5.9543873265361364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5.400804831325295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4.920981261600113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4.502372269592542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4.134991198983428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0.002785563887133584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0.005571127774267168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0.008356691661400751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0.011142255548534336</v>
      </c>
      <c r="D135" s="523">
        <f t="shared" ca="1" si="7"/>
        <v>0.5877852522924731</v>
      </c>
    </row>
    <row r="136" spans="2:4" x14ac:dyDescent="0.25">
      <c r="B136" s="521">
        <v>5</v>
      </c>
      <c r="C136" s="522">
        <f t="shared" ca="1" si="6"/>
        <v>0.01392781943566792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0.016713383322801503</v>
      </c>
      <c r="D137" s="523">
        <f t="shared" ca="1" si="7"/>
        <v>0.8090169943749475</v>
      </c>
    </row>
    <row r="138" spans="2:4" x14ac:dyDescent="0.25">
      <c r="B138" s="521">
        <v>7</v>
      </c>
      <c r="C138" s="522">
        <f t="shared" ca="1" si="6"/>
        <v>0.019498947209935086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0.022284511097068672</v>
      </c>
      <c r="D139" s="523">
        <f t="shared" ca="1" si="7"/>
        <v>0.9510565162951535</v>
      </c>
    </row>
    <row r="140" spans="2:4" x14ac:dyDescent="0.25">
      <c r="B140" s="521">
        <v>9</v>
      </c>
      <c r="C140" s="522">
        <f t="shared" ca="1" si="6"/>
        <v>0.025070074984202256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0.02785563887133584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0.030641202758469425</v>
      </c>
      <c r="D142" s="523">
        <f t="shared" ca="1" si="7"/>
        <v>0.9876883405951377</v>
      </c>
    </row>
    <row r="143" spans="2:4" x14ac:dyDescent="0.25">
      <c r="B143" s="521">
        <v>12</v>
      </c>
      <c r="C143" s="522">
        <f t="shared" ca="1" si="6"/>
        <v>0.033426766645603005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0.03621233053273659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0.03899789441987017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0.04178345830700376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0.044569022194137345</v>
      </c>
      <c r="D147" s="523">
        <f t="shared" ca="1" si="7"/>
        <v>0.5877852522924732</v>
      </c>
    </row>
    <row r="148" spans="2:4" x14ac:dyDescent="0.25">
      <c r="B148" s="521">
        <v>17</v>
      </c>
      <c r="C148" s="522">
        <f t="shared" ca="1" si="6"/>
        <v>0.047354586081270925</v>
      </c>
      <c r="D148" s="523">
        <f t="shared" ca="1" si="7"/>
        <v>0.45399049973954686</v>
      </c>
    </row>
    <row r="149" spans="2:4" x14ac:dyDescent="0.25">
      <c r="B149" s="521">
        <v>18</v>
      </c>
      <c r="C149" s="522">
        <f t="shared" ca="1" si="6"/>
        <v>0.05014014996840451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0.05292571385553809</v>
      </c>
      <c r="D150" s="523">
        <f t="shared" ca="1" si="7"/>
        <v>0.15643446504023098</v>
      </c>
    </row>
    <row r="151" spans="2:4" x14ac:dyDescent="0.25">
      <c r="B151" s="521">
        <v>20</v>
      </c>
      <c r="C151" s="522">
        <f t="shared" ca="1" si="6"/>
        <v>0.05571127774267168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0.058496841629805264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0.06128240551693885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0.06406796940407243</v>
      </c>
      <c r="D154" s="523">
        <f t="shared" ca="1" si="7"/>
        <v>-0.4539904997395467</v>
      </c>
    </row>
    <row r="155" spans="2:4" x14ac:dyDescent="0.25">
      <c r="B155" s="521">
        <v>24</v>
      </c>
      <c r="C155" s="522">
        <f t="shared" ca="1" si="6"/>
        <v>0.06685353329120601</v>
      </c>
      <c r="D155" s="523">
        <f t="shared" ca="1" si="7"/>
        <v>-0.587785252292473</v>
      </c>
    </row>
    <row r="156" spans="2:4" x14ac:dyDescent="0.25">
      <c r="B156" s="521">
        <v>25</v>
      </c>
      <c r="C156" s="522">
        <f t="shared" ca="1" si="6"/>
        <v>0.0696390971783396</v>
      </c>
      <c r="D156" s="523">
        <f t="shared" ca="1" si="7"/>
        <v>-0.7071067811865477</v>
      </c>
    </row>
    <row r="157" spans="2:4" x14ac:dyDescent="0.25">
      <c r="B157" s="521">
        <v>26</v>
      </c>
      <c r="C157" s="522">
        <f t="shared" ca="1" si="6"/>
        <v>0.07242466106547318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0.07521022495260676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0.07799578883974034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0.08078135272687394</v>
      </c>
      <c r="D160" s="523">
        <f t="shared" ca="1" si="7"/>
        <v>-0.9876883405951377</v>
      </c>
    </row>
    <row r="161" spans="2:4" x14ac:dyDescent="0.25">
      <c r="B161" s="521">
        <v>30</v>
      </c>
      <c r="C161" s="522">
        <f t="shared" ca="1" si="6"/>
        <v>0.08356691661400752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0.08635248050114111</v>
      </c>
      <c r="D162" s="523">
        <f t="shared" ca="1" si="7"/>
        <v>-0.9876883405951377</v>
      </c>
    </row>
    <row r="163" spans="2:4" x14ac:dyDescent="0.25">
      <c r="B163" s="521">
        <v>32</v>
      </c>
      <c r="C163" s="522">
        <f t="shared" ca="1" si="6"/>
        <v>0.08913804438827469</v>
      </c>
      <c r="D163" s="523">
        <f t="shared" ca="1" si="7"/>
        <v>-0.9510565162951536</v>
      </c>
    </row>
    <row r="164" spans="2:4" x14ac:dyDescent="0.25">
      <c r="B164" s="521">
        <v>33</v>
      </c>
      <c r="C164" s="522">
        <f t="shared" ca="1" si="6"/>
        <v>0.09192360827540827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0.09470917216254185</v>
      </c>
      <c r="D165" s="523">
        <f t="shared" ca="1" si="7"/>
        <v>-0.8090169943749476</v>
      </c>
    </row>
    <row r="166" spans="2:4" x14ac:dyDescent="0.25">
      <c r="B166" s="521">
        <v>35</v>
      </c>
      <c r="C166" s="522">
        <f t="shared" ca="1" si="6"/>
        <v>0.09749473604967544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0.10028029993680902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0.1030658638239426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0.10585142771107618</v>
      </c>
      <c r="D169" s="523">
        <f t="shared" ca="1" si="7"/>
        <v>-0.3090169943749476</v>
      </c>
    </row>
    <row r="170" spans="2:4" x14ac:dyDescent="0.25">
      <c r="B170" s="521">
        <v>39</v>
      </c>
      <c r="C170" s="522">
        <f t="shared" ca="1" si="6"/>
        <v>0.10863699159820978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0.11142255548534336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0.11420811937247694</v>
      </c>
      <c r="D172" s="523">
        <f t="shared" ca="1" si="7"/>
        <v>0.15643446504023062</v>
      </c>
    </row>
    <row r="173" spans="2:4" x14ac:dyDescent="0.25">
      <c r="B173" s="521">
        <v>42</v>
      </c>
      <c r="C173" s="522">
        <f t="shared" ca="1" si="6"/>
        <v>0.11699368325961053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0.11977924714674411</v>
      </c>
      <c r="D174" s="523">
        <f t="shared" ca="1" si="7"/>
        <v>0.4539904997395466</v>
      </c>
    </row>
    <row r="175" spans="2:4" x14ac:dyDescent="0.25">
      <c r="B175" s="521">
        <v>44</v>
      </c>
      <c r="C175" s="522">
        <f t="shared" ca="1" si="6"/>
        <v>0.1225648110338777</v>
      </c>
      <c r="D175" s="523">
        <f t="shared" ca="1" si="7"/>
        <v>0.5877852522924736</v>
      </c>
    </row>
    <row r="176" spans="2:4" x14ac:dyDescent="0.25">
      <c r="B176" s="521">
        <v>45</v>
      </c>
      <c r="C176" s="522">
        <f t="shared" ca="1" si="6"/>
        <v>0.12535037492101128</v>
      </c>
      <c r="D176" s="523">
        <f t="shared" ca="1" si="7"/>
        <v>0.7071067811865474</v>
      </c>
    </row>
    <row r="177" spans="2:4" x14ac:dyDescent="0.25">
      <c r="B177" s="521">
        <v>46</v>
      </c>
      <c r="C177" s="522">
        <f t="shared" ca="1" si="6"/>
        <v>0.12813593880814486</v>
      </c>
      <c r="D177" s="523">
        <f t="shared" ca="1" si="7"/>
        <v>0.8090169943749472</v>
      </c>
    </row>
    <row r="178" spans="2:4" x14ac:dyDescent="0.25">
      <c r="B178" s="521">
        <v>47</v>
      </c>
      <c r="C178" s="522">
        <f t="shared" ca="1" si="6"/>
        <v>0.13092150269527844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0.13370706658241202</v>
      </c>
      <c r="D179" s="523">
        <f t="shared" ca="1" si="7"/>
        <v>0.9510565162951535</v>
      </c>
    </row>
    <row r="180" spans="2:4" x14ac:dyDescent="0.25">
      <c r="B180" s="521">
        <v>49</v>
      </c>
      <c r="C180" s="522">
        <f t="shared" ca="1" si="6"/>
        <v>0.13649263046954563</v>
      </c>
      <c r="D180" s="523">
        <f t="shared" ca="1" si="7"/>
        <v>0.9876883405951378</v>
      </c>
    </row>
    <row r="181" spans="2:4" x14ac:dyDescent="0.25">
      <c r="B181" s="521">
        <v>50</v>
      </c>
      <c r="C181" s="522">
        <f t="shared" ca="1" si="6"/>
        <v>0.1392781943566792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0.14206375824381276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0.14484932213094637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0.14763488601807995</v>
      </c>
      <c r="D184" s="523">
        <f t="shared" ca="1" si="7"/>
        <v>0.8910065241883676</v>
      </c>
    </row>
    <row r="185" spans="2:4" x14ac:dyDescent="0.25">
      <c r="B185" s="521">
        <v>54</v>
      </c>
      <c r="C185" s="522">
        <f t="shared" ca="1" si="6"/>
        <v>0.15042044990521353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0.1532060137923471</v>
      </c>
      <c r="D186" s="523">
        <f t="shared" ca="1" si="7"/>
        <v>0.7071067811865483</v>
      </c>
    </row>
    <row r="187" spans="2:4" x14ac:dyDescent="0.25">
      <c r="B187" s="521">
        <v>56</v>
      </c>
      <c r="C187" s="522">
        <f t="shared" ca="1" si="6"/>
        <v>0.1559915776794807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0.1587771415666143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0.16156270545374787</v>
      </c>
      <c r="D189" s="523">
        <f t="shared" ca="1" si="7"/>
        <v>0.3090169943749478</v>
      </c>
    </row>
    <row r="190" spans="2:4" x14ac:dyDescent="0.25">
      <c r="B190" s="521">
        <v>59</v>
      </c>
      <c r="C190" s="522">
        <f t="shared" ca="1" si="6"/>
        <v>0.16434826934088145</v>
      </c>
      <c r="D190" s="523">
        <f t="shared" ca="1" si="7"/>
        <v>0.15643446504023034</v>
      </c>
    </row>
    <row r="191" spans="2:4" x14ac:dyDescent="0.25">
      <c r="B191" s="521">
        <v>60</v>
      </c>
      <c r="C191" s="522">
        <f t="shared" ca="1" si="6"/>
        <v>0.16713383322801503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0.1699193971151486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0.17270496100228222</v>
      </c>
      <c r="D193" s="523">
        <f t="shared" ca="1" si="7"/>
        <v>-0.30901699437494873</v>
      </c>
    </row>
    <row r="194" spans="2:4" x14ac:dyDescent="0.25">
      <c r="B194" s="521">
        <v>63</v>
      </c>
      <c r="C194" s="522">
        <f t="shared" ca="1" si="6"/>
        <v>0.17549052488941577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0.17827608877654938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0.18106165266368296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0.18384721655081654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0.18663278043795012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0.1894183443250837</v>
      </c>
      <c r="D199" s="523">
        <f t="shared" ca="1" si="9"/>
        <v>-0.9510565162951534</v>
      </c>
    </row>
    <row r="200" spans="2:4" x14ac:dyDescent="0.25">
      <c r="B200" s="521">
        <v>69</v>
      </c>
      <c r="C200" s="522">
        <f t="shared" ca="1" si="8"/>
        <v>0.1922039082122173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0.19498947209935089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0.19777503598648444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0.20056059987361805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0.20334616376075162</v>
      </c>
      <c r="D204" s="523">
        <f t="shared" ca="1" si="9"/>
        <v>-0.8910065241883677</v>
      </c>
    </row>
    <row r="205" spans="2:4" x14ac:dyDescent="0.25">
      <c r="B205" s="521">
        <v>74</v>
      </c>
      <c r="C205" s="522">
        <f t="shared" ca="1" si="8"/>
        <v>0.2061317276478852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0.20891729153501878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0.21170285542215236</v>
      </c>
      <c r="D207" s="523">
        <f t="shared" ca="1" si="9"/>
        <v>-0.5877852522924735</v>
      </c>
    </row>
    <row r="208" spans="2:4" x14ac:dyDescent="0.25">
      <c r="B208" s="521">
        <v>77</v>
      </c>
      <c r="C208" s="522">
        <f t="shared" ca="1" si="8"/>
        <v>0.21448841930928597</v>
      </c>
      <c r="D208" s="523">
        <f t="shared" ca="1" si="9"/>
        <v>-0.4539904997395464</v>
      </c>
    </row>
    <row r="209" spans="2:4" x14ac:dyDescent="0.25">
      <c r="B209" s="521">
        <v>78</v>
      </c>
      <c r="C209" s="522">
        <f t="shared" ca="1" si="8"/>
        <v>0.21727398319641955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0.22005954708355313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0.2228451109706867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0.2256306748578203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0.22841623874495387</v>
      </c>
      <c r="D213" s="523">
        <f t="shared" ca="1" si="9"/>
        <v>0.30901699437494695</v>
      </c>
    </row>
    <row r="214" spans="2:4" x14ac:dyDescent="0.25">
      <c r="B214" s="521">
        <v>83</v>
      </c>
      <c r="C214" s="522">
        <f t="shared" ca="1" si="8"/>
        <v>0.23120180263208748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0.23398736651922106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0.23677293040635464</v>
      </c>
      <c r="D216" s="523">
        <f t="shared" ca="1" si="9"/>
        <v>0.7071067811865478</v>
      </c>
    </row>
    <row r="217" spans="2:4" x14ac:dyDescent="0.25">
      <c r="B217" s="521">
        <v>86</v>
      </c>
      <c r="C217" s="522">
        <f t="shared" ca="1" si="8"/>
        <v>0.23955849429348822</v>
      </c>
      <c r="D217" s="523">
        <f t="shared" ca="1" si="9"/>
        <v>0.8090169943749471</v>
      </c>
    </row>
    <row r="218" spans="2:4" x14ac:dyDescent="0.25">
      <c r="B218" s="521">
        <v>87</v>
      </c>
      <c r="C218" s="522">
        <f t="shared" ca="1" si="8"/>
        <v>0.24234405818062177</v>
      </c>
      <c r="D218" s="523">
        <f t="shared" ca="1" si="9"/>
        <v>0.8910065241883672</v>
      </c>
    </row>
    <row r="219" spans="2:4" x14ac:dyDescent="0.25">
      <c r="B219" s="521">
        <v>88</v>
      </c>
      <c r="C219" s="522">
        <f t="shared" ca="1" si="8"/>
        <v>0.2451296220677554</v>
      </c>
      <c r="D219" s="523">
        <f t="shared" ca="1" si="9"/>
        <v>0.951056516295154</v>
      </c>
    </row>
    <row r="220" spans="2:4" x14ac:dyDescent="0.25">
      <c r="B220" s="521">
        <v>89</v>
      </c>
      <c r="C220" s="522">
        <f t="shared" ca="1" si="8"/>
        <v>0.24791518595488898</v>
      </c>
      <c r="D220" s="523">
        <f t="shared" ca="1" si="9"/>
        <v>0.9876883405951378</v>
      </c>
    </row>
    <row r="221" spans="2:4" x14ac:dyDescent="0.25">
      <c r="B221" s="521">
        <v>90</v>
      </c>
      <c r="C221" s="522">
        <f t="shared" ca="1" si="8"/>
        <v>0.25070074984202256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0.25348631372915614</v>
      </c>
      <c r="D222" s="523">
        <f t="shared" ca="1" si="9"/>
        <v>0.9876883405951377</v>
      </c>
    </row>
    <row r="223" spans="2:4" x14ac:dyDescent="0.25">
      <c r="B223" s="521">
        <v>92</v>
      </c>
      <c r="C223" s="522">
        <f t="shared" ca="1" si="8"/>
        <v>0.2562718776162897</v>
      </c>
      <c r="D223" s="523">
        <f t="shared" ca="1" si="9"/>
        <v>0.9510565162951538</v>
      </c>
    </row>
    <row r="224" spans="2:4" x14ac:dyDescent="0.25">
      <c r="B224" s="521">
        <v>93</v>
      </c>
      <c r="C224" s="522">
        <f t="shared" ca="1" si="8"/>
        <v>0.2590574415034233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0.2618430053905569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0.26462856927769046</v>
      </c>
      <c r="D226" s="523">
        <f t="shared" ca="1" si="9"/>
        <v>0.7071067811865486</v>
      </c>
    </row>
    <row r="227" spans="2:4" x14ac:dyDescent="0.25">
      <c r="B227" s="521">
        <v>96</v>
      </c>
      <c r="C227" s="522">
        <f t="shared" ca="1" si="8"/>
        <v>0.26741413316482404</v>
      </c>
      <c r="D227" s="523">
        <f t="shared" ca="1" si="9"/>
        <v>0.5877852522924736</v>
      </c>
    </row>
    <row r="228" spans="2:4" x14ac:dyDescent="0.25">
      <c r="B228" s="521">
        <v>97</v>
      </c>
      <c r="C228" s="522">
        <f t="shared" ca="1" si="8"/>
        <v>0.2701996970519576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0.27298526093909126</v>
      </c>
      <c r="D229" s="523">
        <f t="shared" ca="1" si="9"/>
        <v>0.3090169943749463</v>
      </c>
    </row>
    <row r="230" spans="2:4" x14ac:dyDescent="0.25">
      <c r="B230" s="521">
        <v>99</v>
      </c>
      <c r="C230" s="522">
        <f t="shared" ca="1" si="8"/>
        <v>0.27577082482622484</v>
      </c>
      <c r="D230" s="523">
        <f t="shared" ca="1" si="9"/>
        <v>0.1564344650402306</v>
      </c>
    </row>
    <row r="231" spans="2:4" x14ac:dyDescent="0.25">
      <c r="B231" s="521">
        <v>100</v>
      </c>
      <c r="C231" s="522">
        <f t="shared" ca="1" si="8"/>
        <v>0.2785563887133584</v>
      </c>
      <c r="D231" s="523">
        <f t="shared" ca="1" si="9"/>
        <v>-1.164033439826574e-15</v>
      </c>
    </row>
    <row r="232" spans="2:4" x14ac:dyDescent="0.25">
      <c r="B232" s="521">
        <v>101</v>
      </c>
      <c r="C232" s="522">
        <f t="shared" ca="1" si="8"/>
        <v>0.28134195260049194</v>
      </c>
      <c r="D232" s="523">
        <f t="shared" ca="1" si="9"/>
        <v>-0.15643446504022762</v>
      </c>
    </row>
    <row r="233" spans="2:4" x14ac:dyDescent="0.25">
      <c r="B233" s="521">
        <v>102</v>
      </c>
      <c r="C233" s="522">
        <f t="shared" ca="1" si="8"/>
        <v>0.2841275164876255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0.28691308037475916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0.28969864426189273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0.2924842081490263</v>
      </c>
      <c r="D236" s="523">
        <f t="shared" ca="1" si="9"/>
        <v>-0.7071067811865477</v>
      </c>
    </row>
    <row r="237" spans="2:4" x14ac:dyDescent="0.25">
      <c r="B237" s="521">
        <v>106</v>
      </c>
      <c r="C237" s="522">
        <f t="shared" ca="1" si="8"/>
        <v>0.2952697720361599</v>
      </c>
      <c r="D237" s="523">
        <f t="shared" ca="1" si="9"/>
        <v>-0.8090169943749481</v>
      </c>
    </row>
    <row r="238" spans="2:4" x14ac:dyDescent="0.25">
      <c r="B238" s="521">
        <v>107</v>
      </c>
      <c r="C238" s="522">
        <f t="shared" ca="1" si="8"/>
        <v>0.2980553359232935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0.30084089981042705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0.30362646369756063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0.3064120275846942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0.3091975914718278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0.3119831553589614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0.314768719246095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0.3175542831332286</v>
      </c>
      <c r="D245" s="523">
        <f t="shared" ca="1" si="9"/>
        <v>-0.8090169943749468</v>
      </c>
    </row>
    <row r="246" spans="2:4" x14ac:dyDescent="0.25">
      <c r="B246" s="521">
        <v>115</v>
      </c>
      <c r="C246" s="522">
        <f t="shared" ca="1" si="8"/>
        <v>0.32033984702036217</v>
      </c>
      <c r="D246" s="523">
        <f t="shared" ca="1" si="9"/>
        <v>-0.7071067811865461</v>
      </c>
    </row>
    <row r="247" spans="2:4" x14ac:dyDescent="0.25">
      <c r="B247" s="521">
        <v>116</v>
      </c>
      <c r="C247" s="522">
        <f t="shared" ca="1" si="8"/>
        <v>0.32312541090749575</v>
      </c>
      <c r="D247" s="523">
        <f t="shared" ca="1" si="9"/>
        <v>-0.5877852522924737</v>
      </c>
    </row>
    <row r="248" spans="2:4" x14ac:dyDescent="0.25">
      <c r="B248" s="521">
        <v>117</v>
      </c>
      <c r="C248" s="522">
        <f t="shared" ca="1" si="8"/>
        <v>0.32591097479462927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0.3286965386817629</v>
      </c>
      <c r="D249" s="523">
        <f t="shared" ca="1" si="9"/>
        <v>-0.3090169943749464</v>
      </c>
    </row>
    <row r="250" spans="2:4" x14ac:dyDescent="0.25">
      <c r="B250" s="521">
        <v>119</v>
      </c>
      <c r="C250" s="522">
        <f t="shared" ca="1" si="8"/>
        <v>0.3314821025688965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0.33426766645603007</v>
      </c>
      <c r="D251" s="523">
        <f t="shared" ca="1" si="9"/>
        <v>-7.347880794884119e-16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0.0017139230737178409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0.0034278461474356817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0.005141769221153523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0.0068556922948713635</v>
      </c>
      <c r="D260" s="523">
        <f t="shared" ca="1" si="11"/>
        <v>0.5877852522924731</v>
      </c>
    </row>
    <row r="261" spans="2:4" x14ac:dyDescent="0.25">
      <c r="B261" s="521">
        <v>5</v>
      </c>
      <c r="C261" s="522">
        <f t="shared" ca="1" si="10"/>
        <v>0.008569615368589203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0.010283538442307045</v>
      </c>
      <c r="D262" s="523">
        <f t="shared" ca="1" si="11"/>
        <v>0.8090169943749475</v>
      </c>
    </row>
    <row r="263" spans="2:4" x14ac:dyDescent="0.25">
      <c r="B263" s="521">
        <v>7</v>
      </c>
      <c r="C263" s="522">
        <f t="shared" ca="1" si="10"/>
        <v>0.011997461516024885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0.013711384589742727</v>
      </c>
      <c r="D264" s="523">
        <f t="shared" ca="1" si="11"/>
        <v>0.9510565162951535</v>
      </c>
    </row>
    <row r="265" spans="2:4" x14ac:dyDescent="0.25">
      <c r="B265" s="521">
        <v>9</v>
      </c>
      <c r="C265" s="522">
        <f t="shared" ca="1" si="10"/>
        <v>0.015425307663460567</v>
      </c>
      <c r="D265" s="523">
        <f t="shared" ca="1" si="11"/>
        <v>0.9876883405951378</v>
      </c>
    </row>
    <row r="266" spans="2:4" x14ac:dyDescent="0.25">
      <c r="B266" s="521">
        <v>10</v>
      </c>
      <c r="C266" s="522">
        <f t="shared" ca="1" si="10"/>
        <v>0.017139230737178407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0.01885315381089625</v>
      </c>
      <c r="D267" s="523">
        <f t="shared" ca="1" si="11"/>
        <v>0.9876883405951377</v>
      </c>
    </row>
    <row r="268" spans="2:4" x14ac:dyDescent="0.25">
      <c r="B268" s="521">
        <v>12</v>
      </c>
      <c r="C268" s="522">
        <f t="shared" ca="1" si="10"/>
        <v>0.02056707688461409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0.02228099995833193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0.02399492303204977</v>
      </c>
      <c r="D270" s="523">
        <f t="shared" ca="1" si="11"/>
        <v>0.8090169943749475</v>
      </c>
    </row>
    <row r="271" spans="2:4" x14ac:dyDescent="0.25">
      <c r="B271" s="521">
        <v>15</v>
      </c>
      <c r="C271" s="522">
        <f t="shared" ca="1" si="10"/>
        <v>0.02570884610576761</v>
      </c>
      <c r="D271" s="523">
        <f t="shared" ca="1" si="11"/>
        <v>0.7071067811865476</v>
      </c>
    </row>
    <row r="272" spans="2:4" x14ac:dyDescent="0.25">
      <c r="B272" s="521">
        <v>16</v>
      </c>
      <c r="C272" s="522">
        <f t="shared" ca="1" si="10"/>
        <v>0.027422769179485454</v>
      </c>
      <c r="D272" s="523">
        <f t="shared" ca="1" si="11"/>
        <v>0.5877852522924732</v>
      </c>
    </row>
    <row r="273" spans="2:4" x14ac:dyDescent="0.25">
      <c r="B273" s="521">
        <v>17</v>
      </c>
      <c r="C273" s="522">
        <f t="shared" ca="1" si="10"/>
        <v>0.029136692253203294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0.030850615326921134</v>
      </c>
      <c r="D274" s="523">
        <f t="shared" ca="1" si="11"/>
        <v>0.3090169943749475</v>
      </c>
    </row>
    <row r="275" spans="2:4" x14ac:dyDescent="0.25">
      <c r="B275" s="521">
        <v>19</v>
      </c>
      <c r="C275" s="522">
        <f t="shared" ca="1" si="10"/>
        <v>0.03256453840063897</v>
      </c>
      <c r="D275" s="523">
        <f t="shared" ca="1" si="11"/>
        <v>0.15643446504023142</v>
      </c>
    </row>
    <row r="276" spans="2:4" x14ac:dyDescent="0.25">
      <c r="B276" s="521">
        <v>20</v>
      </c>
      <c r="C276" s="522">
        <f t="shared" ca="1" si="10"/>
        <v>0.034278461474356814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0.03599238454807466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0.0377063076217925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0.03942023069551034</v>
      </c>
      <c r="D279" s="523">
        <f t="shared" ca="1" si="11"/>
        <v>-0.4539904997395467</v>
      </c>
    </row>
    <row r="280" spans="2:4" x14ac:dyDescent="0.25">
      <c r="B280" s="521">
        <v>24</v>
      </c>
      <c r="C280" s="522">
        <f t="shared" ca="1" si="10"/>
        <v>0.04113415376922818</v>
      </c>
      <c r="D280" s="523">
        <f t="shared" ca="1" si="11"/>
        <v>-0.587785252292473</v>
      </c>
    </row>
    <row r="281" spans="2:4" x14ac:dyDescent="0.25">
      <c r="B281" s="521">
        <v>25</v>
      </c>
      <c r="C281" s="522">
        <f t="shared" ca="1" si="10"/>
        <v>0.04284807684294602</v>
      </c>
      <c r="D281" s="523">
        <f t="shared" ca="1" si="11"/>
        <v>-0.7071067811865475</v>
      </c>
    </row>
    <row r="282" spans="2:4" x14ac:dyDescent="0.25">
      <c r="B282" s="521">
        <v>26</v>
      </c>
      <c r="C282" s="522">
        <f t="shared" ca="1" si="10"/>
        <v>0.04456199991666386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0.046275922990381704</v>
      </c>
      <c r="D283" s="523">
        <f t="shared" ca="1" si="11"/>
        <v>-0.8910065241883678</v>
      </c>
    </row>
    <row r="284" spans="2:4" x14ac:dyDescent="0.25">
      <c r="B284" s="521">
        <v>28</v>
      </c>
      <c r="C284" s="522">
        <f t="shared" ca="1" si="10"/>
        <v>0.04798984606409954</v>
      </c>
      <c r="D284" s="523">
        <f t="shared" ca="1" si="11"/>
        <v>-0.9510565162951535</v>
      </c>
    </row>
    <row r="285" spans="2:4" x14ac:dyDescent="0.25">
      <c r="B285" s="521">
        <v>29</v>
      </c>
      <c r="C285" s="522">
        <f t="shared" ca="1" si="10"/>
        <v>0.049703769137817384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0.05141769221153522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0.053131615285253064</v>
      </c>
      <c r="D287" s="523">
        <f t="shared" ca="1" si="11"/>
        <v>-0.9876883405951378</v>
      </c>
    </row>
    <row r="288" spans="2:4" x14ac:dyDescent="0.25">
      <c r="B288" s="521">
        <v>32</v>
      </c>
      <c r="C288" s="522">
        <f t="shared" ca="1" si="10"/>
        <v>0.05484553835897091</v>
      </c>
      <c r="D288" s="523">
        <f t="shared" ca="1" si="11"/>
        <v>-0.9510565162951536</v>
      </c>
    </row>
    <row r="289" spans="2:4" x14ac:dyDescent="0.25">
      <c r="B289" s="521">
        <v>33</v>
      </c>
      <c r="C289" s="522">
        <f t="shared" ca="1" si="10"/>
        <v>0.056559461432688744</v>
      </c>
      <c r="D289" s="523">
        <f t="shared" ca="1" si="11"/>
        <v>-0.891006524188368</v>
      </c>
    </row>
    <row r="290" spans="2:4" x14ac:dyDescent="0.25">
      <c r="B290" s="521">
        <v>34</v>
      </c>
      <c r="C290" s="522">
        <f t="shared" ca="1" si="10"/>
        <v>0.05827338450640659</v>
      </c>
      <c r="D290" s="523">
        <f t="shared" ca="1" si="11"/>
        <v>-0.8090169943749476</v>
      </c>
    </row>
    <row r="291" spans="2:4" x14ac:dyDescent="0.25">
      <c r="B291" s="521">
        <v>35</v>
      </c>
      <c r="C291" s="522">
        <f t="shared" ca="1" si="10"/>
        <v>0.059987307580124424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0.06170123065384227</v>
      </c>
      <c r="D292" s="523">
        <f t="shared" ca="1" si="11"/>
        <v>-0.5877852522924734</v>
      </c>
    </row>
    <row r="293" spans="2:4" x14ac:dyDescent="0.25">
      <c r="B293" s="521">
        <v>37</v>
      </c>
      <c r="C293" s="522">
        <f t="shared" ca="1" si="10"/>
        <v>0.06341515372756011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0.06512907680127794</v>
      </c>
      <c r="D294" s="523">
        <f t="shared" ca="1" si="11"/>
        <v>-0.3090169943749485</v>
      </c>
    </row>
    <row r="295" spans="2:4" x14ac:dyDescent="0.25">
      <c r="B295" s="521">
        <v>39</v>
      </c>
      <c r="C295" s="522">
        <f t="shared" ca="1" si="10"/>
        <v>0.06684299987499578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0.06855692294871363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0.07027084602243147</v>
      </c>
      <c r="D297" s="523">
        <f t="shared" ca="1" si="11"/>
        <v>0.15643446504023062</v>
      </c>
    </row>
    <row r="298" spans="2:4" x14ac:dyDescent="0.25">
      <c r="B298" s="521">
        <v>42</v>
      </c>
      <c r="C298" s="522">
        <f t="shared" ca="1" si="10"/>
        <v>0.07198476909614931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0.07369869216986714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0.075412615243585</v>
      </c>
      <c r="D300" s="523">
        <f t="shared" ca="1" si="11"/>
        <v>0.5877852522924736</v>
      </c>
    </row>
    <row r="301" spans="2:4" x14ac:dyDescent="0.25">
      <c r="B301" s="521">
        <v>45</v>
      </c>
      <c r="C301" s="522">
        <f t="shared" ca="1" si="10"/>
        <v>0.07712653831730283</v>
      </c>
      <c r="D301" s="523">
        <f t="shared" ca="1" si="11"/>
        <v>0.7071067811865474</v>
      </c>
    </row>
    <row r="302" spans="2:4" x14ac:dyDescent="0.25">
      <c r="B302" s="521">
        <v>46</v>
      </c>
      <c r="C302" s="522">
        <f t="shared" ca="1" si="10"/>
        <v>0.07884046139102067</v>
      </c>
      <c r="D302" s="523">
        <f t="shared" ca="1" si="11"/>
        <v>0.8090169943749472</v>
      </c>
    </row>
    <row r="303" spans="2:4" x14ac:dyDescent="0.25">
      <c r="B303" s="521">
        <v>47</v>
      </c>
      <c r="C303" s="522">
        <f t="shared" ca="1" si="10"/>
        <v>0.08055438446473852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0.08226830753845636</v>
      </c>
      <c r="D304" s="523">
        <f t="shared" ca="1" si="11"/>
        <v>0.9510565162951535</v>
      </c>
    </row>
    <row r="305" spans="2:4" x14ac:dyDescent="0.25">
      <c r="B305" s="521">
        <v>49</v>
      </c>
      <c r="C305" s="522">
        <f t="shared" ca="1" si="10"/>
        <v>0.0839822306121742</v>
      </c>
      <c r="D305" s="523">
        <f t="shared" ca="1" si="11"/>
        <v>0.9876883405951378</v>
      </c>
    </row>
    <row r="306" spans="2:4" x14ac:dyDescent="0.25">
      <c r="B306" s="521">
        <v>50</v>
      </c>
      <c r="C306" s="522">
        <f t="shared" ca="1" si="10"/>
        <v>0.08569615368589203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0.08741007675960988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0.08912399983332772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0.09083792290704557</v>
      </c>
      <c r="D309" s="523">
        <f t="shared" ca="1" si="11"/>
        <v>0.8910065241883676</v>
      </c>
    </row>
    <row r="310" spans="2:4" x14ac:dyDescent="0.25">
      <c r="B310" s="521">
        <v>54</v>
      </c>
      <c r="C310" s="522">
        <f t="shared" ca="1" si="10"/>
        <v>0.09255184598076341</v>
      </c>
      <c r="D310" s="523">
        <f t="shared" ca="1" si="11"/>
        <v>0.8090169943749477</v>
      </c>
    </row>
    <row r="311" spans="2:4" x14ac:dyDescent="0.25">
      <c r="B311" s="521">
        <v>55</v>
      </c>
      <c r="C311" s="522">
        <f t="shared" ca="1" si="10"/>
        <v>0.09426576905448124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0.09597969212819908</v>
      </c>
      <c r="D312" s="523">
        <f t="shared" ca="1" si="11"/>
        <v>0.5877852522924734</v>
      </c>
    </row>
    <row r="313" spans="2:4" x14ac:dyDescent="0.25">
      <c r="B313" s="521">
        <v>57</v>
      </c>
      <c r="C313" s="522">
        <f t="shared" ca="1" si="10"/>
        <v>0.09769361520191693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0.09940753827563477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0.10112146134935261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0.10283538442307044</v>
      </c>
      <c r="D316" s="523">
        <f t="shared" ca="1" si="11"/>
        <v>3.6739403974420594e-16</v>
      </c>
    </row>
    <row r="317" spans="2:4" x14ac:dyDescent="0.25">
      <c r="B317" s="521">
        <v>61</v>
      </c>
      <c r="C317" s="522">
        <f t="shared" ca="1" si="10"/>
        <v>0.10454930749678829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0.10626323057050613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0.10797715364422397</v>
      </c>
      <c r="D319" s="523">
        <f t="shared" ca="1" si="11"/>
        <v>-0.45399049973954725</v>
      </c>
    </row>
    <row r="320" spans="2:4" x14ac:dyDescent="0.25">
      <c r="B320" s="521">
        <v>64</v>
      </c>
      <c r="C320" s="522">
        <f t="shared" ref="C320:C376" ca="1" si="12">B320/40/$C$29</f>
        <v>0.10969107671794182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0.11140499979165965</v>
      </c>
      <c r="D321" s="523">
        <f t="shared" ca="1" si="13"/>
        <v>-0.7071067811865466</v>
      </c>
    </row>
    <row r="322" spans="2:4" x14ac:dyDescent="0.25">
      <c r="B322" s="521">
        <v>66</v>
      </c>
      <c r="C322" s="522">
        <f t="shared" ca="1" si="12"/>
        <v>0.11311892286537749</v>
      </c>
      <c r="D322" s="523">
        <f t="shared" ca="1" si="13"/>
        <v>-0.8090169943749472</v>
      </c>
    </row>
    <row r="323" spans="2:4" x14ac:dyDescent="0.25">
      <c r="B323" s="521">
        <v>67</v>
      </c>
      <c r="C323" s="522">
        <f t="shared" ca="1" si="12"/>
        <v>0.11483284593909533</v>
      </c>
      <c r="D323" s="523">
        <f t="shared" ca="1" si="13"/>
        <v>-0.8910065241883681</v>
      </c>
    </row>
    <row r="324" spans="2:4" x14ac:dyDescent="0.25">
      <c r="B324" s="521">
        <v>68</v>
      </c>
      <c r="C324" s="522">
        <f t="shared" ca="1" si="12"/>
        <v>0.11654676901281318</v>
      </c>
      <c r="D324" s="523">
        <f t="shared" ca="1" si="13"/>
        <v>-0.9510565162951534</v>
      </c>
    </row>
    <row r="325" spans="2:4" x14ac:dyDescent="0.25">
      <c r="B325" s="521">
        <v>69</v>
      </c>
      <c r="C325" s="522">
        <f t="shared" ca="1" si="12"/>
        <v>0.11826069208653102</v>
      </c>
      <c r="D325" s="523">
        <f t="shared" ca="1" si="13"/>
        <v>-0.9876883405951378</v>
      </c>
    </row>
    <row r="326" spans="2:4" x14ac:dyDescent="0.25">
      <c r="B326" s="521">
        <v>70</v>
      </c>
      <c r="C326" s="522">
        <f t="shared" ca="1" si="12"/>
        <v>0.11997461516024885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0.12168853823396669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0.12340246130768454</v>
      </c>
      <c r="D328" s="523">
        <f t="shared" ca="1" si="13"/>
        <v>-0.9510565162951538</v>
      </c>
    </row>
    <row r="329" spans="2:4" x14ac:dyDescent="0.25">
      <c r="B329" s="521">
        <v>73</v>
      </c>
      <c r="C329" s="522">
        <f t="shared" ca="1" si="12"/>
        <v>0.12511638438140238</v>
      </c>
      <c r="D329" s="523">
        <f t="shared" ca="1" si="13"/>
        <v>-0.8910065241883677</v>
      </c>
    </row>
    <row r="330" spans="2:4" x14ac:dyDescent="0.25">
      <c r="B330" s="521">
        <v>74</v>
      </c>
      <c r="C330" s="522">
        <f t="shared" ca="1" si="12"/>
        <v>0.12683030745512022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0.12854423052883807</v>
      </c>
      <c r="D331" s="523">
        <f t="shared" ca="1" si="13"/>
        <v>-0.7071067811865472</v>
      </c>
    </row>
    <row r="332" spans="2:4" x14ac:dyDescent="0.25">
      <c r="B332" s="521">
        <v>76</v>
      </c>
      <c r="C332" s="522">
        <f t="shared" ca="1" si="12"/>
        <v>0.13025815360255588</v>
      </c>
      <c r="D332" s="523">
        <f t="shared" ca="1" si="13"/>
        <v>-0.5877852522924749</v>
      </c>
    </row>
    <row r="333" spans="2:4" x14ac:dyDescent="0.25">
      <c r="B333" s="521">
        <v>77</v>
      </c>
      <c r="C333" s="522">
        <f t="shared" ca="1" si="12"/>
        <v>0.13197207667627375</v>
      </c>
      <c r="D333" s="523">
        <f t="shared" ca="1" si="13"/>
        <v>-0.4539904997395464</v>
      </c>
    </row>
    <row r="334" spans="2:4" x14ac:dyDescent="0.25">
      <c r="B334" s="521">
        <v>78</v>
      </c>
      <c r="C334" s="522">
        <f t="shared" ca="1" si="12"/>
        <v>0.13368599974999157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0.13539992282370944</v>
      </c>
      <c r="D335" s="523">
        <f t="shared" ca="1" si="13"/>
        <v>-0.15643446504023048</v>
      </c>
    </row>
    <row r="336" spans="2:4" x14ac:dyDescent="0.25">
      <c r="B336" s="521">
        <v>80</v>
      </c>
      <c r="C336" s="522">
        <f t="shared" ca="1" si="12"/>
        <v>0.13711384589742726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0.1388277689711451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0.14054169204486294</v>
      </c>
      <c r="D338" s="523">
        <f t="shared" ca="1" si="13"/>
        <v>0.30901699437494695</v>
      </c>
    </row>
    <row r="339" spans="2:4" x14ac:dyDescent="0.25">
      <c r="B339" s="521">
        <v>83</v>
      </c>
      <c r="C339" s="522">
        <f t="shared" ca="1" si="12"/>
        <v>0.14225561511858079</v>
      </c>
      <c r="D339" s="523">
        <f t="shared" ca="1" si="13"/>
        <v>0.45399049973954714</v>
      </c>
    </row>
    <row r="340" spans="2:4" x14ac:dyDescent="0.25">
      <c r="B340" s="521">
        <v>84</v>
      </c>
      <c r="C340" s="522">
        <f t="shared" ca="1" si="12"/>
        <v>0.14396953819229863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0.14568346126601647</v>
      </c>
      <c r="D341" s="523">
        <f t="shared" ca="1" si="13"/>
        <v>0.7071067811865478</v>
      </c>
    </row>
    <row r="342" spans="2:4" x14ac:dyDescent="0.25">
      <c r="B342" s="521">
        <v>86</v>
      </c>
      <c r="C342" s="522">
        <f t="shared" ca="1" si="12"/>
        <v>0.1473973843397343</v>
      </c>
      <c r="D342" s="523">
        <f t="shared" ca="1" si="13"/>
        <v>0.8090169943749461</v>
      </c>
    </row>
    <row r="343" spans="2:4" x14ac:dyDescent="0.25">
      <c r="B343" s="521">
        <v>87</v>
      </c>
      <c r="C343" s="522">
        <f t="shared" ca="1" si="12"/>
        <v>0.14911130741345213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0.15082523048717</v>
      </c>
      <c r="D344" s="523">
        <f t="shared" ca="1" si="13"/>
        <v>0.951056516295154</v>
      </c>
    </row>
    <row r="345" spans="2:4" x14ac:dyDescent="0.25">
      <c r="B345" s="521">
        <v>89</v>
      </c>
      <c r="C345" s="522">
        <f t="shared" ca="1" si="12"/>
        <v>0.15253915356088785</v>
      </c>
      <c r="D345" s="523">
        <f t="shared" ca="1" si="13"/>
        <v>0.9876883405951378</v>
      </c>
    </row>
    <row r="346" spans="2:4" x14ac:dyDescent="0.25">
      <c r="B346" s="521">
        <v>90</v>
      </c>
      <c r="C346" s="522">
        <f t="shared" ca="1" si="12"/>
        <v>0.15425307663460566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0.1559669997083235</v>
      </c>
      <c r="D347" s="523">
        <f t="shared" ca="1" si="13"/>
        <v>0.987688340595138</v>
      </c>
    </row>
    <row r="348" spans="2:4" x14ac:dyDescent="0.25">
      <c r="B348" s="521">
        <v>92</v>
      </c>
      <c r="C348" s="522">
        <f t="shared" ca="1" si="12"/>
        <v>0.15768092278204135</v>
      </c>
      <c r="D348" s="523">
        <f t="shared" ca="1" si="13"/>
        <v>0.9510565162951538</v>
      </c>
    </row>
    <row r="349" spans="2:4" x14ac:dyDescent="0.25">
      <c r="B349" s="521">
        <v>93</v>
      </c>
      <c r="C349" s="522">
        <f t="shared" ca="1" si="12"/>
        <v>0.1593948458557592</v>
      </c>
      <c r="D349" s="523">
        <f t="shared" ca="1" si="13"/>
        <v>0.8910065241883677</v>
      </c>
    </row>
    <row r="350" spans="2:4" x14ac:dyDescent="0.25">
      <c r="B350" s="521">
        <v>94</v>
      </c>
      <c r="C350" s="522">
        <f t="shared" ca="1" si="12"/>
        <v>0.16110876892947704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0.16282269200319488</v>
      </c>
      <c r="D351" s="523">
        <f t="shared" ca="1" si="13"/>
        <v>0.7071067811865474</v>
      </c>
    </row>
    <row r="352" spans="2:4" x14ac:dyDescent="0.25">
      <c r="B352" s="521">
        <v>96</v>
      </c>
      <c r="C352" s="522">
        <f t="shared" ca="1" si="12"/>
        <v>0.16453661507691272</v>
      </c>
      <c r="D352" s="523">
        <f t="shared" ca="1" si="13"/>
        <v>0.5877852522924736</v>
      </c>
    </row>
    <row r="353" spans="2:4" x14ac:dyDescent="0.25">
      <c r="B353" s="521">
        <v>97</v>
      </c>
      <c r="C353" s="522">
        <f t="shared" ca="1" si="12"/>
        <v>0.16625053815063054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0.1679644612243484</v>
      </c>
      <c r="D354" s="523">
        <f t="shared" ca="1" si="13"/>
        <v>0.3090169943749463</v>
      </c>
    </row>
    <row r="355" spans="2:4" x14ac:dyDescent="0.25">
      <c r="B355" s="521">
        <v>99</v>
      </c>
      <c r="C355" s="522">
        <f t="shared" ca="1" si="12"/>
        <v>0.16967838429806625</v>
      </c>
      <c r="D355" s="523">
        <f t="shared" ca="1" si="13"/>
        <v>0.1564344650402306</v>
      </c>
    </row>
    <row r="356" spans="2:4" x14ac:dyDescent="0.25">
      <c r="B356" s="521">
        <v>100</v>
      </c>
      <c r="C356" s="522">
        <f t="shared" ca="1" si="12"/>
        <v>0.17139230737178407</v>
      </c>
      <c r="D356" s="523">
        <f t="shared" ca="1" si="13"/>
        <v>6.123233995736766e-16</v>
      </c>
    </row>
    <row r="357" spans="2:4" x14ac:dyDescent="0.25">
      <c r="B357" s="521">
        <v>101</v>
      </c>
      <c r="C357" s="522">
        <f t="shared" ca="1" si="12"/>
        <v>0.1731062304455019</v>
      </c>
      <c r="D357" s="523">
        <f t="shared" ca="1" si="13"/>
        <v>-0.15643446504022937</v>
      </c>
    </row>
    <row r="358" spans="2:4" x14ac:dyDescent="0.25">
      <c r="B358" s="521">
        <v>102</v>
      </c>
      <c r="C358" s="522">
        <f t="shared" ca="1" si="12"/>
        <v>0.17482015351921976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0.1765340765929376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0.17824799966665544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0.1799619227403733</v>
      </c>
      <c r="D361" s="523">
        <f t="shared" ca="1" si="13"/>
        <v>-0.7071067811865477</v>
      </c>
    </row>
    <row r="362" spans="2:4" x14ac:dyDescent="0.25">
      <c r="B362" s="521">
        <v>106</v>
      </c>
      <c r="C362" s="522">
        <f t="shared" ca="1" si="12"/>
        <v>0.18167584581409113</v>
      </c>
      <c r="D362" s="523">
        <f t="shared" ca="1" si="13"/>
        <v>-0.8090169943749481</v>
      </c>
    </row>
    <row r="363" spans="2:4" x14ac:dyDescent="0.25">
      <c r="B363" s="521">
        <v>107</v>
      </c>
      <c r="C363" s="522">
        <f t="shared" ca="1" si="12"/>
        <v>0.18338976888780895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0.18510369196152682</v>
      </c>
      <c r="D364" s="523">
        <f t="shared" ca="1" si="13"/>
        <v>-0.9510565162951534</v>
      </c>
    </row>
    <row r="365" spans="2:4" x14ac:dyDescent="0.25">
      <c r="B365" s="521">
        <v>109</v>
      </c>
      <c r="C365" s="522">
        <f t="shared" ca="1" si="12"/>
        <v>0.18681761503524466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0.18853153810896248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0.19024546118268032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0.19195938425639816</v>
      </c>
      <c r="D368" s="523">
        <f t="shared" ca="1" si="13"/>
        <v>-0.9510565162951538</v>
      </c>
    </row>
    <row r="369" spans="2:4" x14ac:dyDescent="0.25">
      <c r="B369" s="521">
        <v>113</v>
      </c>
      <c r="C369" s="522">
        <f t="shared" ca="1" si="12"/>
        <v>0.19367330733011603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0.19538723040383385</v>
      </c>
      <c r="D370" s="523">
        <f t="shared" ca="1" si="13"/>
        <v>-0.8090169943749468</v>
      </c>
    </row>
    <row r="371" spans="2:4" x14ac:dyDescent="0.25">
      <c r="B371" s="521">
        <v>115</v>
      </c>
      <c r="C371" s="522">
        <f t="shared" ca="1" si="12"/>
        <v>0.1971011534775517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0.19881507655126954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0.20052899962498735</v>
      </c>
      <c r="D373" s="523">
        <f t="shared" ca="1" si="13"/>
        <v>-0.4539904997395498</v>
      </c>
    </row>
    <row r="374" spans="2:4" x14ac:dyDescent="0.25">
      <c r="B374" s="521">
        <v>118</v>
      </c>
      <c r="C374" s="522">
        <f t="shared" ca="1" si="12"/>
        <v>0.20224292269870522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0.20395684577242307</v>
      </c>
      <c r="D375" s="523">
        <f t="shared" ca="1" si="13"/>
        <v>-0.15643446504022895</v>
      </c>
    </row>
    <row r="376" spans="2:4" x14ac:dyDescent="0.25">
      <c r="B376" s="521">
        <v>120</v>
      </c>
      <c r="C376" s="522">
        <f t="shared" ca="1" si="12"/>
        <v>0.20567076884614088</v>
      </c>
      <c r="D376" s="523">
        <f t="shared" ca="1" si="13"/>
        <v>-7.347880794884119e-16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0.0030263441075948348</v>
      </c>
      <c r="D382" s="523">
        <f t="shared" ca="1" si="15"/>
        <v>0.1564344650402309</v>
      </c>
    </row>
    <row r="383" spans="2:4" x14ac:dyDescent="0.25">
      <c r="B383" s="521">
        <v>2</v>
      </c>
      <c r="C383" s="522">
        <f t="shared" ca="1" si="14"/>
        <v>0.0060526882151896695</v>
      </c>
      <c r="D383" s="523">
        <f t="shared" ca="1" si="15"/>
        <v>0.30901699437494745</v>
      </c>
    </row>
    <row r="384" spans="2:4" x14ac:dyDescent="0.25">
      <c r="B384" s="521">
        <v>3</v>
      </c>
      <c r="C384" s="522">
        <f t="shared" ca="1" si="14"/>
        <v>0.009079032322784503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0.012105376430379339</v>
      </c>
      <c r="D385" s="523">
        <f t="shared" ca="1" si="15"/>
        <v>0.5877852522924732</v>
      </c>
    </row>
    <row r="386" spans="2:4" x14ac:dyDescent="0.25">
      <c r="B386" s="521">
        <v>5</v>
      </c>
      <c r="C386" s="522">
        <f t="shared" ca="1" si="14"/>
        <v>0.015131720537974172</v>
      </c>
      <c r="D386" s="523">
        <f t="shared" ca="1" si="15"/>
        <v>0.7071067811865475</v>
      </c>
    </row>
    <row r="387" spans="2:4" x14ac:dyDescent="0.25">
      <c r="B387" s="521">
        <v>6</v>
      </c>
      <c r="C387" s="522">
        <f t="shared" ca="1" si="14"/>
        <v>0.018158064645569006</v>
      </c>
      <c r="D387" s="523">
        <f t="shared" ca="1" si="15"/>
        <v>0.8090169943749475</v>
      </c>
    </row>
    <row r="388" spans="2:4" x14ac:dyDescent="0.25">
      <c r="B388" s="521">
        <v>7</v>
      </c>
      <c r="C388" s="522">
        <f t="shared" ca="1" si="14"/>
        <v>0.02118440875316384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0.024210752860758678</v>
      </c>
      <c r="D389" s="523">
        <f t="shared" ca="1" si="15"/>
        <v>0.9510565162951536</v>
      </c>
    </row>
    <row r="390" spans="2:4" x14ac:dyDescent="0.25">
      <c r="B390" s="521">
        <v>9</v>
      </c>
      <c r="C390" s="522">
        <f t="shared" ca="1" si="14"/>
        <v>0.02723709696835351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0.030263441075948343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0.03328978518354318</v>
      </c>
      <c r="D392" s="523">
        <f t="shared" ca="1" si="15"/>
        <v>0.9876883405951377</v>
      </c>
    </row>
    <row r="393" spans="2:4" x14ac:dyDescent="0.25">
      <c r="B393" s="521">
        <v>12</v>
      </c>
      <c r="C393" s="522">
        <f t="shared" ca="1" si="14"/>
        <v>0.03631612929113801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0.03934247339873285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0.04236881750632768</v>
      </c>
      <c r="D395" s="523">
        <f t="shared" ca="1" si="15"/>
        <v>0.8090169943749475</v>
      </c>
    </row>
    <row r="396" spans="2:4" x14ac:dyDescent="0.25">
      <c r="B396" s="521">
        <v>15</v>
      </c>
      <c r="C396" s="522">
        <f t="shared" ca="1" si="14"/>
        <v>0.04539516161392251</v>
      </c>
      <c r="D396" s="523">
        <f t="shared" ca="1" si="15"/>
        <v>0.7071067811865476</v>
      </c>
    </row>
    <row r="397" spans="2:4" x14ac:dyDescent="0.25">
      <c r="B397" s="521">
        <v>16</v>
      </c>
      <c r="C397" s="522">
        <f t="shared" ca="1" si="14"/>
        <v>0.048421505721517356</v>
      </c>
      <c r="D397" s="523">
        <f t="shared" ca="1" si="15"/>
        <v>0.5877852522924728</v>
      </c>
    </row>
    <row r="398" spans="2:4" x14ac:dyDescent="0.25">
      <c r="B398" s="521">
        <v>17</v>
      </c>
      <c r="C398" s="522">
        <f t="shared" ca="1" si="14"/>
        <v>0.051447849829112186</v>
      </c>
      <c r="D398" s="523">
        <f t="shared" ca="1" si="15"/>
        <v>0.45399049973954686</v>
      </c>
    </row>
    <row r="399" spans="2:4" x14ac:dyDescent="0.25">
      <c r="B399" s="521">
        <v>18</v>
      </c>
      <c r="C399" s="522">
        <f t="shared" ca="1" si="14"/>
        <v>0.05447419393670702</v>
      </c>
      <c r="D399" s="523">
        <f t="shared" ca="1" si="15"/>
        <v>0.3090169943749475</v>
      </c>
    </row>
    <row r="400" spans="2:4" x14ac:dyDescent="0.25">
      <c r="B400" s="521">
        <v>19</v>
      </c>
      <c r="C400" s="522">
        <f t="shared" ca="1" si="14"/>
        <v>0.05750053804430185</v>
      </c>
      <c r="D400" s="523">
        <f t="shared" ca="1" si="15"/>
        <v>0.15643446504023098</v>
      </c>
    </row>
    <row r="401" spans="2:4" x14ac:dyDescent="0.25">
      <c r="B401" s="521">
        <v>20</v>
      </c>
      <c r="C401" s="522">
        <f t="shared" ca="1" si="14"/>
        <v>0.06052688215189669</v>
      </c>
      <c r="D401" s="523">
        <f t="shared" ca="1" si="15"/>
        <v>1.2246467991473532e-16</v>
      </c>
    </row>
    <row r="402" spans="2:4" x14ac:dyDescent="0.25">
      <c r="B402" s="521">
        <v>21</v>
      </c>
      <c r="C402" s="522">
        <f t="shared" ca="1" si="14"/>
        <v>0.06355322625949153</v>
      </c>
      <c r="D402" s="523">
        <f t="shared" ca="1" si="15"/>
        <v>-0.15643446504023117</v>
      </c>
    </row>
    <row r="403" spans="2:4" x14ac:dyDescent="0.25">
      <c r="B403" s="521">
        <v>22</v>
      </c>
      <c r="C403" s="522">
        <f t="shared" ca="1" si="14"/>
        <v>0.06657957036708637</v>
      </c>
      <c r="D403" s="523">
        <f t="shared" ca="1" si="15"/>
        <v>-0.30901699437494773</v>
      </c>
    </row>
    <row r="404" spans="2:4" x14ac:dyDescent="0.25">
      <c r="B404" s="521">
        <v>23</v>
      </c>
      <c r="C404" s="522">
        <f t="shared" ca="1" si="14"/>
        <v>0.06960591447468119</v>
      </c>
      <c r="D404" s="523">
        <f t="shared" ca="1" si="15"/>
        <v>-0.4539904997395467</v>
      </c>
    </row>
    <row r="405" spans="2:4" x14ac:dyDescent="0.25">
      <c r="B405" s="521">
        <v>24</v>
      </c>
      <c r="C405" s="522">
        <f t="shared" ca="1" si="14"/>
        <v>0.07263225858227602</v>
      </c>
      <c r="D405" s="523">
        <f t="shared" ca="1" si="15"/>
        <v>-0.587785252292473</v>
      </c>
    </row>
    <row r="406" spans="2:4" x14ac:dyDescent="0.25">
      <c r="B406" s="521">
        <v>25</v>
      </c>
      <c r="C406" s="522">
        <f t="shared" ca="1" si="14"/>
        <v>0.07565860268987086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0.0786849467974657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0.08171129090506053</v>
      </c>
      <c r="D408" s="523">
        <f t="shared" ca="1" si="15"/>
        <v>-0.8910065241883678</v>
      </c>
    </row>
    <row r="409" spans="2:4" x14ac:dyDescent="0.25">
      <c r="B409" s="521">
        <v>28</v>
      </c>
      <c r="C409" s="522">
        <f t="shared" ca="1" si="14"/>
        <v>0.08473763501265535</v>
      </c>
      <c r="D409" s="523">
        <f t="shared" ca="1" si="15"/>
        <v>-0.9510565162951535</v>
      </c>
    </row>
    <row r="410" spans="2:4" x14ac:dyDescent="0.25">
      <c r="B410" s="521">
        <v>29</v>
      </c>
      <c r="C410" s="522">
        <f t="shared" ca="1" si="14"/>
        <v>0.08776397912025019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0.09079032322784503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0.09381666733543988</v>
      </c>
      <c r="D412" s="523">
        <f t="shared" ca="1" si="15"/>
        <v>-0.9876883405951377</v>
      </c>
    </row>
    <row r="413" spans="2:4" x14ac:dyDescent="0.25">
      <c r="B413" s="521">
        <v>32</v>
      </c>
      <c r="C413" s="522">
        <f t="shared" ca="1" si="14"/>
        <v>0.09684301144303471</v>
      </c>
      <c r="D413" s="523">
        <f t="shared" ca="1" si="15"/>
        <v>-0.9510565162951533</v>
      </c>
    </row>
    <row r="414" spans="2:4" x14ac:dyDescent="0.25">
      <c r="B414" s="521">
        <v>33</v>
      </c>
      <c r="C414" s="522">
        <f t="shared" ca="1" si="14"/>
        <v>0.09986935555062953</v>
      </c>
      <c r="D414" s="523">
        <f t="shared" ca="1" si="15"/>
        <v>-0.891006524188368</v>
      </c>
    </row>
    <row r="415" spans="2:4" x14ac:dyDescent="0.25">
      <c r="B415" s="521">
        <v>34</v>
      </c>
      <c r="C415" s="522">
        <f t="shared" ca="1" si="14"/>
        <v>0.10289569965822437</v>
      </c>
      <c r="D415" s="523">
        <f t="shared" ca="1" si="15"/>
        <v>-0.8090169943749476</v>
      </c>
    </row>
    <row r="416" spans="2:4" x14ac:dyDescent="0.25">
      <c r="B416" s="521">
        <v>35</v>
      </c>
      <c r="C416" s="522">
        <f t="shared" ca="1" si="14"/>
        <v>0.10592204376581921</v>
      </c>
      <c r="D416" s="523">
        <f t="shared" ca="1" si="15"/>
        <v>-0.7071067811865477</v>
      </c>
    </row>
    <row r="417" spans="2:4" x14ac:dyDescent="0.25">
      <c r="B417" s="521">
        <v>36</v>
      </c>
      <c r="C417" s="522">
        <f t="shared" ca="1" si="14"/>
        <v>0.10894838787341404</v>
      </c>
      <c r="D417" s="523">
        <f t="shared" ca="1" si="15"/>
        <v>-0.5877852522924734</v>
      </c>
    </row>
    <row r="418" spans="2:4" x14ac:dyDescent="0.25">
      <c r="B418" s="521">
        <v>37</v>
      </c>
      <c r="C418" s="522">
        <f t="shared" ca="1" si="14"/>
        <v>0.11197473198100888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0.1150010760886037</v>
      </c>
      <c r="D419" s="523">
        <f t="shared" ca="1" si="15"/>
        <v>-0.3090169943749476</v>
      </c>
    </row>
    <row r="420" spans="2:4" x14ac:dyDescent="0.25">
      <c r="B420" s="521">
        <v>39</v>
      </c>
      <c r="C420" s="522">
        <f t="shared" ca="1" si="14"/>
        <v>0.11802742019619854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0.12105376430379337</v>
      </c>
      <c r="D421" s="523">
        <f t="shared" ca="1" si="15"/>
        <v>-2.4492935982947064e-16</v>
      </c>
    </row>
    <row r="422" spans="2:4" x14ac:dyDescent="0.25">
      <c r="B422" s="521">
        <v>41</v>
      </c>
      <c r="C422" s="522">
        <f t="shared" ca="1" si="14"/>
        <v>0.1240801084113882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0.12710645251898306</v>
      </c>
      <c r="D423" s="523">
        <f t="shared" ca="1" si="15"/>
        <v>0.309016994374948</v>
      </c>
    </row>
    <row r="424" spans="2:4" x14ac:dyDescent="0.25">
      <c r="B424" s="521">
        <v>43</v>
      </c>
      <c r="C424" s="522">
        <f t="shared" ca="1" si="14"/>
        <v>0.13013279662657787</v>
      </c>
      <c r="D424" s="523">
        <f t="shared" ca="1" si="15"/>
        <v>0.45399049973954575</v>
      </c>
    </row>
    <row r="425" spans="2:4" x14ac:dyDescent="0.25">
      <c r="B425" s="521">
        <v>44</v>
      </c>
      <c r="C425" s="522">
        <f t="shared" ca="1" si="14"/>
        <v>0.13315914073417273</v>
      </c>
      <c r="D425" s="523">
        <f t="shared" ca="1" si="15"/>
        <v>0.5877852522924736</v>
      </c>
    </row>
    <row r="426" spans="2:4" x14ac:dyDescent="0.25">
      <c r="B426" s="521">
        <v>45</v>
      </c>
      <c r="C426" s="522">
        <f t="shared" ca="1" si="14"/>
        <v>0.13618548484176754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0.13921182894936238</v>
      </c>
      <c r="D427" s="523">
        <f t="shared" ca="1" si="15"/>
        <v>0.8090169943749472</v>
      </c>
    </row>
    <row r="428" spans="2:4" x14ac:dyDescent="0.25">
      <c r="B428" s="521">
        <v>47</v>
      </c>
      <c r="C428" s="522">
        <f t="shared" ca="1" si="14"/>
        <v>0.1422381730569572</v>
      </c>
      <c r="D428" s="523">
        <f t="shared" ca="1" si="15"/>
        <v>0.8910065241883677</v>
      </c>
    </row>
    <row r="429" spans="2:4" x14ac:dyDescent="0.25">
      <c r="B429" s="521">
        <v>48</v>
      </c>
      <c r="C429" s="522">
        <f t="shared" ca="1" si="14"/>
        <v>0.14526451716455205</v>
      </c>
      <c r="D429" s="523">
        <f t="shared" ca="1" si="15"/>
        <v>0.9510565162951535</v>
      </c>
    </row>
    <row r="430" spans="2:4" x14ac:dyDescent="0.25">
      <c r="B430" s="521">
        <v>49</v>
      </c>
      <c r="C430" s="522">
        <f t="shared" ca="1" si="14"/>
        <v>0.14829086127214688</v>
      </c>
      <c r="D430" s="523">
        <f t="shared" ca="1" si="15"/>
        <v>0.9876883405951377</v>
      </c>
    </row>
    <row r="431" spans="2:4" x14ac:dyDescent="0.25">
      <c r="B431" s="521">
        <v>50</v>
      </c>
      <c r="C431" s="522">
        <f t="shared" ca="1" si="14"/>
        <v>0.15131720537974172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0.15434354948733656</v>
      </c>
      <c r="D432" s="523">
        <f t="shared" ca="1" si="15"/>
        <v>0.9876883405951377</v>
      </c>
    </row>
    <row r="433" spans="2:4" x14ac:dyDescent="0.25">
      <c r="B433" s="521">
        <v>52</v>
      </c>
      <c r="C433" s="522">
        <f t="shared" ca="1" si="14"/>
        <v>0.1573698935949314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0.16039623770252623</v>
      </c>
      <c r="D434" s="523">
        <f t="shared" ca="1" si="15"/>
        <v>0.8910065241883676</v>
      </c>
    </row>
    <row r="435" spans="2:4" x14ac:dyDescent="0.25">
      <c r="B435" s="521">
        <v>54</v>
      </c>
      <c r="C435" s="522">
        <f t="shared" ca="1" si="14"/>
        <v>0.16342258181012106</v>
      </c>
      <c r="D435" s="523">
        <f t="shared" ca="1" si="15"/>
        <v>0.8090169943749477</v>
      </c>
    </row>
    <row r="436" spans="2:4" x14ac:dyDescent="0.25">
      <c r="B436" s="521">
        <v>55</v>
      </c>
      <c r="C436" s="522">
        <f t="shared" ca="1" si="14"/>
        <v>0.1664489259177159</v>
      </c>
      <c r="D436" s="523">
        <f t="shared" ca="1" si="15"/>
        <v>0.7071067811865471</v>
      </c>
    </row>
    <row r="437" spans="2:4" x14ac:dyDescent="0.25">
      <c r="B437" s="521">
        <v>56</v>
      </c>
      <c r="C437" s="522">
        <f t="shared" ca="1" si="14"/>
        <v>0.1694752700253107</v>
      </c>
      <c r="D437" s="523">
        <f t="shared" ca="1" si="15"/>
        <v>0.5877852522924734</v>
      </c>
    </row>
    <row r="438" spans="2:4" x14ac:dyDescent="0.25">
      <c r="B438" s="521">
        <v>57</v>
      </c>
      <c r="C438" s="522">
        <f t="shared" ca="1" si="14"/>
        <v>0.17250161413290557</v>
      </c>
      <c r="D438" s="523">
        <f t="shared" ca="1" si="15"/>
        <v>0.4539904997395463</v>
      </c>
    </row>
    <row r="439" spans="2:4" x14ac:dyDescent="0.25">
      <c r="B439" s="521">
        <v>58</v>
      </c>
      <c r="C439" s="522">
        <f t="shared" ca="1" si="14"/>
        <v>0.17552795824050038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0.17855430234809525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0.18158064645569005</v>
      </c>
      <c r="D441" s="523">
        <f t="shared" ca="1" si="15"/>
        <v>3.6739403974420594e-16</v>
      </c>
    </row>
    <row r="442" spans="2:4" x14ac:dyDescent="0.25">
      <c r="B442" s="521">
        <v>61</v>
      </c>
      <c r="C442" s="522">
        <f t="shared" ca="1" si="14"/>
        <v>0.1846069905632849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0.18763333467087975</v>
      </c>
      <c r="D443" s="523">
        <f t="shared" ca="1" si="15"/>
        <v>-0.30901699437494873</v>
      </c>
    </row>
    <row r="444" spans="2:4" x14ac:dyDescent="0.25">
      <c r="B444" s="521">
        <v>63</v>
      </c>
      <c r="C444" s="522">
        <f t="shared" ca="1" si="14"/>
        <v>0.19065967877847456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0.19368602288606943</v>
      </c>
      <c r="D445" s="523">
        <f t="shared" ref="D445:D501" ca="1" si="17">SIN(2*PI()*$C$50*C445)</f>
        <v>-0.5877852522924742</v>
      </c>
    </row>
    <row r="446" spans="2:4" x14ac:dyDescent="0.25">
      <c r="B446" s="521">
        <v>65</v>
      </c>
      <c r="C446" s="522">
        <f t="shared" ca="1" si="16"/>
        <v>0.19671236699366423</v>
      </c>
      <c r="D446" s="523">
        <f t="shared" ca="1" si="17"/>
        <v>-0.7071067811865466</v>
      </c>
    </row>
    <row r="447" spans="2:4" x14ac:dyDescent="0.25">
      <c r="B447" s="521">
        <v>66</v>
      </c>
      <c r="C447" s="522">
        <f t="shared" ca="1" si="16"/>
        <v>0.19973871110125907</v>
      </c>
      <c r="D447" s="523">
        <f t="shared" ca="1" si="17"/>
        <v>-0.8090169943749472</v>
      </c>
    </row>
    <row r="448" spans="2:4" x14ac:dyDescent="0.25">
      <c r="B448" s="521">
        <v>67</v>
      </c>
      <c r="C448" s="522">
        <f t="shared" ca="1" si="16"/>
        <v>0.2027650552088539</v>
      </c>
      <c r="D448" s="523">
        <f t="shared" ca="1" si="17"/>
        <v>-0.8910065241883681</v>
      </c>
    </row>
    <row r="449" spans="2:4" x14ac:dyDescent="0.25">
      <c r="B449" s="521">
        <v>68</v>
      </c>
      <c r="C449" s="522">
        <f t="shared" ca="1" si="16"/>
        <v>0.20579139931644874</v>
      </c>
      <c r="D449" s="523">
        <f t="shared" ca="1" si="17"/>
        <v>-0.9510565162951534</v>
      </c>
    </row>
    <row r="450" spans="2:4" x14ac:dyDescent="0.25">
      <c r="B450" s="521">
        <v>69</v>
      </c>
      <c r="C450" s="522">
        <f t="shared" ca="1" si="16"/>
        <v>0.20881774342404358</v>
      </c>
      <c r="D450" s="523">
        <f t="shared" ca="1" si="17"/>
        <v>-0.9876883405951378</v>
      </c>
    </row>
    <row r="451" spans="2:4" x14ac:dyDescent="0.25">
      <c r="B451" s="521">
        <v>70</v>
      </c>
      <c r="C451" s="522">
        <f t="shared" ca="1" si="16"/>
        <v>0.21184408753163841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0.21487043163923322</v>
      </c>
      <c r="D452" s="523">
        <f t="shared" ca="1" si="17"/>
        <v>-0.9876883405951379</v>
      </c>
    </row>
    <row r="453" spans="2:4" x14ac:dyDescent="0.25">
      <c r="B453" s="521">
        <v>72</v>
      </c>
      <c r="C453" s="522">
        <f t="shared" ca="1" si="16"/>
        <v>0.2178967757468281</v>
      </c>
      <c r="D453" s="523">
        <f t="shared" ca="1" si="17"/>
        <v>-0.9510565162951538</v>
      </c>
    </row>
    <row r="454" spans="2:4" x14ac:dyDescent="0.25">
      <c r="B454" s="521">
        <v>73</v>
      </c>
      <c r="C454" s="522">
        <f t="shared" ca="1" si="16"/>
        <v>0.2209231198544229</v>
      </c>
      <c r="D454" s="523">
        <f t="shared" ca="1" si="17"/>
        <v>-0.8910065241883685</v>
      </c>
    </row>
    <row r="455" spans="2:4" x14ac:dyDescent="0.25">
      <c r="B455" s="521">
        <v>74</v>
      </c>
      <c r="C455" s="522">
        <f t="shared" ca="1" si="16"/>
        <v>0.22394946396201776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0.2269758080696126</v>
      </c>
      <c r="D456" s="523">
        <f t="shared" ca="1" si="17"/>
        <v>-0.7071067811865472</v>
      </c>
    </row>
    <row r="457" spans="2:4" x14ac:dyDescent="0.25">
      <c r="B457" s="521">
        <v>76</v>
      </c>
      <c r="C457" s="522">
        <f t="shared" ca="1" si="16"/>
        <v>0.2300021521772074</v>
      </c>
      <c r="D457" s="523">
        <f t="shared" ca="1" si="17"/>
        <v>-0.5877852522924735</v>
      </c>
    </row>
    <row r="458" spans="2:4" x14ac:dyDescent="0.25">
      <c r="B458" s="521">
        <v>77</v>
      </c>
      <c r="C458" s="522">
        <f t="shared" ca="1" si="16"/>
        <v>0.23302849628480227</v>
      </c>
      <c r="D458" s="523">
        <f t="shared" ca="1" si="17"/>
        <v>-0.4539904997395464</v>
      </c>
    </row>
    <row r="459" spans="2:4" x14ac:dyDescent="0.25">
      <c r="B459" s="521">
        <v>78</v>
      </c>
      <c r="C459" s="522">
        <f t="shared" ca="1" si="16"/>
        <v>0.23605484039239708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0.23908118449999194</v>
      </c>
      <c r="D460" s="523">
        <f t="shared" ca="1" si="17"/>
        <v>-0.15643446504023048</v>
      </c>
    </row>
    <row r="461" spans="2:4" x14ac:dyDescent="0.25">
      <c r="B461" s="521">
        <v>80</v>
      </c>
      <c r="C461" s="522">
        <f t="shared" ca="1" si="16"/>
        <v>0.24210752860758675</v>
      </c>
      <c r="D461" s="523">
        <f t="shared" ca="1" si="17"/>
        <v>-4.898587196589413e-16</v>
      </c>
    </row>
    <row r="462" spans="2:4" x14ac:dyDescent="0.25">
      <c r="B462" s="521">
        <v>81</v>
      </c>
      <c r="C462" s="522">
        <f t="shared" ca="1" si="16"/>
        <v>0.24513387271518158</v>
      </c>
      <c r="D462" s="523">
        <f t="shared" ca="1" si="17"/>
        <v>0.1564344650402295</v>
      </c>
    </row>
    <row r="463" spans="2:4" x14ac:dyDescent="0.25">
      <c r="B463" s="521">
        <v>82</v>
      </c>
      <c r="C463" s="522">
        <f t="shared" ca="1" si="16"/>
        <v>0.2481602168227764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0.2511865609303713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0.2542129050379661</v>
      </c>
      <c r="D465" s="523">
        <f t="shared" ca="1" si="17"/>
        <v>0.5877852522924741</v>
      </c>
    </row>
    <row r="466" spans="2:4" x14ac:dyDescent="0.25">
      <c r="B466" s="521">
        <v>85</v>
      </c>
      <c r="C466" s="522">
        <f t="shared" ca="1" si="16"/>
        <v>0.2572392491455609</v>
      </c>
      <c r="D466" s="523">
        <f t="shared" ca="1" si="17"/>
        <v>0.7071067811865466</v>
      </c>
    </row>
    <row r="467" spans="2:4" x14ac:dyDescent="0.25">
      <c r="B467" s="521">
        <v>86</v>
      </c>
      <c r="C467" s="522">
        <f t="shared" ca="1" si="16"/>
        <v>0.26026559325315574</v>
      </c>
      <c r="D467" s="523">
        <f t="shared" ca="1" si="17"/>
        <v>0.8090169943749461</v>
      </c>
    </row>
    <row r="468" spans="2:4" x14ac:dyDescent="0.25">
      <c r="B468" s="521">
        <v>87</v>
      </c>
      <c r="C468" s="522">
        <f t="shared" ca="1" si="16"/>
        <v>0.26329193736075057</v>
      </c>
      <c r="D468" s="523">
        <f t="shared" ca="1" si="17"/>
        <v>0.8910065241883672</v>
      </c>
    </row>
    <row r="469" spans="2:4" x14ac:dyDescent="0.25">
      <c r="B469" s="521">
        <v>88</v>
      </c>
      <c r="C469" s="522">
        <f t="shared" ca="1" si="16"/>
        <v>0.26631828146834546</v>
      </c>
      <c r="D469" s="523">
        <f t="shared" ca="1" si="17"/>
        <v>0.951056516295154</v>
      </c>
    </row>
    <row r="470" spans="2:4" x14ac:dyDescent="0.25">
      <c r="B470" s="521">
        <v>89</v>
      </c>
      <c r="C470" s="522">
        <f t="shared" ca="1" si="16"/>
        <v>0.2693446255759403</v>
      </c>
      <c r="D470" s="523">
        <f t="shared" ca="1" si="17"/>
        <v>0.9876883405951381</v>
      </c>
    </row>
    <row r="471" spans="2:4" x14ac:dyDescent="0.25">
      <c r="B471" s="521">
        <v>90</v>
      </c>
      <c r="C471" s="522">
        <f t="shared" ca="1" si="16"/>
        <v>0.2723709696835351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0.2753973137911299</v>
      </c>
      <c r="D472" s="523">
        <f t="shared" ca="1" si="17"/>
        <v>0.987688340595138</v>
      </c>
    </row>
    <row r="473" spans="2:4" x14ac:dyDescent="0.25">
      <c r="B473" s="521">
        <v>92</v>
      </c>
      <c r="C473" s="522">
        <f t="shared" ca="1" si="16"/>
        <v>0.27842365789872475</v>
      </c>
      <c r="D473" s="523">
        <f t="shared" ca="1" si="17"/>
        <v>0.9510565162951538</v>
      </c>
    </row>
    <row r="474" spans="2:4" x14ac:dyDescent="0.25">
      <c r="B474" s="521">
        <v>93</v>
      </c>
      <c r="C474" s="522">
        <f t="shared" ca="1" si="16"/>
        <v>0.28145000200631964</v>
      </c>
      <c r="D474" s="523">
        <f t="shared" ca="1" si="17"/>
        <v>0.8910065241883669</v>
      </c>
    </row>
    <row r="475" spans="2:4" x14ac:dyDescent="0.25">
      <c r="B475" s="521">
        <v>94</v>
      </c>
      <c r="C475" s="522">
        <f t="shared" ca="1" si="16"/>
        <v>0.2844763461139144</v>
      </c>
      <c r="D475" s="523">
        <f t="shared" ca="1" si="17"/>
        <v>0.8090169943749478</v>
      </c>
    </row>
    <row r="476" spans="2:4" x14ac:dyDescent="0.25">
      <c r="B476" s="521">
        <v>95</v>
      </c>
      <c r="C476" s="522">
        <f t="shared" ca="1" si="16"/>
        <v>0.28750269022150926</v>
      </c>
      <c r="D476" s="523">
        <f t="shared" ca="1" si="17"/>
        <v>0.7071067811865486</v>
      </c>
    </row>
    <row r="477" spans="2:4" x14ac:dyDescent="0.25">
      <c r="B477" s="521">
        <v>96</v>
      </c>
      <c r="C477" s="522">
        <f t="shared" ca="1" si="16"/>
        <v>0.2905290343291041</v>
      </c>
      <c r="D477" s="523">
        <f t="shared" ca="1" si="17"/>
        <v>0.5877852522924736</v>
      </c>
    </row>
    <row r="478" spans="2:4" x14ac:dyDescent="0.25">
      <c r="B478" s="521">
        <v>97</v>
      </c>
      <c r="C478" s="522">
        <f t="shared" ca="1" si="16"/>
        <v>0.29355537843669893</v>
      </c>
      <c r="D478" s="523">
        <f t="shared" ca="1" si="17"/>
        <v>0.45399049973954814</v>
      </c>
    </row>
    <row r="479" spans="2:4" x14ac:dyDescent="0.25">
      <c r="B479" s="521">
        <v>98</v>
      </c>
      <c r="C479" s="522">
        <f t="shared" ca="1" si="16"/>
        <v>0.29658172254429377</v>
      </c>
      <c r="D479" s="523">
        <f t="shared" ca="1" si="17"/>
        <v>0.309016994374948</v>
      </c>
    </row>
    <row r="480" spans="2:4" x14ac:dyDescent="0.25">
      <c r="B480" s="521">
        <v>99</v>
      </c>
      <c r="C480" s="522">
        <f t="shared" ca="1" si="16"/>
        <v>0.2996080666518886</v>
      </c>
      <c r="D480" s="523">
        <f t="shared" ca="1" si="17"/>
        <v>0.1564344650402306</v>
      </c>
    </row>
    <row r="481" spans="2:4" x14ac:dyDescent="0.25">
      <c r="B481" s="521">
        <v>100</v>
      </c>
      <c r="C481" s="522">
        <f t="shared" ca="1" si="16"/>
        <v>0.30263441075948344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0.3056607548670783</v>
      </c>
      <c r="D482" s="523">
        <f t="shared" ca="1" si="17"/>
        <v>-0.15643446504023115</v>
      </c>
    </row>
    <row r="483" spans="2:4" x14ac:dyDescent="0.25">
      <c r="B483" s="521">
        <v>102</v>
      </c>
      <c r="C483" s="522">
        <f t="shared" ca="1" si="16"/>
        <v>0.3086870989746731</v>
      </c>
      <c r="D483" s="523">
        <f t="shared" ca="1" si="17"/>
        <v>-0.3090169943749485</v>
      </c>
    </row>
    <row r="484" spans="2:4" x14ac:dyDescent="0.25">
      <c r="B484" s="521">
        <v>103</v>
      </c>
      <c r="C484" s="522">
        <f t="shared" ca="1" si="16"/>
        <v>0.31171344308226795</v>
      </c>
      <c r="D484" s="523">
        <f t="shared" ca="1" si="17"/>
        <v>-0.4539904997395454</v>
      </c>
    </row>
    <row r="485" spans="2:4" x14ac:dyDescent="0.25">
      <c r="B485" s="521">
        <v>104</v>
      </c>
      <c r="C485" s="522">
        <f t="shared" ca="1" si="16"/>
        <v>0.3147397871898628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0.3177661312974576</v>
      </c>
      <c r="D486" s="523">
        <f t="shared" ca="1" si="17"/>
        <v>-0.7071067811865477</v>
      </c>
    </row>
    <row r="487" spans="2:4" x14ac:dyDescent="0.25">
      <c r="B487" s="521">
        <v>106</v>
      </c>
      <c r="C487" s="522">
        <f t="shared" ca="1" si="16"/>
        <v>0.32079247540505246</v>
      </c>
      <c r="D487" s="523">
        <f t="shared" ca="1" si="17"/>
        <v>-0.8090169943749481</v>
      </c>
    </row>
    <row r="488" spans="2:4" x14ac:dyDescent="0.25">
      <c r="B488" s="521">
        <v>107</v>
      </c>
      <c r="C488" s="522">
        <f t="shared" ca="1" si="16"/>
        <v>0.32381881951264724</v>
      </c>
      <c r="D488" s="523">
        <f t="shared" ca="1" si="17"/>
        <v>-0.8910065241883671</v>
      </c>
    </row>
    <row r="489" spans="2:4" x14ac:dyDescent="0.25">
      <c r="B489" s="521">
        <v>108</v>
      </c>
      <c r="C489" s="522">
        <f t="shared" ca="1" si="16"/>
        <v>0.32684516362024213</v>
      </c>
      <c r="D489" s="523">
        <f t="shared" ca="1" si="17"/>
        <v>-0.9510565162951534</v>
      </c>
    </row>
    <row r="490" spans="2:4" x14ac:dyDescent="0.25">
      <c r="B490" s="521">
        <v>109</v>
      </c>
      <c r="C490" s="522">
        <f t="shared" ca="1" si="16"/>
        <v>0.32987150772783697</v>
      </c>
      <c r="D490" s="523">
        <f t="shared" ca="1" si="17"/>
        <v>-0.9876883405951378</v>
      </c>
    </row>
    <row r="491" spans="2:4" x14ac:dyDescent="0.25">
      <c r="B491" s="521">
        <v>110</v>
      </c>
      <c r="C491" s="522">
        <f t="shared" ca="1" si="16"/>
        <v>0.3328978518354318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0.33592419594302664</v>
      </c>
      <c r="D492" s="523">
        <f t="shared" ca="1" si="17"/>
        <v>-0.9876883405951374</v>
      </c>
    </row>
    <row r="493" spans="2:4" x14ac:dyDescent="0.25">
      <c r="B493" s="521">
        <v>112</v>
      </c>
      <c r="C493" s="522">
        <f t="shared" ca="1" si="16"/>
        <v>0.3389505400506214</v>
      </c>
      <c r="D493" s="523">
        <f t="shared" ca="1" si="17"/>
        <v>-0.9510565162951538</v>
      </c>
    </row>
    <row r="494" spans="2:4" x14ac:dyDescent="0.25">
      <c r="B494" s="521">
        <v>113</v>
      </c>
      <c r="C494" s="522">
        <f t="shared" ca="1" si="16"/>
        <v>0.3419768841582163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0.34500322826581115</v>
      </c>
      <c r="D495" s="523">
        <f t="shared" ca="1" si="17"/>
        <v>-0.8090169943749468</v>
      </c>
    </row>
    <row r="496" spans="2:4" x14ac:dyDescent="0.25">
      <c r="B496" s="521">
        <v>115</v>
      </c>
      <c r="C496" s="522">
        <f t="shared" ca="1" si="16"/>
        <v>0.348029572373406</v>
      </c>
      <c r="D496" s="523">
        <f t="shared" ca="1" si="17"/>
        <v>-0.7071067811865461</v>
      </c>
    </row>
    <row r="497" spans="2:8" x14ac:dyDescent="0.25">
      <c r="B497" s="521">
        <v>116</v>
      </c>
      <c r="C497" s="522">
        <f t="shared" ca="1" si="16"/>
        <v>0.35105591648100076</v>
      </c>
      <c r="D497" s="523">
        <f t="shared" ca="1" si="17"/>
        <v>-0.5877852522924737</v>
      </c>
    </row>
    <row r="498" spans="2:8" x14ac:dyDescent="0.25">
      <c r="B498" s="521">
        <v>117</v>
      </c>
      <c r="C498" s="522">
        <f t="shared" ca="1" si="16"/>
        <v>0.3540822605885956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0.3571086046961905</v>
      </c>
      <c r="D499" s="523">
        <f t="shared" ca="1" si="17"/>
        <v>-0.3090169943749464</v>
      </c>
    </row>
    <row r="500" spans="2:8" x14ac:dyDescent="0.25">
      <c r="B500" s="521">
        <v>119</v>
      </c>
      <c r="C500" s="522">
        <f t="shared" ca="1" si="16"/>
        <v>0.3601349488037853</v>
      </c>
      <c r="D500" s="523">
        <f t="shared" ca="1" si="17"/>
        <v>-0.15643446504022895</v>
      </c>
    </row>
    <row r="501" spans="2:8" x14ac:dyDescent="0.25">
      <c r="B501" s="521">
        <v>120</v>
      </c>
      <c r="C501" s="522">
        <f t="shared" ca="1" si="16"/>
        <v>0.3631612929113801</v>
      </c>
      <c r="D501" s="523">
        <f t="shared" ca="1" si="17"/>
        <v>-7.347880794884119e-16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C837</f>
        <v>0.46642716431254194</v>
      </c>
      <c r="D505" s="503" t="s">
        <v>1173</v>
      </c>
      <c r="E505" s="488" t="inlineStr">
        <is>
          <t xml:space="preserve">*Coeficiente de engastamento do apoio esquerdo para a frequência (item 10, pela armadura da capa)</t>
        </is>
      </c>
    </row>
    <row r="506" spans="2:8" x14ac:dyDescent="0.25">
      <c r="B506" s="541" t="s">
        <v>1163</v>
      </c>
      <c r="C506" s="527">
        <f>C838</f>
        <v>0.7388787985817891</v>
      </c>
      <c r="D506" s="503" t="s">
        <v>1173</v>
      </c>
      <c r="E506" s="488" t="inlineStr">
        <is>
          <t xml:space="preserve">*Coeficiente de engastamento do apoio direito para a frequência (item 10, pela armadura da capa)</t>
        </is>
      </c>
    </row>
    <row r="507" spans="2:8" x14ac:dyDescent="0.25">
      <c r="B507" s="541" t="s">
        <v>1164</v>
      </c>
      <c r="C507" s="527">
        <f>3*C505/(1-C505)</f>
        <v>2.6224751324433226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8.488917727500837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3.879725074768066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0.0026542815601828806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3.433227539151318e-06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1.5251134740641357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-54.73564819111107</v>
      </c>
    </row>
    <row r="518" spans="4:7" x14ac:dyDescent="0.25">
      <c r="D518" s="543">
        <f t="shared" ref="D518:D536" si="19">IF(G517&gt;0,F517,D517)</f>
        <v>3.0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634.2437808186266</v>
      </c>
    </row>
    <row r="519" spans="4:7" x14ac:dyDescent="0.25">
      <c r="D519" s="543">
        <f t="shared" si="19"/>
        <v>3.45</v>
      </c>
      <c r="E519" s="543">
        <f t="shared" si="20"/>
        <v>3.9</v>
      </c>
      <c r="F519" s="543">
        <f t="shared" si="18"/>
        <v>3.675</v>
      </c>
      <c r="G519" s="543">
        <f t="shared" si="21"/>
        <v>413.17246425617446</v>
      </c>
    </row>
    <row r="520" spans="4:7" x14ac:dyDescent="0.25">
      <c r="D520" s="543">
        <f t="shared" si="19"/>
        <v>3.675</v>
      </c>
      <c r="E520" s="543">
        <f t="shared" si="20"/>
        <v>3.9</v>
      </c>
      <c r="F520" s="543">
        <f t="shared" si="18"/>
        <v>3.7874999999999996</v>
      </c>
      <c r="G520" s="543">
        <f t="shared" si="21"/>
        <v>215.86044948052506</v>
      </c>
    </row>
    <row r="521" spans="4:7" x14ac:dyDescent="0.25">
      <c r="D521" s="543">
        <f t="shared" si="19"/>
        <v>3.7874999999999996</v>
      </c>
      <c r="E521" s="543">
        <f t="shared" si="20"/>
        <v>3.9</v>
      </c>
      <c r="F521" s="543">
        <f t="shared" si="18"/>
        <v>3.84375</v>
      </c>
      <c r="G521" s="543">
        <f t="shared" si="21"/>
        <v>90.49654890204931</v>
      </c>
    </row>
    <row r="522" spans="4:7" x14ac:dyDescent="0.25">
      <c r="D522" s="543">
        <f t="shared" si="19"/>
        <v>3.84375</v>
      </c>
      <c r="E522" s="543">
        <f t="shared" si="20"/>
        <v>3.9</v>
      </c>
      <c r="F522" s="543">
        <f t="shared" si="18"/>
        <v>3.871875</v>
      </c>
      <c r="G522" s="543">
        <f t="shared" si="21"/>
        <v>20.463403802656558</v>
      </c>
    </row>
    <row r="523" spans="4:7" x14ac:dyDescent="0.25">
      <c r="D523" s="543">
        <f t="shared" si="19"/>
        <v>3.871875</v>
      </c>
      <c r="E523" s="543">
        <f t="shared" si="20"/>
        <v>3.9</v>
      </c>
      <c r="F523" s="543">
        <f t="shared" si="18"/>
        <v>3.8859375</v>
      </c>
      <c r="G523" s="543">
        <f t="shared" si="21"/>
        <v>-16.477804564574058</v>
      </c>
    </row>
    <row r="524" spans="4:7" x14ac:dyDescent="0.25">
      <c r="D524" s="543">
        <f t="shared" si="19"/>
        <v>3.871875</v>
      </c>
      <c r="E524" s="543">
        <f t="shared" si="20"/>
        <v>3.8859375</v>
      </c>
      <c r="F524" s="543">
        <f t="shared" si="18"/>
        <v>3.87890625</v>
      </c>
      <c r="G524" s="543">
        <f t="shared" si="21"/>
        <v>2.1558001955558552</v>
      </c>
    </row>
    <row r="525" spans="4:7" x14ac:dyDescent="0.25">
      <c r="D525" s="543">
        <f t="shared" si="19"/>
        <v>3.87890625</v>
      </c>
      <c r="E525" s="543">
        <f t="shared" si="20"/>
        <v>3.8859375</v>
      </c>
      <c r="F525" s="543">
        <f t="shared" si="18"/>
        <v>3.882421875</v>
      </c>
      <c r="G525" s="543">
        <f t="shared" si="21"/>
        <v>-7.12005507754742</v>
      </c>
    </row>
    <row r="526" spans="4:7" x14ac:dyDescent="0.25">
      <c r="D526" s="543">
        <f t="shared" si="19"/>
        <v>3.87890625</v>
      </c>
      <c r="E526" s="543">
        <f t="shared" si="20"/>
        <v>3.882421875</v>
      </c>
      <c r="F526" s="543">
        <f t="shared" si="18"/>
        <v>3.8806640625</v>
      </c>
      <c r="G526" s="543">
        <f t="shared" si="21"/>
        <v>-2.4719153093795967</v>
      </c>
    </row>
    <row r="527" spans="4:7" x14ac:dyDescent="0.25">
      <c r="D527" s="543">
        <f t="shared" si="19"/>
        <v>3.87890625</v>
      </c>
      <c r="E527" s="543">
        <f t="shared" si="20"/>
        <v>3.8806640625</v>
      </c>
      <c r="F527" s="543">
        <f t="shared" si="18"/>
        <v>3.87978515625</v>
      </c>
      <c r="G527" s="543">
        <f t="shared" si="21"/>
        <v>-0.1555076024926052</v>
      </c>
    </row>
    <row r="528" spans="4:7" x14ac:dyDescent="0.25">
      <c r="D528" s="543">
        <f t="shared" si="19"/>
        <v>3.87890625</v>
      </c>
      <c r="E528" s="543">
        <f t="shared" si="20"/>
        <v>3.87978515625</v>
      </c>
      <c r="F528" s="543">
        <f t="shared" si="18"/>
        <v>3.879345703125</v>
      </c>
      <c r="G528" s="543">
        <f t="shared" si="21"/>
        <v>1.0007834004616143</v>
      </c>
    </row>
    <row r="529" spans="2:9" x14ac:dyDescent="0.25">
      <c r="D529" s="543">
        <f t="shared" si="19"/>
        <v>3.879345703125</v>
      </c>
      <c r="E529" s="543">
        <f t="shared" si="20"/>
        <v>3.87978515625</v>
      </c>
      <c r="F529" s="543">
        <f t="shared" si="18"/>
        <v>3.8795654296875</v>
      </c>
      <c r="G529" s="543">
        <f t="shared" si="21"/>
        <v>0.4227972230448245</v>
      </c>
    </row>
    <row r="530" spans="2:9" x14ac:dyDescent="0.25">
      <c r="D530" s="543">
        <f t="shared" si="19"/>
        <v>3.8795654296875</v>
      </c>
      <c r="E530" s="543">
        <f t="shared" si="20"/>
        <v>3.87978515625</v>
      </c>
      <c r="F530" s="543">
        <f t="shared" si="18"/>
        <v>3.8796752929687504</v>
      </c>
      <c r="G530" s="543">
        <f t="shared" si="21"/>
        <v>0.1336846473009814</v>
      </c>
    </row>
    <row r="531" spans="2:9" x14ac:dyDescent="0.25">
      <c r="D531" s="543">
        <f t="shared" si="19"/>
        <v>3.8796752929687504</v>
      </c>
      <c r="E531" s="543">
        <f t="shared" si="20"/>
        <v>3.87978515625</v>
      </c>
      <c r="F531" s="543">
        <f t="shared" si="18"/>
        <v>3.879730224609375</v>
      </c>
      <c r="G531" s="543">
        <f t="shared" si="21"/>
        <v>-0.01090151758768343</v>
      </c>
    </row>
    <row r="532" spans="2:9" x14ac:dyDescent="0.25">
      <c r="D532" s="543">
        <f t="shared" si="19"/>
        <v>3.8796752929687504</v>
      </c>
      <c r="E532" s="543">
        <f t="shared" si="20"/>
        <v>3.879730224609375</v>
      </c>
      <c r="F532" s="543">
        <f t="shared" si="18"/>
        <v>3.8797027587890627</v>
      </c>
      <c r="G532" s="543">
        <f t="shared" si="21"/>
        <v>0.06139405476483262</v>
      </c>
    </row>
    <row r="533" spans="2:9" x14ac:dyDescent="0.25">
      <c r="D533" s="543">
        <f t="shared" si="19"/>
        <v>3.8797027587890627</v>
      </c>
      <c r="E533" s="543">
        <f t="shared" si="20"/>
        <v>3.879730224609375</v>
      </c>
      <c r="F533" s="543">
        <f t="shared" si="18"/>
        <v>3.879716491699219</v>
      </c>
      <c r="G533" s="543">
        <f t="shared" si="21"/>
        <v>0.02524689107724498</v>
      </c>
    </row>
    <row r="534" spans="2:9" x14ac:dyDescent="0.25">
      <c r="D534" s="543">
        <f t="shared" si="19"/>
        <v>3.879716491699219</v>
      </c>
      <c r="E534" s="543">
        <f t="shared" si="20"/>
        <v>3.879730224609375</v>
      </c>
      <c r="F534" s="543">
        <f t="shared" si="18"/>
        <v>3.8797233581542967</v>
      </c>
      <c r="G534" s="543">
        <f t="shared" si="21"/>
        <v>0.007172842368845522</v>
      </c>
    </row>
    <row r="535" spans="2:9" x14ac:dyDescent="0.25">
      <c r="D535" s="543">
        <f t="shared" si="19"/>
        <v>3.8797233581542967</v>
      </c>
      <c r="E535" s="543">
        <f t="shared" si="20"/>
        <v>3.879730224609375</v>
      </c>
      <c r="F535" s="543">
        <f t="shared" si="18"/>
        <v>3.879726791381836</v>
      </c>
      <c r="G535" s="543">
        <f t="shared" si="21"/>
        <v>-0.0018642987030830227</v>
      </c>
    </row>
    <row r="536" spans="2:9" ht="15.75" thickBot="1" x14ac:dyDescent="0.3">
      <c r="D536" s="544">
        <f t="shared" si="19"/>
        <v>3.8797233581542967</v>
      </c>
      <c r="E536" s="544">
        <f t="shared" si="20"/>
        <v>3.879726791381836</v>
      </c>
      <c r="F536" s="544">
        <f t="shared" si="18"/>
        <v>3.879725074768066</v>
      </c>
      <c r="G536" s="544">
        <f t="shared" si="21"/>
        <v>0.0026542815601828806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</v>
      </c>
      <c r="D544" s="807" t="s">
        <v>1206</v>
      </c>
      <c r="E544" s="807"/>
      <c r="F544" s="536" t="str">
        <f>IF($C$50&gt;=C544,"Ok","Não atende")</f>
        <v>Ok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  <row r="700" spans="2:19" ht="15.75" thickBot="1">
      <c r="B700" s="486" t="inlineStr">
        <is>
          <t xml:space="preserve">7.</t>
        </is>
      </c>
      <c r="C700" s="809" t="inlineStr">
        <is>
          <t xml:space="preserve">VERIFICAÇÕES COMPLEMENTARES DE CONFORTO (AISC Design Guide 11, 2ª ed.)</t>
        </is>
      </c>
      <c r="D700" s="809"/>
      <c r="E700" s="809"/>
      <c r="F700" s="809"/>
      <c r="G700" s="809"/>
      <c r="H700" s="809"/>
      <c r="I700" s="809"/>
      <c r="J700" s="809"/>
      <c r="K700" s="809"/>
      <c r="L700" s="809"/>
      <c r="M700" s="809"/>
      <c r="N700" s="809"/>
      <c r="O700" s="809"/>
      <c r="P700" s="809"/>
      <c r="Q700" s="809"/>
      <c r="R700" s="809"/>
      <c r="S700" s="809"/>
    </row>
    <row r="701" spans="2:19">
      <c r="B701" s="813" t="inlineStr">
        <is>
          <t xml:space="preserve"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Entradas editáveis: δviga, q,uso, Cj, β, P0 e a0/g.</t>
        </is>
      </c>
    </row>
    <row r="702" spans="2:19"/>
    <row r="704" spans="2:19" ht="15.75" thickBot="1">
      <c r="B704" s="486" t="inlineStr">
        <is>
          <t xml:space="preserve">7.1</t>
        </is>
      </c>
      <c r="C704" s="809" t="inlineStr">
        <is>
          <t xml:space="preserve">CONFERÊNCIA DA FREQUÊNCIA PELA FLECHA</t>
        </is>
      </c>
      <c r="D704" s="809"/>
      <c r="E704" s="809"/>
      <c r="F704" s="809"/>
      <c r="G704" s="809"/>
      <c r="H704" s="809"/>
      <c r="I704" s="809"/>
      <c r="J704" s="809"/>
      <c r="K704" s="809"/>
      <c r="L704" s="809"/>
      <c r="M704" s="809"/>
      <c r="N704" s="809"/>
      <c r="O704" s="809"/>
      <c r="P704" s="809"/>
      <c r="Q704" s="809"/>
      <c r="R704" s="809"/>
      <c r="S704" s="809"/>
    </row>
    <row r="705" spans="2:19">
      <c r="B705" s="482" t="inlineStr">
        <is>
          <t xml:space="preserve">w</t>
        </is>
      </c>
      <c r="C705" s="1">
        <f>(C20*9.81)+((C47*C48+C46)*C5/100*9.81)</f>
        <v>19857.854190440044</v>
      </c>
      <c r="D705" s="1" t="inlineStr">
        <is>
          <t xml:space="preserve">N/m</t>
        </is>
      </c>
      <c r="E705" s="488" t="inlineStr">
        <is>
          <t xml:space="preserve">*Carga por laje na mesma combinação do item 3: peso próprio + capa + chaveta + g5 + ψ1·q1</t>
        </is>
      </c>
    </row>
    <row r="706" spans="2:19">
      <c r="B706" s="482" t="inlineStr">
        <is>
          <t xml:space="preserve">δlaje</t>
        </is>
      </c>
      <c r="C706" s="1">
        <f>5*C705*(C14/100)^4/(384*C30*1000)*1000</f>
        <v>10.742576501685452</v>
      </c>
      <c r="D706" s="1" t="inlineStr">
        <is>
          <t xml:space="preserve">mm</t>
        </is>
      </c>
      <c r="E706" s="488" t="inlineStr">
        <is>
          <t xml:space="preserve">*Flecha elástica imediata no meio do vão, laje biapoiada, com o Ecs dinâmico (5wL⁴/384EI)</t>
        </is>
      </c>
    </row>
    <row r="707" spans="2:19">
      <c r="B707" s="482" t="inlineStr">
        <is>
          <t xml:space="preserve">fn,flecha</t>
        </is>
      </c>
      <c r="C707" s="501">
        <f>0.18*SQRT(9.81/(C706/1000))*$C$512</f>
        <v>8.295736313765937</v>
      </c>
      <c r="D707" s="1" t="inlineStr">
        <is>
          <t xml:space="preserve">Hz</t>
        </is>
      </c>
      <c r="E707" s="488" t="inlineStr">
        <is>
          <t xml:space="preserve">*fn = 0,18·√(g/δ) × R. Fórmula do AISC DG11 (eq. 3.3); para viga biapoiada é praticamente exata (o coeficiente teórico é 0,179)</t>
        </is>
      </c>
    </row>
    <row r="708" spans="2:19">
      <c r="B708" s="482" t="inlineStr">
        <is>
          <t xml:space="preserve">Diferença</t>
        </is>
      </c>
      <c r="C708" s="1">
        <f>C707/C50-1</f>
        <v>0.004230108453041392</v>
      </c>
      <c r="D708" s="1" t="inlineStr">
        <is>
          <t xml:space="preserve">-</t>
        </is>
      </c>
      <c r="E708" s="488" t="inlineStr">
        <is>
          <t xml:space="preserve">*Diferença para o item 3. Deve ser próxima de zero: é uma conferência independente das fórmulas e unidades</t>
        </is>
      </c>
    </row>
    <row r="711" spans="2:19" ht="15.75" thickBot="1">
      <c r="B711" s="486" t="inlineStr">
        <is>
          <t xml:space="preserve">7.2</t>
        </is>
      </c>
      <c r="C711" s="809" t="inlineStr">
        <is>
          <t xml:space="preserve">INFLUÊNCIA DA FLEXIBILIDADE DAS VIGAS DE APOIO</t>
        </is>
      </c>
      <c r="D711" s="809"/>
      <c r="E711" s="809"/>
      <c r="F711" s="809"/>
      <c r="G711" s="809"/>
      <c r="H711" s="809"/>
      <c r="I711" s="809"/>
      <c r="J711" s="809"/>
      <c r="K711" s="809"/>
      <c r="L711" s="809"/>
      <c r="M711" s="809"/>
      <c r="N711" s="809"/>
      <c r="O711" s="809"/>
      <c r="P711" s="809"/>
      <c r="Q711" s="809"/>
      <c r="R711" s="809"/>
      <c r="S711" s="809"/>
    </row>
    <row r="712" spans="2:19">
      <c r="B712" s="483" t="inlineStr">
        <is>
          <t xml:space="preserve">δviga,esq</t>
        </is>
      </c>
      <c r="C712" s="1">
        <f>'Deslocamento viga'!C27</f>
        <v>0</v>
      </c>
      <c r="D712" s="1" t="inlineStr">
        <is>
          <t xml:space="preserve">mm</t>
        </is>
      </c>
      <c r="E712" s="488" t="inlineStr">
        <is>
          <t xml:space="preserve">*Deslocamento da viga de apoio esquerda sob a reação das lajes (vem da aba "Deslocamento viga"). 0 = apoio indeformável</t>
        </is>
      </c>
    </row>
    <row r="713" spans="2:19">
      <c r="B713" s="483" t="inlineStr">
        <is>
          <t xml:space="preserve">δviga,dir</t>
        </is>
      </c>
      <c r="C713" s="1">
        <f>'Deslocamento viga'!D27</f>
        <v>0</v>
      </c>
      <c r="D713" s="1" t="inlineStr">
        <is>
          <t xml:space="preserve">mm</t>
        </is>
      </c>
      <c r="E713" s="488" t="inlineStr">
        <is>
          <t xml:space="preserve">*Deslocamento da viga de apoio direita (vem da aba "Deslocamento viga")</t>
        </is>
      </c>
    </row>
    <row r="714" spans="2:19">
      <c r="B714" s="482" t="inlineStr">
        <is>
          <t xml:space="preserve">δviga</t>
        </is>
      </c>
      <c r="C714" s="1">
        <f>(C712+C713)/2</f>
        <v>0.0</v>
      </c>
      <c r="D714" s="1" t="inlineStr">
        <is>
          <t xml:space="preserve">mm</t>
        </is>
      </c>
      <c r="E714" s="488" t="inlineStr">
        <is>
          <t xml:space="preserve">*Deslocamento médio dos apoios: é o quanto o meio do vão da laje desce a mais por causa das vigas</t>
        </is>
      </c>
    </row>
    <row r="715" spans="2:19">
      <c r="B715" s="482" t="inlineStr">
        <is>
          <t xml:space="preserve">fviga</t>
        </is>
      </c>
      <c r="C715" s="1" t="str">
        <f>IF(C714&gt;0,0.18*SQRT(9.81/(C714/1000)),"-")</f>
        <v>-</v>
      </c>
      <c r="D715" s="1" t="inlineStr">
        <is>
          <t xml:space="preserve">Hz</t>
        </is>
      </c>
      <c r="E715" s="488" t="inlineStr">
        <is>
          <t xml:space="preserve">*Frequência do modo em que as vigas vibram levando as lajes junto</t>
        </is>
      </c>
    </row>
    <row r="716" spans="2:19">
      <c r="B716" s="482" t="inlineStr">
        <is>
          <t xml:space="preserve">fn,sistema</t>
        </is>
      </c>
      <c r="C716" s="501">
        <f>IF(C714&gt;0,1/SQRT(1/C50^2+1/C715^2),C50)</f>
        <v>8.260792266570299</v>
      </c>
      <c r="D716" s="1" t="inlineStr">
        <is>
          <t xml:space="preserve">Hz</t>
        </is>
      </c>
      <c r="E716" s="488" t="inlineStr">
        <is>
          <t xml:space="preserve">*Frequência do conjunto laje + vigas (Dunkerley: 1/f² = 1/flaje² + 1/fviga²). Sempre menor que as duas; é o valor a comparar com a tabela de usos</t>
        </is>
      </c>
    </row>
    <row r="719" spans="2:19" ht="15.75" thickBot="1">
      <c r="B719" s="486" t="inlineStr">
        <is>
          <t xml:space="preserve">7.3</t>
        </is>
      </c>
      <c r="C719" s="809" t="inlineStr">
        <is>
          <t xml:space="preserve">ACELERAÇÃO DE PICO POR CAMINHADA (AISC DG11, cap. 4)</t>
        </is>
      </c>
      <c r="D719" s="809"/>
      <c r="E719" s="809"/>
      <c r="F719" s="809"/>
      <c r="G719" s="809"/>
      <c r="H719" s="809"/>
      <c r="I719" s="809"/>
      <c r="J719" s="809"/>
      <c r="K719" s="809"/>
      <c r="L719" s="809"/>
      <c r="M719" s="809"/>
      <c r="N719" s="809"/>
      <c r="O719" s="809"/>
      <c r="P719" s="809"/>
      <c r="Q719" s="809"/>
      <c r="R719" s="809"/>
      <c r="S719" s="809"/>
    </row>
    <row r="720" spans="2:19">
      <c r="B720" s="813" t="inlineStr">
        <is>
          <t xml:space="preserve">*Critério: ap/g = P0·e^(−0,35·fn) / (β·W) ≤ a0/g. Vale para fn &lt; 9 Hz; acima disso a caminhada não entra em ressonância e o critério passa a ser a rigidez a uma força concentrada (≥ 1 kN/mm).</t>
        </is>
      </c>
    </row>
    <row r="721" spans="2:19"/>
    <row r="722" spans="2:19">
      <c r="B722" s="483" t="inlineStr">
        <is>
          <t xml:space="preserve">q,uso</t>
        </is>
      </c>
      <c r="C722" s="490">
        <v>50</v>
      </c>
      <c r="D722" s="1" t="inlineStr">
        <is>
          <t xml:space="preserve">kgf/m²</t>
        </is>
      </c>
      <c r="E722" s="488" t="inlineStr">
        <is>
          <t xml:space="preserve">*Sobrecarga realmente presente no uso, e não a de projeto (AISC: ≈ 50 kgf/m² escritórios, ≈ 30 kgf/m² residências). Aqui mais massa reduz a aceleração, então usar a carga de projeto ficaria contra a segurança</t>
        </is>
      </c>
    </row>
    <row r="723" spans="2:19">
      <c r="B723" s="482" t="inlineStr">
        <is>
          <t xml:space="preserve">fn,ac</t>
        </is>
      </c>
      <c r="C723" s="501">
        <f>IF(C714&gt;0,1/SQRT(1/(((C40/((C20*C39*(C14/100))+(C722*(C14/100)*(C39*C5/100))+(C46*(C14/100)*(C39*C5/100))))^0.5)*1/(2*PI())*$C$512)^2+1/C715^2),((C40/((C20*C39*(C14/100))+(C722*(C14/100)*(C39*C5/100))+(C46*(C14/100)*(C39*C5/100))))^0.5)*1/(2*PI())*$C$512)</f>
        <v>12.8486207141115</v>
      </c>
      <c r="D723" s="1" t="inlineStr">
        <is>
          <t xml:space="preserve">Hz</t>
        </is>
      </c>
      <c r="E723" s="488" t="inlineStr">
        <is>
          <t xml:space="preserve">*Frequência do pano com a carga de uso real (mesma fórmula do item 3, incluindo R e as vigas do item 7.2)</t>
        </is>
      </c>
    </row>
    <row r="724" spans="2:19">
      <c r="B724" s="482" t="inlineStr">
        <is>
          <t xml:space="preserve">Ds</t>
        </is>
      </c>
      <c r="C724" s="1">
        <f>(C4/100)^3/12</f>
        <v>1.041666666666667e-05</v>
      </c>
      <c r="D724" s="1" t="inlineStr">
        <is>
          <t xml:space="preserve">m⁴/m</t>
        </is>
      </c>
      <c r="E724" s="488" t="inlineStr">
        <is>
          <t xml:space="preserve">*Rigidez transversal por metro de largura: só a capa (conservador, as juntas entre lajes não transmitem flexão)</t>
        </is>
      </c>
    </row>
    <row r="725" spans="2:19">
      <c r="B725" s="482" t="inlineStr">
        <is>
          <t xml:space="preserve">Dj</t>
        </is>
      </c>
      <c r="C725" s="1">
        <f>C19/(C5/100)</f>
        <v>0.0027312951176344915</v>
      </c>
      <c r="D725" s="1" t="inlineStr">
        <is>
          <t xml:space="preserve">m⁴/m</t>
        </is>
      </c>
      <c r="E725" s="488" t="inlineStr">
        <is>
          <t xml:space="preserve">*Rigidez longitudinal por metro de largura: inércia da seção composta / largura da laje</t>
        </is>
      </c>
    </row>
    <row r="726" spans="2:19">
      <c r="B726" s="483" t="inlineStr">
        <is>
          <t xml:space="preserve">Cj</t>
        </is>
      </c>
      <c r="C726" s="490">
        <v>2</v>
      </c>
      <c r="D726" s="1" t="inlineStr">
        <is>
          <t xml:space="preserve">-</t>
        </is>
      </c>
      <c r="E726" s="488" t="inlineStr">
        <is>
          <t xml:space="preserve">*2,0 para painel no meio do piso; 1,0 para painel junto a uma borda livre (sem laje do outro lado)</t>
        </is>
      </c>
    </row>
    <row r="727" spans="2:19">
      <c r="B727" s="482" t="inlineStr">
        <is>
          <t xml:space="preserve">Bj</t>
        </is>
      </c>
      <c r="C727" s="1">
        <f>MIN(C726*(C724/C725)^0.25*(C14/100),2/3*C38/100)</f>
        <v>4.219662541259813</v>
      </c>
      <c r="D727" s="1" t="inlineStr">
        <is>
          <t xml:space="preserve">m</t>
        </is>
      </c>
      <c r="E727" s="488" t="inlineStr">
        <is>
          <t xml:space="preserve">*Largura efetiva do piso que vibra junto com o ponto excitado, limitada a 2/3 da largura do pano</t>
        </is>
      </c>
    </row>
    <row r="728" spans="2:19">
      <c r="B728" s="482" t="inlineStr">
        <is>
          <t xml:space="preserve">W</t>
        </is>
      </c>
      <c r="C728" s="1">
        <f>((C20/(C5/100))+C722+C46)*9.81/1000*C727*(C14/100)</f>
        <v>235.25458659486674</v>
      </c>
      <c r="D728" s="1" t="inlineStr">
        <is>
          <t xml:space="preserve">kN</t>
        </is>
      </c>
      <c r="E728" s="488" t="inlineStr">
        <is>
          <t xml:space="preserve">*Peso efetivo que participa da vibração: carga por m² × Bj × L</t>
        </is>
      </c>
    </row>
    <row r="729" spans="2:19">
      <c r="B729" s="483" t="inlineStr">
        <is>
          <t xml:space="preserve">β</t>
        </is>
      </c>
      <c r="C729" s="490">
        <v>0.03</v>
      </c>
      <c r="D729" s="1" t="inlineStr">
        <is>
          <t xml:space="preserve">-</t>
        </is>
      </c>
      <c r="E729" s="488" t="inlineStr">
        <is>
          <t xml:space="preserve">*Taxa de amortecimento: 0,02 laje sem acabamentos/divisórias; 0,03 com forro, instalações e mobiliário; 0,05 com divisórias até o teto</t>
        </is>
      </c>
    </row>
    <row r="730" spans="2:19">
      <c r="B730" s="483" t="inlineStr">
        <is>
          <t xml:space="preserve">P0</t>
        </is>
      </c>
      <c r="C730" s="490">
        <v>0.29</v>
      </c>
      <c r="D730" s="1" t="inlineStr">
        <is>
          <t xml:space="preserve">kN</t>
        </is>
      </c>
      <c r="E730" s="488" t="inlineStr">
        <is>
          <t xml:space="preserve">*Amplitude da força de uma pessoa caminhando (AISC: 0,29 kN)</t>
        </is>
      </c>
    </row>
    <row r="731" spans="2:19">
      <c r="B731" s="482" t="inlineStr">
        <is>
          <t xml:space="preserve">ap/g</t>
        </is>
      </c>
      <c r="C731" s="501">
        <f>C730*EXP(-0.35*C723)/(C729*C728)*100</f>
        <v>0.045783487051918335</v>
      </c>
      <c r="D731" s="1" t="inlineStr">
        <is>
          <t xml:space="preserve">%g</t>
        </is>
      </c>
      <c r="E731" s="488" t="inlineStr">
        <is>
          <t xml:space="preserve">*Aceleração de pico estimada, em % da gravidade</t>
        </is>
      </c>
    </row>
    <row r="732" spans="2:19">
      <c r="B732" s="483" t="inlineStr">
        <is>
          <t xml:space="preserve">a0/g</t>
        </is>
      </c>
      <c r="C732" s="490">
        <v>0.5</v>
      </c>
      <c r="D732" s="1" t="inlineStr">
        <is>
          <t xml:space="preserve">%g</t>
        </is>
      </c>
      <c r="E732" s="488" t="inlineStr">
        <is>
          <t xml:space="preserve">*Limite (AISC Tab. 4.1): 0,5% escritórios, residências, escolas, igrejas; 1,5% shoppings e passarelas internas; 5% passarelas externas</t>
        </is>
      </c>
    </row>
    <row r="733" spans="2:19">
      <c r="B733" s="482" t="inlineStr">
        <is>
          <t xml:space="preserve">kpontual</t>
        </is>
      </c>
      <c r="C733" s="1">
        <f>48*C30/(C14/100)^3/1000</f>
        <v>9.808702668441821</v>
      </c>
      <c r="D733" s="1" t="inlineStr">
        <is>
          <t xml:space="preserve">kN/mm</t>
        </is>
      </c>
      <c r="E733" s="488" t="inlineStr">
        <is>
          <t xml:space="preserve">*Rigidez a força concentrada no meio do vão de uma laje isolada (48EI/L³, conservador). Usada só quando fn ≥ 9 Hz: exige ≥ 1 kN/mm</t>
        </is>
      </c>
    </row>
    <row r="734" spans="2:19">
      <c r="B734" s="506" t="inlineStr">
        <is>
          <t xml:space="preserve">Situação:</t>
        </is>
      </c>
      <c r="C734" s="507" t="str">
        <f>IF(C723&gt;=9,IF(C733&gt;=1,"fn ≥ 9 Hz: Ok (rigidez)","fn ≥ 9 Hz: Não atende (rigidez &lt; 1 kN/mm)"),IF(C731&lt;=C732,"Ok","Não atende - aumentar rigidez, massa ou amortecimento"))</f>
        <v>fn ≥ 9 Hz: Ok (rigidez)</v>
      </c>
    </row>
    <row r="740" spans="2:22">
      <c r="B740" s="486" t="inlineStr">
        <is>
          <t xml:space="preserve">8.</t>
        </is>
      </c>
      <c r="C740" s="809" t="inlineStr">
        <is>
          <t xml:space="preserve">PARÂMETROS DOS MATERIAIS E SEÇÃO COMPOSTA HOMOGENEIZADA (usados nos itens 1 a 3)</t>
        </is>
      </c>
      <c r="D740" s="809"/>
      <c r="E740" s="809"/>
      <c r="F740" s="809"/>
      <c r="G740" s="809"/>
      <c r="H740" s="809"/>
      <c r="I740" s="809"/>
      <c r="J740" s="809"/>
      <c r="K740" s="809"/>
      <c r="L740" s="809"/>
      <c r="M740" s="809"/>
      <c r="N740" s="809"/>
      <c r="O740" s="809"/>
      <c r="P740" s="809"/>
      <c r="Q740" s="809"/>
      <c r="R740" s="809"/>
      <c r="S740" s="809"/>
    </row>
    <row r="741" spans="2:22">
      <c r="B741" s="813" t="inlineStr">
        <is>
          <t xml:space="preserve">*A seção composta é homogeneizada para o concreto da laje: capa e chaveta entram com a razão entre módulos (n), cada material com seu αE. A massa usa a área real de concreto (capa na largura da laje). O daf é separado entre laje isolada (montagem) e pano pronto, conforme os ensaios do item 9.</t>
        </is>
      </c>
    </row>
    <row r="742" spans="2:22"/>
    <row r="744" spans="2:22">
      <c r="B744" s="483" t="inlineStr">
        <is>
          <t xml:space="preserve">αE,laje</t>
        </is>
      </c>
      <c r="C744" s="490">
        <v>1.0</v>
      </c>
      <c r="D744" s="1" t="inlineStr">
        <is>
          <t xml:space="preserve">-</t>
        </is>
      </c>
      <c r="E744" s="488" t="inlineStr">
        <is>
          <t xml:space="preserve">*Agregado do concreto da laje (fabricante: 1,0). NBR 6118 8.2.8: basalto/diabásio 1,2; granito/gnaisse 1,0; calcário 0,9; arenito 0,7</t>
        </is>
      </c>
    </row>
    <row r="745" spans="2:22">
      <c r="B745" s="483" t="inlineStr">
        <is>
          <t xml:space="preserve">αE,capa</t>
        </is>
      </c>
      <c r="C745" s="490">
        <v>1.0</v>
      </c>
      <c r="D745" s="1" t="inlineStr">
        <is>
          <t xml:space="preserve">-</t>
        </is>
      </c>
      <c r="E745" s="488" t="inlineStr">
        <is>
          <t xml:space="preserve">*Agregado do concreto da capa (concreto de obra, pode diferir do da laje)</t>
        </is>
      </c>
    </row>
    <row r="746" spans="2:22">
      <c r="B746" s="483" t="inlineStr">
        <is>
          <t xml:space="preserve">fck,chav</t>
        </is>
      </c>
      <c r="C746" s="490">
        <f>Geometria!H59</f>
        <v>30.0</v>
      </c>
      <c r="D746" s="1" t="inlineStr">
        <is>
          <t xml:space="preserve">MPa</t>
        </is>
      </c>
      <c r="E746" s="488" t="inlineStr">
        <is>
          <t xml:space="preserve">*fck do concreto/graute da chaveta (padrão = fck da capa)</t>
        </is>
      </c>
    </row>
    <row r="747" spans="2:22">
      <c r="B747" s="483" t="inlineStr">
        <is>
          <t xml:space="preserve">αE,chav</t>
        </is>
      </c>
      <c r="C747" s="490">
        <f>C745</f>
        <v>1.0</v>
      </c>
      <c r="D747" s="1" t="inlineStr">
        <is>
          <t xml:space="preserve">-</t>
        </is>
      </c>
      <c r="E747" s="488" t="inlineStr">
        <is>
          <t xml:space="preserve">*Agregado do concreto da chaveta (padrão = capa)</t>
        </is>
      </c>
    </row>
    <row r="748" spans="2:22">
      <c r="B748" s="483" t="inlineStr">
        <is>
          <t xml:space="preserve">daf,isol</t>
        </is>
      </c>
      <c r="C748" s="490">
        <v>1.0</v>
      </c>
      <c r="D748" s="1" t="inlineStr">
        <is>
          <t xml:space="preserve">-</t>
        </is>
      </c>
      <c r="E748" s="488" t="inlineStr">
        <is>
          <t xml:space="preserve">*Majorador dinâmico do módulo para a laje isolada (item 2.1). Calibrado em 1,0 com o ensaio 1 do item 9</t>
        </is>
      </c>
    </row>
    <row r="749" spans="2:22">
      <c r="B749" s="483" t="inlineStr">
        <is>
          <t xml:space="preserve">daf,pronto</t>
        </is>
      </c>
      <c r="C749" s="490">
        <f>Geometria!H1290</f>
        <v>1.0</v>
      </c>
      <c r="D749" s="1" t="inlineStr">
        <is>
          <t xml:space="preserve">-</t>
        </is>
      </c>
      <c r="E749" s="488" t="inlineStr">
        <is>
          <t xml:space="preserve">*Majorador dinâmico do módulo para o pano pronto (Geometria H1290). Calibrado em 1,0 com os ensaios do item 9</t>
        </is>
      </c>
    </row>
    <row r="750" spans="2:22">
      <c r="B750" s="482" t="inlineStr">
        <is>
          <t xml:space="preserve">Ecs,laje</t>
        </is>
      </c>
      <c r="C750" s="1">
        <f>C744*5600*SQRT(C6)*MIN(1,0.8+0.2*C6/80)</f>
        <v>36628.13126546316</v>
      </c>
      <c r="D750" s="1" t="inlineStr">
        <is>
          <t xml:space="preserve">MPa</t>
        </is>
      </c>
      <c r="E750" s="488" t="inlineStr">
        <is>
          <t xml:space="preserve">*Módulo secante estático do concreto da laje</t>
        </is>
      </c>
    </row>
    <row r="751" spans="2:22">
      <c r="B751" s="482" t="inlineStr">
        <is>
          <t xml:space="preserve">Ecs,capa</t>
        </is>
      </c>
      <c r="C751" s="1">
        <f>C745*5600*SQRT(Geometria!H59)*MIN(1,0.8+0.2*Geometria!H59/80)</f>
        <v>26838.405317753142</v>
      </c>
      <c r="D751" s="1" t="inlineStr">
        <is>
          <t xml:space="preserve">MPa</t>
        </is>
      </c>
      <c r="E751" s="488" t="inlineStr">
        <is>
          <t xml:space="preserve">*Módulo secante estático do concreto da capa</t>
        </is>
      </c>
    </row>
    <row r="752" spans="2:22">
      <c r="B752" s="482" t="inlineStr">
        <is>
          <t xml:space="preserve">Ecs,chav</t>
        </is>
      </c>
      <c r="C752" s="1">
        <f>C747*5600*SQRT(C746)*MIN(1,0.8+0.2*C746/80)</f>
        <v>26838.405317753142</v>
      </c>
      <c r="D752" s="1" t="inlineStr">
        <is>
          <t xml:space="preserve">MPa</t>
        </is>
      </c>
      <c r="E752" s="488" t="inlineStr">
        <is>
          <t xml:space="preserve">*Módulo secante estático do concreto da chaveta</t>
        </is>
      </c>
    </row>
    <row r="753" spans="2:22">
      <c r="B753" s="482" t="inlineStr">
        <is>
          <t xml:space="preserve">n,capa</t>
        </is>
      </c>
      <c r="C753" s="1">
        <f>C751/C750</f>
        <v>0.732726579012214</v>
      </c>
      <c r="D753" s="1" t="inlineStr">
        <is>
          <t xml:space="preserve">-</t>
        </is>
      </c>
      <c r="E753" s="488" t="inlineStr">
        <is>
          <t xml:space="preserve">*Razão de módulos capa / laje</t>
        </is>
      </c>
    </row>
    <row r="754" spans="2:22">
      <c r="B754" s="482" t="inlineStr">
        <is>
          <t xml:space="preserve">n,chav</t>
        </is>
      </c>
      <c r="C754" s="1">
        <f>C752/C750</f>
        <v>0.732726579012214</v>
      </c>
      <c r="D754" s="1" t="inlineStr">
        <is>
          <t xml:space="preserve">-</t>
        </is>
      </c>
      <c r="E754" s="488" t="inlineStr">
        <is>
          <t xml:space="preserve">*Razão de módulos chaveta / laje</t>
        </is>
      </c>
    </row>
    <row r="755" spans="2:22">
      <c r="B755" s="482" t="inlineStr">
        <is>
          <t xml:space="preserve">A,pré</t>
        </is>
      </c>
      <c r="C755" s="1">
        <f>C8</f>
        <v>0.1893963379384319</v>
      </c>
      <c r="D755" s="1" t="inlineStr">
        <is>
          <t xml:space="preserve">m²</t>
        </is>
      </c>
      <c r="E755" s="488" t="inlineStr">
        <is>
          <t xml:space="preserve">*Área da laje pré-fabricada</t>
        </is>
      </c>
    </row>
    <row r="756" spans="2:22">
      <c r="B756" s="482" t="inlineStr">
        <is>
          <t xml:space="preserve">y,pré</t>
        </is>
      </c>
      <c r="C756" s="1">
        <f>Geometria!H24/100</f>
        <v>0.1468407649909011</v>
      </c>
      <c r="D756" s="1" t="inlineStr">
        <is>
          <t xml:space="preserve">m</t>
        </is>
      </c>
      <c r="E756" s="488" t="inlineStr">
        <is>
          <t xml:space="preserve">*Centro de gravidade da laje, a partir da face inferior</t>
        </is>
      </c>
    </row>
    <row r="757" spans="2:22">
      <c r="B757" s="482" t="inlineStr">
        <is>
          <t xml:space="preserve">I,pré</t>
        </is>
      </c>
      <c r="C757" s="1">
        <f>C9</f>
        <v>0.002192510094213845</v>
      </c>
      <c r="D757" s="1" t="inlineStr">
        <is>
          <t xml:space="preserve">m⁴</t>
        </is>
      </c>
      <c r="E757" s="488" t="inlineStr">
        <is>
          <t xml:space="preserve">*Inércia da laje pré-fabricada</t>
        </is>
      </c>
    </row>
    <row r="758" spans="2:22">
      <c r="B758" s="482" t="inlineStr">
        <is>
          <t xml:space="preserve">A,capa</t>
        </is>
      </c>
      <c r="C758" s="1">
        <f>(C5/100)*(C4/100)</f>
        <v>0.0625</v>
      </c>
      <c r="D758" s="1" t="inlineStr">
        <is>
          <t xml:space="preserve">m²</t>
        </is>
      </c>
      <c r="E758" s="488" t="inlineStr">
        <is>
          <t xml:space="preserve">*Capa na largura da laje (bf × hcapa)</t>
        </is>
      </c>
    </row>
    <row r="759" spans="2:22">
      <c r="B759" s="482" t="inlineStr">
        <is>
          <t xml:space="preserve">y,capa</t>
        </is>
      </c>
      <c r="C759" s="1">
        <f>(C3+C4/2)/100</f>
        <v>0.325</v>
      </c>
      <c r="D759" s="1" t="inlineStr">
        <is>
          <t xml:space="preserve">m</t>
        </is>
      </c>
      <c r="E759" s="488" t="inlineStr">
        <is>
          <t xml:space="preserve">*Centro de gravidade da capa</t>
        </is>
      </c>
    </row>
    <row r="760" spans="2:22">
      <c r="B760" s="482" t="inlineStr">
        <is>
          <t xml:space="preserve">I,capa</t>
        </is>
      </c>
      <c r="C760" s="1">
        <f>(C5/100)*(C4/100)^3/12</f>
        <v>1.3020833333333336e-05</v>
      </c>
      <c r="D760" s="1" t="inlineStr">
        <is>
          <t xml:space="preserve">m⁴</t>
        </is>
      </c>
      <c r="E760" s="488" t="inlineStr">
        <is>
          <t xml:space="preserve">*Inércia própria da capa</t>
        </is>
      </c>
    </row>
    <row r="761" spans="2:22">
      <c r="B761" s="482" t="inlineStr">
        <is>
          <t xml:space="preserve">A,chav</t>
        </is>
      </c>
      <c r="C761" s="1">
        <f>'Propriedades geométricas chavet'!M6/100^2</f>
        <v>0.0078021</v>
      </c>
      <c r="D761" s="1" t="inlineStr">
        <is>
          <t xml:space="preserve">m²</t>
        </is>
      </c>
      <c r="E761" s="488" t="inlineStr">
        <is>
          <t xml:space="preserve">*Área da chaveta (uma junta por laje)</t>
        </is>
      </c>
    </row>
    <row r="762" spans="2:22">
      <c r="B762" s="482" t="inlineStr">
        <is>
          <t xml:space="preserve">y,chav</t>
        </is>
      </c>
      <c r="C762" s="1">
        <f>'Propriedades geométricas chavet'!M7/100</f>
        <v>0.1463607163455993</v>
      </c>
      <c r="D762" s="1" t="inlineStr">
        <is>
          <t xml:space="preserve">m</t>
        </is>
      </c>
      <c r="E762" s="488" t="inlineStr">
        <is>
          <t xml:space="preserve">*Centro de gravidade da chaveta</t>
        </is>
      </c>
    </row>
    <row r="763" spans="2:22">
      <c r="B763" s="482" t="inlineStr">
        <is>
          <t xml:space="preserve">I,chav</t>
        </is>
      </c>
      <c r="C763" s="1">
        <f>'Propriedades geométricas chavet'!M9/100^4</f>
        <v>4.7247377939506293e-05</v>
      </c>
      <c r="D763" s="1" t="inlineStr">
        <is>
          <t xml:space="preserve">m⁴</t>
        </is>
      </c>
      <c r="E763" s="488" t="inlineStr">
        <is>
          <t xml:space="preserve">*Inércia própria da chaveta</t>
        </is>
      </c>
    </row>
    <row r="764" spans="2:22">
      <c r="B764" s="482" t="inlineStr">
        <is>
          <t xml:space="preserve">A,hom</t>
        </is>
      </c>
      <c r="C764" s="1">
        <f>C755+C753*C758+C754*C761</f>
        <v>0.2409085551688065</v>
      </c>
      <c r="D764" s="1" t="inlineStr">
        <is>
          <t xml:space="preserve">m²</t>
        </is>
      </c>
      <c r="E764" s="488" t="inlineStr">
        <is>
          <t xml:space="preserve">*Área homogeneizada</t>
        </is>
      </c>
    </row>
    <row r="765" spans="2:22">
      <c r="B765" s="482" t="inlineStr">
        <is>
          <t xml:space="preserve">y,hom</t>
        </is>
      </c>
      <c r="C765" s="1">
        <f>(C755*C756+C753*C758*C759+C754*C761*C762)/C764</f>
        <v>0.18069647872226735</v>
      </c>
      <c r="D765" s="1" t="inlineStr">
        <is>
          <t xml:space="preserve">m</t>
        </is>
      </c>
      <c r="E765" s="488" t="inlineStr">
        <is>
          <t xml:space="preserve">*Centro de gravidade da seção homogeneizada</t>
        </is>
      </c>
    </row>
    <row r="766" spans="2:22">
      <c r="B766" s="482" t="inlineStr">
        <is>
          <t xml:space="preserve">I,hom</t>
        </is>
      </c>
      <c r="C766" s="1">
        <f>C757+C755*(C756-C765)^2+C753*(C760+C758*(C759-C765)^2)+C754*(C763+C761*(C762-C765)^2)</f>
        <v>0.003414118897043114</v>
      </c>
      <c r="D766" s="1" t="inlineStr">
        <is>
          <t xml:space="preserve">m⁴</t>
        </is>
      </c>
      <c r="E766" s="488" t="inlineStr">
        <is>
          <t xml:space="preserve">*Inércia da seção composta (laje + capa + chaveta) homogeneizada para o concreto da laje</t>
        </is>
      </c>
    </row>
    <row r="767" spans="2:22">
      <c r="B767" s="482" t="inlineStr">
        <is>
          <t xml:space="preserve">A,real</t>
        </is>
      </c>
      <c r="C767" s="1">
        <f>C755+C758</f>
        <v>0.2518963379384319</v>
      </c>
      <c r="D767" s="1" t="inlineStr">
        <is>
          <t xml:space="preserve">m²</t>
        </is>
      </c>
      <c r="E767" s="488" t="inlineStr">
        <is>
          <t xml:space="preserve">*Área real de concreto para a massa (a chaveta é somada em C20)</t>
        </is>
      </c>
    </row>
    <row r="770" spans="2:22">
      <c r="B770" s="486" t="inlineStr">
        <is>
          <t xml:space="preserve">9.</t>
        </is>
      </c>
      <c r="C770" s="809" t="inlineStr">
        <is>
          <t xml:space="preserve">VALIDAÇÃO EXPERIMENTAL - ENSAIOS DE CAMPO DE MORANDINI (dissertação de mestrado, 2026)</t>
        </is>
      </c>
      <c r="D770" s="809"/>
      <c r="E770" s="809"/>
      <c r="F770" s="809"/>
      <c r="G770" s="809"/>
      <c r="H770" s="809"/>
      <c r="I770" s="809"/>
      <c r="J770" s="809"/>
      <c r="K770" s="809"/>
      <c r="L770" s="809"/>
      <c r="M770" s="809"/>
      <c r="N770" s="809"/>
      <c r="O770" s="809"/>
      <c r="P770" s="809"/>
      <c r="Q770" s="809"/>
      <c r="R770" s="809"/>
      <c r="S770" s="809"/>
    </row>
    <row r="771" spans="2:22">
      <c r="B771" s="813" t="inlineStr">
        <is>
          <t xml:space="preserve">*Reproduz dois ensaios de campo com a mesma metodologia desta aba, para conferir se as hipóteses adotadas (daf, αE, αR) levam a frequências próximas das medidas. Seções calculadas a partir das Figuras 21 (H300) e 34 (H250) da dissertação. Alterar as células de entrada permite testar outras hipóteses.</t>
        </is>
      </c>
    </row>
    <row r="772" spans="2:22"/>
    <row r="774" spans="2:22">
      <c r="B774" s="486" t="inlineStr">
        <is>
          <t xml:space="preserve">9.1</t>
        </is>
      </c>
      <c r="C774" s="809" t="inlineStr">
        <is>
          <t xml:space="preserve">ENSAIO 1 - LAJE H300 ISOLADA NA MONTAGEM (biapoiada, sem capa e sem chaveta)</t>
        </is>
      </c>
      <c r="D774" s="809"/>
      <c r="E774" s="809"/>
      <c r="F774" s="809"/>
      <c r="G774" s="809"/>
      <c r="H774" s="809"/>
      <c r="I774" s="809"/>
      <c r="J774" s="809"/>
      <c r="K774" s="809"/>
      <c r="L774" s="809"/>
      <c r="M774" s="809"/>
      <c r="N774" s="809"/>
      <c r="O774" s="809"/>
      <c r="P774" s="809"/>
      <c r="Q774" s="809"/>
      <c r="R774" s="809"/>
      <c r="S774" s="809"/>
    </row>
    <row r="775" spans="2:22">
      <c r="B775" s="483" t="inlineStr">
        <is>
          <t xml:space="preserve">L</t>
        </is>
      </c>
      <c r="C775" s="490">
        <v>10.88</v>
      </c>
      <c r="D775" s="1" t="inlineStr">
        <is>
          <t xml:space="preserve">m</t>
        </is>
      </c>
      <c r="E775" s="488" t="inlineStr">
        <is>
          <t xml:space="preserve">*Comprimento da laje ensaiada</t>
        </is>
      </c>
    </row>
    <row r="776" spans="2:22">
      <c r="B776" s="483" t="inlineStr">
        <is>
          <t xml:space="preserve">A</t>
        </is>
      </c>
      <c r="C776" s="490">
        <v>0.20652</v>
      </c>
      <c r="D776" s="1" t="inlineStr">
        <is>
          <t xml:space="preserve">m²</t>
        </is>
      </c>
      <c r="E776" s="488" t="inlineStr">
        <is>
          <t xml:space="preserve">*Área da seção H300 (Figura 21), calculada</t>
        </is>
      </c>
    </row>
    <row r="777" spans="2:22">
      <c r="B777" s="483" t="inlineStr">
        <is>
          <t xml:space="preserve">I</t>
        </is>
      </c>
      <c r="C777" s="490">
        <v>0.0022714</v>
      </c>
      <c r="D777" s="1" t="inlineStr">
        <is>
          <t xml:space="preserve">m⁴</t>
        </is>
      </c>
      <c r="E777" s="488" t="inlineStr">
        <is>
          <t xml:space="preserve">*Inércia da seção H300 (Figura 21), calculada</t>
        </is>
      </c>
    </row>
    <row r="778" spans="2:22">
      <c r="B778" s="483" t="inlineStr">
        <is>
          <t xml:space="preserve">fck</t>
        </is>
      </c>
      <c r="C778" s="490">
        <v>50</v>
      </c>
      <c r="D778" s="1" t="inlineStr">
        <is>
          <t xml:space="preserve">MPa</t>
        </is>
      </c>
      <c r="E778" s="488" t="inlineStr">
        <is>
          <t xml:space="preserve">*Classe do concreto da laje</t>
        </is>
      </c>
    </row>
    <row r="779" spans="2:22">
      <c r="B779" s="482" t="inlineStr">
        <is>
          <t xml:space="preserve">Ecs</t>
        </is>
      </c>
      <c r="C779" s="1">
        <f>C744*5600*SQRT(C778)*MIN(1,0.8+0.2*C778/80)*C748</f>
        <v>36628.13126546316</v>
      </c>
      <c r="D779" s="1" t="inlineStr">
        <is>
          <t xml:space="preserve">MPa</t>
        </is>
      </c>
      <c r="E779" s="488" t="inlineStr">
        <is>
          <t xml:space="preserve">*Módulo com αE da laje e daf da laje isolada (item 8)</t>
        </is>
      </c>
    </row>
    <row r="780" spans="2:22">
      <c r="B780" s="482" t="inlineStr">
        <is>
          <t xml:space="preserve">m</t>
        </is>
      </c>
      <c r="C780" s="1">
        <f>C776*2500</f>
        <v>516.3000000000001</v>
      </c>
      <c r="D780" s="1" t="inlineStr">
        <is>
          <t xml:space="preserve">kg/m</t>
        </is>
      </c>
      <c r="E780" s="488" t="inlineStr">
        <is>
          <t xml:space="preserve">*Massa da laje por metro</t>
        </is>
      </c>
    </row>
    <row r="781" spans="2:22">
      <c r="B781" s="483" t="inlineStr">
        <is>
          <t xml:space="preserve">mp</t>
        </is>
      </c>
      <c r="C781" s="490">
        <v>75</v>
      </c>
      <c r="D781" s="1" t="inlineStr">
        <is>
          <t xml:space="preserve">kg</t>
        </is>
      </c>
      <c r="E781" s="488" t="inlineStr">
        <is>
          <t xml:space="preserve">*Massa da pessoa que excitou a laje no meio do vão</t>
        </is>
      </c>
    </row>
    <row r="782" spans="2:22">
      <c r="B782" s="482" t="inlineStr">
        <is>
          <t xml:space="preserve">fn,calc</t>
        </is>
      </c>
      <c r="C782" s="501">
        <f>PI()/(2*C775^2)*SQRT(C779*10^6*C777/C780)*SQRT((C780*C775/2)/(C780*C775/2+C781))</f>
        <v>5.25705835165276</v>
      </c>
      <c r="D782" s="1" t="inlineStr">
        <is>
          <t xml:space="preserve">Hz</t>
        </is>
      </c>
      <c r="E782" s="488" t="inlineStr">
        <is>
          <t xml:space="preserve">*Frequência calculada (biapoiada, com a massa da pessoa)</t>
        </is>
      </c>
    </row>
    <row r="783" spans="2:22">
      <c r="B783" s="483" t="inlineStr">
        <is>
          <t xml:space="preserve">fn,med</t>
        </is>
      </c>
      <c r="C783" s="490">
        <v>4.59</v>
      </c>
      <c r="D783" s="1" t="inlineStr">
        <is>
          <t xml:space="preserve">Hz</t>
        </is>
      </c>
      <c r="E783" s="488" t="inlineStr">
        <is>
          <t xml:space="preserve">*Frequência medida (1º pico)</t>
        </is>
      </c>
    </row>
    <row r="784" spans="2:22">
      <c r="B784" s="482" t="inlineStr">
        <is>
          <t xml:space="preserve">Diferença</t>
        </is>
      </c>
      <c r="C784" s="1">
        <f>C782/C783-1</f>
        <v>0.14532861691781274</v>
      </c>
      <c r="D784" s="1" t="inlineStr">
        <is>
          <t xml:space="preserve">-</t>
        </is>
      </c>
      <c r="E784" s="488" t="inlineStr">
        <is>
          <t xml:space="preserve">*Positivo = cálculo acima do medido (contra a segurança)</t>
        </is>
      </c>
    </row>
    <row r="785" spans="2:22">
      <c r="B785" s="813" t="inlineStr">
        <is>
          <t xml:space="preserve">*Mesmo com daf = 1,0 o cálculo fica cerca de 15% acima do medido. A razão entre os modos medidos (37,01/4,59 = 8,1, contra 9,0 teórico) indica apoios cedendo verticalmente na montagem (laje sem graute), efeito que o modelo biapoiado não capta.</t>
        </is>
      </c>
    </row>
    <row r="786" spans="2:22"/>
    <row r="788" spans="2:22">
      <c r="B788" s="486" t="inlineStr">
        <is>
          <t xml:space="preserve">9.2</t>
        </is>
      </c>
      <c r="C788" s="809" t="inlineStr">
        <is>
          <t xml:space="preserve">ENSAIO 2 - PISO PRONTO H250 + CHAVETA + CAPA 5 cm ARMADA (φ5 c/15)</t>
        </is>
      </c>
      <c r="D788" s="809"/>
      <c r="E788" s="809"/>
      <c r="F788" s="809"/>
      <c r="G788" s="809"/>
      <c r="H788" s="809"/>
      <c r="I788" s="809"/>
      <c r="J788" s="809"/>
      <c r="K788" s="809"/>
      <c r="L788" s="809"/>
      <c r="M788" s="809"/>
      <c r="N788" s="809"/>
      <c r="O788" s="809"/>
      <c r="P788" s="809"/>
      <c r="Q788" s="809"/>
      <c r="R788" s="809"/>
      <c r="S788" s="809"/>
    </row>
    <row r="789" spans="2:22">
      <c r="B789" s="483" t="inlineStr">
        <is>
          <t xml:space="preserve">L</t>
        </is>
      </c>
      <c r="C789" s="490">
        <v>9.82</v>
      </c>
      <c r="D789" s="1" t="inlineStr">
        <is>
          <t xml:space="preserve">m</t>
        </is>
      </c>
      <c r="E789" s="488" t="inlineStr">
        <is>
          <t xml:space="preserve">*Comprimento da laje ensaiada</t>
        </is>
      </c>
      <c r="U789" s="1" t="inlineStr">
        <is>
          <t xml:space="preserve">αR (2 apoios)</t>
        </is>
      </c>
      <c r="V789" s="1" t="inlineStr">
        <is>
          <t xml:space="preserve">R = (u/π)²</t>
        </is>
      </c>
    </row>
    <row r="790" spans="2:22">
      <c r="B790" s="483" t="inlineStr">
        <is>
          <t xml:space="preserve">A,pré</t>
        </is>
      </c>
      <c r="C790" s="490">
        <v>0.18885</v>
      </c>
      <c r="D790" s="1" t="inlineStr">
        <is>
          <t xml:space="preserve">m²</t>
        </is>
      </c>
      <c r="E790" s="488" t="inlineStr">
        <is>
          <t xml:space="preserve">*Área da seção H250 (Figura 34), calculada</t>
        </is>
      </c>
      <c r="U790" s="1">
        <v>0.0</v>
      </c>
      <c r="V790" s="1">
        <v>1.0</v>
      </c>
    </row>
    <row r="791" spans="2:22">
      <c r="B791" s="483" t="inlineStr">
        <is>
          <t xml:space="preserve">I,pré</t>
        </is>
      </c>
      <c r="C791" s="490">
        <v>0.0013983</v>
      </c>
      <c r="D791" s="1" t="inlineStr">
        <is>
          <t xml:space="preserve">m⁴</t>
        </is>
      </c>
      <c r="E791" s="488" t="inlineStr">
        <is>
          <t xml:space="preserve">*Inércia da seção H250 (Figura 34), calculada</t>
        </is>
      </c>
      <c r="U791" s="1">
        <v>0.05</v>
      </c>
      <c r="V791" s="1">
        <v>1.031039876882482</v>
      </c>
    </row>
    <row r="792" spans="2:22">
      <c r="B792" s="483" t="inlineStr">
        <is>
          <t xml:space="preserve">h</t>
        </is>
      </c>
      <c r="C792" s="490">
        <v>0.25</v>
      </c>
      <c r="D792" s="1" t="inlineStr">
        <is>
          <t xml:space="preserve">m</t>
        </is>
      </c>
      <c r="E792" s="488" t="inlineStr">
        <is>
          <t xml:space="preserve">*Altura da laje</t>
        </is>
      </c>
      <c r="U792" s="1">
        <v>0.1</v>
      </c>
      <c r="V792" s="1">
        <v>1.0634527847785624</v>
      </c>
    </row>
    <row r="793" spans="2:22">
      <c r="B793" s="483" t="inlineStr">
        <is>
          <t xml:space="preserve">hcapa</t>
        </is>
      </c>
      <c r="C793" s="490">
        <v>0.05</v>
      </c>
      <c r="D793" s="1" t="inlineStr">
        <is>
          <t xml:space="preserve">m</t>
        </is>
      </c>
      <c r="E793" s="488" t="inlineStr">
        <is>
          <t xml:space="preserve">*Espessura da capa</t>
        </is>
      </c>
      <c r="U793" s="1">
        <v>0.15</v>
      </c>
      <c r="V793" s="1">
        <v>1.0973803248584257</v>
      </c>
    </row>
    <row r="794" spans="2:22">
      <c r="B794" s="483" t="inlineStr">
        <is>
          <t xml:space="preserve">b</t>
        </is>
      </c>
      <c r="C794" s="490">
        <v>1.245</v>
      </c>
      <c r="D794" s="1" t="inlineStr">
        <is>
          <t xml:space="preserve">m</t>
        </is>
      </c>
      <c r="E794" s="488" t="inlineStr">
        <is>
          <t xml:space="preserve">*Largura da laje</t>
        </is>
      </c>
      <c r="U794" s="1">
        <v>0.2</v>
      </c>
      <c r="V794" s="1">
        <v>1.1329833846018142</v>
      </c>
    </row>
    <row r="795" spans="2:22">
      <c r="B795" s="483" t="inlineStr">
        <is>
          <t xml:space="preserve">A,chav</t>
        </is>
      </c>
      <c r="C795" s="490">
        <v>0.0065</v>
      </c>
      <c r="D795" s="1" t="inlineStr">
        <is>
          <t xml:space="preserve">m²</t>
        </is>
      </c>
      <c r="E795" s="488" t="inlineStr">
        <is>
          <t xml:space="preserve">*Área da chaveta (estimada, proporcional à da H300)</t>
        </is>
      </c>
      <c r="U795" s="1">
        <v>0.25</v>
      </c>
      <c r="V795" s="1">
        <v>1.1704457899039942</v>
      </c>
    </row>
    <row r="796" spans="2:22">
      <c r="B796" s="483" t="inlineStr">
        <is>
          <t xml:space="preserve">I,chav</t>
        </is>
      </c>
      <c r="C796" s="490">
        <v>2.73e-05</v>
      </c>
      <c r="D796" s="1" t="inlineStr">
        <is>
          <t xml:space="preserve">m⁴</t>
        </is>
      </c>
      <c r="E796" s="488" t="inlineStr">
        <is>
          <t xml:space="preserve">*Inércia própria da chaveta (estimada)</t>
        </is>
      </c>
      <c r="U796" s="1">
        <v>0.3</v>
      </c>
      <c r="V796" s="1">
        <v>1.209978815348511</v>
      </c>
    </row>
    <row r="797" spans="2:22">
      <c r="B797" s="483" t="inlineStr">
        <is>
          <t xml:space="preserve">fck,pré</t>
        </is>
      </c>
      <c r="C797" s="490">
        <v>50</v>
      </c>
      <c r="D797" s="1" t="inlineStr">
        <is>
          <t xml:space="preserve">MPa</t>
        </is>
      </c>
      <c r="E797" s="488" t="inlineStr">
        <is>
          <t xml:space="preserve">*Classe do concreto da laje</t>
        </is>
      </c>
      <c r="U797" s="1">
        <v>0.35</v>
      </c>
      <c r="V797" s="1">
        <v>1.251826800598981</v>
      </c>
    </row>
    <row r="798" spans="2:22">
      <c r="B798" s="483" t="inlineStr">
        <is>
          <t xml:space="preserve">fck,capa</t>
        </is>
      </c>
      <c r="C798" s="490">
        <v>30</v>
      </c>
      <c r="D798" s="1" t="inlineStr">
        <is>
          <t xml:space="preserve">MPa</t>
        </is>
      </c>
      <c r="E798" s="488" t="inlineStr">
        <is>
          <t xml:space="preserve">*Classe do concreto da capa e da chaveta</t>
        </is>
      </c>
      <c r="U798" s="1">
        <v>0.4</v>
      </c>
      <c r="V798" s="1">
        <v>1.2962742057134606</v>
      </c>
    </row>
    <row r="799" spans="2:22">
      <c r="B799" s="482" t="inlineStr">
        <is>
          <t xml:space="preserve">Ecs,pré</t>
        </is>
      </c>
      <c r="C799" s="1">
        <f>C744*5600*SQRT(C797)*MIN(1,0.8+0.2*C797/80)</f>
        <v>36628.13126546316</v>
      </c>
      <c r="D799" s="1" t="inlineStr">
        <is>
          <t xml:space="preserve">MPa</t>
        </is>
      </c>
      <c r="E799" s="488" t="inlineStr">
        <is>
          <t xml:space="preserve">*Módulo estático da laje (αE do item 8)</t>
        </is>
      </c>
      <c r="U799" s="1">
        <v>0.45</v>
      </c>
      <c r="V799" s="1">
        <v>1.3436545568512093</v>
      </c>
    </row>
    <row r="800" spans="2:22">
      <c r="B800" s="482" t="inlineStr">
        <is>
          <t xml:space="preserve">n</t>
        </is>
      </c>
      <c r="C800" s="1">
        <f>C745*5600*SQRT(C798)*MIN(1,0.8+0.2*C798/80)/C799</f>
        <v>0.732726579012214</v>
      </c>
      <c r="D800" s="1" t="inlineStr">
        <is>
          <t xml:space="preserve">-</t>
        </is>
      </c>
      <c r="E800" s="488" t="inlineStr">
        <is>
          <t xml:space="preserve">*Razão de módulos capa / laje (αE da capa do item 8)</t>
        </is>
      </c>
      <c r="U800" s="1">
        <v>0.5</v>
      </c>
      <c r="V800" s="1">
        <v>1.3943619016708617</v>
      </c>
    </row>
    <row r="801" spans="2:22">
      <c r="B801" s="482" t="inlineStr">
        <is>
          <t xml:space="preserve">y</t>
        </is>
      </c>
      <c r="C801" s="1">
        <f>(C790*C792/2+C800*C794*C793*(C792+C793/2)+C800*C795*C792/2)/(C790+C800*C794*C793+C800*C795)</f>
        <v>0.15360000332550502</v>
      </c>
      <c r="D801" s="1" t="inlineStr">
        <is>
          <t xml:space="preserve">m</t>
        </is>
      </c>
      <c r="E801" s="488" t="inlineStr">
        <is>
          <t xml:space="preserve">*Centro de gravidade da seção composta homogeneizada</t>
        </is>
      </c>
      <c r="U801" s="1">
        <v>0.55</v>
      </c>
      <c r="V801" s="1">
        <v>1.4488656338187176</v>
      </c>
    </row>
    <row r="802" spans="2:22">
      <c r="B802" s="482" t="inlineStr">
        <is>
          <t xml:space="preserve">I,comp</t>
        </is>
      </c>
      <c r="C802" s="1">
        <f>C791+C790*(C792/2-C801)^2+C800*(C794*C793^3/12+C794*C793*(C792+C793/2-C801)^2)+C800*(C796+C795*(C792/2-C801)^2)</f>
        <v>0.0022584046606633668</v>
      </c>
      <c r="D802" s="1" t="inlineStr">
        <is>
          <t xml:space="preserve">m⁴</t>
        </is>
      </c>
      <c r="E802" s="488" t="inlineStr">
        <is>
          <t xml:space="preserve">*Inércia da seção composta homogeneizada</t>
        </is>
      </c>
      <c r="U802" s="1">
        <v>0.6</v>
      </c>
      <c r="V802" s="1">
        <v>1.5077298933678485</v>
      </c>
    </row>
    <row r="803" spans="2:22">
      <c r="B803" s="483" t="inlineStr">
        <is>
          <t xml:space="preserve">rev</t>
        </is>
      </c>
      <c r="C803" s="490">
        <v>0</v>
      </c>
      <c r="D803" s="1" t="inlineStr">
        <is>
          <t xml:space="preserve">kN/m²</t>
        </is>
      </c>
      <c r="E803" s="488" t="inlineStr">
        <is>
          <t xml:space="preserve">*Revestimento/cargas presentes no dia do ensaio (não informado na dissertação)</t>
        </is>
      </c>
      <c r="U803" s="1">
        <v>0.65</v>
      </c>
      <c r="V803" s="1">
        <v>1.571639258514838</v>
      </c>
    </row>
    <row r="804" spans="2:22">
      <c r="B804" s="482" t="inlineStr">
        <is>
          <t xml:space="preserve">m</t>
        </is>
      </c>
      <c r="C804" s="1">
        <f>(C790+C794*C793+C795)*2500+C803*1000/9.81*C794</f>
        <v>644.0</v>
      </c>
      <c r="D804" s="1" t="inlineStr">
        <is>
          <t xml:space="preserve">kg/m</t>
        </is>
      </c>
      <c r="E804" s="488" t="inlineStr">
        <is>
          <t xml:space="preserve">*Massa por laje</t>
        </is>
      </c>
      <c r="U804" s="1">
        <v>0.7</v>
      </c>
      <c r="V804" s="1">
        <v>1.6414331953308823</v>
      </c>
    </row>
    <row r="805" spans="2:22">
      <c r="B805" s="482" t="inlineStr">
        <is>
          <t xml:space="preserve">fn,biap</t>
        </is>
      </c>
      <c r="C805" s="1">
        <f>PI()/(2*C789^2)*SQRT(C799*C749*10^6*C802/C804)</f>
        <v>5.837974980579004</v>
      </c>
      <c r="D805" s="1" t="inlineStr">
        <is>
          <t xml:space="preserve">Hz</t>
        </is>
      </c>
      <c r="E805" s="488" t="inlineStr">
        <is>
          <t xml:space="preserve">*Frequência biapoiada (daf do pano pronto)</t>
        </is>
      </c>
      <c r="U805" s="1">
        <v>0.75</v>
      </c>
      <c r="V805" s="1">
        <v>1.7181528515517415</v>
      </c>
    </row>
    <row r="806" spans="2:22">
      <c r="B806" s="483" t="inlineStr">
        <is>
          <t xml:space="preserve">As</t>
        </is>
      </c>
      <c r="C806" s="490">
        <v>1.31</v>
      </c>
      <c r="D806" s="1" t="inlineStr">
        <is>
          <t xml:space="preserve">cm²/m</t>
        </is>
      </c>
      <c r="E806" s="488" t="inlineStr">
        <is>
          <t xml:space="preserve">*Armadura da capa sobre o apoio (malha φ5 c/15, armadura mínima)</t>
        </is>
      </c>
      <c r="U806" s="1">
        <v>0.8</v>
      </c>
      <c r="V806" s="1">
        <v>1.8031054518748</v>
      </c>
    </row>
    <row r="807" spans="2:22">
      <c r="B807" s="482" t="inlineStr">
        <is>
          <t xml:space="preserve">d</t>
        </is>
      </c>
      <c r="C807" s="1">
        <f>C792+C793-0.025</f>
        <v>0.27499999999999997</v>
      </c>
      <c r="D807" s="1" t="inlineStr">
        <is>
          <t xml:space="preserve">m</t>
        </is>
      </c>
      <c r="E807" s="488" t="inlineStr">
        <is>
          <t xml:space="preserve">*Altura útil</t>
        </is>
      </c>
      <c r="U807" s="1">
        <v>0.85</v>
      </c>
      <c r="V807" s="1">
        <v>1.8979540316486299</v>
      </c>
    </row>
    <row r="808" spans="2:22">
      <c r="B808" s="483" t="inlineStr">
        <is>
          <t xml:space="preserve">La</t>
        </is>
      </c>
      <c r="C808" s="490">
        <v>0.1</v>
      </c>
      <c r="D808" s="1" t="inlineStr">
        <is>
          <t xml:space="preserve">m</t>
        </is>
      </c>
      <c r="E808" s="488" t="inlineStr">
        <is>
          <t xml:space="preserve">*Comprimento de apoio (estimado)</t>
        </is>
      </c>
      <c r="U808" s="1">
        <v>0.9</v>
      </c>
      <c r="V808" s="1">
        <v>2.0048438251908314</v>
      </c>
    </row>
    <row r="809" spans="2:22">
      <c r="B809" s="482" t="inlineStr">
        <is>
          <t xml:space="preserve">Led</t>
        </is>
      </c>
      <c r="C809" s="1">
        <f>25*0.5/100+C808</f>
        <v>0.225</v>
      </c>
      <c r="D809" s="1" t="inlineStr">
        <is>
          <t xml:space="preserve">m</t>
        </is>
      </c>
      <c r="E809" s="488" t="inlineStr">
        <is>
          <t xml:space="preserve">*Mesma regra do cálculo de αR da planilha: 25φ + La</t>
        </is>
      </c>
      <c r="U809" s="1">
        <v>0.95</v>
      </c>
      <c r="V809" s="1">
        <v>2.126581411796258</v>
      </c>
    </row>
    <row r="810" spans="2:22">
      <c r="B810" s="482" t="inlineStr">
        <is>
          <t xml:space="preserve">Rsec</t>
        </is>
      </c>
      <c r="C810" s="1">
        <f>0.75*C806*C794*21000*C807^2/C809</f>
        <v>8633.8415625</v>
      </c>
      <c r="D810" s="1" t="inlineStr">
        <is>
          <t xml:space="preserve">kN.m/rad</t>
        </is>
      </c>
      <c r="E810" s="488" t="inlineStr">
        <is>
          <t xml:space="preserve">*Rigidez da ligação por laje, NBR 9062: k·As·Es·d²/Led (k = 0,75)</t>
        </is>
      </c>
    </row>
    <row r="811" spans="2:22">
      <c r="B811" s="483" t="inlineStr">
        <is>
          <t xml:space="preserve">NLF</t>
        </is>
      </c>
      <c r="C811" s="490">
        <f>Geometria!H1247</f>
        <v>0.25</v>
      </c>
      <c r="D811" s="1" t="inlineStr">
        <is>
          <t xml:space="preserve">-</t>
        </is>
      </c>
      <c r="E811" s="488" t="inlineStr">
        <is>
          <t xml:space="preserve">*Redutor de rigidez da laje no cálculo do αR (mesmo da Geometria). 0,25 equivale a admitir a ligação ~4× mais rígida que só o aço, como ocorre com a junta não fissurada nas pequenas amplitudes de vibração</t>
        </is>
      </c>
    </row>
    <row r="812" spans="2:22">
      <c r="B812" s="482" t="inlineStr">
        <is>
          <t xml:space="preserve">αR</t>
        </is>
      </c>
      <c r="C812" s="1">
        <f>1/(1+3*C799*C749*1000*C802*C811/(C810*C789))</f>
        <v>0.5774508406224073</v>
      </c>
      <c r="D812" s="1" t="inlineStr">
        <is>
          <t xml:space="preserve">-</t>
        </is>
      </c>
      <c r="E812" s="488" t="inlineStr">
        <is>
          <t xml:space="preserve">*Coeficiente de engastamento resultante (igual nos dois apoios)</t>
        </is>
      </c>
    </row>
    <row r="813" spans="2:22">
      <c r="B813" s="482" t="inlineStr">
        <is>
          <t xml:space="preserve">R</t>
        </is>
      </c>
      <c r="C813" s="1">
        <f>INDEX($V$790:$V$809,MIN(INT(C812/0.05),18)+1)+(C812-INDEX($U$790:$U$809,MIN(INT(C812/0.05),18)+1))/0.05*(INDEX($V$790:$V$809,MIN(INT(C812/0.05),18)+2)-INDEX($V$790:$V$809,MIN(INT(C812/0.05),18)+1))</f>
        <v>1.4811831019635016</v>
      </c>
      <c r="D813" s="1" t="inlineStr">
        <is>
          <t xml:space="preserve">-</t>
        </is>
      </c>
      <c r="E813" s="488" t="inlineStr">
        <is>
          <t xml:space="preserve">*Multiplicador de frequência (u/π)², interpolado na tabela U:V (mesma equação característica do item 2.2b)</t>
        </is>
      </c>
    </row>
    <row r="814" spans="2:22">
      <c r="B814" s="482" t="inlineStr">
        <is>
          <t xml:space="preserve">fn,calc</t>
        </is>
      </c>
      <c r="C814" s="501">
        <f>C805*C813</f>
        <v>8.647109890919321</v>
      </c>
      <c r="D814" s="1" t="inlineStr">
        <is>
          <t xml:space="preserve">Hz</t>
        </is>
      </c>
      <c r="E814" s="488" t="inlineStr">
        <is>
          <t xml:space="preserve">*Frequência calculada com engastamento semirrígido</t>
        </is>
      </c>
    </row>
    <row r="815" spans="2:22">
      <c r="B815" s="483" t="inlineStr">
        <is>
          <t xml:space="preserve">fn,med</t>
        </is>
      </c>
      <c r="C815" s="490">
        <v>8.13</v>
      </c>
      <c r="D815" s="1" t="inlineStr">
        <is>
          <t xml:space="preserve">Hz</t>
        </is>
      </c>
      <c r="E815" s="488" t="inlineStr">
        <is>
          <t xml:space="preserve">*1º pico medido</t>
        </is>
      </c>
    </row>
    <row r="816" spans="2:22">
      <c r="B816" s="482" t="inlineStr">
        <is>
          <t xml:space="preserve">Diferença</t>
        </is>
      </c>
      <c r="C816" s="1">
        <f>C814/C815-1</f>
        <v>0.06360515263460265</v>
      </c>
      <c r="D816" s="1" t="inlineStr">
        <is>
          <t xml:space="preserve">-</t>
        </is>
      </c>
      <c r="E816" s="488" t="inlineStr">
        <is>
          <t xml:space="preserve">*Em relação ao 1º pico</t>
        </is>
      </c>
    </row>
    <row r="817" spans="2:22">
      <c r="B817" s="483" t="inlineStr">
        <is>
          <t xml:space="preserve">fn,med2</t>
        </is>
      </c>
      <c r="C817" s="490">
        <v>9.96</v>
      </c>
      <c r="D817" s="1" t="inlineStr">
        <is>
          <t xml:space="preserve">Hz</t>
        </is>
      </c>
      <c r="E817" s="488" t="inlineStr">
        <is>
          <t xml:space="preserve">*2º pico medido (a dissertação não separa qual é a flexão principal)</t>
        </is>
      </c>
    </row>
    <row r="818" spans="2:22">
      <c r="B818" s="482" t="inlineStr">
        <is>
          <t xml:space="preserve">Diferença</t>
        </is>
      </c>
      <c r="C818" s="1">
        <f>C814/C817-1</f>
        <v>-0.13181627601211643</v>
      </c>
      <c r="D818" s="1" t="inlineStr">
        <is>
          <t xml:space="preserve">-</t>
        </is>
      </c>
      <c r="E818" s="488" t="inlineStr">
        <is>
          <t xml:space="preserve">*Em relação ao 2º pico</t>
        </is>
      </c>
    </row>
    <row r="819" spans="2:22">
      <c r="B819" s="813" t="inlineStr">
        <is>
          <t xml:space="preserve">*Sem engastamento a laje biapoiada fica 18% a 28% abaixo do medido: o piso pronto é mais rígido que o modelo. A armadura mínima da capa, com o critério de αR da própria planilha (NLF = 0,25), leva a αR ≈ 0,5 e a frequências entre 8 e 9,4 Hz, conforme o revestimento presente no ensaio.</t>
        </is>
      </c>
    </row>
    <row r="820" spans="2:22"/>
    <row r="822" spans="2:19">
      <c r="B822" s="486" t="inlineStr">
        <is>
          <t xml:space="preserve">10.</t>
        </is>
      </c>
      <c r="C822" s="809" t="inlineStr">
        <is>
          <t xml:space="preserve">ENGASTAMENTO DOS APOIOS PARA A FREQUÊNCIA (armadura da capa sobre o apoio)</t>
        </is>
      </c>
      <c r="D822" s="809"/>
      <c r="E822" s="809"/>
      <c r="F822" s="809"/>
      <c r="G822" s="809"/>
      <c r="H822" s="809"/>
      <c r="I822" s="809"/>
      <c r="J822" s="809"/>
      <c r="K822" s="809"/>
      <c r="L822" s="809"/>
      <c r="M822" s="809"/>
      <c r="N822" s="809"/>
      <c r="O822" s="809"/>
      <c r="P822" s="809"/>
      <c r="Q822" s="809"/>
      <c r="R822" s="809"/>
      <c r="S822" s="809"/>
    </row>
    <row r="823" spans="2:19">
      <c r="B823" s="813" t="inlineStr">
        <is>
          <t xml:space="preserve">*Para vibração, o αR de cada apoio é calculado com a armadura que efetivamente passa sobre ele: a maior entre a malha da capa e a armadura negativa de projeto. Mesmo critério da Geometria (NBR 9062: Rsec = k·As·Es·d²/Led, com NLF), calibrado com o ensaio 2 do item 9. O αR de dimensionamento (Geometria) não é alterado. Só vale se a malha for contínua sobre as vigas; caso contrário, zerar As,malha.</t>
        </is>
      </c>
    </row>
    <row r="824" spans="2:19"/>
    <row r="826" spans="2:19">
      <c r="B826" s="483" t="inlineStr">
        <is>
          <t xml:space="preserve">As,malha</t>
        </is>
      </c>
      <c r="C826" s="490">
        <v>1.31</v>
      </c>
      <c r="D826" s="1" t="inlineStr">
        <is>
          <t xml:space="preserve">cm²/m</t>
        </is>
      </c>
      <c r="E826" s="488" t="inlineStr">
        <is>
          <t xml:space="preserve">*Armadura da malha da capa que passa sobre os apoios (padrão φ5 c/15 = 1,31 cm²/m). Ajustar para a malha do projeto</t>
        </is>
      </c>
    </row>
    <row r="827" spans="2:19">
      <c r="B827" s="483" t="inlineStr">
        <is>
          <t xml:space="preserve">φ,malha</t>
        </is>
      </c>
      <c r="C827" s="490">
        <v>5</v>
      </c>
      <c r="D827" s="1" t="inlineStr">
        <is>
          <t xml:space="preserve">mm</t>
        </is>
      </c>
      <c r="E827" s="488" t="inlineStr">
        <is>
          <t xml:space="preserve">*Diâmetro da malha da capa</t>
        </is>
      </c>
    </row>
    <row r="828" spans="2:19">
      <c r="B828" s="482" t="inlineStr">
        <is>
          <t xml:space="preserve">As,esq</t>
        </is>
      </c>
      <c r="C828" s="1">
        <f>MAX(C826,Geometria!H1226)</f>
        <v>1.31</v>
      </c>
      <c r="D828" s="1" t="inlineStr">
        <is>
          <t xml:space="preserve">cm²/m</t>
        </is>
      </c>
      <c r="E828" s="488" t="inlineStr">
        <is>
          <t xml:space="preserve">*Apoio esquerdo: maior entre a malha e a armadura negativa de projeto</t>
        </is>
      </c>
    </row>
    <row r="829" spans="2:19">
      <c r="B829" s="482" t="inlineStr">
        <is>
          <t xml:space="preserve">φ,esq</t>
        </is>
      </c>
      <c r="C829" s="1">
        <f>IF(Geometria!H1226&gt;C826,Geometria!H1223,C827)</f>
        <v>5.0</v>
      </c>
      <c r="D829" s="1" t="inlineStr">
        <is>
          <t xml:space="preserve">mm</t>
        </is>
      </c>
      <c r="E829" s="488" t="inlineStr">
        <is>
          <t xml:space="preserve">*Diâmetro correspondente</t>
        </is>
      </c>
    </row>
    <row r="830" spans="2:19">
      <c r="B830" s="482" t="inlineStr">
        <is>
          <t xml:space="preserve">As,dir</t>
        </is>
      </c>
      <c r="C830" s="1">
        <f>MAX(C826,Geometria!H1232)</f>
        <v>6.240666499795404</v>
      </c>
      <c r="D830" s="1" t="inlineStr">
        <is>
          <t xml:space="preserve">cm²/m</t>
        </is>
      </c>
      <c r="E830" s="488" t="inlineStr">
        <is>
          <t xml:space="preserve">*Apoio direito: maior entre a malha e a armadura negativa de projeto</t>
        </is>
      </c>
    </row>
    <row r="831" spans="2:19">
      <c r="B831" s="482" t="inlineStr">
        <is>
          <t xml:space="preserve">φ,dir</t>
        </is>
      </c>
      <c r="C831" s="1">
        <f>IF(Geometria!H1232&gt;C826,Geometria!H1229,C827)</f>
        <v>10.0</v>
      </c>
      <c r="D831" s="1" t="inlineStr">
        <is>
          <t xml:space="preserve">mm</t>
        </is>
      </c>
      <c r="E831" s="488" t="inlineStr">
        <is>
          <t xml:space="preserve">*Diâmetro correspondente</t>
        </is>
      </c>
    </row>
    <row r="832" spans="2:19">
      <c r="B832" s="482" t="inlineStr">
        <is>
          <t xml:space="preserve">d</t>
        </is>
      </c>
      <c r="C832" s="1">
        <f>(C3+C4-Geometria!N52)/100</f>
        <v>0.315</v>
      </c>
      <c r="D832" s="1" t="inlineStr">
        <is>
          <t xml:space="preserve">m</t>
        </is>
      </c>
      <c r="E832" s="488" t="inlineStr">
        <is>
          <t xml:space="preserve">*Altura útil da armadura da capa</t>
        </is>
      </c>
    </row>
    <row r="833" spans="2:19">
      <c r="B833" s="482" t="inlineStr">
        <is>
          <t xml:space="preserve">La</t>
        </is>
      </c>
      <c r="C833" s="1">
        <f>Geometria!H26/100</f>
        <v>0.14</v>
      </c>
      <c r="D833" s="1" t="inlineStr">
        <is>
          <t xml:space="preserve">m</t>
        </is>
      </c>
      <c r="E833" s="488" t="inlineStr">
        <is>
          <t xml:space="preserve">*Comprimento de apoio</t>
        </is>
      </c>
    </row>
    <row r="834" spans="2:19">
      <c r="B834" s="482" t="inlineStr">
        <is>
          <t xml:space="preserve">Rsec,esq</t>
        </is>
      </c>
      <c r="C834" s="1">
        <f>0.75*C828*(C5/100)*21000*C832^2/(25*C829/1000+C833)</f>
        <v>9656.885908018869</v>
      </c>
      <c r="D834" s="1" t="inlineStr">
        <is>
          <t xml:space="preserve">kN.m/rad</t>
        </is>
      </c>
      <c r="E834" s="488" t="inlineStr">
        <is>
          <t xml:space="preserve">*Rigidez da ligação esquerda por laje (k = 0,75; Led = 25φ + La)</t>
        </is>
      </c>
    </row>
    <row r="835" spans="2:19">
      <c r="B835" s="482" t="inlineStr">
        <is>
          <t xml:space="preserve">Rsec,dir</t>
        </is>
      </c>
      <c r="C835" s="1">
        <f>0.75*C830*(C5/100)*21000*C832^2/(25*C831/1000+C833)</f>
        <v>31259.21346703409</v>
      </c>
      <c r="D835" s="1" t="inlineStr">
        <is>
          <t xml:space="preserve">kN.m/rad</t>
        </is>
      </c>
      <c r="E835" s="488" t="inlineStr">
        <is>
          <t xml:space="preserve">*Rigidez da ligação direita por laje</t>
        </is>
      </c>
    </row>
    <row r="836" spans="2:19">
      <c r="B836" s="483" t="inlineStr">
        <is>
          <t xml:space="preserve">NLF</t>
        </is>
      </c>
      <c r="C836" s="490">
        <f>Geometria!H1247</f>
        <v>0.25</v>
      </c>
      <c r="D836" s="1" t="inlineStr">
        <is>
          <t xml:space="preserve">-</t>
        </is>
      </c>
      <c r="E836" s="488" t="inlineStr">
        <is>
          <t xml:space="preserve">*Mesmo fator da Geometria. Com 0,25 o ensaio 2 foi reproduzido entre −6% e +8%</t>
        </is>
      </c>
    </row>
    <row r="837" spans="2:19">
      <c r="B837" s="482" t="inlineStr">
        <is>
          <t xml:space="preserve">αR,esq</t>
        </is>
      </c>
      <c r="C837" s="501">
        <f>IF(C834&gt;0,1/(1+3*C30*C836/(C834*(C14/100))),0)</f>
        <v>0.46642716431254194</v>
      </c>
      <c r="D837" s="1" t="inlineStr">
        <is>
          <t xml:space="preserve">-</t>
        </is>
      </c>
      <c r="E837" s="488" t="inlineStr">
        <is>
          <t xml:space="preserve">*Coeficiente de engastamento esquerdo usado na frequência (item 2.2b)</t>
        </is>
      </c>
    </row>
    <row r="838" spans="2:19">
      <c r="B838" s="482" t="inlineStr">
        <is>
          <t xml:space="preserve">αR,dir</t>
        </is>
      </c>
      <c r="C838" s="501">
        <f>IF(C835&gt;0,1/(1+3*C30*C836/(C835*(C14/100))),0)</f>
        <v>0.7388787985817891</v>
      </c>
      <c r="D838" s="1" t="inlineStr">
        <is>
          <t xml:space="preserve">-</t>
        </is>
      </c>
      <c r="E838" s="488" t="inlineStr">
        <is>
          <t xml:space="preserve">*Coeficiente de engastamento direito usado na frequência (item 2.2b)</t>
        </is>
      </c>
    </row>
  </sheetData>
  <mergeCells count="43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  <mergeCell ref="C700:S700"/>
    <mergeCell ref="B701:S702"/>
    <mergeCell ref="C704:S704"/>
    <mergeCell ref="C711:S711"/>
    <mergeCell ref="C719:S719"/>
    <mergeCell ref="B720:S721"/>
    <mergeCell ref="C740:S740"/>
    <mergeCell ref="B741:S742"/>
    <mergeCell ref="C770:S770"/>
    <mergeCell ref="B771:S772"/>
    <mergeCell ref="C774:S774"/>
    <mergeCell ref="B785:S786"/>
    <mergeCell ref="C788:S788"/>
    <mergeCell ref="B819:S820"/>
    <mergeCell ref="C822:S822"/>
    <mergeCell ref="B823:S824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>
  <dimension ref="B2:K28"/>
  <sheetViews>
    <sheetView showGridLines="0" workbookViewId="0"/>
  </sheetViews>
  <sheetFormatPr defaultRowHeight="15"/>
  <cols>
    <col min="1" max="1" width="3" customWidth="1"/>
    <col min="2" max="2" width="16" customWidth="1"/>
    <col min="3" max="4" width="15.5" customWidth="1"/>
    <col min="5" max="5" width="8" customWidth="1"/>
    <col min="6" max="6" width="90" customWidth="1"/>
  </cols>
  <sheetData>
    <row r="2" spans="2:11">
      <c r="B2" s="486" t="inlineStr">
        <is>
          <t xml:space="preserve">V.</t>
        </is>
      </c>
      <c r="C2" s="809" t="inlineStr">
        <is>
          <t xml:space="preserve">DESLOCAMENTO DAS VIGAS DE APOIO DAS LAJES (entrada do item 7.2 da aba Frequência)</t>
        </is>
      </c>
      <c r="D2" s="809"/>
      <c r="E2" s="809"/>
      <c r="F2" s="809"/>
      <c r="G2" s="809"/>
      <c r="H2" s="809"/>
      <c r="I2" s="809"/>
      <c r="J2" s="809"/>
      <c r="K2" s="809"/>
    </row>
    <row r="3" spans="2:11">
      <c r="B3" s="813" t="inlineStr">
        <is>
          <t xml:space="preserve">*A laje vibra junto com as vigas em que se apoia: o deslocamento da viga no ponto de apoio da laje soma-se à flecha da laje e reduz a frequência do conjunto (item 7.2). As cargas são as mesmas do item 3 da aba Frequência (peso próprio + g5 + ψ1·q1). Preencha os dados de cada viga ou force o deslocamento calculado externamente em "δ forçado". Enquanto "Considerar" estiver "Não", o deslocamento adotado é zero (apoio indeformável).</t>
        </is>
      </c>
    </row>
    <row r="4" spans="2:11"/>
    <row r="6" spans="2:11">
      <c r="C6" s="482" t="inlineStr">
        <is>
          <t xml:space="preserve">Viga esquerda</t>
        </is>
      </c>
      <c r="D6" s="482" t="inlineStr">
        <is>
          <t xml:space="preserve">Viga direita</t>
        </is>
      </c>
      <c r="E6" s="482" t="inlineStr">
        <is>
          <t xml:space="preserve">Unid.</t>
        </is>
      </c>
    </row>
    <row r="7" spans="2:11">
      <c r="B7" s="483" t="inlineStr">
        <is>
          <t xml:space="preserve">Considerar?</t>
        </is>
      </c>
      <c r="C7" s="490" t="inlineStr">
        <is>
          <t xml:space="preserve">Não</t>
        </is>
      </c>
      <c r="D7" s="490" t="inlineStr">
        <is>
          <t xml:space="preserve">Não</t>
        </is>
      </c>
      <c r="E7" s="1" t="inlineStr">
        <is>
          <t xml:space="preserve">-</t>
        </is>
      </c>
      <c r="F7" s="488" t="inlineStr">
        <is>
          <t xml:space="preserve">*"Sim" para somar o deslocamento desta viga no item 7.2; "Não" = apoio indeformável</t>
        </is>
      </c>
    </row>
    <row r="8" spans="2:11">
      <c r="B8" s="483" t="inlineStr">
        <is>
          <t xml:space="preserve">Lviga</t>
        </is>
      </c>
      <c r="C8" s="490">
        <v>8.0</v>
      </c>
      <c r="D8" s="490">
        <v>8.0</v>
      </c>
      <c r="E8" s="1" t="inlineStr">
        <is>
          <t xml:space="preserve">m</t>
        </is>
      </c>
      <c r="F8" s="488" t="inlineStr">
        <is>
          <t xml:space="preserve">*Vão da viga (entre apoios)</t>
        </is>
      </c>
    </row>
    <row r="9" spans="2:11">
      <c r="B9" s="483" t="inlineStr">
        <is>
          <t xml:space="preserve">b</t>
        </is>
      </c>
      <c r="C9" s="490">
        <v>30</v>
      </c>
      <c r="D9" s="490">
        <v>30</v>
      </c>
      <c r="E9" s="1" t="inlineStr">
        <is>
          <t xml:space="preserve">cm</t>
        </is>
      </c>
      <c r="F9" s="488" t="inlineStr">
        <is>
          <t xml:space="preserve">*Largura da viga</t>
        </is>
      </c>
    </row>
    <row r="10" spans="2:11">
      <c r="B10" s="483" t="inlineStr">
        <is>
          <t xml:space="preserve">h</t>
        </is>
      </c>
      <c r="C10" s="490">
        <v>60</v>
      </c>
      <c r="D10" s="490">
        <v>60</v>
      </c>
      <c r="E10" s="1" t="inlineStr">
        <is>
          <t xml:space="preserve">cm</t>
        </is>
      </c>
      <c r="F10" s="488" t="inlineStr">
        <is>
          <t xml:space="preserve">*Altura da viga</t>
        </is>
      </c>
    </row>
    <row r="11" spans="2:11">
      <c r="B11" s="483" t="inlineStr">
        <is>
          <t xml:space="preserve">fck</t>
        </is>
      </c>
      <c r="C11" s="490">
        <v>50</v>
      </c>
      <c r="D11" s="490">
        <v>50</v>
      </c>
      <c r="E11" s="1" t="inlineStr">
        <is>
          <t xml:space="preserve">MPa</t>
        </is>
      </c>
      <c r="F11" s="488" t="inlineStr">
        <is>
          <t xml:space="preserve">*Classe do concreto da viga</t>
        </is>
      </c>
    </row>
    <row r="12" spans="2:11">
      <c r="B12" s="483" t="inlineStr">
        <is>
          <t xml:space="preserve">αE</t>
        </is>
      </c>
      <c r="C12" s="490">
        <v>1.0</v>
      </c>
      <c r="D12" s="490">
        <v>1.0</v>
      </c>
      <c r="E12" s="1" t="inlineStr">
        <is>
          <t xml:space="preserve">-</t>
        </is>
      </c>
      <c r="F12" s="488" t="inlineStr">
        <is>
          <t xml:space="preserve">*Coeficiente do agregado (NBR 6118 8.2.8)</t>
        </is>
      </c>
    </row>
    <row r="13" spans="2:11">
      <c r="B13" s="482" t="inlineStr">
        <is>
          <t xml:space="preserve">daf</t>
        </is>
      </c>
      <c r="C13" s="1">
        <f>Geometria!H1290</f>
        <v>1.0</v>
      </c>
      <c r="D13" s="1">
        <f>Geometria!H1290</f>
        <v>1.0</v>
      </c>
      <c r="E13" s="1" t="inlineStr">
        <is>
          <t xml:space="preserve">-</t>
        </is>
      </c>
      <c r="F13" s="488" t="inlineStr">
        <is>
          <t xml:space="preserve">*Majorador dinâmico do módulo (mesmo da laje)</t>
        </is>
      </c>
    </row>
    <row r="14" spans="2:11">
      <c r="B14" s="482" t="inlineStr">
        <is>
          <t xml:space="preserve">Ecs</t>
        </is>
      </c>
      <c r="C14" s="1">
        <f>C12*5600*SQRT(C11)*MIN(1,0.8+0.2*C11/80)*C13</f>
        <v>36628.13126546316</v>
      </c>
      <c r="D14" s="1">
        <f>D12*5600*SQRT(D11)*MIN(1,0.8+0.2*D11/80)*D13</f>
        <v>36628.13126546316</v>
      </c>
      <c r="E14" s="1" t="inlineStr">
        <is>
          <t xml:space="preserve">MPa</t>
        </is>
      </c>
      <c r="F14" s="488" t="inlineStr">
        <is>
          <t xml:space="preserve">*Módulo secante majorado</t>
        </is>
      </c>
    </row>
    <row r="15" spans="2:11">
      <c r="B15" s="482" t="inlineStr">
        <is>
          <t xml:space="preserve">I</t>
        </is>
      </c>
      <c r="C15" s="1">
        <f>C9/100*(C10/100)^3/12</f>
        <v>0.0053999999999999986</v>
      </c>
      <c r="D15" s="1">
        <f>D9/100*(D10/100)^3/12</f>
        <v>0.0053999999999999986</v>
      </c>
      <c r="E15" s="1" t="inlineStr">
        <is>
          <t xml:space="preserve">m⁴</t>
        </is>
      </c>
      <c r="F15" s="488" t="inlineStr">
        <is>
          <t xml:space="preserve">*Inércia bruta retangular (substituir por I da seção composta, se houver, em "I forçado")</t>
        </is>
      </c>
    </row>
    <row r="16" spans="2:11">
      <c r="B16" s="483" t="inlineStr">
        <is>
          <t xml:space="preserve">I forçado</t>
        </is>
      </c>
      <c r="C16" s="490"/>
      <c r="D16" s="490"/>
      <c r="E16" s="1" t="inlineStr">
        <is>
          <t xml:space="preserve">m⁴</t>
        </is>
      </c>
      <c r="F16" s="488" t="inlineStr">
        <is>
          <t xml:space="preserve">*Opcional: inércia da viga calculada externamente (seção T, composta, protendida)</t>
        </is>
      </c>
    </row>
    <row r="17" spans="2:11">
      <c r="B17" s="482" t="inlineStr">
        <is>
          <t xml:space="preserve">I adotado</t>
        </is>
      </c>
      <c r="C17" s="1">
        <f>IF(ISNUMBER(C16),C16,C15)</f>
        <v>0.0053999999999999986</v>
      </c>
      <c r="D17" s="1">
        <f>IF(ISNUMBER(D16),D16,D15)</f>
        <v>0.0053999999999999986</v>
      </c>
      <c r="E17" s="1" t="inlineStr">
        <is>
          <t xml:space="preserve">m⁴</t>
        </is>
      </c>
      <c r="F17" s="488" t="inlineStr">
        <is>
          <t xml:space="preserve">*Inércia usada</t>
        </is>
      </c>
    </row>
    <row r="18" spans="2:11">
      <c r="B18" s="482" t="inlineStr">
        <is>
          <t xml:space="preserve">qpiso</t>
        </is>
      </c>
      <c r="C18" s="1">
        <f>(Frequência!$C$20/(Frequência!$C$5/100)+Frequência!$C$47*Frequência!$C$48+Frequência!$C$46)*9.81/1000</f>
        <v>15.886283352352034</v>
      </c>
      <c r="D18" s="1">
        <f>(Frequência!$C$20/(Frequência!$C$5/100)+Frequência!$C$47*Frequência!$C$48+Frequência!$C$46)*9.81/1000</f>
        <v>15.886283352352034</v>
      </c>
      <c r="E18" s="1" t="inlineStr">
        <is>
          <t xml:space="preserve">kN/m²</t>
        </is>
      </c>
      <c r="F18" s="488" t="inlineStr">
        <is>
          <t xml:space="preserve">*Carga do piso na combinação do item 3 da aba Frequência</t>
        </is>
      </c>
    </row>
    <row r="19" spans="2:11">
      <c r="B19" s="482" t="inlineStr">
        <is>
          <t xml:space="preserve">Llaje,1</t>
        </is>
      </c>
      <c r="C19" s="1">
        <f>Frequência!$C$14/100</f>
        <v>8.49</v>
      </c>
      <c r="D19" s="1">
        <f>Frequência!$C$14/100</f>
        <v>8.49</v>
      </c>
      <c r="E19" s="1" t="inlineStr">
        <is>
          <t xml:space="preserve">m</t>
        </is>
      </c>
      <c r="F19" s="488" t="inlineStr">
        <is>
          <t xml:space="preserve">*Vão da laje calculada, apoiada nesta viga</t>
        </is>
      </c>
    </row>
    <row r="20" spans="2:11">
      <c r="B20" s="483" t="inlineStr">
        <is>
          <t xml:space="preserve">Llaje,2</t>
        </is>
      </c>
      <c r="C20" s="490">
        <v>0</v>
      </c>
      <c r="D20" s="490">
        <v>0</v>
      </c>
      <c r="E20" s="1" t="inlineStr">
        <is>
          <t xml:space="preserve">m</t>
        </is>
      </c>
      <c r="F20" s="488" t="inlineStr">
        <is>
          <t xml:space="preserve">*Vão da laje do outro lado da viga (0 = viga de borda)</t>
        </is>
      </c>
    </row>
    <row r="21" spans="2:11">
      <c r="B21" s="482" t="inlineStr">
        <is>
          <t xml:space="preserve">wlaje</t>
        </is>
      </c>
      <c r="C21" s="1">
        <f>C18*(C19+C20)/2</f>
        <v>67.43727283073439</v>
      </c>
      <c r="D21" s="1">
        <f>D18*(D19+D20)/2</f>
        <v>67.43727283073439</v>
      </c>
      <c r="E21" s="1" t="inlineStr">
        <is>
          <t xml:space="preserve">kN/m</t>
        </is>
      </c>
      <c r="F21" s="488" t="inlineStr">
        <is>
          <t xml:space="preserve">*Reação das lajes na viga (metade do vão de cada lado)</t>
        </is>
      </c>
    </row>
    <row r="22" spans="2:11">
      <c r="B22" s="482" t="inlineStr">
        <is>
          <t xml:space="preserve">wpp</t>
        </is>
      </c>
      <c r="C22" s="1">
        <f>C9/100*C10/100*25</f>
        <v>4.5</v>
      </c>
      <c r="D22" s="1">
        <f>D9/100*D10/100*25</f>
        <v>4.5</v>
      </c>
      <c r="E22" s="1" t="inlineStr">
        <is>
          <t xml:space="preserve">kN/m</t>
        </is>
      </c>
      <c r="F22" s="488" t="inlineStr">
        <is>
          <t xml:space="preserve">*Peso próprio da viga</t>
        </is>
      </c>
    </row>
    <row r="23" spans="2:11">
      <c r="B23" s="482" t="inlineStr">
        <is>
          <t xml:space="preserve">w</t>
        </is>
      </c>
      <c r="C23" s="1">
        <f>C21+C22</f>
        <v>71.93727283073439</v>
      </c>
      <c r="D23" s="1">
        <f>D21+D22</f>
        <v>71.93727283073439</v>
      </c>
      <c r="E23" s="1" t="inlineStr">
        <is>
          <t xml:space="preserve">kN/m</t>
        </is>
      </c>
      <c r="F23" s="488" t="inlineStr">
        <is>
          <t xml:space="preserve">*Carga total na viga</t>
        </is>
      </c>
    </row>
    <row r="24" spans="2:11">
      <c r="B24" s="483" t="inlineStr">
        <is>
          <t xml:space="preserve">Coef.</t>
        </is>
      </c>
      <c r="C24" s="490">
        <v>1.0</v>
      </c>
      <c r="D24" s="490">
        <v>1.0</v>
      </c>
      <c r="E24" s="1" t="inlineStr">
        <is>
          <t xml:space="preserve">-</t>
        </is>
      </c>
      <c r="F24" s="488" t="inlineStr">
        <is>
          <t xml:space="preserve">*Condição de apoio da viga: 1,0 biapoiada; ≈ 0,42 vão extremo contínuo; ≈ 0,2 vão interno contínuo ou biengastada</t>
        </is>
      </c>
    </row>
    <row r="25" spans="2:11">
      <c r="B25" s="482" t="inlineStr">
        <is>
          <t xml:space="preserve">δcalc</t>
        </is>
      </c>
      <c r="C25" s="1">
        <f>C24*5*C23*C8^4/(384*C14*1000*C17)*1000</f>
        <v>19.397429215378835</v>
      </c>
      <c r="D25" s="1">
        <f>D24*5*D23*D8^4/(384*D14*1000*D17)*1000</f>
        <v>19.397429215378835</v>
      </c>
      <c r="E25" s="1" t="inlineStr">
        <is>
          <t xml:space="preserve">mm</t>
        </is>
      </c>
      <c r="F25" s="488" t="inlineStr">
        <is>
          <t xml:space="preserve">*Deslocamento no meio do vão da viga (5wL⁴/384EI × coef.)</t>
        </is>
      </c>
    </row>
    <row r="26" spans="2:11">
      <c r="B26" s="483" t="inlineStr">
        <is>
          <t xml:space="preserve">δ forçado</t>
        </is>
      </c>
      <c r="C26" s="490"/>
      <c r="D26" s="490"/>
      <c r="E26" s="1" t="inlineStr">
        <is>
          <t xml:space="preserve">mm</t>
        </is>
      </c>
      <c r="F26" s="488" t="inlineStr">
        <is>
          <t xml:space="preserve">*Opcional: deslocamento calculado externamente (sobrepõe o calculado)</t>
        </is>
      </c>
    </row>
    <row r="27" spans="2:11">
      <c r="B27" s="482" t="inlineStr">
        <is>
          <t xml:space="preserve">δ adotado</t>
        </is>
      </c>
      <c r="C27" s="501">
        <f>IF(C7="Sim",IF(ISNUMBER(C26),C26,C25),0)</f>
        <v>0.0</v>
      </c>
      <c r="D27" s="501">
        <f>IF(D7="Sim",IF(ISNUMBER(D26),D26,D25),0)</f>
        <v>0.0</v>
      </c>
      <c r="E27" s="1" t="inlineStr">
        <is>
          <t xml:space="preserve">mm</t>
        </is>
      </c>
      <c r="F27" s="488" t="inlineStr">
        <is>
          <t xml:space="preserve">*Valor enviado ao item 7.2 da aba Frequência</t>
        </is>
      </c>
    </row>
    <row r="28" spans="2:11">
      <c r="B28" s="482" t="inlineStr">
        <is>
          <t xml:space="preserve">fviga</t>
        </is>
      </c>
      <c r="C28" s="1" t="str">
        <f>IF(C27&gt;0,0.18*SQRT(9.81/(C27/1000)),"-")</f>
        <v>-</v>
      </c>
      <c r="D28" s="1" t="str">
        <f>IF(D27&gt;0,0.18*SQRT(9.81/(D27/1000)),"-")</f>
        <v>-</v>
      </c>
      <c r="E28" s="1" t="inlineStr">
        <is>
          <t xml:space="preserve">Hz</t>
        </is>
      </c>
      <c r="F28" s="488" t="inlineStr">
        <is>
          <t xml:space="preserve">*Frequência própria da viga com as lajes (informativo)</t>
        </is>
      </c>
    </row>
  </sheetData>
  <mergeCells count="2">
    <mergeCell ref="C2:K2"/>
    <mergeCell ref="B3:K4"/>
  </mergeCells>
  <dataValidations count="1">
    <dataValidation type="list" allowBlank="1" showInputMessage="1" showErrorMessage="1" sqref="C7:D7">
      <formula1>"Sim,Não"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8</vt:i4>
      </vt:variant>
    </vt:vector>
  </HeadingPairs>
  <TitlesOfParts>
    <vt:vector size="31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Deslocamento viga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