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8">Resumo!$H$1:$Q$210</definedName>
    <definedName name="FirstX" localSheetId="5">#REF!</definedName>
    <definedName name="FirstX" localSheetId="16">'Propriedades geométricas chavet'!$B$6</definedName>
    <definedName name="FirstX" localSheetId="12">'Propriedades geométricas LA '!$B$6</definedName>
    <definedName name="FirstX" localSheetId="11">'Propriedades geométricas VI'!$B$6</definedName>
    <definedName name="FirstX" localSheetId="15">#REF!</definedName>
    <definedName name="FirstX" localSheetId="10">#REF!</definedName>
    <definedName name="FirstX" localSheetId="14">'Valores "A" e "Y"'!$B$6</definedName>
    <definedName name="FirstX" localSheetId="13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6">OFFSET('Propriedades geométricas chavet'!FirstX,0,0,COUNT('Propriedades geométricas chavet'!$B$1:$B$65531))</definedName>
    <definedName name="X" localSheetId="12">OFFSET('Propriedades geométricas LA '!FirstX,0,0,COUNT('Propriedades geométricas LA '!$B$1:$B$65531))</definedName>
    <definedName name="X" localSheetId="11">OFFSET('Propriedades geométricas VI'!FirstX,0,0,COUNT('Propriedades geométricas VI'!$B$1:$B$65531))</definedName>
    <definedName name="X" localSheetId="15">OFFSET('Seções '!FirstX,0,0,COUNT(#REF!))</definedName>
    <definedName name="X" localSheetId="10">OFFSET('Seções Compostas'!FirstX,0,0,COUNT(#REF!))</definedName>
    <definedName name="X" localSheetId="14">OFFSET('Valores "A" e "Y"'!FirstX,0,0,COUNT('Valores "A" e "Y"'!$B$1:$B$65531))</definedName>
    <definedName name="X" localSheetId="13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6">OFFSET('Propriedades geométricas chavet'!X,0,1)</definedName>
    <definedName name="Y" localSheetId="12">OFFSET('Propriedades geométricas LA '!X,0,1)</definedName>
    <definedName name="Y" localSheetId="11">OFFSET('Propriedades geométricas VI'!X,0,1)</definedName>
    <definedName name="Y" localSheetId="15">OFFSET('Seções '!X,0,1)</definedName>
    <definedName name="Y" localSheetId="10">OFFSET('Seções Compostas'!X,0,1)</definedName>
    <definedName name="Y" localSheetId="14">OFFSET('Valores "A" e "Y"'!X,0,1)</definedName>
    <definedName name="Y" localSheetId="13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32" l="1"/>
  <c r="E12" i="32"/>
  <c r="D12" i="32"/>
  <c r="P11" i="32"/>
  <c r="E11" i="32"/>
  <c r="D11" i="32"/>
  <c r="P10" i="32"/>
  <c r="E10" i="32"/>
  <c r="D10" i="32"/>
  <c r="P9" i="32"/>
  <c r="E9" i="32"/>
  <c r="P8" i="32"/>
  <c r="E8" i="32"/>
  <c r="P7" i="32"/>
  <c r="E7" i="32"/>
  <c r="R6" i="32"/>
  <c r="P6" i="32"/>
  <c r="E6" i="32"/>
  <c r="G35" i="26"/>
  <c r="AJ19" i="26"/>
  <c r="AJ18" i="26"/>
  <c r="AJ17" i="26"/>
  <c r="AJ16" i="26"/>
  <c r="AJ15" i="26"/>
  <c r="J15" i="26"/>
  <c r="AJ14" i="26"/>
  <c r="AJ13" i="26"/>
  <c r="AJ12" i="26"/>
  <c r="AJ11" i="26"/>
  <c r="AJ10" i="26"/>
  <c r="F10" i="26"/>
  <c r="L10" i="26" s="1"/>
  <c r="G9" i="26"/>
  <c r="K9" i="26" s="1"/>
  <c r="G8" i="26"/>
  <c r="K4" i="26"/>
  <c r="L37" i="25"/>
  <c r="H1224" i="1" s="1"/>
  <c r="G35" i="25"/>
  <c r="AJ19" i="25"/>
  <c r="AJ18" i="25"/>
  <c r="AJ17" i="25"/>
  <c r="AJ16" i="25"/>
  <c r="AJ15" i="25"/>
  <c r="J15" i="25"/>
  <c r="AJ14" i="25"/>
  <c r="AJ13" i="25"/>
  <c r="AJ12" i="25"/>
  <c r="AJ11" i="25"/>
  <c r="AJ10" i="25"/>
  <c r="F10" i="25"/>
  <c r="L10" i="25" s="1"/>
  <c r="G9" i="25"/>
  <c r="K9" i="25" s="1"/>
  <c r="G8" i="25"/>
  <c r="K4" i="25"/>
  <c r="C15" i="23"/>
  <c r="C13" i="23"/>
  <c r="C11" i="23"/>
  <c r="C45" i="22"/>
  <c r="C33" i="22"/>
  <c r="A42" i="13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G18" i="13"/>
  <c r="J17" i="13"/>
  <c r="G17" i="13"/>
  <c r="J16" i="13"/>
  <c r="G16" i="13"/>
  <c r="J15" i="13"/>
  <c r="G15" i="13"/>
  <c r="J14" i="13"/>
  <c r="T13" i="13"/>
  <c r="N11" i="13"/>
  <c r="G11" i="13"/>
  <c r="S10" i="13"/>
  <c r="N10" i="13"/>
  <c r="J10" i="13"/>
  <c r="G10" i="13"/>
  <c r="N9" i="13"/>
  <c r="J9" i="13"/>
  <c r="G9" i="13"/>
  <c r="N8" i="13"/>
  <c r="J8" i="13"/>
  <c r="G8" i="13"/>
  <c r="R7" i="13"/>
  <c r="N7" i="13"/>
  <c r="J7" i="13"/>
  <c r="G7" i="13"/>
  <c r="C7" i="13"/>
  <c r="B7" i="13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U6" i="13"/>
  <c r="R6" i="13"/>
  <c r="Q6" i="13" a="1"/>
  <c r="Q6" i="13" s="1"/>
  <c r="N6" i="13"/>
  <c r="J6" i="13"/>
  <c r="I6" i="13"/>
  <c r="M5" i="13" s="1"/>
  <c r="G6" i="13"/>
  <c r="F6" i="13" a="1"/>
  <c r="F6" i="13" s="1"/>
  <c r="M6" i="13" s="1"/>
  <c r="I70" i="1" s="1"/>
  <c r="W5" i="13"/>
  <c r="U5" i="13"/>
  <c r="R5" i="13"/>
  <c r="Q5" i="13" a="1"/>
  <c r="N5" i="13"/>
  <c r="J5" i="13"/>
  <c r="I5" i="13"/>
  <c r="W4" i="13"/>
  <c r="K242" i="15"/>
  <c r="Y246" i="12" s="1"/>
  <c r="F242" i="15"/>
  <c r="J242" i="15" s="1"/>
  <c r="X246" i="12" s="1"/>
  <c r="K241" i="15"/>
  <c r="Y245" i="12" s="1"/>
  <c r="F241" i="15"/>
  <c r="J241" i="15" s="1"/>
  <c r="X245" i="12" s="1"/>
  <c r="J240" i="15"/>
  <c r="X244" i="12" s="1"/>
  <c r="G240" i="15"/>
  <c r="K240" i="15" s="1"/>
  <c r="Y244" i="12" s="1"/>
  <c r="K239" i="15"/>
  <c r="Y243" i="12" s="1"/>
  <c r="J239" i="15"/>
  <c r="X243" i="12" s="1"/>
  <c r="G238" i="15"/>
  <c r="K238" i="15" s="1"/>
  <c r="Y242" i="12" s="1"/>
  <c r="F238" i="15"/>
  <c r="J238" i="15" s="1"/>
  <c r="X242" i="12" s="1"/>
  <c r="J237" i="15"/>
  <c r="X241" i="12" s="1"/>
  <c r="K236" i="15"/>
  <c r="Y240" i="12" s="1"/>
  <c r="K235" i="15"/>
  <c r="Y239" i="12" s="1"/>
  <c r="K234" i="15"/>
  <c r="Y238" i="12" s="1"/>
  <c r="K233" i="15"/>
  <c r="Y237" i="12" s="1"/>
  <c r="K232" i="15"/>
  <c r="Y236" i="12" s="1"/>
  <c r="K231" i="15"/>
  <c r="Y235" i="12" s="1"/>
  <c r="K230" i="15"/>
  <c r="Y234" i="12" s="1"/>
  <c r="K229" i="15"/>
  <c r="Y233" i="12" s="1"/>
  <c r="K228" i="15"/>
  <c r="Y232" i="12" s="1"/>
  <c r="K227" i="15"/>
  <c r="Y231" i="12" s="1"/>
  <c r="G226" i="15"/>
  <c r="K226" i="15" s="1"/>
  <c r="Y230" i="12" s="1"/>
  <c r="K225" i="15"/>
  <c r="Y229" i="12" s="1"/>
  <c r="K224" i="15"/>
  <c r="Y228" i="12" s="1"/>
  <c r="K223" i="15"/>
  <c r="Y227" i="12" s="1"/>
  <c r="K222" i="15"/>
  <c r="Y226" i="12" s="1"/>
  <c r="K221" i="15"/>
  <c r="Y225" i="12" s="1"/>
  <c r="K220" i="15"/>
  <c r="Y224" i="12" s="1"/>
  <c r="K219" i="15"/>
  <c r="Y223" i="12" s="1"/>
  <c r="K218" i="15"/>
  <c r="Y222" i="12" s="1"/>
  <c r="K217" i="15"/>
  <c r="Y221" i="12" s="1"/>
  <c r="K216" i="15"/>
  <c r="Y220" i="12" s="1"/>
  <c r="K215" i="15"/>
  <c r="Y219" i="12" s="1"/>
  <c r="K204" i="15"/>
  <c r="Y208" i="12" s="1"/>
  <c r="K203" i="15"/>
  <c r="Y207" i="12" s="1"/>
  <c r="K202" i="15"/>
  <c r="Y206" i="12" s="1"/>
  <c r="K201" i="15"/>
  <c r="Y205" i="12" s="1"/>
  <c r="K200" i="15"/>
  <c r="Y204" i="12" s="1"/>
  <c r="K199" i="15"/>
  <c r="Y203" i="12" s="1"/>
  <c r="K198" i="15"/>
  <c r="Y202" i="12" s="1"/>
  <c r="K197" i="15"/>
  <c r="Y201" i="12" s="1"/>
  <c r="K196" i="15"/>
  <c r="Y200" i="12" s="1"/>
  <c r="K195" i="15"/>
  <c r="Y199" i="12" s="1"/>
  <c r="G194" i="15"/>
  <c r="K194" i="15" s="1"/>
  <c r="Y198" i="12" s="1"/>
  <c r="K193" i="15"/>
  <c r="Y197" i="12" s="1"/>
  <c r="K192" i="15"/>
  <c r="Y196" i="12" s="1"/>
  <c r="K191" i="15"/>
  <c r="Y195" i="12" s="1"/>
  <c r="K190" i="15"/>
  <c r="Y194" i="12" s="1"/>
  <c r="K189" i="15"/>
  <c r="Y193" i="12" s="1"/>
  <c r="K188" i="15"/>
  <c r="Y192" i="12" s="1"/>
  <c r="K187" i="15"/>
  <c r="Y191" i="12" s="1"/>
  <c r="K186" i="15"/>
  <c r="Y190" i="12" s="1"/>
  <c r="K185" i="15"/>
  <c r="Y189" i="12" s="1"/>
  <c r="K184" i="15"/>
  <c r="Y188" i="12" s="1"/>
  <c r="K183" i="15"/>
  <c r="Y187" i="12" s="1"/>
  <c r="K172" i="15"/>
  <c r="Y176" i="12" s="1"/>
  <c r="K171" i="15"/>
  <c r="Y175" i="12" s="1"/>
  <c r="K170" i="15"/>
  <c r="Y174" i="12" s="1"/>
  <c r="K169" i="15"/>
  <c r="Y173" i="12" s="1"/>
  <c r="K168" i="15"/>
  <c r="Y172" i="12" s="1"/>
  <c r="K167" i="15"/>
  <c r="Y171" i="12" s="1"/>
  <c r="K166" i="15"/>
  <c r="Y170" i="12" s="1"/>
  <c r="K165" i="15"/>
  <c r="Y169" i="12" s="1"/>
  <c r="K164" i="15"/>
  <c r="Y168" i="12" s="1"/>
  <c r="K163" i="15"/>
  <c r="Y167" i="12" s="1"/>
  <c r="K162" i="15"/>
  <c r="Y166" i="12" s="1"/>
  <c r="G162" i="15"/>
  <c r="K161" i="15"/>
  <c r="Y165" i="12" s="1"/>
  <c r="K160" i="15"/>
  <c r="Y164" i="12" s="1"/>
  <c r="K159" i="15"/>
  <c r="Y163" i="12" s="1"/>
  <c r="K158" i="15"/>
  <c r="Y162" i="12" s="1"/>
  <c r="K157" i="15"/>
  <c r="Y161" i="12" s="1"/>
  <c r="K156" i="15"/>
  <c r="Y160" i="12" s="1"/>
  <c r="K155" i="15"/>
  <c r="Y159" i="12" s="1"/>
  <c r="K154" i="15"/>
  <c r="Y158" i="12" s="1"/>
  <c r="K153" i="15"/>
  <c r="Y157" i="12" s="1"/>
  <c r="K152" i="15"/>
  <c r="Y156" i="12" s="1"/>
  <c r="K151" i="15"/>
  <c r="Y155" i="12" s="1"/>
  <c r="K140" i="15"/>
  <c r="Y144" i="12" s="1"/>
  <c r="K139" i="15"/>
  <c r="Y143" i="12" s="1"/>
  <c r="K138" i="15"/>
  <c r="Y142" i="12" s="1"/>
  <c r="K137" i="15"/>
  <c r="Y141" i="12" s="1"/>
  <c r="K136" i="15"/>
  <c r="Y140" i="12" s="1"/>
  <c r="K135" i="15"/>
  <c r="Y139" i="12" s="1"/>
  <c r="K134" i="15"/>
  <c r="Y138" i="12" s="1"/>
  <c r="K133" i="15"/>
  <c r="Y137" i="12" s="1"/>
  <c r="K132" i="15"/>
  <c r="Y136" i="12" s="1"/>
  <c r="K131" i="15"/>
  <c r="Y135" i="12" s="1"/>
  <c r="G130" i="15"/>
  <c r="K130" i="15" s="1"/>
  <c r="Y134" i="12" s="1"/>
  <c r="K129" i="15"/>
  <c r="Y133" i="12" s="1"/>
  <c r="K128" i="15"/>
  <c r="Y132" i="12" s="1"/>
  <c r="K127" i="15"/>
  <c r="Y131" i="12" s="1"/>
  <c r="K126" i="15"/>
  <c r="Y130" i="12" s="1"/>
  <c r="K125" i="15"/>
  <c r="Y129" i="12" s="1"/>
  <c r="K124" i="15"/>
  <c r="Y128" i="12" s="1"/>
  <c r="K123" i="15"/>
  <c r="Y127" i="12" s="1"/>
  <c r="K122" i="15"/>
  <c r="Y126" i="12" s="1"/>
  <c r="K121" i="15"/>
  <c r="Y125" i="12" s="1"/>
  <c r="K120" i="15"/>
  <c r="Y124" i="12" s="1"/>
  <c r="K119" i="15"/>
  <c r="Y123" i="12" s="1"/>
  <c r="K108" i="15"/>
  <c r="Y112" i="12" s="1"/>
  <c r="K107" i="15"/>
  <c r="Y111" i="12" s="1"/>
  <c r="K106" i="15"/>
  <c r="Y110" i="12" s="1"/>
  <c r="K105" i="15"/>
  <c r="Y109" i="12" s="1"/>
  <c r="K104" i="15"/>
  <c r="Y108" i="12" s="1"/>
  <c r="K103" i="15"/>
  <c r="Y107" i="12" s="1"/>
  <c r="K102" i="15"/>
  <c r="Y106" i="12" s="1"/>
  <c r="K101" i="15"/>
  <c r="Y105" i="12" s="1"/>
  <c r="K100" i="15"/>
  <c r="Y104" i="12" s="1"/>
  <c r="K99" i="15"/>
  <c r="Y103" i="12" s="1"/>
  <c r="G98" i="15"/>
  <c r="K98" i="15" s="1"/>
  <c r="Y102" i="12" s="1"/>
  <c r="K97" i="15"/>
  <c r="K96" i="15"/>
  <c r="K95" i="15"/>
  <c r="K94" i="15"/>
  <c r="K93" i="15"/>
  <c r="K92" i="15"/>
  <c r="K91" i="15"/>
  <c r="K90" i="15"/>
  <c r="K89" i="15"/>
  <c r="K88" i="15"/>
  <c r="K87" i="15"/>
  <c r="F85" i="15"/>
  <c r="F82" i="15"/>
  <c r="G81" i="15"/>
  <c r="F80" i="15"/>
  <c r="F79" i="15"/>
  <c r="G78" i="15"/>
  <c r="F77" i="15"/>
  <c r="K76" i="15"/>
  <c r="Y80" i="12" s="1"/>
  <c r="F76" i="15"/>
  <c r="K75" i="15"/>
  <c r="Y79" i="12" s="1"/>
  <c r="F75" i="15"/>
  <c r="K74" i="15"/>
  <c r="Y78" i="12" s="1"/>
  <c r="F74" i="15"/>
  <c r="K73" i="15"/>
  <c r="Y77" i="12" s="1"/>
  <c r="F73" i="15"/>
  <c r="K72" i="15"/>
  <c r="Y76" i="12" s="1"/>
  <c r="F72" i="15"/>
  <c r="K71" i="15"/>
  <c r="Y75" i="12" s="1"/>
  <c r="F71" i="15"/>
  <c r="K70" i="15"/>
  <c r="Y74" i="12" s="1"/>
  <c r="F70" i="15"/>
  <c r="K69" i="15"/>
  <c r="Y73" i="12" s="1"/>
  <c r="F69" i="15"/>
  <c r="K68" i="15"/>
  <c r="Y72" i="12" s="1"/>
  <c r="F68" i="15"/>
  <c r="K67" i="15"/>
  <c r="Y71" i="12" s="1"/>
  <c r="F67" i="15"/>
  <c r="G66" i="15"/>
  <c r="K66" i="15" s="1"/>
  <c r="Y70" i="12" s="1"/>
  <c r="F66" i="15"/>
  <c r="K65" i="15"/>
  <c r="Y69" i="12" s="1"/>
  <c r="F65" i="15"/>
  <c r="K64" i="15"/>
  <c r="Y68" i="12" s="1"/>
  <c r="F64" i="15"/>
  <c r="K63" i="15"/>
  <c r="Y67" i="12" s="1"/>
  <c r="F63" i="15"/>
  <c r="K62" i="15"/>
  <c r="Y66" i="12" s="1"/>
  <c r="F62" i="15"/>
  <c r="K61" i="15"/>
  <c r="Y65" i="12" s="1"/>
  <c r="F61" i="15"/>
  <c r="K60" i="15"/>
  <c r="Y64" i="12" s="1"/>
  <c r="F60" i="15"/>
  <c r="K59" i="15"/>
  <c r="Y63" i="12" s="1"/>
  <c r="F59" i="15"/>
  <c r="K58" i="15"/>
  <c r="Y62" i="12" s="1"/>
  <c r="F58" i="15"/>
  <c r="K57" i="15"/>
  <c r="Y61" i="12" s="1"/>
  <c r="F57" i="15"/>
  <c r="K56" i="15"/>
  <c r="Y60" i="12" s="1"/>
  <c r="F56" i="15"/>
  <c r="K55" i="15"/>
  <c r="Y59" i="12" s="1"/>
  <c r="F55" i="15"/>
  <c r="G54" i="15"/>
  <c r="F54" i="15"/>
  <c r="J53" i="15"/>
  <c r="X57" i="12" s="1"/>
  <c r="G53" i="15"/>
  <c r="F52" i="15"/>
  <c r="F51" i="15"/>
  <c r="J50" i="15"/>
  <c r="X54" i="12" s="1"/>
  <c r="G50" i="15"/>
  <c r="K49" i="15"/>
  <c r="Y53" i="12" s="1"/>
  <c r="F49" i="15"/>
  <c r="J48" i="15"/>
  <c r="X52" i="12" s="1"/>
  <c r="J47" i="15"/>
  <c r="X51" i="12" s="1"/>
  <c r="K46" i="15"/>
  <c r="Y50" i="12" s="1"/>
  <c r="F46" i="15"/>
  <c r="K45" i="15"/>
  <c r="Y49" i="12" s="1"/>
  <c r="J45" i="15"/>
  <c r="X49" i="12" s="1"/>
  <c r="K44" i="15"/>
  <c r="Y48" i="12" s="1"/>
  <c r="J44" i="15"/>
  <c r="X48" i="12" s="1"/>
  <c r="K43" i="15"/>
  <c r="Y47" i="12" s="1"/>
  <c r="J43" i="15"/>
  <c r="X47" i="12" s="1"/>
  <c r="K42" i="15"/>
  <c r="Y46" i="12" s="1"/>
  <c r="J42" i="15"/>
  <c r="X46" i="12" s="1"/>
  <c r="K41" i="15"/>
  <c r="Y45" i="12" s="1"/>
  <c r="J41" i="15"/>
  <c r="X45" i="12" s="1"/>
  <c r="K40" i="15"/>
  <c r="Y44" i="12" s="1"/>
  <c r="J40" i="15"/>
  <c r="X44" i="12" s="1"/>
  <c r="K39" i="15"/>
  <c r="Y43" i="12" s="1"/>
  <c r="J39" i="15"/>
  <c r="X43" i="12" s="1"/>
  <c r="K38" i="15"/>
  <c r="Y42" i="12" s="1"/>
  <c r="J38" i="15"/>
  <c r="X42" i="12" s="1"/>
  <c r="K37" i="15"/>
  <c r="Y41" i="12" s="1"/>
  <c r="J37" i="15"/>
  <c r="X41" i="12" s="1"/>
  <c r="K36" i="15"/>
  <c r="Y40" i="12" s="1"/>
  <c r="J36" i="15"/>
  <c r="X40" i="12" s="1"/>
  <c r="K35" i="15"/>
  <c r="Y39" i="12" s="1"/>
  <c r="J35" i="15"/>
  <c r="X39" i="12" s="1"/>
  <c r="J34" i="15"/>
  <c r="X38" i="12" s="1"/>
  <c r="G34" i="15"/>
  <c r="K34" i="15" s="1"/>
  <c r="Y38" i="12" s="1"/>
  <c r="K33" i="15"/>
  <c r="Y37" i="12" s="1"/>
  <c r="J33" i="15"/>
  <c r="X37" i="12" s="1"/>
  <c r="K32" i="15"/>
  <c r="Y36" i="12" s="1"/>
  <c r="J32" i="15"/>
  <c r="X36" i="12" s="1"/>
  <c r="K31" i="15"/>
  <c r="Y35" i="12" s="1"/>
  <c r="J31" i="15"/>
  <c r="X35" i="12" s="1"/>
  <c r="K30" i="15"/>
  <c r="Y34" i="12" s="1"/>
  <c r="J30" i="15"/>
  <c r="X34" i="12" s="1"/>
  <c r="K29" i="15"/>
  <c r="Y33" i="12" s="1"/>
  <c r="J29" i="15"/>
  <c r="X33" i="12" s="1"/>
  <c r="K28" i="15"/>
  <c r="Y32" i="12" s="1"/>
  <c r="J28" i="15"/>
  <c r="X32" i="12" s="1"/>
  <c r="K27" i="15"/>
  <c r="Y31" i="12" s="1"/>
  <c r="J27" i="15"/>
  <c r="X31" i="12" s="1"/>
  <c r="K26" i="15"/>
  <c r="Y30" i="12" s="1"/>
  <c r="J26" i="15"/>
  <c r="X30" i="12" s="1"/>
  <c r="K25" i="15"/>
  <c r="Y29" i="12" s="1"/>
  <c r="J25" i="15"/>
  <c r="X29" i="12" s="1"/>
  <c r="K24" i="15"/>
  <c r="Y28" i="12" s="1"/>
  <c r="J24" i="15"/>
  <c r="X28" i="12" s="1"/>
  <c r="K23" i="15"/>
  <c r="Y27" i="12" s="1"/>
  <c r="J23" i="15"/>
  <c r="X27" i="12" s="1"/>
  <c r="K22" i="15"/>
  <c r="Y26" i="12" s="1"/>
  <c r="J22" i="15"/>
  <c r="X26" i="12" s="1"/>
  <c r="K21" i="15"/>
  <c r="Y25" i="12" s="1"/>
  <c r="J21" i="15"/>
  <c r="X25" i="12" s="1"/>
  <c r="J20" i="15"/>
  <c r="X24" i="12" s="1"/>
  <c r="G19" i="15"/>
  <c r="F19" i="15"/>
  <c r="J19" i="15" s="1"/>
  <c r="X23" i="12" s="1"/>
  <c r="K18" i="15"/>
  <c r="Y22" i="12" s="1"/>
  <c r="J18" i="15"/>
  <c r="X22" i="12" s="1"/>
  <c r="J17" i="15"/>
  <c r="X21" i="12" s="1"/>
  <c r="G17" i="15"/>
  <c r="K17" i="15" s="1"/>
  <c r="Y21" i="12" s="1"/>
  <c r="J16" i="15"/>
  <c r="X20" i="12" s="1"/>
  <c r="G16" i="15"/>
  <c r="K16" i="15" s="1"/>
  <c r="Y20" i="12" s="1"/>
  <c r="J15" i="15"/>
  <c r="X19" i="12" s="1"/>
  <c r="G15" i="15"/>
  <c r="K15" i="15" s="1"/>
  <c r="Y19" i="12" s="1"/>
  <c r="G14" i="15"/>
  <c r="K14" i="15" s="1"/>
  <c r="Y18" i="12" s="1"/>
  <c r="F14" i="15"/>
  <c r="J14" i="15" s="1"/>
  <c r="X18" i="12" s="1"/>
  <c r="J13" i="15"/>
  <c r="X17" i="12" s="1"/>
  <c r="G13" i="15"/>
  <c r="K13" i="15" s="1"/>
  <c r="Y17" i="12" s="1"/>
  <c r="G12" i="15"/>
  <c r="K12" i="15" s="1"/>
  <c r="Y16" i="12" s="1"/>
  <c r="F12" i="15"/>
  <c r="J12" i="15" s="1"/>
  <c r="X16" i="12" s="1"/>
  <c r="J11" i="15"/>
  <c r="X15" i="12" s="1"/>
  <c r="G11" i="15"/>
  <c r="K11" i="15" s="1"/>
  <c r="Y15" i="12" s="1"/>
  <c r="K10" i="15"/>
  <c r="Y10" i="12" s="1"/>
  <c r="Y11" i="12" s="1"/>
  <c r="F10" i="15"/>
  <c r="J10" i="15" s="1"/>
  <c r="X10" i="12" s="1"/>
  <c r="K9" i="15"/>
  <c r="Y9" i="12" s="1"/>
  <c r="J9" i="15"/>
  <c r="X9" i="12" s="1"/>
  <c r="K8" i="15"/>
  <c r="Y8" i="12" s="1"/>
  <c r="F8" i="15"/>
  <c r="J8" i="15" s="1"/>
  <c r="X8" i="12" s="1"/>
  <c r="K7" i="15"/>
  <c r="Y7" i="12" s="1"/>
  <c r="J7" i="15"/>
  <c r="X7" i="12" s="1"/>
  <c r="K6" i="15"/>
  <c r="Y6" i="12" s="1"/>
  <c r="J6" i="15"/>
  <c r="X6" i="12" s="1"/>
  <c r="K5" i="15"/>
  <c r="Y5" i="12" s="1"/>
  <c r="J5" i="15"/>
  <c r="X5" i="12" s="1"/>
  <c r="K4" i="15"/>
  <c r="Y4" i="12" s="1"/>
  <c r="J4" i="15"/>
  <c r="X4" i="12" s="1"/>
  <c r="K3" i="15"/>
  <c r="Y3" i="12" s="1"/>
  <c r="J3" i="15"/>
  <c r="X3" i="12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G18" i="17"/>
  <c r="J17" i="17"/>
  <c r="G17" i="17"/>
  <c r="J16" i="17"/>
  <c r="G16" i="17"/>
  <c r="J15" i="17"/>
  <c r="G15" i="17"/>
  <c r="J14" i="17"/>
  <c r="N11" i="17"/>
  <c r="G11" i="17"/>
  <c r="N10" i="17"/>
  <c r="J10" i="17"/>
  <c r="G10" i="17"/>
  <c r="N9" i="17"/>
  <c r="J9" i="17"/>
  <c r="G9" i="17"/>
  <c r="N8" i="17"/>
  <c r="J8" i="17"/>
  <c r="G8" i="17"/>
  <c r="R7" i="17"/>
  <c r="N7" i="17"/>
  <c r="J7" i="17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U6" i="17"/>
  <c r="R6" i="17"/>
  <c r="N6" i="17"/>
  <c r="J6" i="17"/>
  <c r="G6" i="17"/>
  <c r="U5" i="17"/>
  <c r="R5" i="17"/>
  <c r="N5" i="17"/>
  <c r="J5" i="17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G18" i="18"/>
  <c r="J17" i="18"/>
  <c r="G17" i="18"/>
  <c r="J16" i="18"/>
  <c r="G16" i="18"/>
  <c r="J15" i="18"/>
  <c r="G15" i="18"/>
  <c r="J14" i="18"/>
  <c r="N11" i="18"/>
  <c r="G11" i="18"/>
  <c r="N10" i="18"/>
  <c r="J10" i="18"/>
  <c r="G10" i="18"/>
  <c r="N9" i="18"/>
  <c r="J9" i="18"/>
  <c r="G9" i="18"/>
  <c r="N8" i="18"/>
  <c r="J8" i="18"/>
  <c r="G8" i="18"/>
  <c r="R7" i="18"/>
  <c r="N7" i="18"/>
  <c r="J7" i="18"/>
  <c r="G7" i="18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U6" i="18"/>
  <c r="R6" i="18"/>
  <c r="N6" i="18"/>
  <c r="J6" i="18"/>
  <c r="G6" i="18"/>
  <c r="U5" i="18"/>
  <c r="R5" i="18"/>
  <c r="N5" i="18"/>
  <c r="J5" i="18"/>
  <c r="C3" i="18"/>
  <c r="C19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G18" i="14"/>
  <c r="J17" i="14"/>
  <c r="G17" i="14"/>
  <c r="J16" i="14"/>
  <c r="G16" i="14"/>
  <c r="J15" i="14"/>
  <c r="G15" i="14"/>
  <c r="J14" i="14"/>
  <c r="N11" i="14"/>
  <c r="G11" i="14"/>
  <c r="N10" i="14"/>
  <c r="J10" i="14"/>
  <c r="G10" i="14"/>
  <c r="N9" i="14"/>
  <c r="J9" i="14"/>
  <c r="G9" i="14"/>
  <c r="N8" i="14"/>
  <c r="J8" i="14"/>
  <c r="G8" i="14"/>
  <c r="R7" i="14"/>
  <c r="N7" i="14"/>
  <c r="J7" i="14"/>
  <c r="G7" i="14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U6" i="14"/>
  <c r="R6" i="14"/>
  <c r="N6" i="14"/>
  <c r="J6" i="14"/>
  <c r="G6" i="14"/>
  <c r="U5" i="14"/>
  <c r="R5" i="14"/>
  <c r="N5" i="14"/>
  <c r="J5" i="14"/>
  <c r="C3" i="14"/>
  <c r="C258" i="16"/>
  <c r="B258" i="16"/>
  <c r="C257" i="16"/>
  <c r="B257" i="16"/>
  <c r="C256" i="16"/>
  <c r="B256" i="16"/>
  <c r="C255" i="16"/>
  <c r="B255" i="16"/>
  <c r="C254" i="16"/>
  <c r="B254" i="16"/>
  <c r="C253" i="16"/>
  <c r="B253" i="16"/>
  <c r="C252" i="16"/>
  <c r="B252" i="16"/>
  <c r="C251" i="16"/>
  <c r="B251" i="16"/>
  <c r="C250" i="16"/>
  <c r="B250" i="16"/>
  <c r="C249" i="16"/>
  <c r="B249" i="16"/>
  <c r="C248" i="16"/>
  <c r="B248" i="16"/>
  <c r="C247" i="16"/>
  <c r="B247" i="16"/>
  <c r="C246" i="16"/>
  <c r="B246" i="16"/>
  <c r="C245" i="16"/>
  <c r="B245" i="16"/>
  <c r="C244" i="16"/>
  <c r="B244" i="16"/>
  <c r="C243" i="16"/>
  <c r="B243" i="16"/>
  <c r="C242" i="16"/>
  <c r="B242" i="16"/>
  <c r="C241" i="16"/>
  <c r="B241" i="16"/>
  <c r="C240" i="16"/>
  <c r="B240" i="16"/>
  <c r="C239" i="16"/>
  <c r="B239" i="16"/>
  <c r="C238" i="16"/>
  <c r="B238" i="16"/>
  <c r="C237" i="16"/>
  <c r="B237" i="16"/>
  <c r="C236" i="16"/>
  <c r="B236" i="16"/>
  <c r="C235" i="16"/>
  <c r="B235" i="16"/>
  <c r="C234" i="16"/>
  <c r="B234" i="16"/>
  <c r="C233" i="16"/>
  <c r="B233" i="16"/>
  <c r="C232" i="16"/>
  <c r="B232" i="16"/>
  <c r="C231" i="16"/>
  <c r="B231" i="16"/>
  <c r="C230" i="16"/>
  <c r="B230" i="16"/>
  <c r="C229" i="16"/>
  <c r="B229" i="16"/>
  <c r="C228" i="16"/>
  <c r="B228" i="16"/>
  <c r="C227" i="16"/>
  <c r="B227" i="16"/>
  <c r="C226" i="16"/>
  <c r="B226" i="16"/>
  <c r="C225" i="16"/>
  <c r="B225" i="16"/>
  <c r="C224" i="16"/>
  <c r="B224" i="16"/>
  <c r="C223" i="16"/>
  <c r="B223" i="16"/>
  <c r="C222" i="16"/>
  <c r="B222" i="16"/>
  <c r="C221" i="16"/>
  <c r="B221" i="16"/>
  <c r="C220" i="16"/>
  <c r="B220" i="16"/>
  <c r="C219" i="16"/>
  <c r="B219" i="16"/>
  <c r="C218" i="16"/>
  <c r="B218" i="16"/>
  <c r="C217" i="16"/>
  <c r="B217" i="16"/>
  <c r="C216" i="16"/>
  <c r="B216" i="16"/>
  <c r="C215" i="16"/>
  <c r="B215" i="16"/>
  <c r="C214" i="16"/>
  <c r="B214" i="16"/>
  <c r="C213" i="16"/>
  <c r="B213" i="16"/>
  <c r="C212" i="16"/>
  <c r="B212" i="16"/>
  <c r="C211" i="16"/>
  <c r="B211" i="16"/>
  <c r="C210" i="16"/>
  <c r="B210" i="16"/>
  <c r="C209" i="16"/>
  <c r="B209" i="16"/>
  <c r="C208" i="16"/>
  <c r="B208" i="16"/>
  <c r="C207" i="16"/>
  <c r="B207" i="16"/>
  <c r="C206" i="16"/>
  <c r="B206" i="16"/>
  <c r="C205" i="16"/>
  <c r="B205" i="16"/>
  <c r="C204" i="16"/>
  <c r="B204" i="16"/>
  <c r="C203" i="16"/>
  <c r="B203" i="16"/>
  <c r="C202" i="16"/>
  <c r="B202" i="16"/>
  <c r="C201" i="16"/>
  <c r="B201" i="16"/>
  <c r="C200" i="16"/>
  <c r="B200" i="16"/>
  <c r="C199" i="16"/>
  <c r="B199" i="16"/>
  <c r="C198" i="16"/>
  <c r="B198" i="16"/>
  <c r="C197" i="16"/>
  <c r="B197" i="16"/>
  <c r="C196" i="16"/>
  <c r="B196" i="16"/>
  <c r="C195" i="16"/>
  <c r="B195" i="16"/>
  <c r="C194" i="16"/>
  <c r="B194" i="16"/>
  <c r="C193" i="16"/>
  <c r="B193" i="16"/>
  <c r="C192" i="16"/>
  <c r="B192" i="16"/>
  <c r="C191" i="16"/>
  <c r="B191" i="16"/>
  <c r="C190" i="16"/>
  <c r="B190" i="16"/>
  <c r="C189" i="16"/>
  <c r="B189" i="16"/>
  <c r="C188" i="16"/>
  <c r="B188" i="16"/>
  <c r="C187" i="16"/>
  <c r="B187" i="16"/>
  <c r="C186" i="16"/>
  <c r="B186" i="16"/>
  <c r="C185" i="16"/>
  <c r="B185" i="16"/>
  <c r="C184" i="16"/>
  <c r="B184" i="16"/>
  <c r="C183" i="16"/>
  <c r="AC263" i="1" s="1"/>
  <c r="B183" i="16"/>
  <c r="AB263" i="1" s="1"/>
  <c r="C182" i="16"/>
  <c r="AC262" i="1" s="1"/>
  <c r="B182" i="16"/>
  <c r="AB262" i="1" s="1"/>
  <c r="C181" i="16"/>
  <c r="AC261" i="1" s="1"/>
  <c r="B181" i="16"/>
  <c r="AB261" i="1" s="1"/>
  <c r="C180" i="16"/>
  <c r="AC260" i="1" s="1"/>
  <c r="B180" i="16"/>
  <c r="AB260" i="1" s="1"/>
  <c r="C179" i="16"/>
  <c r="AC259" i="1" s="1"/>
  <c r="B179" i="16"/>
  <c r="AB259" i="1" s="1"/>
  <c r="C178" i="16"/>
  <c r="AC258" i="1" s="1"/>
  <c r="B178" i="16"/>
  <c r="AB258" i="1" s="1"/>
  <c r="C177" i="16"/>
  <c r="AC257" i="1" s="1"/>
  <c r="B177" i="16"/>
  <c r="AB257" i="1" s="1"/>
  <c r="C176" i="16"/>
  <c r="AC256" i="1" s="1"/>
  <c r="B176" i="16"/>
  <c r="AB256" i="1" s="1"/>
  <c r="C175" i="16"/>
  <c r="AC255" i="1" s="1"/>
  <c r="B175" i="16"/>
  <c r="AB255" i="1" s="1"/>
  <c r="C174" i="16"/>
  <c r="AC254" i="1" s="1"/>
  <c r="B174" i="16"/>
  <c r="AB254" i="1" s="1"/>
  <c r="C173" i="16"/>
  <c r="AC253" i="1" s="1"/>
  <c r="B173" i="16"/>
  <c r="AB253" i="1" s="1"/>
  <c r="C172" i="16"/>
  <c r="AC252" i="1" s="1"/>
  <c r="B172" i="16"/>
  <c r="AB252" i="1" s="1"/>
  <c r="C171" i="16"/>
  <c r="AC251" i="1" s="1"/>
  <c r="B171" i="16"/>
  <c r="AB251" i="1" s="1"/>
  <c r="C170" i="16"/>
  <c r="AC250" i="1" s="1"/>
  <c r="B170" i="16"/>
  <c r="AB250" i="1" s="1"/>
  <c r="C169" i="16"/>
  <c r="AC249" i="1" s="1"/>
  <c r="B169" i="16"/>
  <c r="AB249" i="1" s="1"/>
  <c r="C168" i="16"/>
  <c r="AC248" i="1" s="1"/>
  <c r="B168" i="16"/>
  <c r="AB248" i="1" s="1"/>
  <c r="C167" i="16"/>
  <c r="AC247" i="1" s="1"/>
  <c r="B167" i="16"/>
  <c r="AB247" i="1" s="1"/>
  <c r="C166" i="16"/>
  <c r="AC246" i="1" s="1"/>
  <c r="B166" i="16"/>
  <c r="AB246" i="1" s="1"/>
  <c r="C165" i="16"/>
  <c r="AC245" i="1" s="1"/>
  <c r="B165" i="16"/>
  <c r="AB245" i="1" s="1"/>
  <c r="C164" i="16"/>
  <c r="B164" i="16"/>
  <c r="C163" i="16"/>
  <c r="AC244" i="1" s="1"/>
  <c r="B163" i="16"/>
  <c r="AB244" i="1" s="1"/>
  <c r="C162" i="16"/>
  <c r="AC243" i="1" s="1"/>
  <c r="B162" i="16"/>
  <c r="AB243" i="1" s="1"/>
  <c r="C161" i="16"/>
  <c r="AC242" i="1" s="1"/>
  <c r="B161" i="16"/>
  <c r="AB242" i="1" s="1"/>
  <c r="C160" i="16"/>
  <c r="AC241" i="1" s="1"/>
  <c r="B160" i="16"/>
  <c r="AB241" i="1" s="1"/>
  <c r="C159" i="16"/>
  <c r="AC240" i="1" s="1"/>
  <c r="B159" i="16"/>
  <c r="AB240" i="1" s="1"/>
  <c r="C158" i="16"/>
  <c r="AC239" i="1" s="1"/>
  <c r="B158" i="16"/>
  <c r="AB239" i="1" s="1"/>
  <c r="C157" i="16"/>
  <c r="AC238" i="1" s="1"/>
  <c r="B157" i="16"/>
  <c r="AB238" i="1" s="1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AC237" i="1" s="1"/>
  <c r="B147" i="16"/>
  <c r="AB237" i="1" s="1"/>
  <c r="C146" i="16"/>
  <c r="AC236" i="1" s="1"/>
  <c r="B146" i="16"/>
  <c r="AB236" i="1" s="1"/>
  <c r="C145" i="16"/>
  <c r="AC235" i="1" s="1"/>
  <c r="B145" i="16"/>
  <c r="AB235" i="1" s="1"/>
  <c r="C144" i="16"/>
  <c r="AC234" i="1" s="1"/>
  <c r="B144" i="16"/>
  <c r="AB234" i="1" s="1"/>
  <c r="C143" i="16"/>
  <c r="AC232" i="1" s="1"/>
  <c r="B143" i="16"/>
  <c r="AB232" i="1" s="1"/>
  <c r="C142" i="16"/>
  <c r="AC231" i="1" s="1"/>
  <c r="B142" i="16"/>
  <c r="AB231" i="1" s="1"/>
  <c r="C141" i="16"/>
  <c r="AC230" i="1" s="1"/>
  <c r="B141" i="16"/>
  <c r="AB230" i="1" s="1"/>
  <c r="C140" i="16"/>
  <c r="AC229" i="1" s="1"/>
  <c r="B140" i="16"/>
  <c r="AB229" i="1" s="1"/>
  <c r="C139" i="16"/>
  <c r="AC228" i="1" s="1"/>
  <c r="B139" i="16"/>
  <c r="AB228" i="1" s="1"/>
  <c r="C138" i="16"/>
  <c r="AC227" i="1" s="1"/>
  <c r="B138" i="16"/>
  <c r="AB227" i="1" s="1"/>
  <c r="C137" i="16"/>
  <c r="AC226" i="1" s="1"/>
  <c r="B137" i="16"/>
  <c r="AB226" i="1" s="1"/>
  <c r="C136" i="16"/>
  <c r="AC225" i="1" s="1"/>
  <c r="B136" i="16"/>
  <c r="AB225" i="1" s="1"/>
  <c r="C135" i="16"/>
  <c r="AC224" i="1" s="1"/>
  <c r="B135" i="16"/>
  <c r="AB224" i="1" s="1"/>
  <c r="C134" i="16"/>
  <c r="AC223" i="1" s="1"/>
  <c r="B134" i="16"/>
  <c r="AB223" i="1" s="1"/>
  <c r="C133" i="16"/>
  <c r="AC222" i="1" s="1"/>
  <c r="B133" i="16"/>
  <c r="AB222" i="1" s="1"/>
  <c r="C132" i="16"/>
  <c r="AC221" i="1" s="1"/>
  <c r="B132" i="16"/>
  <c r="AB221" i="1" s="1"/>
  <c r="C131" i="16"/>
  <c r="AC220" i="1" s="1"/>
  <c r="B131" i="16"/>
  <c r="AB220" i="1" s="1"/>
  <c r="C130" i="16"/>
  <c r="AC219" i="1" s="1"/>
  <c r="B130" i="16"/>
  <c r="AB219" i="1" s="1"/>
  <c r="C129" i="16"/>
  <c r="AC218" i="1" s="1"/>
  <c r="B129" i="16"/>
  <c r="AB218" i="1" s="1"/>
  <c r="C128" i="16"/>
  <c r="AC217" i="1" s="1"/>
  <c r="B128" i="16"/>
  <c r="AB217" i="1" s="1"/>
  <c r="C127" i="16"/>
  <c r="AC216" i="1" s="1"/>
  <c r="B127" i="16"/>
  <c r="AB216" i="1" s="1"/>
  <c r="C126" i="16"/>
  <c r="AC215" i="1" s="1"/>
  <c r="B126" i="16"/>
  <c r="AB215" i="1" s="1"/>
  <c r="C125" i="16"/>
  <c r="AC214" i="1" s="1"/>
  <c r="B125" i="16"/>
  <c r="AB214" i="1" s="1"/>
  <c r="C124" i="16"/>
  <c r="AC213" i="1" s="1"/>
  <c r="B124" i="16"/>
  <c r="AB213" i="1" s="1"/>
  <c r="C123" i="16"/>
  <c r="AC212" i="1" s="1"/>
  <c r="B123" i="16"/>
  <c r="AB212" i="1" s="1"/>
  <c r="C122" i="16"/>
  <c r="AC211" i="1" s="1"/>
  <c r="B122" i="16"/>
  <c r="AB211" i="1" s="1"/>
  <c r="C121" i="16"/>
  <c r="AC210" i="1" s="1"/>
  <c r="B121" i="16"/>
  <c r="AB210" i="1" s="1"/>
  <c r="C120" i="16"/>
  <c r="AC209" i="1" s="1"/>
  <c r="B120" i="16"/>
  <c r="AB209" i="1" s="1"/>
  <c r="C119" i="16"/>
  <c r="AC208" i="1" s="1"/>
  <c r="B119" i="16"/>
  <c r="AB208" i="1" s="1"/>
  <c r="C118" i="16"/>
  <c r="AC207" i="1" s="1"/>
  <c r="B118" i="16"/>
  <c r="AB207" i="1" s="1"/>
  <c r="C117" i="16"/>
  <c r="AC206" i="1" s="1"/>
  <c r="B117" i="16"/>
  <c r="AB206" i="1" s="1"/>
  <c r="C116" i="16"/>
  <c r="AC205" i="1" s="1"/>
  <c r="B116" i="16"/>
  <c r="AB205" i="1" s="1"/>
  <c r="C115" i="16"/>
  <c r="AC204" i="1" s="1"/>
  <c r="B115" i="16"/>
  <c r="AB204" i="1" s="1"/>
  <c r="C114" i="16"/>
  <c r="AC203" i="1" s="1"/>
  <c r="B114" i="16"/>
  <c r="AB203" i="1" s="1"/>
  <c r="C113" i="16"/>
  <c r="AC202" i="1" s="1"/>
  <c r="B113" i="16"/>
  <c r="AB202" i="1" s="1"/>
  <c r="C112" i="16"/>
  <c r="AC201" i="1" s="1"/>
  <c r="B112" i="16"/>
  <c r="AB201" i="1" s="1"/>
  <c r="C111" i="16"/>
  <c r="AC200" i="1" s="1"/>
  <c r="B111" i="16"/>
  <c r="AB200" i="1" s="1"/>
  <c r="C110" i="16"/>
  <c r="AC199" i="1" s="1"/>
  <c r="B110" i="16"/>
  <c r="AB199" i="1" s="1"/>
  <c r="C109" i="16"/>
  <c r="AC198" i="1" s="1"/>
  <c r="B109" i="16"/>
  <c r="AB198" i="1" s="1"/>
  <c r="C108" i="16"/>
  <c r="AC197" i="1" s="1"/>
  <c r="B108" i="16"/>
  <c r="AB197" i="1" s="1"/>
  <c r="C107" i="16"/>
  <c r="AC196" i="1" s="1"/>
  <c r="B107" i="16"/>
  <c r="AB196" i="1" s="1"/>
  <c r="C106" i="16"/>
  <c r="AC195" i="1" s="1"/>
  <c r="B106" i="16"/>
  <c r="AB195" i="1" s="1"/>
  <c r="C105" i="16"/>
  <c r="AC194" i="1" s="1"/>
  <c r="B105" i="16"/>
  <c r="AB194" i="1" s="1"/>
  <c r="C104" i="16"/>
  <c r="AC193" i="1" s="1"/>
  <c r="B104" i="16"/>
  <c r="AB193" i="1" s="1"/>
  <c r="C103" i="16"/>
  <c r="AC191" i="1" s="1"/>
  <c r="B103" i="16"/>
  <c r="AB191" i="1" s="1"/>
  <c r="C102" i="16"/>
  <c r="AC189" i="1" s="1"/>
  <c r="B102" i="16"/>
  <c r="AB189" i="1" s="1"/>
  <c r="C101" i="16"/>
  <c r="AC188" i="1" s="1"/>
  <c r="B101" i="16"/>
  <c r="AB188" i="1" s="1"/>
  <c r="C100" i="16"/>
  <c r="AC187" i="1" s="1"/>
  <c r="B100" i="16"/>
  <c r="AB187" i="1" s="1"/>
  <c r="C99" i="16"/>
  <c r="AC186" i="1" s="1"/>
  <c r="B99" i="16"/>
  <c r="AB186" i="1" s="1"/>
  <c r="C98" i="16"/>
  <c r="AC185" i="1" s="1"/>
  <c r="B98" i="16"/>
  <c r="AB185" i="1" s="1"/>
  <c r="C97" i="16"/>
  <c r="AC184" i="1" s="1"/>
  <c r="B97" i="16"/>
  <c r="AB184" i="1" s="1"/>
  <c r="C96" i="16"/>
  <c r="AC183" i="1" s="1"/>
  <c r="B96" i="16"/>
  <c r="AB183" i="1" s="1"/>
  <c r="C95" i="16"/>
  <c r="AC182" i="1" s="1"/>
  <c r="B95" i="16"/>
  <c r="AB182" i="1" s="1"/>
  <c r="C94" i="16"/>
  <c r="AC181" i="1" s="1"/>
  <c r="B94" i="16"/>
  <c r="AB181" i="1" s="1"/>
  <c r="C93" i="16"/>
  <c r="AC180" i="1" s="1"/>
  <c r="B93" i="16"/>
  <c r="AB180" i="1" s="1"/>
  <c r="C92" i="16"/>
  <c r="AC179" i="1" s="1"/>
  <c r="B92" i="16"/>
  <c r="AB179" i="1" s="1"/>
  <c r="C91" i="16"/>
  <c r="AC178" i="1" s="1"/>
  <c r="B91" i="16"/>
  <c r="AB178" i="1" s="1"/>
  <c r="C90" i="16"/>
  <c r="AC177" i="1" s="1"/>
  <c r="B90" i="16"/>
  <c r="AB177" i="1" s="1"/>
  <c r="C89" i="16"/>
  <c r="AC176" i="1" s="1"/>
  <c r="B89" i="16"/>
  <c r="AB176" i="1" s="1"/>
  <c r="C88" i="16"/>
  <c r="AC175" i="1" s="1"/>
  <c r="B88" i="16"/>
  <c r="AB175" i="1" s="1"/>
  <c r="C87" i="16"/>
  <c r="AC174" i="1" s="1"/>
  <c r="B87" i="16"/>
  <c r="AB174" i="1" s="1"/>
  <c r="C86" i="16"/>
  <c r="AC173" i="1" s="1"/>
  <c r="B86" i="16"/>
  <c r="AB173" i="1" s="1"/>
  <c r="C85" i="16"/>
  <c r="AC172" i="1" s="1"/>
  <c r="B85" i="16"/>
  <c r="AB172" i="1" s="1"/>
  <c r="C84" i="16"/>
  <c r="AC171" i="1" s="1"/>
  <c r="B84" i="16"/>
  <c r="AB171" i="1" s="1"/>
  <c r="C83" i="16"/>
  <c r="AC170" i="1" s="1"/>
  <c r="B83" i="16"/>
  <c r="AB170" i="1" s="1"/>
  <c r="C82" i="16"/>
  <c r="AC169" i="1" s="1"/>
  <c r="B82" i="16"/>
  <c r="AB169" i="1" s="1"/>
  <c r="C81" i="16"/>
  <c r="AC168" i="1" s="1"/>
  <c r="B81" i="16"/>
  <c r="AB168" i="1" s="1"/>
  <c r="A42" i="16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G18" i="16"/>
  <c r="J17" i="16"/>
  <c r="G17" i="16"/>
  <c r="J16" i="16"/>
  <c r="G16" i="16"/>
  <c r="J15" i="16"/>
  <c r="G15" i="16"/>
  <c r="L14" i="16"/>
  <c r="J14" i="16"/>
  <c r="N11" i="16"/>
  <c r="G11" i="16"/>
  <c r="N10" i="16"/>
  <c r="J10" i="16"/>
  <c r="G10" i="16"/>
  <c r="N9" i="16"/>
  <c r="J9" i="16"/>
  <c r="G9" i="16"/>
  <c r="N8" i="16"/>
  <c r="J8" i="16"/>
  <c r="G8" i="16"/>
  <c r="R7" i="16"/>
  <c r="N7" i="16"/>
  <c r="J7" i="16"/>
  <c r="G7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U6" i="16"/>
  <c r="R6" i="16"/>
  <c r="N6" i="16"/>
  <c r="J6" i="16"/>
  <c r="G6" i="16"/>
  <c r="U5" i="16"/>
  <c r="R5" i="16"/>
  <c r="N5" i="16"/>
  <c r="J5" i="16"/>
  <c r="C3" i="16"/>
  <c r="M246" i="12"/>
  <c r="M245" i="12"/>
  <c r="N244" i="12"/>
  <c r="N242" i="12"/>
  <c r="M242" i="12"/>
  <c r="N230" i="12"/>
  <c r="N198" i="12"/>
  <c r="N166" i="12"/>
  <c r="N134" i="12"/>
  <c r="M107" i="12"/>
  <c r="M139" i="12" s="1"/>
  <c r="M171" i="12" s="1"/>
  <c r="M203" i="12" s="1"/>
  <c r="M235" i="12" s="1"/>
  <c r="M106" i="12"/>
  <c r="M138" i="12" s="1"/>
  <c r="M170" i="12" s="1"/>
  <c r="M202" i="12" s="1"/>
  <c r="M234" i="12" s="1"/>
  <c r="M105" i="12"/>
  <c r="M137" i="12" s="1"/>
  <c r="M169" i="12" s="1"/>
  <c r="M201" i="12" s="1"/>
  <c r="M233" i="12" s="1"/>
  <c r="M104" i="12"/>
  <c r="M136" i="12" s="1"/>
  <c r="M168" i="12" s="1"/>
  <c r="M200" i="12" s="1"/>
  <c r="M232" i="12" s="1"/>
  <c r="M103" i="12"/>
  <c r="M135" i="12" s="1"/>
  <c r="M167" i="12" s="1"/>
  <c r="M199" i="12" s="1"/>
  <c r="M231" i="12" s="1"/>
  <c r="N102" i="12"/>
  <c r="M102" i="12"/>
  <c r="M134" i="12" s="1"/>
  <c r="M166" i="12" s="1"/>
  <c r="M198" i="12" s="1"/>
  <c r="M230" i="12" s="1"/>
  <c r="Y101" i="12"/>
  <c r="M101" i="12"/>
  <c r="M133" i="12" s="1"/>
  <c r="M165" i="12" s="1"/>
  <c r="M197" i="12" s="1"/>
  <c r="M229" i="12" s="1"/>
  <c r="Y100" i="12"/>
  <c r="M100" i="12"/>
  <c r="M132" i="12" s="1"/>
  <c r="M164" i="12" s="1"/>
  <c r="M196" i="12" s="1"/>
  <c r="M228" i="12" s="1"/>
  <c r="Y99" i="12"/>
  <c r="M99" i="12"/>
  <c r="M131" i="12" s="1"/>
  <c r="M163" i="12" s="1"/>
  <c r="M195" i="12" s="1"/>
  <c r="M227" i="12" s="1"/>
  <c r="Y98" i="12"/>
  <c r="M98" i="12"/>
  <c r="M130" i="12" s="1"/>
  <c r="M162" i="12" s="1"/>
  <c r="M194" i="12" s="1"/>
  <c r="M226" i="12" s="1"/>
  <c r="Y97" i="12"/>
  <c r="M97" i="12"/>
  <c r="M129" i="12" s="1"/>
  <c r="M161" i="12" s="1"/>
  <c r="M193" i="12" s="1"/>
  <c r="M225" i="12" s="1"/>
  <c r="Y96" i="12"/>
  <c r="M96" i="12"/>
  <c r="M128" i="12" s="1"/>
  <c r="M160" i="12" s="1"/>
  <c r="M192" i="12" s="1"/>
  <c r="M224" i="12" s="1"/>
  <c r="Y95" i="12"/>
  <c r="M95" i="12"/>
  <c r="M127" i="12" s="1"/>
  <c r="M159" i="12" s="1"/>
  <c r="M191" i="12" s="1"/>
  <c r="M223" i="12" s="1"/>
  <c r="Y94" i="12"/>
  <c r="M94" i="12"/>
  <c r="M126" i="12" s="1"/>
  <c r="M158" i="12" s="1"/>
  <c r="M190" i="12" s="1"/>
  <c r="M222" i="12" s="1"/>
  <c r="Y93" i="12"/>
  <c r="M93" i="12"/>
  <c r="M125" i="12" s="1"/>
  <c r="M157" i="12" s="1"/>
  <c r="M189" i="12" s="1"/>
  <c r="M221" i="12" s="1"/>
  <c r="Y92" i="12"/>
  <c r="M92" i="12"/>
  <c r="M124" i="12" s="1"/>
  <c r="M156" i="12" s="1"/>
  <c r="M188" i="12" s="1"/>
  <c r="M220" i="12" s="1"/>
  <c r="Y91" i="12"/>
  <c r="M91" i="12"/>
  <c r="M123" i="12" s="1"/>
  <c r="M155" i="12" s="1"/>
  <c r="M187" i="12" s="1"/>
  <c r="M219" i="12" s="1"/>
  <c r="N90" i="12"/>
  <c r="M90" i="12"/>
  <c r="M122" i="12" s="1"/>
  <c r="M154" i="12" s="1"/>
  <c r="M186" i="12" s="1"/>
  <c r="M218" i="12" s="1"/>
  <c r="N89" i="12"/>
  <c r="N121" i="12" s="1"/>
  <c r="N153" i="12" s="1"/>
  <c r="N185" i="12" s="1"/>
  <c r="N217" i="12" s="1"/>
  <c r="M89" i="12"/>
  <c r="M121" i="12" s="1"/>
  <c r="M153" i="12" s="1"/>
  <c r="M185" i="12" s="1"/>
  <c r="M217" i="12" s="1"/>
  <c r="M88" i="12"/>
  <c r="M120" i="12" s="1"/>
  <c r="M152" i="12" s="1"/>
  <c r="M184" i="12" s="1"/>
  <c r="M216" i="12" s="1"/>
  <c r="M87" i="12"/>
  <c r="M119" i="12" s="1"/>
  <c r="M151" i="12" s="1"/>
  <c r="M183" i="12" s="1"/>
  <c r="M215" i="12" s="1"/>
  <c r="N86" i="12"/>
  <c r="N118" i="12" s="1"/>
  <c r="N150" i="12" s="1"/>
  <c r="N182" i="12" s="1"/>
  <c r="N214" i="12" s="1"/>
  <c r="M86" i="12"/>
  <c r="M118" i="12" s="1"/>
  <c r="M150" i="12" s="1"/>
  <c r="M182" i="12" s="1"/>
  <c r="M214" i="12" s="1"/>
  <c r="N85" i="12"/>
  <c r="N117" i="12" s="1"/>
  <c r="N149" i="12" s="1"/>
  <c r="N181" i="12" s="1"/>
  <c r="N213" i="12" s="1"/>
  <c r="M85" i="12"/>
  <c r="M117" i="12" s="1"/>
  <c r="M149" i="12" s="1"/>
  <c r="M181" i="12" s="1"/>
  <c r="M213" i="12" s="1"/>
  <c r="M84" i="12"/>
  <c r="M116" i="12" s="1"/>
  <c r="M148" i="12" s="1"/>
  <c r="M180" i="12" s="1"/>
  <c r="M212" i="12" s="1"/>
  <c r="M83" i="12"/>
  <c r="M115" i="12" s="1"/>
  <c r="M147" i="12" s="1"/>
  <c r="M179" i="12" s="1"/>
  <c r="M211" i="12" s="1"/>
  <c r="N82" i="12"/>
  <c r="N114" i="12" s="1"/>
  <c r="N146" i="12" s="1"/>
  <c r="N178" i="12" s="1"/>
  <c r="N210" i="12" s="1"/>
  <c r="M82" i="12"/>
  <c r="M114" i="12" s="1"/>
  <c r="M146" i="12" s="1"/>
  <c r="M178" i="12" s="1"/>
  <c r="M210" i="12" s="1"/>
  <c r="N81" i="12"/>
  <c r="M81" i="12"/>
  <c r="M113" i="12" s="1"/>
  <c r="M145" i="12" s="1"/>
  <c r="M177" i="12" s="1"/>
  <c r="M209" i="12" s="1"/>
  <c r="M80" i="12"/>
  <c r="M112" i="12" s="1"/>
  <c r="M144" i="12" s="1"/>
  <c r="M176" i="12" s="1"/>
  <c r="M208" i="12" s="1"/>
  <c r="M240" i="12" s="1"/>
  <c r="M79" i="12"/>
  <c r="M111" i="12" s="1"/>
  <c r="M143" i="12" s="1"/>
  <c r="M175" i="12" s="1"/>
  <c r="M207" i="12" s="1"/>
  <c r="M239" i="12" s="1"/>
  <c r="M78" i="12"/>
  <c r="M110" i="12" s="1"/>
  <c r="M142" i="12" s="1"/>
  <c r="M174" i="12" s="1"/>
  <c r="M206" i="12" s="1"/>
  <c r="M238" i="12" s="1"/>
  <c r="M77" i="12"/>
  <c r="M109" i="12" s="1"/>
  <c r="M141" i="12" s="1"/>
  <c r="M173" i="12" s="1"/>
  <c r="M205" i="12" s="1"/>
  <c r="M237" i="12" s="1"/>
  <c r="M76" i="12"/>
  <c r="M108" i="12" s="1"/>
  <c r="M140" i="12" s="1"/>
  <c r="M172" i="12" s="1"/>
  <c r="M204" i="12" s="1"/>
  <c r="M236" i="12" s="1"/>
  <c r="M75" i="12"/>
  <c r="M74" i="12"/>
  <c r="M73" i="12"/>
  <c r="M72" i="12"/>
  <c r="M71" i="12"/>
  <c r="N70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N58" i="12"/>
  <c r="M58" i="12"/>
  <c r="N57" i="12"/>
  <c r="M56" i="12"/>
  <c r="M55" i="12"/>
  <c r="N54" i="12"/>
  <c r="M53" i="12"/>
  <c r="M50" i="12"/>
  <c r="N38" i="12"/>
  <c r="N23" i="12"/>
  <c r="N24" i="12" s="1"/>
  <c r="N51" i="12" s="1"/>
  <c r="M23" i="12"/>
  <c r="N21" i="12"/>
  <c r="N20" i="12"/>
  <c r="N19" i="12"/>
  <c r="N18" i="12"/>
  <c r="M18" i="12"/>
  <c r="N17" i="12"/>
  <c r="N16" i="12"/>
  <c r="M16" i="12"/>
  <c r="N15" i="12"/>
  <c r="N14" i="12"/>
  <c r="B14" i="12"/>
  <c r="AC13" i="12"/>
  <c r="AB13" i="12"/>
  <c r="C13" i="12"/>
  <c r="AB12" i="12"/>
  <c r="C12" i="12"/>
  <c r="AC11" i="12"/>
  <c r="N11" i="12"/>
  <c r="N12" i="12" s="1"/>
  <c r="N13" i="12" s="1"/>
  <c r="C11" i="12"/>
  <c r="R10" i="12"/>
  <c r="R11" i="12" s="1"/>
  <c r="M10" i="12"/>
  <c r="G10" i="12"/>
  <c r="G11" i="12" s="1"/>
  <c r="C10" i="12"/>
  <c r="R9" i="12"/>
  <c r="Q9" i="12"/>
  <c r="G9" i="12"/>
  <c r="F9" i="12"/>
  <c r="R8" i="12"/>
  <c r="M8" i="12"/>
  <c r="Q8" i="12" s="1"/>
  <c r="G8" i="12"/>
  <c r="F8" i="12"/>
  <c r="R7" i="12"/>
  <c r="Q7" i="12"/>
  <c r="G7" i="12"/>
  <c r="F7" i="12"/>
  <c r="R6" i="12"/>
  <c r="R12" i="12" s="1"/>
  <c r="Q6" i="12"/>
  <c r="G6" i="12"/>
  <c r="G12" i="12" s="1"/>
  <c r="G13" i="12" s="1"/>
  <c r="F6" i="12"/>
  <c r="F13" i="12" s="1"/>
  <c r="AF59" i="2"/>
  <c r="V59" i="2"/>
  <c r="L59" i="2"/>
  <c r="B59" i="2"/>
  <c r="AF58" i="2"/>
  <c r="V58" i="2"/>
  <c r="L58" i="2"/>
  <c r="B58" i="2"/>
  <c r="AH57" i="2"/>
  <c r="AF57" i="2"/>
  <c r="X57" i="2"/>
  <c r="V57" i="2"/>
  <c r="N57" i="2"/>
  <c r="L57" i="2"/>
  <c r="D57" i="2"/>
  <c r="B57" i="2"/>
  <c r="D56" i="2"/>
  <c r="B56" i="2"/>
  <c r="L56" i="2" s="1"/>
  <c r="V56" i="2" s="1"/>
  <c r="AF56" i="2" s="1"/>
  <c r="AH55" i="2"/>
  <c r="AF55" i="2"/>
  <c r="X55" i="2"/>
  <c r="V55" i="2"/>
  <c r="N55" i="2"/>
  <c r="L55" i="2"/>
  <c r="D55" i="2"/>
  <c r="B55" i="2"/>
  <c r="V11" i="2"/>
  <c r="L11" i="2"/>
  <c r="B11" i="2"/>
  <c r="BJ10" i="2"/>
  <c r="AZ10" i="2"/>
  <c r="AP10" i="2"/>
  <c r="AF10" i="2"/>
  <c r="V10" i="2"/>
  <c r="L10" i="2"/>
  <c r="B10" i="2"/>
  <c r="BL9" i="2"/>
  <c r="BJ9" i="2"/>
  <c r="BB9" i="2"/>
  <c r="AZ9" i="2"/>
  <c r="AR9" i="2"/>
  <c r="AP9" i="2"/>
  <c r="AH9" i="2"/>
  <c r="AF9" i="2"/>
  <c r="X9" i="2"/>
  <c r="V9" i="2"/>
  <c r="L9" i="2"/>
  <c r="D9" i="2"/>
  <c r="B9" i="2"/>
  <c r="BJ8" i="2"/>
  <c r="AZ8" i="2"/>
  <c r="AP8" i="2"/>
  <c r="AF8" i="2"/>
  <c r="V8" i="2"/>
  <c r="L8" i="2"/>
  <c r="D8" i="2"/>
  <c r="B8" i="2"/>
  <c r="BL7" i="2"/>
  <c r="BB7" i="2"/>
  <c r="AR7" i="2"/>
  <c r="AH7" i="2"/>
  <c r="X7" i="2"/>
  <c r="N7" i="2"/>
  <c r="D7" i="2"/>
  <c r="K72" i="19"/>
  <c r="J72" i="19"/>
  <c r="K63" i="19"/>
  <c r="J63" i="19"/>
  <c r="I11" i="19"/>
  <c r="I10" i="19"/>
  <c r="I8" i="19"/>
  <c r="M7" i="19"/>
  <c r="I7" i="19"/>
  <c r="I6" i="19"/>
  <c r="I5" i="19"/>
  <c r="C545" i="27"/>
  <c r="C544" i="27"/>
  <c r="C542" i="27"/>
  <c r="F517" i="27"/>
  <c r="G517" i="27" s="1"/>
  <c r="C506" i="27"/>
  <c r="C508" i="27" s="1"/>
  <c r="C505" i="27"/>
  <c r="C507" i="27" s="1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48" i="27"/>
  <c r="C47" i="27"/>
  <c r="C46" i="27"/>
  <c r="C33" i="27"/>
  <c r="W16" i="27"/>
  <c r="V16" i="27"/>
  <c r="C6" i="27"/>
  <c r="C7" i="27" s="1"/>
  <c r="C5" i="27"/>
  <c r="C39" i="27" s="1"/>
  <c r="C4" i="27"/>
  <c r="C3" i="27"/>
  <c r="Y51" i="20"/>
  <c r="L51" i="20"/>
  <c r="Y28" i="20"/>
  <c r="L28" i="20"/>
  <c r="L54" i="21"/>
  <c r="L49" i="21"/>
  <c r="D7" i="29"/>
  <c r="D130" i="31"/>
  <c r="C76" i="31"/>
  <c r="E76" i="31" s="1"/>
  <c r="C61" i="31"/>
  <c r="C40" i="31"/>
  <c r="C36" i="31"/>
  <c r="C32" i="31"/>
  <c r="C30" i="31"/>
  <c r="C19" i="31"/>
  <c r="C14" i="31"/>
  <c r="C13" i="31"/>
  <c r="C9" i="31"/>
  <c r="C8" i="31"/>
  <c r="C44" i="31" s="1"/>
  <c r="D308" i="28"/>
  <c r="D299" i="28"/>
  <c r="D298" i="28"/>
  <c r="D291" i="28"/>
  <c r="D290" i="28"/>
  <c r="D289" i="28"/>
  <c r="D286" i="28"/>
  <c r="D288" i="28" s="1"/>
  <c r="D285" i="28"/>
  <c r="D287" i="28" s="1"/>
  <c r="D284" i="28"/>
  <c r="D283" i="28"/>
  <c r="D278" i="28"/>
  <c r="D279" i="28" s="1"/>
  <c r="D277" i="28"/>
  <c r="D276" i="28"/>
  <c r="D275" i="28"/>
  <c r="D263" i="28"/>
  <c r="D257" i="28"/>
  <c r="D256" i="28"/>
  <c r="D248" i="28"/>
  <c r="D247" i="28"/>
  <c r="D225" i="28"/>
  <c r="D224" i="28"/>
  <c r="D223" i="28"/>
  <c r="D220" i="28"/>
  <c r="D222" i="28" s="1"/>
  <c r="D219" i="28"/>
  <c r="D221" i="28" s="1"/>
  <c r="D218" i="28"/>
  <c r="D217" i="28"/>
  <c r="D214" i="28"/>
  <c r="D213" i="28"/>
  <c r="D208" i="28"/>
  <c r="D206" i="28"/>
  <c r="D264" i="28" s="1"/>
  <c r="D203" i="28"/>
  <c r="D201" i="28"/>
  <c r="D200" i="28"/>
  <c r="D202" i="28" s="1"/>
  <c r="D249" i="28" s="1"/>
  <c r="D191" i="28"/>
  <c r="D190" i="28"/>
  <c r="D189" i="28"/>
  <c r="D177" i="28"/>
  <c r="D176" i="28"/>
  <c r="D175" i="28"/>
  <c r="D178" i="28" s="1"/>
  <c r="D171" i="28"/>
  <c r="D150" i="28"/>
  <c r="D146" i="28"/>
  <c r="D145" i="28"/>
  <c r="D144" i="28"/>
  <c r="D130" i="28"/>
  <c r="D122" i="28"/>
  <c r="D152" i="28" s="1"/>
  <c r="D120" i="28"/>
  <c r="D116" i="28"/>
  <c r="D115" i="28"/>
  <c r="D114" i="28"/>
  <c r="D100" i="28"/>
  <c r="D160" i="28" s="1"/>
  <c r="D98" i="28"/>
  <c r="D97" i="28"/>
  <c r="D94" i="28"/>
  <c r="D96" i="28" s="1"/>
  <c r="D93" i="28"/>
  <c r="D95" i="28" s="1"/>
  <c r="D99" i="28" s="1"/>
  <c r="D92" i="28"/>
  <c r="D91" i="28"/>
  <c r="D86" i="28"/>
  <c r="D85" i="28"/>
  <c r="D84" i="28"/>
  <c r="D83" i="28"/>
  <c r="D67" i="28"/>
  <c r="D64" i="28"/>
  <c r="D45" i="28"/>
  <c r="D53" i="28" s="1"/>
  <c r="D66" i="28" s="1"/>
  <c r="D42" i="28"/>
  <c r="D41" i="28"/>
  <c r="D32" i="28"/>
  <c r="D33" i="28" s="1"/>
  <c r="D169" i="28" s="1"/>
  <c r="G20" i="28"/>
  <c r="G18" i="28"/>
  <c r="G15" i="28"/>
  <c r="G16" i="28" s="1"/>
  <c r="D15" i="28"/>
  <c r="G14" i="28"/>
  <c r="G4" i="28"/>
  <c r="G5" i="28" s="1"/>
  <c r="G3" i="28"/>
  <c r="H1285" i="1"/>
  <c r="H1278" i="1"/>
  <c r="H1250" i="1"/>
  <c r="H1241" i="1"/>
  <c r="H1220" i="1"/>
  <c r="H1219" i="1"/>
  <c r="H1204" i="1"/>
  <c r="C31" i="31" s="1"/>
  <c r="H1203" i="1"/>
  <c r="H1185" i="1"/>
  <c r="H1184" i="1"/>
  <c r="H1190" i="1" s="1"/>
  <c r="H1206" i="1" s="1"/>
  <c r="H1180" i="1"/>
  <c r="H1181" i="1" s="1"/>
  <c r="H1179" i="1"/>
  <c r="H1177" i="1"/>
  <c r="H1189" i="1" s="1"/>
  <c r="H1176" i="1"/>
  <c r="H1175" i="1"/>
  <c r="H1169" i="1"/>
  <c r="G1152" i="1"/>
  <c r="H1144" i="1"/>
  <c r="H1143" i="1"/>
  <c r="H1142" i="1"/>
  <c r="G1141" i="1"/>
  <c r="H1133" i="1"/>
  <c r="H1129" i="1"/>
  <c r="H1128" i="1"/>
  <c r="H1125" i="1"/>
  <c r="H1123" i="1"/>
  <c r="G1122" i="1"/>
  <c r="H1114" i="1"/>
  <c r="H1110" i="1"/>
  <c r="H1105" i="1"/>
  <c r="H1096" i="1"/>
  <c r="H1087" i="1"/>
  <c r="H1086" i="1"/>
  <c r="H1080" i="1"/>
  <c r="H1050" i="1"/>
  <c r="H1041" i="1"/>
  <c r="H1013" i="1"/>
  <c r="H1012" i="1"/>
  <c r="M946" i="1"/>
  <c r="H934" i="1"/>
  <c r="H881" i="1"/>
  <c r="H879" i="1"/>
  <c r="H866" i="1"/>
  <c r="H865" i="1"/>
  <c r="H863" i="1"/>
  <c r="N843" i="1"/>
  <c r="N842" i="1"/>
  <c r="N841" i="1"/>
  <c r="N840" i="1"/>
  <c r="N839" i="1"/>
  <c r="N838" i="1"/>
  <c r="N837" i="1"/>
  <c r="N836" i="1"/>
  <c r="L830" i="1"/>
  <c r="K797" i="1"/>
  <c r="K777" i="1"/>
  <c r="K774" i="1"/>
  <c r="K754" i="1"/>
  <c r="H740" i="1"/>
  <c r="H734" i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H731" i="1"/>
  <c r="H732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L725" i="1"/>
  <c r="L716" i="1"/>
  <c r="K685" i="1"/>
  <c r="K665" i="1"/>
  <c r="K661" i="1"/>
  <c r="K641" i="1"/>
  <c r="K611" i="1"/>
  <c r="K591" i="1"/>
  <c r="K588" i="1"/>
  <c r="AC582" i="1"/>
  <c r="AA581" i="1"/>
  <c r="AC581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568" i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K568" i="1"/>
  <c r="K497" i="1"/>
  <c r="I496" i="1"/>
  <c r="M497" i="1" s="1"/>
  <c r="L487" i="1"/>
  <c r="L478" i="1"/>
  <c r="K436" i="1"/>
  <c r="K416" i="1"/>
  <c r="K413" i="1"/>
  <c r="K393" i="1"/>
  <c r="K355" i="1"/>
  <c r="K335" i="1"/>
  <c r="K332" i="1"/>
  <c r="J323" i="1"/>
  <c r="J324" i="1" s="1"/>
  <c r="J325" i="1" s="1"/>
  <c r="J326" i="1" s="1"/>
  <c r="J327" i="1" s="1"/>
  <c r="J328" i="1" s="1"/>
  <c r="J329" i="1" s="1"/>
  <c r="J330" i="1" s="1"/>
  <c r="J331" i="1" s="1"/>
  <c r="J332" i="1" s="1"/>
  <c r="Q314" i="1"/>
  <c r="S314" i="1" s="1"/>
  <c r="Q313" i="1"/>
  <c r="S313" i="1" s="1"/>
  <c r="K312" i="1"/>
  <c r="I247" i="1"/>
  <c r="K247" i="1" s="1"/>
  <c r="I246" i="1"/>
  <c r="M247" i="1" s="1"/>
  <c r="H166" i="1"/>
  <c r="M159" i="1"/>
  <c r="H148" i="1"/>
  <c r="H151" i="1" s="1"/>
  <c r="J138" i="1"/>
  <c r="H138" i="1"/>
  <c r="G138" i="1"/>
  <c r="L133" i="1"/>
  <c r="M134" i="1" s="1"/>
  <c r="L131" i="1"/>
  <c r="J127" i="1"/>
  <c r="L122" i="1"/>
  <c r="H144" i="1" s="1"/>
  <c r="H121" i="1"/>
  <c r="H122" i="1" s="1"/>
  <c r="G121" i="1"/>
  <c r="L120" i="1"/>
  <c r="M121" i="1" s="1"/>
  <c r="H143" i="1" s="1"/>
  <c r="H120" i="1"/>
  <c r="L118" i="1"/>
  <c r="M113" i="1"/>
  <c r="M111" i="1"/>
  <c r="H168" i="1" s="1"/>
  <c r="AX107" i="1"/>
  <c r="AU107" i="1"/>
  <c r="AW107" i="1" s="1"/>
  <c r="AT107" i="1"/>
  <c r="AS107" i="1"/>
  <c r="AX106" i="1"/>
  <c r="AU106" i="1" s="1"/>
  <c r="AW106" i="1" s="1"/>
  <c r="AT106" i="1"/>
  <c r="AQ106" i="1"/>
  <c r="AS106" i="1" s="1"/>
  <c r="AX105" i="1"/>
  <c r="AU105" i="1"/>
  <c r="AW105" i="1" s="1"/>
  <c r="AT105" i="1"/>
  <c r="AS105" i="1"/>
  <c r="AX104" i="1"/>
  <c r="AU104" i="1" s="1"/>
  <c r="AW104" i="1" s="1"/>
  <c r="AT104" i="1"/>
  <c r="AQ104" i="1"/>
  <c r="AS104" i="1" s="1"/>
  <c r="L104" i="1"/>
  <c r="N67" i="19" s="1"/>
  <c r="AX103" i="1"/>
  <c r="AU103" i="1"/>
  <c r="AW103" i="1" s="1"/>
  <c r="AT103" i="1"/>
  <c r="AQ103" i="1"/>
  <c r="AS103" i="1" s="1"/>
  <c r="AX102" i="1"/>
  <c r="AU102" i="1" s="1"/>
  <c r="AW102" i="1" s="1"/>
  <c r="AT102" i="1"/>
  <c r="AQ102" i="1"/>
  <c r="AS102" i="1" s="1"/>
  <c r="AX101" i="1"/>
  <c r="AU101" i="1" s="1"/>
  <c r="AW101" i="1" s="1"/>
  <c r="AT101" i="1"/>
  <c r="AQ101" i="1"/>
  <c r="AS101" i="1" s="1"/>
  <c r="I101" i="1"/>
  <c r="I104" i="1" s="1"/>
  <c r="AX100" i="1"/>
  <c r="AU100" i="1"/>
  <c r="AW100" i="1" s="1"/>
  <c r="AT100" i="1"/>
  <c r="AS100" i="1"/>
  <c r="AX99" i="1"/>
  <c r="AU99" i="1"/>
  <c r="AW99" i="1" s="1"/>
  <c r="AT99" i="1"/>
  <c r="AQ99" i="1" s="1"/>
  <c r="AS99" i="1" s="1"/>
  <c r="AX98" i="1"/>
  <c r="AU98" i="1"/>
  <c r="AW98" i="1" s="1"/>
  <c r="AT98" i="1"/>
  <c r="AS98" i="1"/>
  <c r="I94" i="1"/>
  <c r="I95" i="1" s="1"/>
  <c r="H86" i="1"/>
  <c r="H85" i="1"/>
  <c r="H84" i="1"/>
  <c r="H83" i="1"/>
  <c r="H82" i="1"/>
  <c r="H81" i="1"/>
  <c r="I76" i="1"/>
  <c r="I75" i="1"/>
  <c r="H60" i="1"/>
  <c r="I34" i="1"/>
  <c r="H32" i="1"/>
  <c r="I78" i="1" s="1"/>
  <c r="H31" i="1"/>
  <c r="H30" i="1"/>
  <c r="L24" i="1"/>
  <c r="H21" i="1"/>
  <c r="L20" i="1"/>
  <c r="K16" i="19" s="1"/>
  <c r="H9" i="1"/>
  <c r="L1" i="1"/>
  <c r="M9" i="1" s="1"/>
  <c r="G34" i="26" l="1"/>
  <c r="K8" i="26"/>
  <c r="G16" i="26"/>
  <c r="G18" i="26" s="1"/>
  <c r="J18" i="26" s="1"/>
  <c r="J34" i="26"/>
  <c r="G34" i="25"/>
  <c r="K8" i="25"/>
  <c r="J34" i="25"/>
  <c r="G16" i="25"/>
  <c r="G18" i="25" s="1"/>
  <c r="J18" i="25" s="1"/>
  <c r="T12" i="13"/>
  <c r="S9" i="13"/>
  <c r="F8" i="13" a="1"/>
  <c r="F8" i="13" s="1"/>
  <c r="Q7" i="13" a="1"/>
  <c r="Q7" i="13" s="1"/>
  <c r="F11" i="13" s="1"/>
  <c r="F7" i="13" a="1"/>
  <c r="F7" i="13" s="1"/>
  <c r="F10" i="13" s="1"/>
  <c r="W10" i="13"/>
  <c r="V9" i="13"/>
  <c r="W9" i="13"/>
  <c r="V10" i="13"/>
  <c r="J85" i="15"/>
  <c r="X89" i="12" s="1"/>
  <c r="F117" i="15"/>
  <c r="F114" i="15"/>
  <c r="J82" i="15"/>
  <c r="X86" i="12" s="1"/>
  <c r="G113" i="15"/>
  <c r="K81" i="15"/>
  <c r="Y85" i="12" s="1"/>
  <c r="F112" i="15"/>
  <c r="J80" i="15"/>
  <c r="X84" i="12" s="1"/>
  <c r="J79" i="15"/>
  <c r="X83" i="12" s="1"/>
  <c r="F111" i="15"/>
  <c r="K78" i="15"/>
  <c r="Y82" i="12" s="1"/>
  <c r="G110" i="15"/>
  <c r="J77" i="15"/>
  <c r="X81" i="12" s="1"/>
  <c r="F109" i="15"/>
  <c r="J76" i="15"/>
  <c r="X80" i="12" s="1"/>
  <c r="F108" i="15"/>
  <c r="J75" i="15"/>
  <c r="X79" i="12" s="1"/>
  <c r="F107" i="15"/>
  <c r="F106" i="15"/>
  <c r="J74" i="15"/>
  <c r="X78" i="12" s="1"/>
  <c r="F105" i="15"/>
  <c r="J73" i="15"/>
  <c r="X77" i="12" s="1"/>
  <c r="J72" i="15"/>
  <c r="X76" i="12" s="1"/>
  <c r="F104" i="15"/>
  <c r="F103" i="15"/>
  <c r="J71" i="15"/>
  <c r="X75" i="12" s="1"/>
  <c r="J70" i="15"/>
  <c r="X74" i="12" s="1"/>
  <c r="F102" i="15"/>
  <c r="F101" i="15"/>
  <c r="J69" i="15"/>
  <c r="X73" i="12" s="1"/>
  <c r="J68" i="15"/>
  <c r="X72" i="12" s="1"/>
  <c r="F100" i="15"/>
  <c r="F99" i="15"/>
  <c r="J67" i="15"/>
  <c r="X71" i="12" s="1"/>
  <c r="J66" i="15"/>
  <c r="X70" i="12" s="1"/>
  <c r="F98" i="15"/>
  <c r="J65" i="15"/>
  <c r="X69" i="12" s="1"/>
  <c r="F97" i="15"/>
  <c r="J64" i="15"/>
  <c r="X68" i="12" s="1"/>
  <c r="F96" i="15"/>
  <c r="F95" i="15"/>
  <c r="J63" i="15"/>
  <c r="X67" i="12" s="1"/>
  <c r="F94" i="15"/>
  <c r="J62" i="15"/>
  <c r="X66" i="12" s="1"/>
  <c r="J61" i="15"/>
  <c r="X65" i="12" s="1"/>
  <c r="F93" i="15"/>
  <c r="J60" i="15"/>
  <c r="X64" i="12" s="1"/>
  <c r="F92" i="15"/>
  <c r="J59" i="15"/>
  <c r="X63" i="12" s="1"/>
  <c r="F91" i="15"/>
  <c r="F90" i="15"/>
  <c r="J58" i="15"/>
  <c r="X62" i="12" s="1"/>
  <c r="F89" i="15"/>
  <c r="J57" i="15"/>
  <c r="X61" i="12" s="1"/>
  <c r="J56" i="15"/>
  <c r="X60" i="12" s="1"/>
  <c r="F88" i="15"/>
  <c r="J55" i="15"/>
  <c r="X59" i="12" s="1"/>
  <c r="F87" i="15"/>
  <c r="G77" i="15"/>
  <c r="K77" i="15" s="1"/>
  <c r="Y81" i="12" s="1"/>
  <c r="G86" i="15"/>
  <c r="K54" i="15"/>
  <c r="Y58" i="12" s="1"/>
  <c r="F86" i="15"/>
  <c r="J54" i="15"/>
  <c r="X58" i="12" s="1"/>
  <c r="K53" i="15"/>
  <c r="Y57" i="12" s="1"/>
  <c r="G85" i="15"/>
  <c r="F84" i="15"/>
  <c r="J52" i="15"/>
  <c r="X56" i="12" s="1"/>
  <c r="F83" i="15"/>
  <c r="J51" i="15"/>
  <c r="X55" i="12" s="1"/>
  <c r="K50" i="15"/>
  <c r="Y54" i="12" s="1"/>
  <c r="G82" i="15"/>
  <c r="J49" i="15"/>
  <c r="X53" i="12" s="1"/>
  <c r="F81" i="15"/>
  <c r="F78" i="15"/>
  <c r="J46" i="15"/>
  <c r="X50" i="12" s="1"/>
  <c r="K19" i="15"/>
  <c r="Y23" i="12" s="1"/>
  <c r="G20" i="15"/>
  <c r="Y12" i="12"/>
  <c r="Y13" i="12" s="1"/>
  <c r="Y14" i="12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C15" i="14"/>
  <c r="C14" i="14"/>
  <c r="C13" i="14"/>
  <c r="C12" i="14"/>
  <c r="B12" i="14"/>
  <c r="C11" i="14"/>
  <c r="C10" i="14"/>
  <c r="B10" i="14"/>
  <c r="C9" i="14"/>
  <c r="B9" i="14"/>
  <c r="C8" i="14"/>
  <c r="B8" i="14"/>
  <c r="C7" i="14"/>
  <c r="B7" i="14"/>
  <c r="C228" i="14"/>
  <c r="B226" i="14"/>
  <c r="C224" i="14"/>
  <c r="B223" i="14"/>
  <c r="B221" i="14"/>
  <c r="C219" i="14"/>
  <c r="B218" i="14"/>
  <c r="B216" i="14"/>
  <c r="C214" i="14"/>
  <c r="B213" i="14"/>
  <c r="C211" i="14"/>
  <c r="C208" i="14"/>
  <c r="C207" i="14"/>
  <c r="C206" i="14"/>
  <c r="C205" i="14"/>
  <c r="C204" i="14"/>
  <c r="C202" i="14"/>
  <c r="B201" i="14"/>
  <c r="C199" i="14"/>
  <c r="B198" i="14"/>
  <c r="B196" i="14"/>
  <c r="B194" i="14"/>
  <c r="C192" i="14"/>
  <c r="C190" i="14"/>
  <c r="C189" i="14"/>
  <c r="B188" i="14"/>
  <c r="B227" i="14"/>
  <c r="C223" i="14"/>
  <c r="C221" i="14"/>
  <c r="B219" i="14"/>
  <c r="C217" i="14"/>
  <c r="B215" i="14"/>
  <c r="C213" i="14"/>
  <c r="C210" i="14"/>
  <c r="B207" i="14"/>
  <c r="B203" i="14"/>
  <c r="C200" i="14"/>
  <c r="B199" i="14"/>
  <c r="B197" i="14"/>
  <c r="C194" i="14"/>
  <c r="B192" i="14"/>
  <c r="B190" i="14"/>
  <c r="C188" i="14"/>
  <c r="C227" i="14"/>
  <c r="C225" i="14"/>
  <c r="B224" i="14"/>
  <c r="B222" i="14"/>
  <c r="B220" i="14"/>
  <c r="C218" i="14"/>
  <c r="C216" i="14"/>
  <c r="B214" i="14"/>
  <c r="B212" i="14"/>
  <c r="B211" i="14"/>
  <c r="C209" i="14"/>
  <c r="B208" i="14"/>
  <c r="B206" i="14"/>
  <c r="B204" i="14"/>
  <c r="B202" i="14"/>
  <c r="B200" i="14"/>
  <c r="C197" i="14"/>
  <c r="C195" i="14"/>
  <c r="C193" i="14"/>
  <c r="B191" i="14"/>
  <c r="B189" i="14"/>
  <c r="C187" i="14"/>
  <c r="B11" i="14"/>
  <c r="C249" i="14"/>
  <c r="B249" i="14"/>
  <c r="C248" i="14"/>
  <c r="B248" i="14"/>
  <c r="C247" i="14"/>
  <c r="B247" i="14"/>
  <c r="C246" i="14"/>
  <c r="B246" i="14"/>
  <c r="C245" i="14"/>
  <c r="B245" i="14"/>
  <c r="C244" i="14"/>
  <c r="B244" i="14"/>
  <c r="C243" i="14"/>
  <c r="B243" i="14"/>
  <c r="C242" i="14"/>
  <c r="B242" i="14"/>
  <c r="C241" i="14"/>
  <c r="B241" i="14"/>
  <c r="C240" i="14"/>
  <c r="B240" i="14"/>
  <c r="C239" i="14"/>
  <c r="B239" i="14"/>
  <c r="C238" i="14"/>
  <c r="B238" i="14"/>
  <c r="C237" i="14"/>
  <c r="B237" i="14"/>
  <c r="C236" i="14"/>
  <c r="B236" i="14"/>
  <c r="C235" i="14"/>
  <c r="B235" i="14"/>
  <c r="C234" i="14"/>
  <c r="B234" i="14"/>
  <c r="C233" i="14"/>
  <c r="B233" i="14"/>
  <c r="C232" i="14"/>
  <c r="B232" i="14"/>
  <c r="C231" i="14"/>
  <c r="B231" i="14"/>
  <c r="C230" i="14"/>
  <c r="B230" i="14"/>
  <c r="C229" i="14"/>
  <c r="B229" i="14"/>
  <c r="B228" i="14"/>
  <c r="C226" i="14"/>
  <c r="B225" i="14"/>
  <c r="C222" i="14"/>
  <c r="C220" i="14"/>
  <c r="B217" i="14"/>
  <c r="C215" i="14"/>
  <c r="C212" i="14"/>
  <c r="B210" i="14"/>
  <c r="B209" i="14"/>
  <c r="B205" i="14"/>
  <c r="C203" i="14"/>
  <c r="C201" i="14"/>
  <c r="C198" i="14"/>
  <c r="C196" i="14"/>
  <c r="B195" i="14"/>
  <c r="B193" i="14"/>
  <c r="B187" i="14"/>
  <c r="C186" i="14"/>
  <c r="B186" i="14"/>
  <c r="C185" i="14"/>
  <c r="B185" i="14"/>
  <c r="C184" i="14"/>
  <c r="B184" i="14"/>
  <c r="C183" i="14"/>
  <c r="B183" i="14"/>
  <c r="C182" i="14"/>
  <c r="B182" i="14"/>
  <c r="C181" i="14"/>
  <c r="B181" i="14"/>
  <c r="C180" i="14"/>
  <c r="B180" i="14"/>
  <c r="C179" i="14"/>
  <c r="B179" i="14"/>
  <c r="C178" i="14"/>
  <c r="B178" i="14"/>
  <c r="C177" i="14"/>
  <c r="B177" i="14"/>
  <c r="C176" i="14"/>
  <c r="B176" i="14"/>
  <c r="C175" i="14"/>
  <c r="B175" i="14"/>
  <c r="C174" i="14"/>
  <c r="B174" i="14"/>
  <c r="C173" i="14"/>
  <c r="B173" i="14"/>
  <c r="C172" i="14"/>
  <c r="B172" i="14"/>
  <c r="C171" i="14"/>
  <c r="B171" i="14"/>
  <c r="C170" i="14"/>
  <c r="B170" i="14"/>
  <c r="C169" i="14"/>
  <c r="B169" i="14"/>
  <c r="C168" i="14"/>
  <c r="B168" i="14"/>
  <c r="C167" i="14"/>
  <c r="B167" i="14"/>
  <c r="C166" i="14"/>
  <c r="B166" i="14"/>
  <c r="C165" i="14"/>
  <c r="B165" i="14"/>
  <c r="C164" i="14"/>
  <c r="B164" i="14"/>
  <c r="C163" i="14"/>
  <c r="B163" i="14"/>
  <c r="C162" i="14"/>
  <c r="B162" i="14"/>
  <c r="C161" i="14"/>
  <c r="B161" i="14"/>
  <c r="C160" i="14"/>
  <c r="B160" i="14"/>
  <c r="C159" i="14"/>
  <c r="B159" i="14"/>
  <c r="C158" i="14"/>
  <c r="B158" i="14"/>
  <c r="C157" i="14"/>
  <c r="B157" i="14"/>
  <c r="C156" i="14"/>
  <c r="B156" i="14"/>
  <c r="C155" i="14"/>
  <c r="B155" i="14"/>
  <c r="C154" i="14"/>
  <c r="B154" i="14"/>
  <c r="C153" i="14"/>
  <c r="B153" i="14"/>
  <c r="C152" i="14"/>
  <c r="B152" i="14"/>
  <c r="C151" i="14"/>
  <c r="B151" i="14"/>
  <c r="C150" i="14"/>
  <c r="B150" i="14"/>
  <c r="C149" i="14"/>
  <c r="B149" i="14"/>
  <c r="C148" i="14"/>
  <c r="B148" i="14"/>
  <c r="C147" i="14"/>
  <c r="B147" i="14"/>
  <c r="C146" i="14"/>
  <c r="B146" i="14"/>
  <c r="C145" i="14"/>
  <c r="B145" i="14"/>
  <c r="C144" i="14"/>
  <c r="B144" i="14"/>
  <c r="C143" i="14"/>
  <c r="B143" i="14"/>
  <c r="C142" i="14"/>
  <c r="B142" i="14"/>
  <c r="C141" i="14"/>
  <c r="B141" i="14"/>
  <c r="C140" i="14"/>
  <c r="B140" i="14"/>
  <c r="C139" i="14"/>
  <c r="B139" i="14"/>
  <c r="C138" i="14"/>
  <c r="B138" i="14"/>
  <c r="C137" i="14"/>
  <c r="B137" i="14"/>
  <c r="C136" i="14"/>
  <c r="B136" i="14"/>
  <c r="C135" i="14"/>
  <c r="B135" i="14"/>
  <c r="C134" i="14"/>
  <c r="B134" i="14"/>
  <c r="C133" i="14"/>
  <c r="B133" i="14"/>
  <c r="C132" i="14"/>
  <c r="B132" i="14"/>
  <c r="C131" i="14"/>
  <c r="B131" i="14"/>
  <c r="C130" i="14"/>
  <c r="B130" i="14"/>
  <c r="C129" i="14"/>
  <c r="B129" i="14"/>
  <c r="C128" i="14"/>
  <c r="B128" i="14"/>
  <c r="C127" i="14"/>
  <c r="B127" i="14"/>
  <c r="C126" i="14"/>
  <c r="B126" i="14"/>
  <c r="C125" i="14"/>
  <c r="B125" i="14"/>
  <c r="C124" i="14"/>
  <c r="B124" i="14"/>
  <c r="C123" i="14"/>
  <c r="B123" i="14"/>
  <c r="C122" i="14"/>
  <c r="B122" i="14"/>
  <c r="C121" i="14"/>
  <c r="B121" i="14"/>
  <c r="C120" i="14"/>
  <c r="B120" i="14"/>
  <c r="C119" i="14"/>
  <c r="B119" i="14"/>
  <c r="C118" i="14"/>
  <c r="B118" i="14"/>
  <c r="C117" i="14"/>
  <c r="B117" i="14"/>
  <c r="C116" i="14"/>
  <c r="B116" i="14"/>
  <c r="C115" i="14"/>
  <c r="B115" i="14"/>
  <c r="C114" i="14"/>
  <c r="B114" i="14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C68" i="14"/>
  <c r="B68" i="14"/>
  <c r="C67" i="14"/>
  <c r="B67" i="14"/>
  <c r="C66" i="14"/>
  <c r="B66" i="14"/>
  <c r="C65" i="14"/>
  <c r="B65" i="14"/>
  <c r="C64" i="14"/>
  <c r="B64" i="14"/>
  <c r="C63" i="14"/>
  <c r="B63" i="14"/>
  <c r="C62" i="14"/>
  <c r="B62" i="14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16" i="16"/>
  <c r="AC103" i="1" s="1"/>
  <c r="B17" i="16"/>
  <c r="AB104" i="1" s="1"/>
  <c r="C17" i="16"/>
  <c r="AC104" i="1" s="1"/>
  <c r="B18" i="16"/>
  <c r="AB105" i="1" s="1"/>
  <c r="C18" i="16"/>
  <c r="AC105" i="1" s="1"/>
  <c r="B19" i="16"/>
  <c r="AB106" i="1" s="1"/>
  <c r="C19" i="16"/>
  <c r="AC106" i="1" s="1"/>
  <c r="B20" i="16"/>
  <c r="AB107" i="1" s="1"/>
  <c r="C20" i="16"/>
  <c r="AC107" i="1" s="1"/>
  <c r="B21" i="16"/>
  <c r="AB108" i="1" s="1"/>
  <c r="C21" i="16"/>
  <c r="AC108" i="1" s="1"/>
  <c r="B22" i="16"/>
  <c r="AB109" i="1" s="1"/>
  <c r="C22" i="16"/>
  <c r="AC109" i="1" s="1"/>
  <c r="B23" i="16"/>
  <c r="AB110" i="1" s="1"/>
  <c r="C23" i="16"/>
  <c r="AC110" i="1" s="1"/>
  <c r="B24" i="16"/>
  <c r="AB111" i="1" s="1"/>
  <c r="C24" i="16"/>
  <c r="AC111" i="1" s="1"/>
  <c r="B25" i="16"/>
  <c r="AB112" i="1" s="1"/>
  <c r="C25" i="16"/>
  <c r="AC112" i="1" s="1"/>
  <c r="B26" i="16"/>
  <c r="AB113" i="1" s="1"/>
  <c r="C26" i="16"/>
  <c r="AC113" i="1" s="1"/>
  <c r="B27" i="16"/>
  <c r="AB114" i="1" s="1"/>
  <c r="C27" i="16"/>
  <c r="AC114" i="1" s="1"/>
  <c r="B28" i="16"/>
  <c r="AB115" i="1" s="1"/>
  <c r="C28" i="16"/>
  <c r="AC115" i="1" s="1"/>
  <c r="B29" i="16"/>
  <c r="AB116" i="1" s="1"/>
  <c r="C29" i="16"/>
  <c r="AC116" i="1" s="1"/>
  <c r="C30" i="16"/>
  <c r="AC117" i="1" s="1"/>
  <c r="B31" i="16"/>
  <c r="AB118" i="1" s="1"/>
  <c r="C31" i="16"/>
  <c r="AC118" i="1" s="1"/>
  <c r="B32" i="16"/>
  <c r="AB119" i="1" s="1"/>
  <c r="C32" i="16"/>
  <c r="AC119" i="1" s="1"/>
  <c r="B33" i="16"/>
  <c r="AB120" i="1" s="1"/>
  <c r="C33" i="16"/>
  <c r="AC120" i="1" s="1"/>
  <c r="B34" i="16"/>
  <c r="AB121" i="1" s="1"/>
  <c r="C34" i="16"/>
  <c r="AC121" i="1" s="1"/>
  <c r="B35" i="16"/>
  <c r="AB122" i="1" s="1"/>
  <c r="C35" i="16"/>
  <c r="AC122" i="1" s="1"/>
  <c r="B36" i="16"/>
  <c r="AB123" i="1" s="1"/>
  <c r="C36" i="16"/>
  <c r="AC123" i="1" s="1"/>
  <c r="B37" i="16"/>
  <c r="AB124" i="1" s="1"/>
  <c r="C37" i="16"/>
  <c r="AC124" i="1" s="1"/>
  <c r="B38" i="16"/>
  <c r="AB125" i="1" s="1"/>
  <c r="C38" i="16"/>
  <c r="AC125" i="1" s="1"/>
  <c r="B39" i="16"/>
  <c r="AB126" i="1" s="1"/>
  <c r="C39" i="16"/>
  <c r="AC126" i="1" s="1"/>
  <c r="B40" i="16"/>
  <c r="AB127" i="1" s="1"/>
  <c r="C40" i="16"/>
  <c r="AC127" i="1" s="1"/>
  <c r="B41" i="16"/>
  <c r="AB128" i="1" s="1"/>
  <c r="C41" i="16"/>
  <c r="AC128" i="1" s="1"/>
  <c r="B42" i="16"/>
  <c r="AB129" i="1" s="1"/>
  <c r="C42" i="16"/>
  <c r="AC129" i="1" s="1"/>
  <c r="B43" i="16"/>
  <c r="AB130" i="1" s="1"/>
  <c r="C43" i="16"/>
  <c r="AC130" i="1" s="1"/>
  <c r="B44" i="16"/>
  <c r="AB131" i="1" s="1"/>
  <c r="C44" i="16"/>
  <c r="AC131" i="1" s="1"/>
  <c r="B45" i="16"/>
  <c r="AB132" i="1" s="1"/>
  <c r="C45" i="16"/>
  <c r="AC132" i="1" s="1"/>
  <c r="B46" i="16"/>
  <c r="AB133" i="1" s="1"/>
  <c r="C46" i="16"/>
  <c r="AC133" i="1" s="1"/>
  <c r="B47" i="16"/>
  <c r="AB134" i="1" s="1"/>
  <c r="C47" i="16"/>
  <c r="AC134" i="1" s="1"/>
  <c r="B48" i="16"/>
  <c r="AB135" i="1" s="1"/>
  <c r="C48" i="16"/>
  <c r="AC135" i="1" s="1"/>
  <c r="B49" i="16"/>
  <c r="AB136" i="1" s="1"/>
  <c r="C49" i="16"/>
  <c r="AC136" i="1" s="1"/>
  <c r="B50" i="16"/>
  <c r="AB137" i="1" s="1"/>
  <c r="C50" i="16"/>
  <c r="AC137" i="1" s="1"/>
  <c r="B51" i="16"/>
  <c r="AB138" i="1" s="1"/>
  <c r="C51" i="16"/>
  <c r="AC138" i="1" s="1"/>
  <c r="B52" i="16"/>
  <c r="AB139" i="1" s="1"/>
  <c r="C52" i="16"/>
  <c r="AC139" i="1" s="1"/>
  <c r="B53" i="16"/>
  <c r="AB140" i="1" s="1"/>
  <c r="C53" i="16"/>
  <c r="AC140" i="1" s="1"/>
  <c r="B54" i="16"/>
  <c r="AB141" i="1" s="1"/>
  <c r="C54" i="16"/>
  <c r="AC141" i="1" s="1"/>
  <c r="B55" i="16"/>
  <c r="AB142" i="1" s="1"/>
  <c r="C55" i="16"/>
  <c r="AC142" i="1" s="1"/>
  <c r="B56" i="16"/>
  <c r="AB143" i="1" s="1"/>
  <c r="C56" i="16"/>
  <c r="AC143" i="1" s="1"/>
  <c r="B57" i="16"/>
  <c r="AB144" i="1" s="1"/>
  <c r="C57" i="16"/>
  <c r="AC144" i="1" s="1"/>
  <c r="B58" i="16"/>
  <c r="AB145" i="1" s="1"/>
  <c r="C58" i="16"/>
  <c r="AC145" i="1" s="1"/>
  <c r="B30" i="16"/>
  <c r="AB117" i="1" s="1"/>
  <c r="B59" i="16"/>
  <c r="AB146" i="1" s="1"/>
  <c r="C59" i="16"/>
  <c r="AC146" i="1" s="1"/>
  <c r="B60" i="16"/>
  <c r="AB147" i="1" s="1"/>
  <c r="C60" i="16"/>
  <c r="AC147" i="1" s="1"/>
  <c r="B61" i="16"/>
  <c r="AB148" i="1" s="1"/>
  <c r="C61" i="16"/>
  <c r="AC148" i="1" s="1"/>
  <c r="B62" i="16"/>
  <c r="AB149" i="1" s="1"/>
  <c r="C62" i="16"/>
  <c r="AC149" i="1" s="1"/>
  <c r="B63" i="16"/>
  <c r="AB150" i="1" s="1"/>
  <c r="C63" i="16"/>
  <c r="AC150" i="1" s="1"/>
  <c r="B64" i="16"/>
  <c r="AB151" i="1" s="1"/>
  <c r="C64" i="16"/>
  <c r="AC151" i="1" s="1"/>
  <c r="B65" i="16"/>
  <c r="AB152" i="1" s="1"/>
  <c r="C65" i="16"/>
  <c r="AC152" i="1" s="1"/>
  <c r="C68" i="16"/>
  <c r="AC155" i="1" s="1"/>
  <c r="B66" i="16"/>
  <c r="AB153" i="1" s="1"/>
  <c r="C3" i="17"/>
  <c r="C80" i="16"/>
  <c r="AC167" i="1" s="1"/>
  <c r="B80" i="16"/>
  <c r="AB167" i="1" s="1"/>
  <c r="C79" i="16"/>
  <c r="AC166" i="1" s="1"/>
  <c r="B79" i="16"/>
  <c r="AB166" i="1" s="1"/>
  <c r="C78" i="16"/>
  <c r="AC165" i="1" s="1"/>
  <c r="B78" i="16"/>
  <c r="AB165" i="1" s="1"/>
  <c r="C77" i="16"/>
  <c r="AC164" i="1" s="1"/>
  <c r="B77" i="16"/>
  <c r="AB164" i="1" s="1"/>
  <c r="C76" i="16"/>
  <c r="AC163" i="1" s="1"/>
  <c r="B76" i="16"/>
  <c r="AB163" i="1" s="1"/>
  <c r="C75" i="16"/>
  <c r="AC162" i="1" s="1"/>
  <c r="B75" i="16"/>
  <c r="AB162" i="1" s="1"/>
  <c r="C74" i="16"/>
  <c r="AC161" i="1" s="1"/>
  <c r="B74" i="16"/>
  <c r="AB161" i="1" s="1"/>
  <c r="C73" i="16"/>
  <c r="AC160" i="1" s="1"/>
  <c r="B73" i="16"/>
  <c r="AB160" i="1" s="1"/>
  <c r="C72" i="16"/>
  <c r="AC159" i="1" s="1"/>
  <c r="B72" i="16"/>
  <c r="AB159" i="1" s="1"/>
  <c r="C71" i="16"/>
  <c r="AC158" i="1" s="1"/>
  <c r="B71" i="16"/>
  <c r="AB158" i="1" s="1"/>
  <c r="C70" i="16"/>
  <c r="AC157" i="1" s="1"/>
  <c r="B70" i="16"/>
  <c r="AB157" i="1" s="1"/>
  <c r="C69" i="16"/>
  <c r="AC156" i="1" s="1"/>
  <c r="B69" i="16"/>
  <c r="AB156" i="1" s="1"/>
  <c r="B7" i="16"/>
  <c r="C7" i="16"/>
  <c r="AC94" i="1" s="1"/>
  <c r="B8" i="16"/>
  <c r="AB95" i="1" s="1"/>
  <c r="C8" i="16"/>
  <c r="AC95" i="1" s="1"/>
  <c r="B9" i="16"/>
  <c r="AB96" i="1" s="1"/>
  <c r="C9" i="16"/>
  <c r="AC96" i="1" s="1"/>
  <c r="B10" i="16"/>
  <c r="AB97" i="1" s="1"/>
  <c r="C10" i="16"/>
  <c r="AC97" i="1" s="1"/>
  <c r="B68" i="16"/>
  <c r="AB155" i="1" s="1"/>
  <c r="C67" i="16"/>
  <c r="AC154" i="1" s="1"/>
  <c r="B67" i="16"/>
  <c r="AB154" i="1" s="1"/>
  <c r="C66" i="16"/>
  <c r="AC153" i="1" s="1"/>
  <c r="B11" i="16"/>
  <c r="AB98" i="1" s="1"/>
  <c r="C11" i="16"/>
  <c r="AC98" i="1" s="1"/>
  <c r="B12" i="16"/>
  <c r="AB99" i="1" s="1"/>
  <c r="C12" i="16"/>
  <c r="AC99" i="1" s="1"/>
  <c r="B13" i="16"/>
  <c r="AB100" i="1" s="1"/>
  <c r="C13" i="16"/>
  <c r="AC100" i="1" s="1"/>
  <c r="B14" i="16"/>
  <c r="AB101" i="1" s="1"/>
  <c r="C14" i="16"/>
  <c r="AC101" i="1" s="1"/>
  <c r="B15" i="16"/>
  <c r="AB102" i="1" s="1"/>
  <c r="C15" i="16"/>
  <c r="AC102" i="1" s="1"/>
  <c r="P15" i="16"/>
  <c r="B16" i="16"/>
  <c r="AB103" i="1" s="1"/>
  <c r="N122" i="12"/>
  <c r="N113" i="12"/>
  <c r="N52" i="12"/>
  <c r="N83" i="12"/>
  <c r="N115" i="12" s="1"/>
  <c r="N147" i="12" s="1"/>
  <c r="N179" i="12" s="1"/>
  <c r="N211" i="12" s="1"/>
  <c r="Q10" i="12"/>
  <c r="AF76" i="2"/>
  <c r="AF77" i="2" s="1"/>
  <c r="AF73" i="2"/>
  <c r="AH62" i="2"/>
  <c r="V73" i="2"/>
  <c r="X62" i="2"/>
  <c r="V76" i="2"/>
  <c r="V77" i="2" s="1"/>
  <c r="L73" i="2"/>
  <c r="N62" i="2"/>
  <c r="L76" i="2"/>
  <c r="L77" i="2" s="1"/>
  <c r="B73" i="2"/>
  <c r="B76" i="2"/>
  <c r="B77" i="2" s="1"/>
  <c r="D62" i="2"/>
  <c r="D67" i="2"/>
  <c r="N56" i="2"/>
  <c r="B65" i="2"/>
  <c r="B62" i="2"/>
  <c r="AF11" i="2"/>
  <c r="BJ28" i="2"/>
  <c r="BL14" i="2"/>
  <c r="BJ25" i="2"/>
  <c r="BB14" i="2"/>
  <c r="AZ28" i="2"/>
  <c r="AZ25" i="2"/>
  <c r="AP28" i="2"/>
  <c r="AR14" i="2"/>
  <c r="AP25" i="2"/>
  <c r="AF28" i="2"/>
  <c r="AH14" i="2"/>
  <c r="AF25" i="2"/>
  <c r="V25" i="2"/>
  <c r="V28" i="2"/>
  <c r="X14" i="2"/>
  <c r="L25" i="2"/>
  <c r="N14" i="2"/>
  <c r="L28" i="2"/>
  <c r="D14" i="2"/>
  <c r="B25" i="2"/>
  <c r="B28" i="2"/>
  <c r="D19" i="2"/>
  <c r="B17" i="2"/>
  <c r="B14" i="2"/>
  <c r="N8" i="2"/>
  <c r="D518" i="27"/>
  <c r="E518" i="27"/>
  <c r="C41" i="31"/>
  <c r="C115" i="31" s="1"/>
  <c r="D129" i="31" s="1"/>
  <c r="C42" i="31"/>
  <c r="C37" i="31"/>
  <c r="C38" i="31" s="1"/>
  <c r="C39" i="31"/>
  <c r="C82" i="31"/>
  <c r="C15" i="31"/>
  <c r="C69" i="31"/>
  <c r="C70" i="31" s="1"/>
  <c r="H1159" i="1" s="1"/>
  <c r="C18" i="31"/>
  <c r="C17" i="31"/>
  <c r="D192" i="28"/>
  <c r="D212" i="28" s="1"/>
  <c r="D246" i="28"/>
  <c r="D147" i="28"/>
  <c r="D149" i="28" s="1"/>
  <c r="D151" i="28" s="1"/>
  <c r="D153" i="28" s="1"/>
  <c r="D148" i="28"/>
  <c r="D118" i="28"/>
  <c r="D117" i="28"/>
  <c r="D119" i="28" s="1"/>
  <c r="D121" i="28" s="1"/>
  <c r="D123" i="28" s="1"/>
  <c r="D101" i="28"/>
  <c r="D102" i="28" s="1"/>
  <c r="D129" i="28"/>
  <c r="D88" i="28"/>
  <c r="D124" i="28"/>
  <c r="D113" i="28"/>
  <c r="D280" i="28"/>
  <c r="D87" i="28"/>
  <c r="D89" i="28" s="1"/>
  <c r="D112" i="28"/>
  <c r="D72" i="28"/>
  <c r="D70" i="28"/>
  <c r="D69" i="28"/>
  <c r="D71" i="28" s="1"/>
  <c r="D50" i="28"/>
  <c r="D43" i="28"/>
  <c r="D58" i="28"/>
  <c r="D49" i="28"/>
  <c r="G19" i="28"/>
  <c r="D17" i="28"/>
  <c r="D16" i="28"/>
  <c r="D18" i="28" s="1"/>
  <c r="D19" i="28" s="1"/>
  <c r="D20" i="28" s="1"/>
  <c r="D21" i="28" s="1"/>
  <c r="D22" i="28" s="1"/>
  <c r="G8" i="28"/>
  <c r="G6" i="28"/>
  <c r="G7" i="28"/>
  <c r="D44" i="28" s="1"/>
  <c r="H1244" i="1"/>
  <c r="H1196" i="1"/>
  <c r="H1205" i="1"/>
  <c r="H1212" i="1" s="1"/>
  <c r="I74" i="1" s="1"/>
  <c r="D4" i="28" s="1"/>
  <c r="H1191" i="1"/>
  <c r="H1134" i="1"/>
  <c r="H1037" i="1"/>
  <c r="H1049" i="1"/>
  <c r="C33" i="31"/>
  <c r="U1044" i="1"/>
  <c r="U1043" i="1"/>
  <c r="T1044" i="1"/>
  <c r="R13" i="18"/>
  <c r="T1043" i="1"/>
  <c r="H882" i="1"/>
  <c r="H884" i="1"/>
  <c r="H867" i="1"/>
  <c r="M176" i="1"/>
  <c r="H1098" i="1"/>
  <c r="H1093" i="1"/>
  <c r="H868" i="1"/>
  <c r="G740" i="1"/>
  <c r="I740" i="1"/>
  <c r="J740" i="1" s="1"/>
  <c r="K740" i="1" s="1"/>
  <c r="L740" i="1" s="1"/>
  <c r="M740" i="1" s="1"/>
  <c r="N740" i="1" s="1"/>
  <c r="G743" i="1" s="1"/>
  <c r="H743" i="1" s="1"/>
  <c r="I743" i="1" s="1"/>
  <c r="J743" i="1" s="1"/>
  <c r="K743" i="1" s="1"/>
  <c r="L743" i="1" s="1"/>
  <c r="M743" i="1" s="1"/>
  <c r="N743" i="1" s="1"/>
  <c r="G746" i="1" s="1"/>
  <c r="H746" i="1" s="1"/>
  <c r="I746" i="1" s="1"/>
  <c r="J746" i="1" s="1"/>
  <c r="K746" i="1" s="1"/>
  <c r="M393" i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312" i="1"/>
  <c r="M313" i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5" i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416" i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C23" i="22"/>
  <c r="C48" i="31"/>
  <c r="H190" i="1"/>
  <c r="H191" i="1"/>
  <c r="C31" i="22"/>
  <c r="H139" i="1"/>
  <c r="L139" i="1"/>
  <c r="K36" i="19" s="1"/>
  <c r="N74" i="19" s="1"/>
  <c r="H1094" i="1"/>
  <c r="H1095" i="1"/>
  <c r="C16" i="31"/>
  <c r="C49" i="31"/>
  <c r="H1126" i="1"/>
  <c r="H1106" i="1"/>
  <c r="C24" i="22"/>
  <c r="I105" i="1"/>
  <c r="N76" i="19"/>
  <c r="H1043" i="1"/>
  <c r="D5" i="28"/>
  <c r="H542" i="1"/>
  <c r="G542" i="1"/>
  <c r="J84" i="1"/>
  <c r="J83" i="1"/>
  <c r="L83" i="1" s="1"/>
  <c r="H1178" i="1"/>
  <c r="H822" i="1"/>
  <c r="H1103" i="1"/>
  <c r="H1109" i="1"/>
  <c r="H924" i="1"/>
  <c r="H131" i="1"/>
  <c r="H132" i="1" s="1"/>
  <c r="H871" i="1"/>
  <c r="J824" i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J822" i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L94" i="1"/>
  <c r="H824" i="1"/>
  <c r="G553" i="1"/>
  <c r="H553" i="1"/>
  <c r="H1234" i="1"/>
  <c r="H1255" i="1"/>
  <c r="D8" i="28"/>
  <c r="J86" i="1"/>
  <c r="M163" i="1"/>
  <c r="C113" i="31"/>
  <c r="W15" i="27"/>
  <c r="C13" i="27"/>
  <c r="K3" i="1"/>
  <c r="K20" i="19"/>
  <c r="H530" i="1"/>
  <c r="I530" i="1" s="1"/>
  <c r="J530" i="1" s="1"/>
  <c r="K530" i="1" s="1"/>
  <c r="L530" i="1" s="1"/>
  <c r="M530" i="1" s="1"/>
  <c r="N530" i="1" s="1"/>
  <c r="G533" i="1" s="1"/>
  <c r="H533" i="1" s="1"/>
  <c r="I533" i="1" s="1"/>
  <c r="J533" i="1" s="1"/>
  <c r="K533" i="1" s="1"/>
  <c r="L533" i="1" s="1"/>
  <c r="M533" i="1" s="1"/>
  <c r="N533" i="1" s="1"/>
  <c r="G536" i="1" s="1"/>
  <c r="H536" i="1" s="1"/>
  <c r="I536" i="1" s="1"/>
  <c r="J536" i="1" s="1"/>
  <c r="K536" i="1" s="1"/>
  <c r="G530" i="1"/>
  <c r="H302" i="1"/>
  <c r="G302" i="1"/>
  <c r="G303" i="1" s="1"/>
  <c r="H1005" i="1"/>
  <c r="I1254" i="1"/>
  <c r="N72" i="19"/>
  <c r="I4" i="19"/>
  <c r="N63" i="19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H291" i="1"/>
  <c r="G291" i="1"/>
  <c r="G292" i="1" s="1"/>
  <c r="D30" i="28"/>
  <c r="H280" i="1"/>
  <c r="G280" i="1"/>
  <c r="D10" i="29"/>
  <c r="H1254" i="1"/>
  <c r="G5" i="30" s="1"/>
  <c r="G6" i="30" s="1"/>
  <c r="C60" i="31"/>
  <c r="H552" i="1"/>
  <c r="I552" i="1" s="1"/>
  <c r="G552" i="1"/>
  <c r="C14" i="27"/>
  <c r="H541" i="1"/>
  <c r="I541" i="1" s="1"/>
  <c r="G541" i="1"/>
  <c r="I77" i="1"/>
  <c r="I9" i="19"/>
  <c r="P33" i="26" l="1"/>
  <c r="P32" i="26"/>
  <c r="P33" i="25"/>
  <c r="P32" i="25"/>
  <c r="F9" i="13"/>
  <c r="M7" i="13"/>
  <c r="M8" i="13" s="1"/>
  <c r="J117" i="15"/>
  <c r="X121" i="12" s="1"/>
  <c r="F149" i="15"/>
  <c r="J114" i="15"/>
  <c r="X118" i="12" s="1"/>
  <c r="F146" i="15"/>
  <c r="K113" i="15"/>
  <c r="Y117" i="12" s="1"/>
  <c r="G145" i="15"/>
  <c r="J112" i="15"/>
  <c r="X116" i="12" s="1"/>
  <c r="F144" i="15"/>
  <c r="J111" i="15"/>
  <c r="X115" i="12" s="1"/>
  <c r="F143" i="15"/>
  <c r="K110" i="15"/>
  <c r="Y114" i="12" s="1"/>
  <c r="G142" i="15"/>
  <c r="J109" i="15"/>
  <c r="X113" i="12" s="1"/>
  <c r="F141" i="15"/>
  <c r="J108" i="15"/>
  <c r="X112" i="12" s="1"/>
  <c r="F140" i="15"/>
  <c r="J107" i="15"/>
  <c r="X111" i="12" s="1"/>
  <c r="F139" i="15"/>
  <c r="J106" i="15"/>
  <c r="X110" i="12" s="1"/>
  <c r="F138" i="15"/>
  <c r="J105" i="15"/>
  <c r="X109" i="12" s="1"/>
  <c r="F137" i="15"/>
  <c r="J104" i="15"/>
  <c r="X108" i="12" s="1"/>
  <c r="F136" i="15"/>
  <c r="J103" i="15"/>
  <c r="X107" i="12" s="1"/>
  <c r="F135" i="15"/>
  <c r="J102" i="15"/>
  <c r="X106" i="12" s="1"/>
  <c r="F134" i="15"/>
  <c r="J101" i="15"/>
  <c r="X105" i="12" s="1"/>
  <c r="F133" i="15"/>
  <c r="J100" i="15"/>
  <c r="X104" i="12" s="1"/>
  <c r="F132" i="15"/>
  <c r="J99" i="15"/>
  <c r="X103" i="12" s="1"/>
  <c r="F131" i="15"/>
  <c r="J98" i="15"/>
  <c r="X102" i="12" s="1"/>
  <c r="F130" i="15"/>
  <c r="J97" i="15"/>
  <c r="X101" i="12" s="1"/>
  <c r="F129" i="15"/>
  <c r="J96" i="15"/>
  <c r="X100" i="12" s="1"/>
  <c r="F128" i="15"/>
  <c r="J95" i="15"/>
  <c r="X99" i="12" s="1"/>
  <c r="F127" i="15"/>
  <c r="J94" i="15"/>
  <c r="X98" i="12" s="1"/>
  <c r="F126" i="15"/>
  <c r="J93" i="15"/>
  <c r="X97" i="12" s="1"/>
  <c r="F125" i="15"/>
  <c r="J92" i="15"/>
  <c r="X96" i="12" s="1"/>
  <c r="F124" i="15"/>
  <c r="J91" i="15"/>
  <c r="X95" i="12" s="1"/>
  <c r="F123" i="15"/>
  <c r="J90" i="15"/>
  <c r="X94" i="12" s="1"/>
  <c r="F122" i="15"/>
  <c r="J89" i="15"/>
  <c r="X93" i="12" s="1"/>
  <c r="F121" i="15"/>
  <c r="J88" i="15"/>
  <c r="X92" i="12" s="1"/>
  <c r="F120" i="15"/>
  <c r="J87" i="15"/>
  <c r="X91" i="12" s="1"/>
  <c r="F119" i="15"/>
  <c r="K86" i="15"/>
  <c r="Y90" i="12" s="1"/>
  <c r="G109" i="15"/>
  <c r="K109" i="15" s="1"/>
  <c r="Y113" i="12" s="1"/>
  <c r="G118" i="15"/>
  <c r="J86" i="15"/>
  <c r="X90" i="12" s="1"/>
  <c r="F118" i="15"/>
  <c r="K85" i="15"/>
  <c r="Y89" i="12" s="1"/>
  <c r="G117" i="15"/>
  <c r="J84" i="15"/>
  <c r="X88" i="12" s="1"/>
  <c r="F116" i="15"/>
  <c r="J83" i="15"/>
  <c r="X87" i="12" s="1"/>
  <c r="F115" i="15"/>
  <c r="K82" i="15"/>
  <c r="Y86" i="12" s="1"/>
  <c r="G114" i="15"/>
  <c r="J81" i="15"/>
  <c r="X85" i="12" s="1"/>
  <c r="F113" i="15"/>
  <c r="J78" i="15"/>
  <c r="X82" i="12" s="1"/>
  <c r="F110" i="15"/>
  <c r="K20" i="15"/>
  <c r="Y24" i="12" s="1"/>
  <c r="G47" i="15"/>
  <c r="AF133" i="1"/>
  <c r="B46" i="18"/>
  <c r="B46" i="17"/>
  <c r="AE133" i="1"/>
  <c r="AF132" i="1"/>
  <c r="B45" i="18"/>
  <c r="B45" i="17"/>
  <c r="AE132" i="1"/>
  <c r="AF131" i="1"/>
  <c r="B44" i="18"/>
  <c r="B44" i="17"/>
  <c r="AE131" i="1"/>
  <c r="L1278" i="1"/>
  <c r="L1279" i="1" s="1"/>
  <c r="L1280" i="1" s="1"/>
  <c r="H1280" i="1" s="1"/>
  <c r="AF130" i="1"/>
  <c r="B43" i="18"/>
  <c r="B43" i="17"/>
  <c r="AE130" i="1"/>
  <c r="AF129" i="1"/>
  <c r="B42" i="18"/>
  <c r="B42" i="17"/>
  <c r="AE129" i="1"/>
  <c r="AF128" i="1"/>
  <c r="B41" i="18"/>
  <c r="B41" i="17"/>
  <c r="AE128" i="1"/>
  <c r="AF127" i="1"/>
  <c r="B40" i="18"/>
  <c r="B40" i="17"/>
  <c r="AE127" i="1"/>
  <c r="AF126" i="1"/>
  <c r="B39" i="18"/>
  <c r="B39" i="17"/>
  <c r="AE126" i="1"/>
  <c r="AF125" i="1"/>
  <c r="B38" i="18"/>
  <c r="B38" i="17"/>
  <c r="AE125" i="1"/>
  <c r="AF124" i="1"/>
  <c r="B37" i="18"/>
  <c r="B37" i="17"/>
  <c r="AE124" i="1"/>
  <c r="AF123" i="1"/>
  <c r="B36" i="18"/>
  <c r="B36" i="17"/>
  <c r="AE123" i="1"/>
  <c r="AF122" i="1"/>
  <c r="B35" i="18"/>
  <c r="B35" i="17"/>
  <c r="AE122" i="1"/>
  <c r="AF121" i="1"/>
  <c r="B34" i="18"/>
  <c r="B34" i="17"/>
  <c r="AE121" i="1"/>
  <c r="AF120" i="1"/>
  <c r="B33" i="18"/>
  <c r="B33" i="17"/>
  <c r="AE120" i="1"/>
  <c r="AF119" i="1"/>
  <c r="B32" i="18"/>
  <c r="B32" i="17"/>
  <c r="AE119" i="1"/>
  <c r="AF118" i="1"/>
  <c r="B31" i="18"/>
  <c r="B31" i="17"/>
  <c r="AE118" i="1"/>
  <c r="AF117" i="1"/>
  <c r="B30" i="18"/>
  <c r="B30" i="17"/>
  <c r="AE117" i="1"/>
  <c r="AF116" i="1"/>
  <c r="B29" i="18"/>
  <c r="B29" i="17"/>
  <c r="AE116" i="1"/>
  <c r="AF115" i="1"/>
  <c r="B28" i="18"/>
  <c r="B28" i="17"/>
  <c r="AE115" i="1"/>
  <c r="AF114" i="1"/>
  <c r="B27" i="18"/>
  <c r="B27" i="17"/>
  <c r="AE114" i="1"/>
  <c r="AF113" i="1"/>
  <c r="B26" i="18"/>
  <c r="B26" i="17"/>
  <c r="AE113" i="1"/>
  <c r="AF112" i="1"/>
  <c r="B25" i="18"/>
  <c r="B25" i="17"/>
  <c r="AE112" i="1"/>
  <c r="AF111" i="1"/>
  <c r="B24" i="18"/>
  <c r="B24" i="17"/>
  <c r="AE111" i="1"/>
  <c r="AF110" i="1"/>
  <c r="B23" i="18"/>
  <c r="B23" i="17"/>
  <c r="AE110" i="1"/>
  <c r="AF109" i="1"/>
  <c r="B22" i="18"/>
  <c r="B22" i="17"/>
  <c r="AE109" i="1"/>
  <c r="AF108" i="1"/>
  <c r="B21" i="18"/>
  <c r="B21" i="17"/>
  <c r="AE108" i="1"/>
  <c r="AF107" i="1"/>
  <c r="B20" i="18"/>
  <c r="B20" i="17"/>
  <c r="AE107" i="1"/>
  <c r="AF106" i="1"/>
  <c r="B19" i="18"/>
  <c r="B19" i="17"/>
  <c r="AE106" i="1"/>
  <c r="AF105" i="1"/>
  <c r="B18" i="18"/>
  <c r="B18" i="17"/>
  <c r="AE105" i="1"/>
  <c r="M16" i="14"/>
  <c r="C15" i="27" s="1"/>
  <c r="AF104" i="1"/>
  <c r="B17" i="18"/>
  <c r="B17" i="17"/>
  <c r="AE104" i="1"/>
  <c r="AF103" i="1"/>
  <c r="AF102" i="1"/>
  <c r="AF101" i="1"/>
  <c r="AF100" i="1"/>
  <c r="AF99" i="1"/>
  <c r="B12" i="18"/>
  <c r="B12" i="17"/>
  <c r="AE99" i="1"/>
  <c r="AF98" i="1"/>
  <c r="AF97" i="1"/>
  <c r="B10" i="18"/>
  <c r="B10" i="17"/>
  <c r="AE97" i="1"/>
  <c r="AF96" i="1"/>
  <c r="B9" i="18"/>
  <c r="B9" i="17"/>
  <c r="AE96" i="1"/>
  <c r="AF95" i="1"/>
  <c r="B8" i="18"/>
  <c r="B8" i="17"/>
  <c r="AE95" i="1"/>
  <c r="AF94" i="1"/>
  <c r="B7" i="18"/>
  <c r="B7" i="17"/>
  <c r="AE94" i="1"/>
  <c r="B223" i="18"/>
  <c r="B223" i="17"/>
  <c r="B221" i="18"/>
  <c r="B221" i="17"/>
  <c r="B218" i="18"/>
  <c r="B218" i="17"/>
  <c r="B216" i="18"/>
  <c r="B216" i="17"/>
  <c r="B213" i="18"/>
  <c r="B213" i="17"/>
  <c r="B201" i="18"/>
  <c r="B201" i="17"/>
  <c r="B198" i="18"/>
  <c r="B198" i="17"/>
  <c r="B196" i="18"/>
  <c r="B196" i="17"/>
  <c r="B194" i="18"/>
  <c r="B194" i="17"/>
  <c r="B188" i="18"/>
  <c r="B188" i="17"/>
  <c r="B219" i="17"/>
  <c r="B219" i="18"/>
  <c r="B215" i="17"/>
  <c r="B215" i="18"/>
  <c r="B207" i="17"/>
  <c r="B207" i="18"/>
  <c r="B203" i="17"/>
  <c r="B203" i="18"/>
  <c r="B199" i="17"/>
  <c r="B199" i="18"/>
  <c r="B197" i="17"/>
  <c r="B197" i="18"/>
  <c r="B192" i="18"/>
  <c r="B192" i="17"/>
  <c r="B190" i="17"/>
  <c r="B190" i="18"/>
  <c r="B224" i="18"/>
  <c r="B224" i="17"/>
  <c r="B222" i="18"/>
  <c r="B222" i="17"/>
  <c r="B220" i="17"/>
  <c r="B220" i="18"/>
  <c r="B214" i="17"/>
  <c r="B214" i="18"/>
  <c r="B212" i="17"/>
  <c r="B212" i="18"/>
  <c r="B211" i="17"/>
  <c r="B211" i="18"/>
  <c r="B208" i="17"/>
  <c r="B208" i="18"/>
  <c r="B206" i="17"/>
  <c r="B206" i="18"/>
  <c r="B204" i="17"/>
  <c r="B204" i="18"/>
  <c r="B202" i="17"/>
  <c r="B202" i="18"/>
  <c r="B200" i="17"/>
  <c r="B200" i="18"/>
  <c r="B191" i="17"/>
  <c r="B191" i="18"/>
  <c r="B189" i="17"/>
  <c r="B189" i="18"/>
  <c r="AF267" i="1"/>
  <c r="B11" i="18"/>
  <c r="B11" i="17"/>
  <c r="AE98" i="1"/>
  <c r="B217" i="17"/>
  <c r="B217" i="18"/>
  <c r="B210" i="17"/>
  <c r="B210" i="18"/>
  <c r="B209" i="17"/>
  <c r="B209" i="18"/>
  <c r="B205" i="17"/>
  <c r="B205" i="18"/>
  <c r="B195" i="17"/>
  <c r="B195" i="18"/>
  <c r="B193" i="17"/>
  <c r="B193" i="18"/>
  <c r="B187" i="18"/>
  <c r="B187" i="17"/>
  <c r="AE267" i="1"/>
  <c r="AF266" i="1"/>
  <c r="B186" i="17"/>
  <c r="B186" i="18"/>
  <c r="AE266" i="1"/>
  <c r="AF265" i="1"/>
  <c r="B185" i="17"/>
  <c r="B185" i="18"/>
  <c r="AE265" i="1"/>
  <c r="AF264" i="1"/>
  <c r="B184" i="17"/>
  <c r="B184" i="18"/>
  <c r="AE264" i="1"/>
  <c r="AF263" i="1"/>
  <c r="B183" i="17"/>
  <c r="B183" i="18"/>
  <c r="AE263" i="1"/>
  <c r="AF262" i="1"/>
  <c r="B182" i="18"/>
  <c r="B182" i="17"/>
  <c r="AE262" i="1"/>
  <c r="AF261" i="1"/>
  <c r="B181" i="18"/>
  <c r="B181" i="17"/>
  <c r="AE261" i="1"/>
  <c r="AF260" i="1"/>
  <c r="B180" i="17"/>
  <c r="B180" i="18"/>
  <c r="AE260" i="1"/>
  <c r="AF259" i="1"/>
  <c r="B179" i="18"/>
  <c r="B179" i="17"/>
  <c r="AE259" i="1"/>
  <c r="AF258" i="1"/>
  <c r="B178" i="18"/>
  <c r="B178" i="17"/>
  <c r="AE258" i="1"/>
  <c r="AF257" i="1"/>
  <c r="B177" i="18"/>
  <c r="B177" i="17"/>
  <c r="AE257" i="1"/>
  <c r="AF256" i="1"/>
  <c r="B176" i="18"/>
  <c r="B176" i="17"/>
  <c r="AE256" i="1"/>
  <c r="AF255" i="1"/>
  <c r="B175" i="17"/>
  <c r="B175" i="18"/>
  <c r="AE255" i="1"/>
  <c r="AF254" i="1"/>
  <c r="B174" i="18"/>
  <c r="B174" i="17"/>
  <c r="AE254" i="1"/>
  <c r="AF253" i="1"/>
  <c r="B173" i="18"/>
  <c r="B173" i="17"/>
  <c r="AE253" i="1"/>
  <c r="AF252" i="1"/>
  <c r="B172" i="18"/>
  <c r="B172" i="17"/>
  <c r="AE252" i="1"/>
  <c r="AF251" i="1"/>
  <c r="B171" i="18"/>
  <c r="B171" i="17"/>
  <c r="AE251" i="1"/>
  <c r="AF250" i="1"/>
  <c r="B170" i="17"/>
  <c r="B170" i="18"/>
  <c r="AE250" i="1"/>
  <c r="AF249" i="1"/>
  <c r="B169" i="18"/>
  <c r="B169" i="17"/>
  <c r="AE249" i="1"/>
  <c r="AF248" i="1"/>
  <c r="B168" i="18"/>
  <c r="B168" i="17"/>
  <c r="AE248" i="1"/>
  <c r="AF247" i="1"/>
  <c r="B167" i="17"/>
  <c r="B167" i="18"/>
  <c r="AE247" i="1"/>
  <c r="AF246" i="1"/>
  <c r="B166" i="17"/>
  <c r="B166" i="18"/>
  <c r="AE246" i="1"/>
  <c r="AF245" i="1"/>
  <c r="B165" i="18"/>
  <c r="B165" i="17"/>
  <c r="AE245" i="1"/>
  <c r="B164" i="17"/>
  <c r="B164" i="18"/>
  <c r="AF244" i="1"/>
  <c r="B163" i="17"/>
  <c r="B163" i="18"/>
  <c r="AE244" i="1"/>
  <c r="AF243" i="1"/>
  <c r="B162" i="18"/>
  <c r="B162" i="17"/>
  <c r="AE243" i="1"/>
  <c r="AF242" i="1"/>
  <c r="B161" i="18"/>
  <c r="B161" i="17"/>
  <c r="AE242" i="1"/>
  <c r="AF241" i="1"/>
  <c r="B160" i="18"/>
  <c r="B160" i="17"/>
  <c r="AE241" i="1"/>
  <c r="AF240" i="1"/>
  <c r="B159" i="18"/>
  <c r="B159" i="17"/>
  <c r="AE240" i="1"/>
  <c r="AF239" i="1"/>
  <c r="B158" i="18"/>
  <c r="B158" i="17"/>
  <c r="AE239" i="1"/>
  <c r="AF238" i="1"/>
  <c r="B157" i="18"/>
  <c r="B157" i="17"/>
  <c r="AE238" i="1"/>
  <c r="B156" i="17"/>
  <c r="B156" i="18"/>
  <c r="B155" i="18"/>
  <c r="B155" i="17"/>
  <c r="B154" i="18"/>
  <c r="B154" i="17"/>
  <c r="B153" i="18"/>
  <c r="B153" i="17"/>
  <c r="B152" i="17"/>
  <c r="B152" i="18"/>
  <c r="B151" i="18"/>
  <c r="B151" i="17"/>
  <c r="B150" i="18"/>
  <c r="B150" i="17"/>
  <c r="B149" i="17"/>
  <c r="B149" i="18"/>
  <c r="B148" i="18"/>
  <c r="B148" i="17"/>
  <c r="AF237" i="1"/>
  <c r="B147" i="18"/>
  <c r="B147" i="17"/>
  <c r="AE237" i="1"/>
  <c r="AF236" i="1"/>
  <c r="B146" i="18"/>
  <c r="B146" i="17"/>
  <c r="AE236" i="1"/>
  <c r="AF235" i="1"/>
  <c r="B145" i="17"/>
  <c r="B145" i="18"/>
  <c r="AE235" i="1"/>
  <c r="AF234" i="1"/>
  <c r="B144" i="18"/>
  <c r="B144" i="17"/>
  <c r="AE234" i="1"/>
  <c r="AF232" i="1"/>
  <c r="B143" i="18"/>
  <c r="B143" i="17"/>
  <c r="AE232" i="1"/>
  <c r="AF231" i="1"/>
  <c r="B142" i="18"/>
  <c r="B142" i="17"/>
  <c r="AE231" i="1"/>
  <c r="AF230" i="1"/>
  <c r="B141" i="18"/>
  <c r="B141" i="17"/>
  <c r="AE230" i="1"/>
  <c r="AF229" i="1"/>
  <c r="B140" i="18"/>
  <c r="B140" i="17"/>
  <c r="AE229" i="1"/>
  <c r="AF228" i="1"/>
  <c r="B139" i="18"/>
  <c r="B139" i="17"/>
  <c r="AE228" i="1"/>
  <c r="AF227" i="1"/>
  <c r="B138" i="17"/>
  <c r="B138" i="18"/>
  <c r="AE227" i="1"/>
  <c r="AF226" i="1"/>
  <c r="B137" i="18"/>
  <c r="B137" i="17"/>
  <c r="AE226" i="1"/>
  <c r="AF225" i="1"/>
  <c r="B136" i="18"/>
  <c r="B136" i="17"/>
  <c r="AE225" i="1"/>
  <c r="AF224" i="1"/>
  <c r="B135" i="18"/>
  <c r="B135" i="17"/>
  <c r="AE224" i="1"/>
  <c r="AF223" i="1"/>
  <c r="B134" i="18"/>
  <c r="B134" i="17"/>
  <c r="AE223" i="1"/>
  <c r="AF222" i="1"/>
  <c r="B133" i="18"/>
  <c r="B133" i="17"/>
  <c r="AE222" i="1"/>
  <c r="AF221" i="1"/>
  <c r="B132" i="18"/>
  <c r="B132" i="17"/>
  <c r="AE221" i="1"/>
  <c r="AF220" i="1"/>
  <c r="B131" i="17"/>
  <c r="B131" i="18"/>
  <c r="AE220" i="1"/>
  <c r="AF219" i="1"/>
  <c r="B130" i="17"/>
  <c r="B130" i="18"/>
  <c r="AE219" i="1"/>
  <c r="AF218" i="1"/>
  <c r="B129" i="18"/>
  <c r="B129" i="17"/>
  <c r="AE218" i="1"/>
  <c r="AF217" i="1"/>
  <c r="B128" i="18"/>
  <c r="B128" i="17"/>
  <c r="AE217" i="1"/>
  <c r="AF216" i="1"/>
  <c r="B127" i="17"/>
  <c r="B127" i="18"/>
  <c r="AE216" i="1"/>
  <c r="AF215" i="1"/>
  <c r="B126" i="17"/>
  <c r="B126" i="18"/>
  <c r="AE215" i="1"/>
  <c r="AF214" i="1"/>
  <c r="B125" i="18"/>
  <c r="B125" i="17"/>
  <c r="AE214" i="1"/>
  <c r="AF213" i="1"/>
  <c r="B124" i="18"/>
  <c r="B124" i="17"/>
  <c r="AE213" i="1"/>
  <c r="AF212" i="1"/>
  <c r="B123" i="18"/>
  <c r="B123" i="17"/>
  <c r="AE212" i="1"/>
  <c r="AF211" i="1"/>
  <c r="B122" i="17"/>
  <c r="B122" i="18"/>
  <c r="AE211" i="1"/>
  <c r="AF210" i="1"/>
  <c r="B121" i="18"/>
  <c r="B121" i="17"/>
  <c r="AE210" i="1"/>
  <c r="AF209" i="1"/>
  <c r="B120" i="17"/>
  <c r="B120" i="18"/>
  <c r="AE209" i="1"/>
  <c r="AF208" i="1"/>
  <c r="B119" i="17"/>
  <c r="B119" i="18"/>
  <c r="AE208" i="1"/>
  <c r="AF207" i="1"/>
  <c r="B118" i="18"/>
  <c r="B118" i="17"/>
  <c r="AE207" i="1"/>
  <c r="AF206" i="1"/>
  <c r="B117" i="18"/>
  <c r="B117" i="17"/>
  <c r="AE206" i="1"/>
  <c r="AF205" i="1"/>
  <c r="B116" i="17"/>
  <c r="B116" i="18"/>
  <c r="AE205" i="1"/>
  <c r="AF204" i="1"/>
  <c r="B115" i="18"/>
  <c r="B115" i="17"/>
  <c r="AE204" i="1"/>
  <c r="AF203" i="1"/>
  <c r="B114" i="18"/>
  <c r="B114" i="17"/>
  <c r="AE203" i="1"/>
  <c r="AF202" i="1"/>
  <c r="B113" i="17"/>
  <c r="B113" i="18"/>
  <c r="AE202" i="1"/>
  <c r="AF201" i="1"/>
  <c r="B112" i="18"/>
  <c r="B112" i="17"/>
  <c r="AE201" i="1"/>
  <c r="AF200" i="1"/>
  <c r="B111" i="18"/>
  <c r="B111" i="17"/>
  <c r="AE200" i="1"/>
  <c r="AF199" i="1"/>
  <c r="B110" i="18"/>
  <c r="B110" i="17"/>
  <c r="AE199" i="1"/>
  <c r="AF198" i="1"/>
  <c r="B109" i="18"/>
  <c r="B109" i="17"/>
  <c r="AE198" i="1"/>
  <c r="AF197" i="1"/>
  <c r="B108" i="18"/>
  <c r="B108" i="17"/>
  <c r="AE197" i="1"/>
  <c r="AF196" i="1"/>
  <c r="B107" i="18"/>
  <c r="B107" i="17"/>
  <c r="AE196" i="1"/>
  <c r="AF195" i="1"/>
  <c r="B106" i="17"/>
  <c r="B106" i="18"/>
  <c r="AE195" i="1"/>
  <c r="AF194" i="1"/>
  <c r="B105" i="17"/>
  <c r="B105" i="18"/>
  <c r="AE194" i="1"/>
  <c r="AF193" i="1"/>
  <c r="B104" i="17"/>
  <c r="B104" i="18"/>
  <c r="AE193" i="1"/>
  <c r="AF191" i="1"/>
  <c r="B103" i="17"/>
  <c r="B103" i="18"/>
  <c r="AE191" i="1"/>
  <c r="AF189" i="1"/>
  <c r="B102" i="18"/>
  <c r="B102" i="17"/>
  <c r="AE189" i="1"/>
  <c r="AF188" i="1"/>
  <c r="B101" i="18"/>
  <c r="B101" i="17"/>
  <c r="AE188" i="1"/>
  <c r="AF187" i="1"/>
  <c r="B100" i="17"/>
  <c r="B100" i="18"/>
  <c r="AE187" i="1"/>
  <c r="AF186" i="1"/>
  <c r="B99" i="17"/>
  <c r="B99" i="18"/>
  <c r="AE186" i="1"/>
  <c r="AF185" i="1"/>
  <c r="B98" i="18"/>
  <c r="B98" i="17"/>
  <c r="AE185" i="1"/>
  <c r="AF184" i="1"/>
  <c r="B97" i="18"/>
  <c r="B97" i="17"/>
  <c r="AE184" i="1"/>
  <c r="AF183" i="1"/>
  <c r="B96" i="17"/>
  <c r="B96" i="18"/>
  <c r="AE183" i="1"/>
  <c r="AF182" i="1"/>
  <c r="B95" i="18"/>
  <c r="B95" i="17"/>
  <c r="AE182" i="1"/>
  <c r="AF181" i="1"/>
  <c r="B94" i="18"/>
  <c r="B94" i="17"/>
  <c r="AE181" i="1"/>
  <c r="AF180" i="1"/>
  <c r="B93" i="18"/>
  <c r="B93" i="17"/>
  <c r="AE180" i="1"/>
  <c r="AF179" i="1"/>
  <c r="B92" i="18"/>
  <c r="B92" i="17"/>
  <c r="AE179" i="1"/>
  <c r="AF178" i="1"/>
  <c r="B91" i="17"/>
  <c r="B91" i="18"/>
  <c r="AE178" i="1"/>
  <c r="AF177" i="1"/>
  <c r="B90" i="18"/>
  <c r="B90" i="17"/>
  <c r="AE177" i="1"/>
  <c r="AF176" i="1"/>
  <c r="B89" i="18"/>
  <c r="B89" i="17"/>
  <c r="AE176" i="1"/>
  <c r="AF175" i="1"/>
  <c r="B88" i="17"/>
  <c r="B88" i="18"/>
  <c r="AE175" i="1"/>
  <c r="AF174" i="1"/>
  <c r="B87" i="18"/>
  <c r="B87" i="17"/>
  <c r="AE174" i="1"/>
  <c r="AF173" i="1"/>
  <c r="B86" i="17"/>
  <c r="B86" i="18"/>
  <c r="AE173" i="1"/>
  <c r="AF172" i="1"/>
  <c r="B85" i="18"/>
  <c r="B85" i="17"/>
  <c r="AE172" i="1"/>
  <c r="AF171" i="1"/>
  <c r="B84" i="18"/>
  <c r="B84" i="17"/>
  <c r="AE171" i="1"/>
  <c r="AF170" i="1"/>
  <c r="B83" i="18"/>
  <c r="B83" i="17"/>
  <c r="AE170" i="1"/>
  <c r="AF169" i="1"/>
  <c r="B82" i="18"/>
  <c r="B82" i="17"/>
  <c r="AE169" i="1"/>
  <c r="AF168" i="1"/>
  <c r="B81" i="18"/>
  <c r="B81" i="17"/>
  <c r="AE168" i="1"/>
  <c r="AF167" i="1"/>
  <c r="B80" i="18"/>
  <c r="B80" i="17"/>
  <c r="AE167" i="1"/>
  <c r="AF166" i="1"/>
  <c r="B79" i="17"/>
  <c r="B79" i="18"/>
  <c r="AE166" i="1"/>
  <c r="AF165" i="1"/>
  <c r="B78" i="18"/>
  <c r="B78" i="17"/>
  <c r="AE165" i="1"/>
  <c r="AF164" i="1"/>
  <c r="B77" i="18"/>
  <c r="B77" i="17"/>
  <c r="AE164" i="1"/>
  <c r="AF163" i="1"/>
  <c r="B76" i="18"/>
  <c r="B76" i="17"/>
  <c r="AE163" i="1"/>
  <c r="AF162" i="1"/>
  <c r="B75" i="18"/>
  <c r="B75" i="17"/>
  <c r="AE162" i="1"/>
  <c r="AF161" i="1"/>
  <c r="B74" i="18"/>
  <c r="B74" i="17"/>
  <c r="AE161" i="1"/>
  <c r="AF160" i="1"/>
  <c r="B73" i="18"/>
  <c r="B73" i="17"/>
  <c r="AE160" i="1"/>
  <c r="AF159" i="1"/>
  <c r="B72" i="18"/>
  <c r="B72" i="17"/>
  <c r="AE159" i="1"/>
  <c r="AF158" i="1"/>
  <c r="B71" i="18"/>
  <c r="B71" i="17"/>
  <c r="AE158" i="1"/>
  <c r="AF157" i="1"/>
  <c r="B70" i="18"/>
  <c r="B70" i="17"/>
  <c r="AE157" i="1"/>
  <c r="AF156" i="1"/>
  <c r="B69" i="18"/>
  <c r="B69" i="17"/>
  <c r="AE156" i="1"/>
  <c r="AF155" i="1"/>
  <c r="B68" i="18"/>
  <c r="B68" i="17"/>
  <c r="AE155" i="1"/>
  <c r="AF154" i="1"/>
  <c r="B67" i="18"/>
  <c r="B67" i="17"/>
  <c r="AE154" i="1"/>
  <c r="AF153" i="1"/>
  <c r="B66" i="18"/>
  <c r="B66" i="17"/>
  <c r="AE153" i="1"/>
  <c r="AF152" i="1"/>
  <c r="B65" i="18"/>
  <c r="B65" i="17"/>
  <c r="AE152" i="1"/>
  <c r="AF151" i="1"/>
  <c r="B64" i="18"/>
  <c r="B64" i="17"/>
  <c r="AE151" i="1"/>
  <c r="AF150" i="1"/>
  <c r="B63" i="18"/>
  <c r="B63" i="17"/>
  <c r="AE150" i="1"/>
  <c r="AF149" i="1"/>
  <c r="B62" i="18"/>
  <c r="B62" i="17"/>
  <c r="AE149" i="1"/>
  <c r="AF148" i="1"/>
  <c r="B61" i="18"/>
  <c r="B61" i="17"/>
  <c r="AE148" i="1"/>
  <c r="AF147" i="1"/>
  <c r="B60" i="18"/>
  <c r="B60" i="17"/>
  <c r="AE147" i="1"/>
  <c r="AF146" i="1"/>
  <c r="B59" i="18"/>
  <c r="B59" i="17"/>
  <c r="AE146" i="1"/>
  <c r="AF145" i="1"/>
  <c r="B58" i="18"/>
  <c r="B58" i="17"/>
  <c r="AE145" i="1"/>
  <c r="AF144" i="1"/>
  <c r="B57" i="18"/>
  <c r="B57" i="17"/>
  <c r="AE144" i="1"/>
  <c r="AF143" i="1"/>
  <c r="B56" i="18"/>
  <c r="B56" i="17"/>
  <c r="AE143" i="1"/>
  <c r="AF142" i="1"/>
  <c r="B55" i="18"/>
  <c r="B55" i="17"/>
  <c r="AE142" i="1"/>
  <c r="AF141" i="1"/>
  <c r="B54" i="18"/>
  <c r="B54" i="17"/>
  <c r="AE141" i="1"/>
  <c r="AF140" i="1"/>
  <c r="B53" i="18"/>
  <c r="B53" i="17"/>
  <c r="AE140" i="1"/>
  <c r="AF139" i="1"/>
  <c r="B52" i="18"/>
  <c r="B52" i="17"/>
  <c r="AE139" i="1"/>
  <c r="AF138" i="1"/>
  <c r="B51" i="18"/>
  <c r="B51" i="17"/>
  <c r="AE138" i="1"/>
  <c r="AF137" i="1"/>
  <c r="B50" i="18"/>
  <c r="B50" i="17"/>
  <c r="AE137" i="1"/>
  <c r="AF136" i="1"/>
  <c r="B49" i="18"/>
  <c r="B49" i="17"/>
  <c r="AE136" i="1"/>
  <c r="AF135" i="1"/>
  <c r="B48" i="18"/>
  <c r="B48" i="17"/>
  <c r="AE135" i="1"/>
  <c r="AF134" i="1"/>
  <c r="B47" i="18"/>
  <c r="B47" i="17"/>
  <c r="AE134" i="1"/>
  <c r="Q7" i="16" a="1"/>
  <c r="Q7" i="16" s="1"/>
  <c r="S9" i="16"/>
  <c r="S10" i="16"/>
  <c r="T12" i="16"/>
  <c r="T13" i="16"/>
  <c r="AB94" i="1"/>
  <c r="C23" i="31"/>
  <c r="W4" i="16"/>
  <c r="I5" i="16"/>
  <c r="Q5" i="16" a="1"/>
  <c r="W5" i="16"/>
  <c r="F6" i="16" a="1"/>
  <c r="F6" i="16" s="1"/>
  <c r="F8" i="16" s="1" a="1"/>
  <c r="F8" i="16" s="1"/>
  <c r="I6" i="16"/>
  <c r="Q6" i="16" a="1"/>
  <c r="Q6" i="16" s="1"/>
  <c r="N145" i="12"/>
  <c r="N177" i="12" s="1"/>
  <c r="N209" i="12" s="1"/>
  <c r="N241" i="12" s="1"/>
  <c r="N154" i="12"/>
  <c r="N186" i="12" s="1"/>
  <c r="N218" i="12" s="1"/>
  <c r="N55" i="12"/>
  <c r="N84" i="12"/>
  <c r="N116" i="12" s="1"/>
  <c r="N148" i="12" s="1"/>
  <c r="N180" i="12" s="1"/>
  <c r="N212" i="12" s="1"/>
  <c r="AF78" i="2"/>
  <c r="AF85" i="2"/>
  <c r="AH65" i="2"/>
  <c r="AH70" i="2"/>
  <c r="AF74" i="2"/>
  <c r="AF75" i="2" s="1"/>
  <c r="AF72" i="2"/>
  <c r="AH63" i="2"/>
  <c r="AH64" i="2" s="1"/>
  <c r="AH61" i="2"/>
  <c r="V74" i="2"/>
  <c r="V75" i="2" s="1"/>
  <c r="V72" i="2"/>
  <c r="X63" i="2"/>
  <c r="X64" i="2" s="1"/>
  <c r="X61" i="2"/>
  <c r="V78" i="2"/>
  <c r="V85" i="2"/>
  <c r="X65" i="2"/>
  <c r="X66" i="2" s="1"/>
  <c r="X70" i="2"/>
  <c r="L74" i="2"/>
  <c r="L75" i="2" s="1"/>
  <c r="L72" i="2"/>
  <c r="N63" i="2"/>
  <c r="N64" i="2" s="1"/>
  <c r="N61" i="2"/>
  <c r="L78" i="2"/>
  <c r="L85" i="2"/>
  <c r="N65" i="2"/>
  <c r="N66" i="2" s="1"/>
  <c r="N70" i="2"/>
  <c r="B74" i="2"/>
  <c r="B75" i="2" s="1"/>
  <c r="B72" i="2"/>
  <c r="B78" i="2"/>
  <c r="B85" i="2"/>
  <c r="D65" i="2"/>
  <c r="D70" i="2"/>
  <c r="D63" i="2"/>
  <c r="D64" i="2" s="1"/>
  <c r="D61" i="2"/>
  <c r="D68" i="2"/>
  <c r="D69" i="2"/>
  <c r="X56" i="2"/>
  <c r="L62" i="2"/>
  <c r="L65" i="2"/>
  <c r="N67" i="2"/>
  <c r="B67" i="2"/>
  <c r="B63" i="2"/>
  <c r="B66" i="2" s="1"/>
  <c r="B64" i="2"/>
  <c r="AP11" i="2"/>
  <c r="BL15" i="2"/>
  <c r="BL13" i="2"/>
  <c r="BJ26" i="2"/>
  <c r="BJ24" i="2"/>
  <c r="BB15" i="2"/>
  <c r="BB13" i="2"/>
  <c r="AZ26" i="2"/>
  <c r="AZ24" i="2"/>
  <c r="AR15" i="2"/>
  <c r="AR13" i="2"/>
  <c r="AP26" i="2"/>
  <c r="AP24" i="2"/>
  <c r="AH15" i="2"/>
  <c r="AH13" i="2"/>
  <c r="AH16" i="2" s="1"/>
  <c r="AF26" i="2"/>
  <c r="AF24" i="2"/>
  <c r="AF27" i="2" s="1"/>
  <c r="V26" i="2"/>
  <c r="V24" i="2"/>
  <c r="V27" i="2" s="1"/>
  <c r="X15" i="2"/>
  <c r="X13" i="2"/>
  <c r="X16" i="2" s="1"/>
  <c r="L26" i="2"/>
  <c r="L24" i="2"/>
  <c r="L27" i="2" s="1"/>
  <c r="N13" i="2"/>
  <c r="N16" i="2" s="1"/>
  <c r="N15" i="2"/>
  <c r="D15" i="2"/>
  <c r="D13" i="2"/>
  <c r="D16" i="2" s="1"/>
  <c r="B26" i="2"/>
  <c r="B24" i="2"/>
  <c r="B27" i="2" s="1"/>
  <c r="D20" i="2"/>
  <c r="D21" i="2"/>
  <c r="B19" i="2"/>
  <c r="F6" i="32"/>
  <c r="G6" i="32" s="1"/>
  <c r="H6" i="32" s="1"/>
  <c r="F7" i="32"/>
  <c r="G7" i="32" s="1"/>
  <c r="H7" i="32" s="1"/>
  <c r="F8" i="32"/>
  <c r="G8" i="32" s="1"/>
  <c r="H8" i="32" s="1"/>
  <c r="F9" i="32"/>
  <c r="G9" i="32" s="1"/>
  <c r="H9" i="32" s="1"/>
  <c r="F10" i="32"/>
  <c r="G10" i="32" s="1"/>
  <c r="H10" i="32" s="1"/>
  <c r="F11" i="32"/>
  <c r="G11" i="32" s="1"/>
  <c r="H11" i="32" s="1"/>
  <c r="F12" i="32"/>
  <c r="G12" i="32" s="1"/>
  <c r="H12" i="32" s="1"/>
  <c r="L50" i="21"/>
  <c r="L51" i="21" s="1"/>
  <c r="L55" i="21"/>
  <c r="L56" i="21" s="1"/>
  <c r="I960" i="1"/>
  <c r="L947" i="1"/>
  <c r="L948" i="1" s="1"/>
  <c r="L949" i="1" s="1"/>
  <c r="B15" i="2"/>
  <c r="B18" i="2" s="1"/>
  <c r="B16" i="2"/>
  <c r="L14" i="2"/>
  <c r="L17" i="2"/>
  <c r="N19" i="2"/>
  <c r="X8" i="2"/>
  <c r="D215" i="28"/>
  <c r="D216" i="28"/>
  <c r="D281" i="28"/>
  <c r="D282" i="28"/>
  <c r="D131" i="28"/>
  <c r="D132" i="28" s="1"/>
  <c r="D159" i="28"/>
  <c r="D161" i="28" s="1"/>
  <c r="D126" i="28"/>
  <c r="D154" i="28"/>
  <c r="D156" i="28" s="1"/>
  <c r="D143" i="28"/>
  <c r="D211" i="28"/>
  <c r="D125" i="28"/>
  <c r="D127" i="28" s="1"/>
  <c r="D142" i="28"/>
  <c r="D155" i="28" s="1"/>
  <c r="D52" i="28"/>
  <c r="D51" i="28"/>
  <c r="J82" i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H1193" i="1"/>
  <c r="H1207" i="1"/>
  <c r="H1192" i="1"/>
  <c r="H1038" i="1"/>
  <c r="C64" i="31"/>
  <c r="C66" i="31" s="1"/>
  <c r="C80" i="31"/>
  <c r="S17" i="18"/>
  <c r="T17" i="18"/>
  <c r="U17" i="18"/>
  <c r="V17" i="18"/>
  <c r="W17" i="18"/>
  <c r="X17" i="18"/>
  <c r="Y17" i="18"/>
  <c r="H883" i="1"/>
  <c r="H67" i="1"/>
  <c r="H885" i="1"/>
  <c r="C43" i="31"/>
  <c r="C45" i="31" s="1"/>
  <c r="H1145" i="1" s="1"/>
  <c r="H1147" i="1" s="1"/>
  <c r="D9" i="29"/>
  <c r="L960" i="1"/>
  <c r="D74" i="28"/>
  <c r="C38" i="22"/>
  <c r="H1099" i="1"/>
  <c r="H1115" i="1"/>
  <c r="H1111" i="1"/>
  <c r="H1116" i="1" s="1"/>
  <c r="H1165" i="1"/>
  <c r="H1130" i="1"/>
  <c r="H112" i="1"/>
  <c r="C30" i="22"/>
  <c r="L126" i="1"/>
  <c r="K32" i="19" s="1"/>
  <c r="N65" i="19" s="1"/>
  <c r="H128" i="1"/>
  <c r="H157" i="1"/>
  <c r="H159" i="1" s="1"/>
  <c r="L84" i="1"/>
  <c r="H876" i="1"/>
  <c r="H874" i="1"/>
  <c r="H873" i="1"/>
  <c r="L95" i="1"/>
  <c r="H1017" i="1"/>
  <c r="H1237" i="1"/>
  <c r="H1238" i="1" s="1"/>
  <c r="H1239" i="1" s="1"/>
  <c r="H1240" i="1" s="1"/>
  <c r="H1242" i="1" s="1"/>
  <c r="H1246" i="1" s="1"/>
  <c r="L86" i="1"/>
  <c r="H1004" i="1"/>
  <c r="H1006" i="1"/>
  <c r="D34" i="28"/>
  <c r="D168" i="28"/>
  <c r="D188" i="28"/>
  <c r="D193" i="28" s="1"/>
  <c r="H9" i="20"/>
  <c r="M9" i="20"/>
  <c r="H27" i="20"/>
  <c r="H32" i="20"/>
  <c r="M32" i="20"/>
  <c r="H50" i="20"/>
  <c r="M50" i="20"/>
  <c r="M27" i="20"/>
  <c r="D6" i="28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J85" i="1"/>
  <c r="I9" i="13"/>
  <c r="I10" i="13"/>
  <c r="C108" i="31"/>
  <c r="D73" i="28"/>
  <c r="D75" i="28" s="1"/>
  <c r="D46" i="28"/>
  <c r="F518" i="27"/>
  <c r="G518" i="27" s="1"/>
  <c r="D104" i="28"/>
  <c r="H1209" i="1"/>
  <c r="I302" i="1"/>
  <c r="H303" i="1"/>
  <c r="H5" i="30"/>
  <c r="H6" i="30" s="1"/>
  <c r="I1255" i="1"/>
  <c r="J1254" i="1"/>
  <c r="C12" i="22"/>
  <c r="C18" i="22"/>
  <c r="C17" i="22"/>
  <c r="C20" i="22"/>
  <c r="D12" i="22"/>
  <c r="D20" i="22"/>
  <c r="D17" i="22"/>
  <c r="D18" i="22"/>
  <c r="E12" i="22"/>
  <c r="E18" i="22"/>
  <c r="E17" i="22"/>
  <c r="E20" i="22"/>
  <c r="F12" i="22"/>
  <c r="F17" i="22"/>
  <c r="F20" i="22"/>
  <c r="F18" i="22"/>
  <c r="G12" i="22"/>
  <c r="G17" i="22"/>
  <c r="G20" i="22"/>
  <c r="G18" i="22"/>
  <c r="H12" i="22"/>
  <c r="H18" i="22"/>
  <c r="H17" i="22"/>
  <c r="H20" i="22"/>
  <c r="I12" i="22"/>
  <c r="I18" i="22"/>
  <c r="I20" i="22"/>
  <c r="I17" i="22"/>
  <c r="J12" i="22"/>
  <c r="J20" i="22"/>
  <c r="J18" i="22"/>
  <c r="J17" i="22"/>
  <c r="K12" i="22"/>
  <c r="K20" i="22"/>
  <c r="K18" i="22"/>
  <c r="K17" i="22"/>
  <c r="L12" i="22"/>
  <c r="L18" i="22"/>
  <c r="L20" i="22"/>
  <c r="L17" i="22"/>
  <c r="M12" i="22"/>
  <c r="M20" i="22"/>
  <c r="M18" i="22"/>
  <c r="M17" i="22"/>
  <c r="N12" i="22"/>
  <c r="N20" i="22"/>
  <c r="N17" i="22"/>
  <c r="N18" i="22"/>
  <c r="O12" i="22"/>
  <c r="O20" i="22"/>
  <c r="O18" i="22"/>
  <c r="O17" i="22"/>
  <c r="P12" i="22"/>
  <c r="P18" i="22"/>
  <c r="P17" i="22"/>
  <c r="P20" i="22"/>
  <c r="Q12" i="22"/>
  <c r="Q18" i="22"/>
  <c r="Q20" i="22"/>
  <c r="Q17" i="22"/>
  <c r="R12" i="22"/>
  <c r="R18" i="22"/>
  <c r="R20" i="22"/>
  <c r="R17" i="22"/>
  <c r="S12" i="22"/>
  <c r="S18" i="22"/>
  <c r="S20" i="22"/>
  <c r="S17" i="22"/>
  <c r="T12" i="22"/>
  <c r="T17" i="22"/>
  <c r="T18" i="22"/>
  <c r="T20" i="22"/>
  <c r="U12" i="22"/>
  <c r="U20" i="22"/>
  <c r="U17" i="22"/>
  <c r="U18" i="22"/>
  <c r="V12" i="22"/>
  <c r="V17" i="22"/>
  <c r="V18" i="22"/>
  <c r="V20" i="22"/>
  <c r="W12" i="22"/>
  <c r="W17" i="22"/>
  <c r="W20" i="22"/>
  <c r="W18" i="22"/>
  <c r="H292" i="1"/>
  <c r="I291" i="1"/>
  <c r="I280" i="1"/>
  <c r="G1254" i="1"/>
  <c r="J552" i="1"/>
  <c r="I553" i="1"/>
  <c r="J541" i="1"/>
  <c r="I542" i="1"/>
  <c r="F5" i="13" l="1"/>
  <c r="I8" i="13"/>
  <c r="M10" i="13" s="1"/>
  <c r="I7" i="13"/>
  <c r="M11" i="13" s="1"/>
  <c r="T6" i="13"/>
  <c r="T5" i="13"/>
  <c r="M9" i="13"/>
  <c r="F181" i="15"/>
  <c r="J149" i="15"/>
  <c r="X153" i="12" s="1"/>
  <c r="J146" i="15"/>
  <c r="X150" i="12" s="1"/>
  <c r="F178" i="15"/>
  <c r="K145" i="15"/>
  <c r="Y149" i="12" s="1"/>
  <c r="G177" i="15"/>
  <c r="J144" i="15"/>
  <c r="X148" i="12" s="1"/>
  <c r="F176" i="15"/>
  <c r="J143" i="15"/>
  <c r="X147" i="12" s="1"/>
  <c r="F175" i="15"/>
  <c r="K142" i="15"/>
  <c r="Y146" i="12" s="1"/>
  <c r="G174" i="15"/>
  <c r="J141" i="15"/>
  <c r="X145" i="12" s="1"/>
  <c r="F173" i="15"/>
  <c r="J140" i="15"/>
  <c r="X144" i="12" s="1"/>
  <c r="F172" i="15"/>
  <c r="J139" i="15"/>
  <c r="X143" i="12" s="1"/>
  <c r="F171" i="15"/>
  <c r="J138" i="15"/>
  <c r="X142" i="12" s="1"/>
  <c r="F170" i="15"/>
  <c r="J137" i="15"/>
  <c r="X141" i="12" s="1"/>
  <c r="F169" i="15"/>
  <c r="J136" i="15"/>
  <c r="X140" i="12" s="1"/>
  <c r="F168" i="15"/>
  <c r="J135" i="15"/>
  <c r="X139" i="12" s="1"/>
  <c r="F167" i="15"/>
  <c r="J134" i="15"/>
  <c r="X138" i="12" s="1"/>
  <c r="F166" i="15"/>
  <c r="J133" i="15"/>
  <c r="X137" i="12" s="1"/>
  <c r="F165" i="15"/>
  <c r="J132" i="15"/>
  <c r="X136" i="12" s="1"/>
  <c r="F164" i="15"/>
  <c r="J131" i="15"/>
  <c r="X135" i="12" s="1"/>
  <c r="F163" i="15"/>
  <c r="J130" i="15"/>
  <c r="X134" i="12" s="1"/>
  <c r="F162" i="15"/>
  <c r="J129" i="15"/>
  <c r="X133" i="12" s="1"/>
  <c r="F161" i="15"/>
  <c r="J128" i="15"/>
  <c r="X132" i="12" s="1"/>
  <c r="F160" i="15"/>
  <c r="J127" i="15"/>
  <c r="X131" i="12" s="1"/>
  <c r="F159" i="15"/>
  <c r="J126" i="15"/>
  <c r="X130" i="12" s="1"/>
  <c r="F158" i="15"/>
  <c r="J125" i="15"/>
  <c r="X129" i="12" s="1"/>
  <c r="F157" i="15"/>
  <c r="J124" i="15"/>
  <c r="X128" i="12" s="1"/>
  <c r="F156" i="15"/>
  <c r="J123" i="15"/>
  <c r="X127" i="12" s="1"/>
  <c r="F155" i="15"/>
  <c r="J122" i="15"/>
  <c r="X126" i="12" s="1"/>
  <c r="F154" i="15"/>
  <c r="J121" i="15"/>
  <c r="X125" i="12" s="1"/>
  <c r="F153" i="15"/>
  <c r="J120" i="15"/>
  <c r="X124" i="12" s="1"/>
  <c r="F152" i="15"/>
  <c r="J119" i="15"/>
  <c r="X123" i="12" s="1"/>
  <c r="F151" i="15"/>
  <c r="K118" i="15"/>
  <c r="Y122" i="12" s="1"/>
  <c r="G141" i="15"/>
  <c r="G150" i="15"/>
  <c r="J118" i="15"/>
  <c r="X122" i="12" s="1"/>
  <c r="F150" i="15"/>
  <c r="K117" i="15"/>
  <c r="Y121" i="12" s="1"/>
  <c r="G149" i="15"/>
  <c r="J116" i="15"/>
  <c r="X120" i="12" s="1"/>
  <c r="F148" i="15"/>
  <c r="J115" i="15"/>
  <c r="X119" i="12" s="1"/>
  <c r="F147" i="15"/>
  <c r="K114" i="15"/>
  <c r="Y118" i="12" s="1"/>
  <c r="G146" i="15"/>
  <c r="J113" i="15"/>
  <c r="X117" i="12" s="1"/>
  <c r="F145" i="15"/>
  <c r="J110" i="15"/>
  <c r="X114" i="12" s="1"/>
  <c r="F142" i="15"/>
  <c r="K47" i="15"/>
  <c r="Y51" i="12" s="1"/>
  <c r="G48" i="15"/>
  <c r="G79" i="15"/>
  <c r="M13" i="16"/>
  <c r="M14" i="16"/>
  <c r="M7" i="16"/>
  <c r="V9" i="16"/>
  <c r="W9" i="16"/>
  <c r="V10" i="16"/>
  <c r="W10" i="16"/>
  <c r="M8" i="16"/>
  <c r="L7" i="21" s="1"/>
  <c r="M5" i="16"/>
  <c r="N56" i="12"/>
  <c r="N88" i="12" s="1"/>
  <c r="N120" i="12" s="1"/>
  <c r="N152" i="12" s="1"/>
  <c r="N184" i="12" s="1"/>
  <c r="N216" i="12" s="1"/>
  <c r="N87" i="12"/>
  <c r="N119" i="12" s="1"/>
  <c r="N151" i="12" s="1"/>
  <c r="N183" i="12" s="1"/>
  <c r="N215" i="12" s="1"/>
  <c r="AF86" i="2"/>
  <c r="AF87" i="2"/>
  <c r="AF88" i="2"/>
  <c r="AF89" i="2"/>
  <c r="AH72" i="2"/>
  <c r="AH73" i="2"/>
  <c r="AH74" i="2"/>
  <c r="AH75" i="2"/>
  <c r="AF80" i="2"/>
  <c r="AF79" i="2"/>
  <c r="AF81" i="2" s="1"/>
  <c r="V80" i="2"/>
  <c r="V79" i="2"/>
  <c r="V81" i="2" s="1"/>
  <c r="V86" i="2"/>
  <c r="V87" i="2"/>
  <c r="V88" i="2"/>
  <c r="V89" i="2"/>
  <c r="X72" i="2"/>
  <c r="X73" i="2"/>
  <c r="X74" i="2"/>
  <c r="X75" i="2"/>
  <c r="L80" i="2"/>
  <c r="L79" i="2"/>
  <c r="L81" i="2" s="1"/>
  <c r="L86" i="2"/>
  <c r="L87" i="2"/>
  <c r="L88" i="2"/>
  <c r="L89" i="2"/>
  <c r="N72" i="2"/>
  <c r="N73" i="2"/>
  <c r="N74" i="2"/>
  <c r="N75" i="2"/>
  <c r="B80" i="2"/>
  <c r="B79" i="2"/>
  <c r="B81" i="2" s="1"/>
  <c r="B86" i="2"/>
  <c r="B91" i="2" s="1"/>
  <c r="B87" i="2"/>
  <c r="B88" i="2"/>
  <c r="B89" i="2"/>
  <c r="D72" i="2"/>
  <c r="D73" i="2"/>
  <c r="D74" i="2"/>
  <c r="D75" i="2"/>
  <c r="AH56" i="2"/>
  <c r="V62" i="2"/>
  <c r="V65" i="2"/>
  <c r="X67" i="2"/>
  <c r="L63" i="2"/>
  <c r="L90" i="2" s="1"/>
  <c r="L64" i="2"/>
  <c r="L66" i="2"/>
  <c r="L67" i="2"/>
  <c r="N68" i="2"/>
  <c r="N76" i="2" s="1"/>
  <c r="N69" i="2"/>
  <c r="N77" i="2" s="1"/>
  <c r="N78" i="2" s="1"/>
  <c r="B68" i="2"/>
  <c r="B70" i="2" s="1"/>
  <c r="B69" i="2"/>
  <c r="B84" i="2"/>
  <c r="AR16" i="2"/>
  <c r="AP27" i="2"/>
  <c r="AZ11" i="2"/>
  <c r="B20" i="2"/>
  <c r="B21" i="2"/>
  <c r="B22" i="2" s="1"/>
  <c r="L52" i="21"/>
  <c r="L11" i="21" s="1"/>
  <c r="L53" i="21"/>
  <c r="L57" i="21"/>
  <c r="L32" i="21" s="1"/>
  <c r="L58" i="21"/>
  <c r="B36" i="2"/>
  <c r="L15" i="2"/>
  <c r="L16" i="2"/>
  <c r="L18" i="2"/>
  <c r="L19" i="2"/>
  <c r="N20" i="2"/>
  <c r="N21" i="2"/>
  <c r="AH8" i="2"/>
  <c r="V14" i="2"/>
  <c r="V17" i="2"/>
  <c r="X19" i="2"/>
  <c r="D59" i="28"/>
  <c r="D76" i="28"/>
  <c r="E76" i="28" s="1"/>
  <c r="D54" i="28"/>
  <c r="L82" i="1"/>
  <c r="H1194" i="1"/>
  <c r="H1208" i="1"/>
  <c r="C65" i="31"/>
  <c r="M11" i="12"/>
  <c r="B10" i="12"/>
  <c r="I32" i="1"/>
  <c r="I31" i="1"/>
  <c r="H1150" i="1"/>
  <c r="H1097" i="1"/>
  <c r="H1100" i="1" s="1"/>
  <c r="C102" i="31" s="1"/>
  <c r="D128" i="31" s="1"/>
  <c r="H1135" i="1"/>
  <c r="H1149" i="1"/>
  <c r="H1151" i="1" s="1"/>
  <c r="H1195" i="1"/>
  <c r="K895" i="1"/>
  <c r="K896" i="1" s="1"/>
  <c r="I159" i="1"/>
  <c r="H160" i="1"/>
  <c r="H161" i="1" s="1"/>
  <c r="H184" i="1"/>
  <c r="H185" i="1" s="1"/>
  <c r="H875" i="1"/>
  <c r="I947" i="1" s="1"/>
  <c r="H1014" i="1"/>
  <c r="H1018" i="1"/>
  <c r="D199" i="28"/>
  <c r="L85" i="1"/>
  <c r="E519" i="27"/>
  <c r="D519" i="27"/>
  <c r="F519" i="27" s="1"/>
  <c r="G519" i="27" s="1"/>
  <c r="J302" i="1"/>
  <c r="I303" i="1"/>
  <c r="K1254" i="1"/>
  <c r="J1255" i="1"/>
  <c r="I5" i="30"/>
  <c r="I6" i="30" s="1"/>
  <c r="I292" i="1"/>
  <c r="J291" i="1"/>
  <c r="M26" i="20"/>
  <c r="M49" i="20"/>
  <c r="H49" i="20"/>
  <c r="M33" i="20"/>
  <c r="H33" i="20"/>
  <c r="H26" i="20"/>
  <c r="M10" i="20"/>
  <c r="H10" i="20"/>
  <c r="J280" i="1"/>
  <c r="G1255" i="1"/>
  <c r="F5" i="30"/>
  <c r="F6" i="30" s="1"/>
  <c r="K552" i="1"/>
  <c r="J553" i="1"/>
  <c r="K541" i="1"/>
  <c r="J542" i="1"/>
  <c r="F9" i="16"/>
  <c r="AH66" i="2"/>
  <c r="D66" i="2"/>
  <c r="D226" i="28"/>
  <c r="D292" i="28"/>
  <c r="D293" i="28" s="1"/>
  <c r="D134" i="28"/>
  <c r="D162" i="28"/>
  <c r="D157" i="28"/>
  <c r="M6" i="16"/>
  <c r="F7" i="16" a="1"/>
  <c r="F7" i="16" s="1"/>
  <c r="S13" i="13" l="1"/>
  <c r="T9" i="13"/>
  <c r="S12" i="13"/>
  <c r="T10" i="13"/>
  <c r="F14" i="13"/>
  <c r="J181" i="15"/>
  <c r="X185" i="12" s="1"/>
  <c r="F213" i="15"/>
  <c r="J213" i="15" s="1"/>
  <c r="X217" i="12" s="1"/>
  <c r="J178" i="15"/>
  <c r="X182" i="12" s="1"/>
  <c r="F210" i="15"/>
  <c r="J210" i="15" s="1"/>
  <c r="X214" i="12" s="1"/>
  <c r="K177" i="15"/>
  <c r="Y181" i="12" s="1"/>
  <c r="G209" i="15"/>
  <c r="K209" i="15" s="1"/>
  <c r="Y213" i="12" s="1"/>
  <c r="J176" i="15"/>
  <c r="X180" i="12" s="1"/>
  <c r="F208" i="15"/>
  <c r="J208" i="15" s="1"/>
  <c r="X212" i="12" s="1"/>
  <c r="J175" i="15"/>
  <c r="X179" i="12" s="1"/>
  <c r="F207" i="15"/>
  <c r="J207" i="15" s="1"/>
  <c r="X211" i="12" s="1"/>
  <c r="G206" i="15"/>
  <c r="K206" i="15" s="1"/>
  <c r="Y210" i="12" s="1"/>
  <c r="K174" i="15"/>
  <c r="Y178" i="12" s="1"/>
  <c r="J173" i="15"/>
  <c r="X177" i="12" s="1"/>
  <c r="F205" i="15"/>
  <c r="J205" i="15" s="1"/>
  <c r="X209" i="12" s="1"/>
  <c r="J172" i="15"/>
  <c r="X176" i="12" s="1"/>
  <c r="F204" i="15"/>
  <c r="F203" i="15"/>
  <c r="J171" i="15"/>
  <c r="X175" i="12" s="1"/>
  <c r="J170" i="15"/>
  <c r="X174" i="12" s="1"/>
  <c r="F202" i="15"/>
  <c r="J169" i="15"/>
  <c r="X173" i="12" s="1"/>
  <c r="F201" i="15"/>
  <c r="J168" i="15"/>
  <c r="X172" i="12" s="1"/>
  <c r="F200" i="15"/>
  <c r="J167" i="15"/>
  <c r="X171" i="12" s="1"/>
  <c r="F199" i="15"/>
  <c r="J166" i="15"/>
  <c r="X170" i="12" s="1"/>
  <c r="F198" i="15"/>
  <c r="J165" i="15"/>
  <c r="X169" i="12" s="1"/>
  <c r="F197" i="15"/>
  <c r="J164" i="15"/>
  <c r="X168" i="12" s="1"/>
  <c r="F196" i="15"/>
  <c r="J163" i="15"/>
  <c r="X167" i="12" s="1"/>
  <c r="F195" i="15"/>
  <c r="J162" i="15"/>
  <c r="X166" i="12" s="1"/>
  <c r="F194" i="15"/>
  <c r="F193" i="15"/>
  <c r="J161" i="15"/>
  <c r="X165" i="12" s="1"/>
  <c r="F192" i="15"/>
  <c r="J160" i="15"/>
  <c r="X164" i="12" s="1"/>
  <c r="F191" i="15"/>
  <c r="J159" i="15"/>
  <c r="X163" i="12" s="1"/>
  <c r="F190" i="15"/>
  <c r="J158" i="15"/>
  <c r="X162" i="12" s="1"/>
  <c r="J157" i="15"/>
  <c r="X161" i="12" s="1"/>
  <c r="F189" i="15"/>
  <c r="J156" i="15"/>
  <c r="X160" i="12" s="1"/>
  <c r="F188" i="15"/>
  <c r="F187" i="15"/>
  <c r="J155" i="15"/>
  <c r="X159" i="12" s="1"/>
  <c r="F186" i="15"/>
  <c r="J154" i="15"/>
  <c r="X158" i="12" s="1"/>
  <c r="F185" i="15"/>
  <c r="J153" i="15"/>
  <c r="X157" i="12" s="1"/>
  <c r="J152" i="15"/>
  <c r="X156" i="12" s="1"/>
  <c r="F184" i="15"/>
  <c r="J151" i="15"/>
  <c r="X155" i="12" s="1"/>
  <c r="F183" i="15"/>
  <c r="K141" i="15"/>
  <c r="Y145" i="12" s="1"/>
  <c r="G173" i="15"/>
  <c r="K150" i="15"/>
  <c r="Y154" i="12" s="1"/>
  <c r="G182" i="15"/>
  <c r="J150" i="15"/>
  <c r="X154" i="12" s="1"/>
  <c r="F182" i="15"/>
  <c r="G181" i="15"/>
  <c r="K149" i="15"/>
  <c r="Y153" i="12" s="1"/>
  <c r="J148" i="15"/>
  <c r="X152" i="12" s="1"/>
  <c r="F180" i="15"/>
  <c r="J147" i="15"/>
  <c r="X151" i="12" s="1"/>
  <c r="F179" i="15"/>
  <c r="G178" i="15"/>
  <c r="K146" i="15"/>
  <c r="Y150" i="12" s="1"/>
  <c r="J145" i="15"/>
  <c r="X149" i="12" s="1"/>
  <c r="F177" i="15"/>
  <c r="J142" i="15"/>
  <c r="X146" i="12" s="1"/>
  <c r="F174" i="15"/>
  <c r="K48" i="15"/>
  <c r="Y52" i="12" s="1"/>
  <c r="G51" i="15"/>
  <c r="G80" i="15"/>
  <c r="K79" i="15"/>
  <c r="Y83" i="12" s="1"/>
  <c r="G111" i="15"/>
  <c r="L6" i="21"/>
  <c r="C21" i="31"/>
  <c r="D77" i="2"/>
  <c r="D78" i="2" s="1"/>
  <c r="D76" i="2"/>
  <c r="AF62" i="2"/>
  <c r="AF65" i="2"/>
  <c r="AH67" i="2"/>
  <c r="V63" i="2"/>
  <c r="V90" i="2" s="1"/>
  <c r="V64" i="2"/>
  <c r="V66" i="2"/>
  <c r="V67" i="2"/>
  <c r="X68" i="2"/>
  <c r="X76" i="2" s="1"/>
  <c r="X69" i="2"/>
  <c r="X77" i="2" s="1"/>
  <c r="X78" i="2" s="1"/>
  <c r="L84" i="2"/>
  <c r="L91" i="2"/>
  <c r="L68" i="2"/>
  <c r="L70" i="2" s="1"/>
  <c r="L92" i="2" s="1"/>
  <c r="L205" i="1" s="1"/>
  <c r="L69" i="2"/>
  <c r="BJ11" i="2"/>
  <c r="BB16" i="2"/>
  <c r="AZ27" i="2"/>
  <c r="L36" i="2"/>
  <c r="L20" i="2"/>
  <c r="L21" i="2"/>
  <c r="L22" i="2" s="1"/>
  <c r="AR8" i="2"/>
  <c r="AF17" i="2"/>
  <c r="AH19" i="2"/>
  <c r="AF14" i="2"/>
  <c r="V15" i="2"/>
  <c r="V16" i="2"/>
  <c r="V18" i="2"/>
  <c r="V19" i="2"/>
  <c r="X20" i="2"/>
  <c r="X21" i="2"/>
  <c r="M12" i="12"/>
  <c r="M13" i="12" s="1"/>
  <c r="X11" i="12"/>
  <c r="X12" i="12" s="1"/>
  <c r="M14" i="12"/>
  <c r="X13" i="12"/>
  <c r="X14" i="12" s="1"/>
  <c r="B13" i="14"/>
  <c r="B11" i="12"/>
  <c r="H1197" i="1"/>
  <c r="H1198" i="1" s="1"/>
  <c r="H1199" i="1" s="1"/>
  <c r="H1210" i="1"/>
  <c r="H1211" i="1" s="1"/>
  <c r="H1214" i="1" s="1"/>
  <c r="H172" i="1"/>
  <c r="C32" i="22"/>
  <c r="C36" i="22"/>
  <c r="D520" i="27"/>
  <c r="E520" i="27"/>
  <c r="J303" i="1"/>
  <c r="K302" i="1"/>
  <c r="K1255" i="1"/>
  <c r="L1254" i="1"/>
  <c r="J5" i="30"/>
  <c r="J6" i="30" s="1"/>
  <c r="K291" i="1"/>
  <c r="J292" i="1"/>
  <c r="M34" i="20"/>
  <c r="H34" i="20"/>
  <c r="M48" i="20"/>
  <c r="H48" i="20"/>
  <c r="M25" i="20"/>
  <c r="H25" i="20"/>
  <c r="M11" i="20"/>
  <c r="H11" i="20"/>
  <c r="K280" i="1"/>
  <c r="H4" i="25"/>
  <c r="G20" i="25" s="1"/>
  <c r="G22" i="25" s="1"/>
  <c r="L552" i="1"/>
  <c r="K553" i="1"/>
  <c r="L541" i="1"/>
  <c r="K542" i="1"/>
  <c r="I8" i="16"/>
  <c r="M10" i="16" s="1"/>
  <c r="I7" i="16"/>
  <c r="M11" i="16" s="1"/>
  <c r="M9" i="16"/>
  <c r="D300" i="28"/>
  <c r="D174" i="28"/>
  <c r="C20" i="31"/>
  <c r="H1124" i="1"/>
  <c r="H1146" i="1" s="1"/>
  <c r="L4" i="21"/>
  <c r="F11" i="16"/>
  <c r="F10" i="16"/>
  <c r="B90" i="2"/>
  <c r="B92" i="2"/>
  <c r="L204" i="1" s="1"/>
  <c r="D164" i="28"/>
  <c r="D251" i="28"/>
  <c r="D230" i="28"/>
  <c r="D236" i="28"/>
  <c r="F15" i="13" l="1"/>
  <c r="F17" i="13"/>
  <c r="F16" i="13"/>
  <c r="J204" i="15"/>
  <c r="X208" i="12" s="1"/>
  <c r="F236" i="15"/>
  <c r="J236" i="15" s="1"/>
  <c r="X240" i="12" s="1"/>
  <c r="J203" i="15"/>
  <c r="X207" i="12" s="1"/>
  <c r="F235" i="15"/>
  <c r="J235" i="15" s="1"/>
  <c r="X239" i="12" s="1"/>
  <c r="J202" i="15"/>
  <c r="X206" i="12" s="1"/>
  <c r="F234" i="15"/>
  <c r="J234" i="15" s="1"/>
  <c r="X238" i="12" s="1"/>
  <c r="J201" i="15"/>
  <c r="X205" i="12" s="1"/>
  <c r="F233" i="15"/>
  <c r="J233" i="15" s="1"/>
  <c r="X237" i="12" s="1"/>
  <c r="F232" i="15"/>
  <c r="J232" i="15" s="1"/>
  <c r="X236" i="12" s="1"/>
  <c r="J200" i="15"/>
  <c r="X204" i="12" s="1"/>
  <c r="J199" i="15"/>
  <c r="X203" i="12" s="1"/>
  <c r="F231" i="15"/>
  <c r="J231" i="15" s="1"/>
  <c r="X235" i="12" s="1"/>
  <c r="J198" i="15"/>
  <c r="X202" i="12" s="1"/>
  <c r="F230" i="15"/>
  <c r="J230" i="15" s="1"/>
  <c r="X234" i="12" s="1"/>
  <c r="J197" i="15"/>
  <c r="X201" i="12" s="1"/>
  <c r="F229" i="15"/>
  <c r="J229" i="15" s="1"/>
  <c r="X233" i="12" s="1"/>
  <c r="J196" i="15"/>
  <c r="X200" i="12" s="1"/>
  <c r="F228" i="15"/>
  <c r="J228" i="15" s="1"/>
  <c r="X232" i="12" s="1"/>
  <c r="J195" i="15"/>
  <c r="X199" i="12" s="1"/>
  <c r="F227" i="15"/>
  <c r="J227" i="15" s="1"/>
  <c r="X231" i="12" s="1"/>
  <c r="F226" i="15"/>
  <c r="J226" i="15" s="1"/>
  <c r="X230" i="12" s="1"/>
  <c r="J194" i="15"/>
  <c r="X198" i="12" s="1"/>
  <c r="J193" i="15"/>
  <c r="X197" i="12" s="1"/>
  <c r="F225" i="15"/>
  <c r="J225" i="15" s="1"/>
  <c r="X229" i="12" s="1"/>
  <c r="J192" i="15"/>
  <c r="X196" i="12" s="1"/>
  <c r="F224" i="15"/>
  <c r="J224" i="15" s="1"/>
  <c r="X228" i="12" s="1"/>
  <c r="J191" i="15"/>
  <c r="X195" i="12" s="1"/>
  <c r="F223" i="15"/>
  <c r="J223" i="15" s="1"/>
  <c r="X227" i="12" s="1"/>
  <c r="F222" i="15"/>
  <c r="J222" i="15" s="1"/>
  <c r="X226" i="12" s="1"/>
  <c r="J190" i="15"/>
  <c r="X194" i="12" s="1"/>
  <c r="F221" i="15"/>
  <c r="J221" i="15" s="1"/>
  <c r="X225" i="12" s="1"/>
  <c r="J189" i="15"/>
  <c r="X193" i="12" s="1"/>
  <c r="F220" i="15"/>
  <c r="J220" i="15" s="1"/>
  <c r="X224" i="12" s="1"/>
  <c r="J188" i="15"/>
  <c r="X192" i="12" s="1"/>
  <c r="J187" i="15"/>
  <c r="X191" i="12" s="1"/>
  <c r="F219" i="15"/>
  <c r="J219" i="15" s="1"/>
  <c r="X223" i="12" s="1"/>
  <c r="F218" i="15"/>
  <c r="J218" i="15" s="1"/>
  <c r="X222" i="12" s="1"/>
  <c r="J186" i="15"/>
  <c r="X190" i="12" s="1"/>
  <c r="F217" i="15"/>
  <c r="J217" i="15" s="1"/>
  <c r="X221" i="12" s="1"/>
  <c r="J185" i="15"/>
  <c r="X189" i="12" s="1"/>
  <c r="J184" i="15"/>
  <c r="X188" i="12" s="1"/>
  <c r="F216" i="15"/>
  <c r="J216" i="15" s="1"/>
  <c r="X220" i="12" s="1"/>
  <c r="F215" i="15"/>
  <c r="J215" i="15" s="1"/>
  <c r="X219" i="12" s="1"/>
  <c r="J183" i="15"/>
  <c r="X187" i="12" s="1"/>
  <c r="K173" i="15"/>
  <c r="Y177" i="12" s="1"/>
  <c r="G205" i="15"/>
  <c r="K182" i="15"/>
  <c r="Y186" i="12" s="1"/>
  <c r="G214" i="15"/>
  <c r="K214" i="15" s="1"/>
  <c r="Y218" i="12" s="1"/>
  <c r="F214" i="15"/>
  <c r="J214" i="15" s="1"/>
  <c r="X218" i="12" s="1"/>
  <c r="J182" i="15"/>
  <c r="X186" i="12" s="1"/>
  <c r="K181" i="15"/>
  <c r="Y185" i="12" s="1"/>
  <c r="G213" i="15"/>
  <c r="K213" i="15" s="1"/>
  <c r="Y217" i="12" s="1"/>
  <c r="J180" i="15"/>
  <c r="X184" i="12" s="1"/>
  <c r="F212" i="15"/>
  <c r="J212" i="15" s="1"/>
  <c r="X216" i="12" s="1"/>
  <c r="F211" i="15"/>
  <c r="J211" i="15" s="1"/>
  <c r="X215" i="12" s="1"/>
  <c r="J179" i="15"/>
  <c r="X183" i="12" s="1"/>
  <c r="G210" i="15"/>
  <c r="K210" i="15" s="1"/>
  <c r="Y214" i="12" s="1"/>
  <c r="K178" i="15"/>
  <c r="Y182" i="12" s="1"/>
  <c r="J177" i="15"/>
  <c r="X181" i="12" s="1"/>
  <c r="F209" i="15"/>
  <c r="J209" i="15" s="1"/>
  <c r="X213" i="12" s="1"/>
  <c r="F206" i="15"/>
  <c r="J206" i="15" s="1"/>
  <c r="X210" i="12" s="1"/>
  <c r="J174" i="15"/>
  <c r="X178" i="12" s="1"/>
  <c r="K51" i="15"/>
  <c r="Y55" i="12" s="1"/>
  <c r="G52" i="15"/>
  <c r="G83" i="15"/>
  <c r="K80" i="15"/>
  <c r="Y84" i="12" s="1"/>
  <c r="G112" i="15"/>
  <c r="K111" i="15"/>
  <c r="Y115" i="12" s="1"/>
  <c r="G143" i="15"/>
  <c r="C24" i="31"/>
  <c r="C25" i="31"/>
  <c r="AF63" i="2"/>
  <c r="AF90" i="2" s="1"/>
  <c r="AF64" i="2"/>
  <c r="AF66" i="2"/>
  <c r="AF67" i="2"/>
  <c r="AH68" i="2"/>
  <c r="AH76" i="2" s="1"/>
  <c r="AH69" i="2"/>
  <c r="AH77" i="2" s="1"/>
  <c r="V84" i="2"/>
  <c r="V91" i="2"/>
  <c r="V68" i="2"/>
  <c r="V70" i="2" s="1"/>
  <c r="V92" i="2" s="1"/>
  <c r="L206" i="1" s="1"/>
  <c r="V69" i="2"/>
  <c r="BL16" i="2"/>
  <c r="BJ27" i="2"/>
  <c r="AP14" i="2"/>
  <c r="AP17" i="2"/>
  <c r="AR19" i="2"/>
  <c r="BB8" i="2"/>
  <c r="AF19" i="2"/>
  <c r="AH20" i="2"/>
  <c r="AH21" i="2"/>
  <c r="AF15" i="2"/>
  <c r="AF18" i="2" s="1"/>
  <c r="AF16" i="2"/>
  <c r="V36" i="2"/>
  <c r="V20" i="2"/>
  <c r="V21" i="2"/>
  <c r="V22" i="2" s="1"/>
  <c r="AE100" i="1"/>
  <c r="B13" i="17"/>
  <c r="B13" i="18"/>
  <c r="B12" i="12"/>
  <c r="B14" i="14"/>
  <c r="H175" i="1"/>
  <c r="L302" i="1"/>
  <c r="K303" i="1"/>
  <c r="L1255" i="1"/>
  <c r="M1254" i="1"/>
  <c r="K5" i="30"/>
  <c r="K6" i="30" s="1"/>
  <c r="L291" i="1"/>
  <c r="K292" i="1"/>
  <c r="M35" i="20"/>
  <c r="H35" i="20"/>
  <c r="M47" i="20"/>
  <c r="H47" i="20"/>
  <c r="M24" i="20"/>
  <c r="H24" i="20"/>
  <c r="M12" i="20"/>
  <c r="H12" i="20"/>
  <c r="L280" i="1"/>
  <c r="G25" i="25"/>
  <c r="G31" i="25"/>
  <c r="G37" i="25" s="1"/>
  <c r="M552" i="1"/>
  <c r="L553" i="1"/>
  <c r="M541" i="1"/>
  <c r="L542" i="1"/>
  <c r="H1051" i="1"/>
  <c r="C22" i="31"/>
  <c r="L5" i="21"/>
  <c r="L9" i="21"/>
  <c r="H36" i="1" s="1"/>
  <c r="L13" i="21"/>
  <c r="I9" i="16"/>
  <c r="I10" i="16"/>
  <c r="D258" i="28"/>
  <c r="F520" i="27"/>
  <c r="G520" i="27" s="1"/>
  <c r="F5" i="16"/>
  <c r="T6" i="16"/>
  <c r="T5" i="16"/>
  <c r="C26" i="31" l="1"/>
  <c r="I14" i="13" a="1"/>
  <c r="I14" i="13" s="1"/>
  <c r="F18" i="13"/>
  <c r="I15" i="13" a="1"/>
  <c r="I15" i="13" s="1"/>
  <c r="I17" i="13" a="1"/>
  <c r="I17" i="13" s="1"/>
  <c r="I16" i="13" a="1"/>
  <c r="I16" i="13" s="1"/>
  <c r="K205" i="15"/>
  <c r="Y209" i="12" s="1"/>
  <c r="G237" i="15"/>
  <c r="K237" i="15" s="1"/>
  <c r="Y241" i="12" s="1"/>
  <c r="K52" i="15"/>
  <c r="Y56" i="12" s="1"/>
  <c r="G84" i="15"/>
  <c r="K83" i="15"/>
  <c r="Y87" i="12" s="1"/>
  <c r="G115" i="15"/>
  <c r="K112" i="15"/>
  <c r="Y116" i="12" s="1"/>
  <c r="G144" i="15"/>
  <c r="K143" i="15"/>
  <c r="Y147" i="12" s="1"/>
  <c r="G175" i="15"/>
  <c r="H1044" i="1"/>
  <c r="AF84" i="2"/>
  <c r="AF91" i="2"/>
  <c r="AF68" i="2"/>
  <c r="AF70" i="2" s="1"/>
  <c r="AF92" i="2" s="1"/>
  <c r="AF69" i="2"/>
  <c r="AP15" i="2"/>
  <c r="AP16" i="2"/>
  <c r="AP18" i="2"/>
  <c r="AP19" i="2"/>
  <c r="AR20" i="2"/>
  <c r="AR21" i="2"/>
  <c r="BL8" i="2"/>
  <c r="AZ14" i="2"/>
  <c r="AZ17" i="2"/>
  <c r="BB19" i="2"/>
  <c r="AF20" i="2"/>
  <c r="AF21" i="2"/>
  <c r="AF22" i="2" s="1"/>
  <c r="AF36" i="2"/>
  <c r="B13" i="12"/>
  <c r="B16" i="14" s="1"/>
  <c r="B15" i="14"/>
  <c r="AE101" i="1"/>
  <c r="B14" i="17"/>
  <c r="B14" i="18"/>
  <c r="C34" i="22"/>
  <c r="M302" i="1"/>
  <c r="L303" i="1"/>
  <c r="M1255" i="1"/>
  <c r="N1254" i="1"/>
  <c r="L5" i="30"/>
  <c r="L6" i="30" s="1"/>
  <c r="L292" i="1"/>
  <c r="M291" i="1"/>
  <c r="H36" i="20"/>
  <c r="M46" i="20"/>
  <c r="H46" i="20"/>
  <c r="M36" i="20"/>
  <c r="M23" i="20"/>
  <c r="H23" i="20"/>
  <c r="M13" i="20"/>
  <c r="H13" i="20"/>
  <c r="M280" i="1"/>
  <c r="P34" i="25"/>
  <c r="J28" i="25" s="1"/>
  <c r="G28" i="25"/>
  <c r="H1226" i="1"/>
  <c r="J37" i="25"/>
  <c r="K37" i="25" s="1"/>
  <c r="H1225" i="1" s="1"/>
  <c r="N552" i="1"/>
  <c r="M553" i="1"/>
  <c r="N541" i="1"/>
  <c r="M542" i="1"/>
  <c r="C52" i="23"/>
  <c r="L219" i="1"/>
  <c r="C49" i="22" s="1"/>
  <c r="M158" i="1"/>
  <c r="I73" i="1"/>
  <c r="C8" i="27"/>
  <c r="C10" i="27" s="1"/>
  <c r="V15" i="27"/>
  <c r="V18" i="27" s="1"/>
  <c r="C16" i="27" s="1"/>
  <c r="C17" i="27" s="1"/>
  <c r="H1104" i="1"/>
  <c r="C27" i="22"/>
  <c r="M6" i="32"/>
  <c r="M7" i="32"/>
  <c r="M8" i="32"/>
  <c r="M9" i="32"/>
  <c r="M10" i="32"/>
  <c r="M11" i="32"/>
  <c r="M12" i="32"/>
  <c r="H24" i="1"/>
  <c r="L12" i="21"/>
  <c r="H25" i="1" s="1"/>
  <c r="H169" i="1" s="1"/>
  <c r="L18" i="21"/>
  <c r="L17" i="21" s="1"/>
  <c r="L14" i="21" s="1"/>
  <c r="E521" i="27"/>
  <c r="D521" i="27"/>
  <c r="F521" i="27" s="1"/>
  <c r="G521" i="27" s="1"/>
  <c r="F14" i="16"/>
  <c r="S12" i="16"/>
  <c r="S13" i="16"/>
  <c r="T10" i="16"/>
  <c r="T9" i="16"/>
  <c r="L15" i="21"/>
  <c r="AH78" i="2"/>
  <c r="Q5" i="14" a="1"/>
  <c r="W5" i="14"/>
  <c r="S9" i="14"/>
  <c r="Q6" i="14" a="1"/>
  <c r="Q6" i="14" s="1"/>
  <c r="T12" i="14"/>
  <c r="I6" i="14"/>
  <c r="I5" i="14"/>
  <c r="W4" i="14"/>
  <c r="T13" i="14"/>
  <c r="S10" i="14"/>
  <c r="Q7" i="14" a="1"/>
  <c r="Q7" i="14" s="1"/>
  <c r="F6" i="14" a="1"/>
  <c r="F6" i="14" s="1"/>
  <c r="H1045" i="1" l="1"/>
  <c r="C27" i="31"/>
  <c r="H1042" i="1" s="1"/>
  <c r="K84" i="15"/>
  <c r="Y88" i="12" s="1"/>
  <c r="G116" i="15"/>
  <c r="K115" i="15"/>
  <c r="Y119" i="12" s="1"/>
  <c r="G147" i="15"/>
  <c r="K144" i="15"/>
  <c r="Y148" i="12" s="1"/>
  <c r="G176" i="15"/>
  <c r="K175" i="15"/>
  <c r="Y179" i="12" s="1"/>
  <c r="G207" i="15"/>
  <c r="K207" i="15" s="1"/>
  <c r="Y211" i="12" s="1"/>
  <c r="L208" i="1"/>
  <c r="L207" i="1"/>
  <c r="AP36" i="2"/>
  <c r="AP20" i="2"/>
  <c r="AP21" i="2"/>
  <c r="AP22" i="2" s="1"/>
  <c r="BJ14" i="2"/>
  <c r="BJ17" i="2"/>
  <c r="BL19" i="2"/>
  <c r="AZ15" i="2"/>
  <c r="AZ16" i="2"/>
  <c r="AZ18" i="2"/>
  <c r="AZ19" i="2"/>
  <c r="BB20" i="2"/>
  <c r="BB21" i="2"/>
  <c r="AE103" i="1"/>
  <c r="B16" i="17"/>
  <c r="B16" i="18"/>
  <c r="AE102" i="1"/>
  <c r="B15" i="17"/>
  <c r="B15" i="18"/>
  <c r="M303" i="1"/>
  <c r="N302" i="1"/>
  <c r="G1257" i="1"/>
  <c r="N1255" i="1"/>
  <c r="M5" i="30"/>
  <c r="M6" i="30" s="1"/>
  <c r="M292" i="1"/>
  <c r="N291" i="1"/>
  <c r="M37" i="20"/>
  <c r="H37" i="20"/>
  <c r="M45" i="20"/>
  <c r="H45" i="20"/>
  <c r="M22" i="20"/>
  <c r="H22" i="20"/>
  <c r="M14" i="20"/>
  <c r="H14" i="20"/>
  <c r="N280" i="1"/>
  <c r="N281" i="1" s="1"/>
  <c r="G555" i="1"/>
  <c r="N553" i="1"/>
  <c r="G544" i="1"/>
  <c r="N542" i="1"/>
  <c r="BA208" i="1"/>
  <c r="BB208" i="1"/>
  <c r="BC208" i="1"/>
  <c r="BD208" i="1"/>
  <c r="L7" i="2"/>
  <c r="L29" i="2" s="1"/>
  <c r="AP7" i="2"/>
  <c r="AP29" i="2" s="1"/>
  <c r="AZ7" i="2"/>
  <c r="AZ29" i="2" s="1"/>
  <c r="BJ7" i="2"/>
  <c r="BJ29" i="2" s="1"/>
  <c r="B7" i="2"/>
  <c r="B29" i="2" s="1"/>
  <c r="V7" i="2"/>
  <c r="V29" i="2" s="1"/>
  <c r="AF7" i="2"/>
  <c r="AF29" i="2" s="1"/>
  <c r="G281" i="1"/>
  <c r="H281" i="1"/>
  <c r="I281" i="1"/>
  <c r="J281" i="1"/>
  <c r="K281" i="1"/>
  <c r="L281" i="1"/>
  <c r="M281" i="1"/>
  <c r="G531" i="1"/>
  <c r="H531" i="1"/>
  <c r="I531" i="1"/>
  <c r="J531" i="1"/>
  <c r="K531" i="1"/>
  <c r="L531" i="1"/>
  <c r="M531" i="1"/>
  <c r="N531" i="1"/>
  <c r="G534" i="1"/>
  <c r="H534" i="1"/>
  <c r="I534" i="1"/>
  <c r="J534" i="1"/>
  <c r="K534" i="1"/>
  <c r="L534" i="1"/>
  <c r="M534" i="1"/>
  <c r="N534" i="1"/>
  <c r="G537" i="1"/>
  <c r="H537" i="1"/>
  <c r="I537" i="1"/>
  <c r="J537" i="1"/>
  <c r="K537" i="1"/>
  <c r="I741" i="1"/>
  <c r="K741" i="1"/>
  <c r="C62" i="31"/>
  <c r="C63" i="31"/>
  <c r="C68" i="31" s="1"/>
  <c r="J741" i="1"/>
  <c r="N741" i="1"/>
  <c r="I744" i="1"/>
  <c r="K744" i="1"/>
  <c r="N744" i="1"/>
  <c r="H747" i="1"/>
  <c r="H744" i="1"/>
  <c r="G741" i="1"/>
  <c r="G744" i="1"/>
  <c r="L744" i="1"/>
  <c r="G747" i="1"/>
  <c r="J747" i="1"/>
  <c r="D3" i="28"/>
  <c r="G9" i="30"/>
  <c r="M741" i="1"/>
  <c r="M744" i="1"/>
  <c r="G10" i="30"/>
  <c r="I747" i="1"/>
  <c r="H1119" i="1"/>
  <c r="H1160" i="1"/>
  <c r="L741" i="1"/>
  <c r="J744" i="1"/>
  <c r="H741" i="1"/>
  <c r="K747" i="1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I79" i="1"/>
  <c r="J81" i="1"/>
  <c r="H167" i="1"/>
  <c r="C14" i="23"/>
  <c r="C26" i="22"/>
  <c r="H39" i="1"/>
  <c r="D522" i="27"/>
  <c r="F522" i="27" s="1"/>
  <c r="G522" i="27" s="1"/>
  <c r="E522" i="27"/>
  <c r="F17" i="16"/>
  <c r="F16" i="16"/>
  <c r="F15" i="16"/>
  <c r="H37" i="1"/>
  <c r="L20" i="21"/>
  <c r="H40" i="1" s="1"/>
  <c r="H43" i="1" s="1"/>
  <c r="L21" i="21"/>
  <c r="H41" i="1" s="1"/>
  <c r="M5" i="14"/>
  <c r="V9" i="14"/>
  <c r="W9" i="14"/>
  <c r="V10" i="14"/>
  <c r="W10" i="14"/>
  <c r="M6" i="14"/>
  <c r="F8" i="14" a="1"/>
  <c r="F8" i="14" s="1"/>
  <c r="F9" i="14" s="1"/>
  <c r="F7" i="14" a="1"/>
  <c r="F7" i="14" s="1"/>
  <c r="F10" i="14" s="1"/>
  <c r="K116" i="15" l="1"/>
  <c r="Y120" i="12" s="1"/>
  <c r="G148" i="15"/>
  <c r="G179" i="15"/>
  <c r="K147" i="15"/>
  <c r="Y151" i="12" s="1"/>
  <c r="K176" i="15"/>
  <c r="Y180" i="12" s="1"/>
  <c r="G208" i="15"/>
  <c r="K208" i="15" s="1"/>
  <c r="Y212" i="12" s="1"/>
  <c r="BJ15" i="2"/>
  <c r="BJ16" i="2"/>
  <c r="BJ18" i="2"/>
  <c r="BJ19" i="2"/>
  <c r="BL20" i="2"/>
  <c r="BL21" i="2"/>
  <c r="AZ36" i="2"/>
  <c r="AZ20" i="2"/>
  <c r="AZ21" i="2"/>
  <c r="AZ22" i="2" s="1"/>
  <c r="S9" i="17"/>
  <c r="S10" i="17"/>
  <c r="W4" i="17"/>
  <c r="I5" i="17"/>
  <c r="G305" i="1"/>
  <c r="N303" i="1"/>
  <c r="G1258" i="1"/>
  <c r="N5" i="30"/>
  <c r="N6" i="30" s="1"/>
  <c r="G294" i="1"/>
  <c r="N292" i="1"/>
  <c r="H38" i="20"/>
  <c r="M44" i="20"/>
  <c r="H44" i="20"/>
  <c r="M38" i="20"/>
  <c r="M21" i="20"/>
  <c r="H21" i="20"/>
  <c r="M15" i="20"/>
  <c r="H15" i="20"/>
  <c r="G283" i="1"/>
  <c r="H555" i="1"/>
  <c r="G556" i="1"/>
  <c r="G545" i="1"/>
  <c r="H544" i="1"/>
  <c r="BA209" i="1"/>
  <c r="BA210" i="1"/>
  <c r="BA211" i="1"/>
  <c r="BC209" i="1"/>
  <c r="BC210" i="1"/>
  <c r="BC211" i="1"/>
  <c r="BD209" i="1"/>
  <c r="BB209" i="1" s="1"/>
  <c r="BD210" i="1"/>
  <c r="BB210" i="1" s="1"/>
  <c r="BD211" i="1"/>
  <c r="BB211" i="1" s="1"/>
  <c r="N22" i="2"/>
  <c r="N17" i="2"/>
  <c r="N18" i="2" s="1"/>
  <c r="L37" i="2"/>
  <c r="L30" i="2"/>
  <c r="AR22" i="2"/>
  <c r="AR17" i="2"/>
  <c r="AR18" i="2" s="1"/>
  <c r="AP37" i="2"/>
  <c r="AP30" i="2"/>
  <c r="BB22" i="2"/>
  <c r="BB17" i="2"/>
  <c r="BB18" i="2" s="1"/>
  <c r="AZ37" i="2"/>
  <c r="AZ30" i="2"/>
  <c r="BL22" i="2"/>
  <c r="BL17" i="2"/>
  <c r="BL18" i="2" s="1"/>
  <c r="BJ37" i="2"/>
  <c r="BJ30" i="2"/>
  <c r="D22" i="2"/>
  <c r="D17" i="2"/>
  <c r="D18" i="2" s="1"/>
  <c r="B37" i="2"/>
  <c r="B30" i="2"/>
  <c r="X22" i="2"/>
  <c r="X17" i="2"/>
  <c r="X18" i="2" s="1"/>
  <c r="V37" i="2"/>
  <c r="V30" i="2"/>
  <c r="AH22" i="2"/>
  <c r="AH17" i="2"/>
  <c r="AH18" i="2" s="1"/>
  <c r="AF37" i="2"/>
  <c r="AF30" i="2"/>
  <c r="C67" i="31"/>
  <c r="C71" i="31"/>
  <c r="C72" i="31"/>
  <c r="C73" i="31"/>
  <c r="D198" i="28"/>
  <c r="D209" i="28" s="1"/>
  <c r="D194" i="28"/>
  <c r="D35" i="28"/>
  <c r="D304" i="28"/>
  <c r="D172" i="28"/>
  <c r="D10" i="28"/>
  <c r="G17" i="28"/>
  <c r="G21" i="28" s="1"/>
  <c r="D170" i="28"/>
  <c r="C98" i="31"/>
  <c r="H1161" i="1"/>
  <c r="H1162" i="1"/>
  <c r="R7" i="32"/>
  <c r="R8" i="32" s="1"/>
  <c r="R9" i="32" s="1"/>
  <c r="R10" i="32" s="1"/>
  <c r="R11" i="32" s="1"/>
  <c r="R12" i="32" s="1"/>
  <c r="H937" i="1" s="1"/>
  <c r="J87" i="1"/>
  <c r="L81" i="1"/>
  <c r="H258" i="1"/>
  <c r="L258" i="1"/>
  <c r="H273" i="1"/>
  <c r="L273" i="1"/>
  <c r="H507" i="1"/>
  <c r="L507" i="1"/>
  <c r="H518" i="1"/>
  <c r="L518" i="1"/>
  <c r="H929" i="1"/>
  <c r="L852" i="1"/>
  <c r="H176" i="1"/>
  <c r="L217" i="1"/>
  <c r="C47" i="22" s="1"/>
  <c r="H38" i="1"/>
  <c r="H135" i="1" s="1"/>
  <c r="C25" i="22"/>
  <c r="C17" i="23"/>
  <c r="C51" i="23"/>
  <c r="D523" i="27"/>
  <c r="E523" i="27"/>
  <c r="I17" i="16" a="1"/>
  <c r="I17" i="16" s="1"/>
  <c r="I16" i="16" a="1"/>
  <c r="I16" i="16" s="1"/>
  <c r="I14" i="16" a="1"/>
  <c r="I14" i="16" s="1"/>
  <c r="F18" i="16"/>
  <c r="I15" i="16" a="1"/>
  <c r="I15" i="16" s="1"/>
  <c r="L951" i="1"/>
  <c r="L952" i="1" s="1"/>
  <c r="L953" i="1" s="1"/>
  <c r="I962" i="1"/>
  <c r="I963" i="1" s="1"/>
  <c r="I964" i="1" s="1"/>
  <c r="C9" i="27"/>
  <c r="C24" i="27" s="1"/>
  <c r="C28" i="22"/>
  <c r="H42" i="1"/>
  <c r="H44" i="1" s="1"/>
  <c r="N6" i="32"/>
  <c r="O6" i="32"/>
  <c r="N7" i="32"/>
  <c r="O7" i="32"/>
  <c r="N8" i="32"/>
  <c r="O8" i="32"/>
  <c r="N9" i="32"/>
  <c r="O9" i="32"/>
  <c r="N10" i="32"/>
  <c r="N11" i="32"/>
  <c r="N12" i="32"/>
  <c r="I8" i="14"/>
  <c r="M10" i="14" s="1"/>
  <c r="I7" i="14"/>
  <c r="M11" i="14" s="1"/>
  <c r="M9" i="14"/>
  <c r="I9" i="14"/>
  <c r="I10" i="14"/>
  <c r="L25" i="21"/>
  <c r="C18" i="27"/>
  <c r="C20" i="27" s="1"/>
  <c r="M7" i="14"/>
  <c r="M15" i="14"/>
  <c r="M14" i="14"/>
  <c r="I11" i="14"/>
  <c r="I12" i="14" s="1"/>
  <c r="F11" i="14"/>
  <c r="S10" i="18"/>
  <c r="I5" i="18"/>
  <c r="W4" i="18"/>
  <c r="S9" i="18"/>
  <c r="L218" i="1"/>
  <c r="C48" i="22" s="1"/>
  <c r="I951" i="1"/>
  <c r="I952" i="1" s="1"/>
  <c r="I953" i="1" s="1"/>
  <c r="K148" i="15" l="1"/>
  <c r="Y152" i="12" s="1"/>
  <c r="G180" i="15"/>
  <c r="K179" i="15"/>
  <c r="Y183" i="12" s="1"/>
  <c r="G211" i="15"/>
  <c r="K211" i="15" s="1"/>
  <c r="Y215" i="12" s="1"/>
  <c r="BJ36" i="2"/>
  <c r="BJ20" i="2"/>
  <c r="BJ21" i="2"/>
  <c r="BJ22" i="2" s="1"/>
  <c r="H305" i="1"/>
  <c r="G306" i="1"/>
  <c r="H1235" i="1"/>
  <c r="H4" i="26"/>
  <c r="G20" i="26" s="1"/>
  <c r="G22" i="26" s="1"/>
  <c r="H294" i="1"/>
  <c r="G295" i="1"/>
  <c r="G284" i="1"/>
  <c r="M43" i="20"/>
  <c r="H43" i="20"/>
  <c r="M39" i="20"/>
  <c r="H39" i="20"/>
  <c r="M20" i="20"/>
  <c r="H20" i="20"/>
  <c r="M16" i="20"/>
  <c r="H16" i="20"/>
  <c r="H283" i="1"/>
  <c r="I555" i="1"/>
  <c r="H556" i="1"/>
  <c r="H545" i="1"/>
  <c r="I544" i="1"/>
  <c r="N24" i="2"/>
  <c r="N25" i="2"/>
  <c r="N26" i="2"/>
  <c r="N27" i="2"/>
  <c r="L38" i="2"/>
  <c r="L39" i="2"/>
  <c r="L40" i="2"/>
  <c r="L41" i="2"/>
  <c r="L31" i="2"/>
  <c r="L32" i="2"/>
  <c r="L33" i="2" s="1"/>
  <c r="AR24" i="2"/>
  <c r="AR25" i="2"/>
  <c r="AR26" i="2"/>
  <c r="AR27" i="2"/>
  <c r="AP38" i="2"/>
  <c r="AP39" i="2"/>
  <c r="AP40" i="2"/>
  <c r="AP41" i="2"/>
  <c r="AP32" i="2"/>
  <c r="AP33" i="2" s="1"/>
  <c r="AP31" i="2"/>
  <c r="BB24" i="2"/>
  <c r="BB25" i="2"/>
  <c r="BB26" i="2"/>
  <c r="BB27" i="2"/>
  <c r="AZ38" i="2"/>
  <c r="AZ39" i="2"/>
  <c r="AZ40" i="2"/>
  <c r="AZ41" i="2"/>
  <c r="AZ32" i="2"/>
  <c r="AZ33" i="2" s="1"/>
  <c r="AZ31" i="2"/>
  <c r="BL24" i="2"/>
  <c r="BL25" i="2"/>
  <c r="BL26" i="2"/>
  <c r="BL27" i="2"/>
  <c r="BJ38" i="2"/>
  <c r="BJ39" i="2"/>
  <c r="BJ40" i="2"/>
  <c r="BJ41" i="2"/>
  <c r="BJ32" i="2"/>
  <c r="BJ33" i="2" s="1"/>
  <c r="BJ31" i="2"/>
  <c r="D24" i="2"/>
  <c r="D25" i="2"/>
  <c r="D26" i="2"/>
  <c r="D27" i="2"/>
  <c r="B38" i="2"/>
  <c r="B39" i="2"/>
  <c r="B40" i="2"/>
  <c r="B41" i="2"/>
  <c r="B31" i="2"/>
  <c r="B32" i="2"/>
  <c r="B33" i="2" s="1"/>
  <c r="X24" i="2"/>
  <c r="X25" i="2"/>
  <c r="X26" i="2"/>
  <c r="X27" i="2"/>
  <c r="V38" i="2"/>
  <c r="V39" i="2"/>
  <c r="V40" i="2"/>
  <c r="V41" i="2"/>
  <c r="V31" i="2"/>
  <c r="V32" i="2"/>
  <c r="V33" i="2" s="1"/>
  <c r="AH24" i="2"/>
  <c r="AH25" i="2"/>
  <c r="AH26" i="2"/>
  <c r="AH27" i="2"/>
  <c r="AF38" i="2"/>
  <c r="AF39" i="2"/>
  <c r="AF40" i="2"/>
  <c r="AF41" i="2"/>
  <c r="AF32" i="2"/>
  <c r="AF33" i="2" s="1"/>
  <c r="AF31" i="2"/>
  <c r="C132" i="31"/>
  <c r="C88" i="31"/>
  <c r="C103" i="31"/>
  <c r="H1062" i="1"/>
  <c r="K1073" i="1"/>
  <c r="H1138" i="1"/>
  <c r="C95" i="31"/>
  <c r="E236" i="28"/>
  <c r="E230" i="28"/>
  <c r="E258" i="28"/>
  <c r="E251" i="28"/>
  <c r="E293" i="28"/>
  <c r="E164" i="28"/>
  <c r="E134" i="28"/>
  <c r="E54" i="28"/>
  <c r="E59" i="28"/>
  <c r="E104" i="28"/>
  <c r="D47" i="28"/>
  <c r="D309" i="28"/>
  <c r="D262" i="28"/>
  <c r="D265" i="28" s="1"/>
  <c r="D232" i="28"/>
  <c r="G22" i="28"/>
  <c r="D238" i="28"/>
  <c r="C127" i="31"/>
  <c r="L853" i="1"/>
  <c r="H179" i="1"/>
  <c r="H188" i="1" s="1"/>
  <c r="I194" i="1" s="1"/>
  <c r="H180" i="1"/>
  <c r="H189" i="1" s="1"/>
  <c r="I195" i="1" s="1"/>
  <c r="C35" i="22"/>
  <c r="G137" i="1"/>
  <c r="C18" i="23"/>
  <c r="C20" i="23" s="1"/>
  <c r="C22" i="23" s="1"/>
  <c r="C19" i="23"/>
  <c r="C21" i="23" s="1"/>
  <c r="C23" i="23" s="1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C26" i="27"/>
  <c r="C23" i="27" s="1"/>
  <c r="C25" i="27"/>
  <c r="H1293" i="1" s="1"/>
  <c r="C28" i="31"/>
  <c r="L26" i="21"/>
  <c r="C19" i="27"/>
  <c r="C30" i="27" s="1"/>
  <c r="L30" i="21"/>
  <c r="I36" i="1" s="1"/>
  <c r="M162" i="1" s="1"/>
  <c r="M8" i="14"/>
  <c r="L28" i="21" s="1"/>
  <c r="L27" i="21"/>
  <c r="M14" i="18"/>
  <c r="M15" i="18" s="1"/>
  <c r="M14" i="17"/>
  <c r="M15" i="17" s="1"/>
  <c r="D173" i="28"/>
  <c r="D180" i="28" s="1"/>
  <c r="D182" i="28" s="1"/>
  <c r="H1167" i="1"/>
  <c r="F523" i="27"/>
  <c r="G523" i="27" s="1"/>
  <c r="F5" i="14"/>
  <c r="T10" i="14" s="1"/>
  <c r="T6" i="14"/>
  <c r="T5" i="14"/>
  <c r="L34" i="21" l="1"/>
  <c r="I24" i="1" s="1"/>
  <c r="BJ43" i="2"/>
  <c r="K180" i="15"/>
  <c r="Y184" i="12" s="1"/>
  <c r="G212" i="15"/>
  <c r="K212" i="15" s="1"/>
  <c r="Y216" i="12" s="1"/>
  <c r="H306" i="1"/>
  <c r="I305" i="1"/>
  <c r="G25" i="26"/>
  <c r="G31" i="26"/>
  <c r="G37" i="26" s="1"/>
  <c r="I294" i="1"/>
  <c r="H295" i="1"/>
  <c r="H284" i="1"/>
  <c r="H40" i="20"/>
  <c r="M42" i="20"/>
  <c r="H42" i="20"/>
  <c r="M40" i="20"/>
  <c r="M19" i="20"/>
  <c r="H19" i="20"/>
  <c r="M17" i="20"/>
  <c r="H17" i="20"/>
  <c r="I283" i="1"/>
  <c r="J555" i="1"/>
  <c r="I556" i="1"/>
  <c r="J544" i="1"/>
  <c r="I545" i="1"/>
  <c r="N29" i="2"/>
  <c r="N28" i="2"/>
  <c r="L43" i="2"/>
  <c r="L42" i="2"/>
  <c r="AR29" i="2"/>
  <c r="AR28" i="2"/>
  <c r="AP43" i="2"/>
  <c r="AP42" i="2"/>
  <c r="BB28" i="2"/>
  <c r="BB29" i="2"/>
  <c r="AZ43" i="2"/>
  <c r="AZ42" i="2"/>
  <c r="BL29" i="2"/>
  <c r="BL28" i="2"/>
  <c r="D29" i="2"/>
  <c r="D28" i="2"/>
  <c r="B43" i="2"/>
  <c r="B42" i="2"/>
  <c r="X28" i="2"/>
  <c r="X29" i="2"/>
  <c r="V43" i="2"/>
  <c r="V42" i="2"/>
  <c r="AH29" i="2"/>
  <c r="AH28" i="2"/>
  <c r="AF43" i="2"/>
  <c r="AF42" i="2"/>
  <c r="M13" i="1"/>
  <c r="C125" i="31"/>
  <c r="C128" i="31"/>
  <c r="C104" i="31"/>
  <c r="E128" i="31" s="1"/>
  <c r="H1081" i="1"/>
  <c r="H1154" i="1"/>
  <c r="C126" i="31"/>
  <c r="D313" i="28"/>
  <c r="E313" i="28" s="1"/>
  <c r="E309" i="28"/>
  <c r="D269" i="28"/>
  <c r="E269" i="28" s="1"/>
  <c r="E265" i="28"/>
  <c r="L856" i="1"/>
  <c r="U853" i="1"/>
  <c r="L855" i="1"/>
  <c r="L854" i="1"/>
  <c r="L857" i="1" s="1"/>
  <c r="L858" i="1" s="1"/>
  <c r="H854" i="1" s="1"/>
  <c r="I11" i="32"/>
  <c r="I10" i="32"/>
  <c r="I9" i="32"/>
  <c r="I8" i="32"/>
  <c r="I7" i="32"/>
  <c r="I6" i="32"/>
  <c r="I980" i="1"/>
  <c r="H1107" i="1"/>
  <c r="H926" i="1"/>
  <c r="H925" i="1"/>
  <c r="I978" i="1"/>
  <c r="H1025" i="1"/>
  <c r="H1026" i="1" s="1"/>
  <c r="H1020" i="1" s="1"/>
  <c r="H750" i="1"/>
  <c r="F2" i="20" s="1"/>
  <c r="I981" i="1"/>
  <c r="H749" i="1"/>
  <c r="H218" i="1"/>
  <c r="K231" i="1" s="1"/>
  <c r="L231" i="1" s="1"/>
  <c r="H221" i="1" s="1"/>
  <c r="H224" i="1" s="1"/>
  <c r="K194" i="1"/>
  <c r="I193" i="1" s="1"/>
  <c r="M167" i="1"/>
  <c r="D109" i="22" s="1"/>
  <c r="M166" i="1"/>
  <c r="J11" i="32"/>
  <c r="J10" i="32"/>
  <c r="J9" i="32"/>
  <c r="J8" i="32"/>
  <c r="J7" i="32"/>
  <c r="J6" i="32"/>
  <c r="H1027" i="1"/>
  <c r="H1028" i="1" s="1"/>
  <c r="H1019" i="1" s="1"/>
  <c r="H219" i="1"/>
  <c r="K232" i="1" s="1"/>
  <c r="L232" i="1" s="1"/>
  <c r="H222" i="1" s="1"/>
  <c r="H225" i="1" s="1"/>
  <c r="K195" i="1"/>
  <c r="K55" i="22"/>
  <c r="K57" i="22" s="1"/>
  <c r="K59" i="22" s="1"/>
  <c r="H55" i="22"/>
  <c r="H57" i="22" s="1"/>
  <c r="H59" i="22" s="1"/>
  <c r="D55" i="22"/>
  <c r="D57" i="22" s="1"/>
  <c r="D59" i="22" s="1"/>
  <c r="J55" i="22"/>
  <c r="J57" i="22" s="1"/>
  <c r="J59" i="22" s="1"/>
  <c r="I55" i="22"/>
  <c r="I57" i="22" s="1"/>
  <c r="I59" i="22" s="1"/>
  <c r="G55" i="22"/>
  <c r="G57" i="22" s="1"/>
  <c r="G59" i="22" s="1"/>
  <c r="E55" i="22"/>
  <c r="E57" i="22" s="1"/>
  <c r="E59" i="22" s="1"/>
  <c r="T56" i="22"/>
  <c r="T58" i="22" s="1"/>
  <c r="T60" i="22" s="1"/>
  <c r="W56" i="22"/>
  <c r="W58" i="22" s="1"/>
  <c r="W60" i="22" s="1"/>
  <c r="U56" i="22"/>
  <c r="U58" i="22" s="1"/>
  <c r="U60" i="22" s="1"/>
  <c r="R56" i="22"/>
  <c r="R58" i="22" s="1"/>
  <c r="R60" i="22" s="1"/>
  <c r="I56" i="22"/>
  <c r="I58" i="22" s="1"/>
  <c r="I60" i="22" s="1"/>
  <c r="F55" i="22"/>
  <c r="F57" i="22" s="1"/>
  <c r="F59" i="22" s="1"/>
  <c r="C55" i="22"/>
  <c r="C57" i="22" s="1"/>
  <c r="C59" i="22" s="1"/>
  <c r="V56" i="22"/>
  <c r="V58" i="22" s="1"/>
  <c r="V60" i="22" s="1"/>
  <c r="S56" i="22"/>
  <c r="S58" i="22" s="1"/>
  <c r="S60" i="22" s="1"/>
  <c r="Q56" i="22"/>
  <c r="Q58" i="22" s="1"/>
  <c r="Q60" i="22" s="1"/>
  <c r="P56" i="22"/>
  <c r="P58" i="22" s="1"/>
  <c r="P60" i="22" s="1"/>
  <c r="O56" i="22"/>
  <c r="O58" i="22" s="1"/>
  <c r="O60" i="22" s="1"/>
  <c r="N56" i="22"/>
  <c r="N58" i="22" s="1"/>
  <c r="N60" i="22" s="1"/>
  <c r="M56" i="22"/>
  <c r="M58" i="22" s="1"/>
  <c r="M60" i="22" s="1"/>
  <c r="L56" i="22"/>
  <c r="L58" i="22" s="1"/>
  <c r="L60" i="22" s="1"/>
  <c r="K56" i="22"/>
  <c r="K58" i="22" s="1"/>
  <c r="K60" i="22" s="1"/>
  <c r="J56" i="22"/>
  <c r="J58" i="22" s="1"/>
  <c r="J60" i="22" s="1"/>
  <c r="H56" i="22"/>
  <c r="H58" i="22" s="1"/>
  <c r="H60" i="22" s="1"/>
  <c r="G56" i="22"/>
  <c r="G58" i="22" s="1"/>
  <c r="G60" i="22" s="1"/>
  <c r="F56" i="22"/>
  <c r="F58" i="22" s="1"/>
  <c r="F60" i="22" s="1"/>
  <c r="E56" i="22"/>
  <c r="E58" i="22" s="1"/>
  <c r="E60" i="22" s="1"/>
  <c r="D56" i="22"/>
  <c r="D58" i="22" s="1"/>
  <c r="D60" i="22" s="1"/>
  <c r="C56" i="22"/>
  <c r="C58" i="22" s="1"/>
  <c r="C60" i="22" s="1"/>
  <c r="W55" i="22"/>
  <c r="W57" i="22" s="1"/>
  <c r="W59" i="22" s="1"/>
  <c r="V55" i="22"/>
  <c r="V57" i="22" s="1"/>
  <c r="V59" i="22" s="1"/>
  <c r="U55" i="22"/>
  <c r="U57" i="22" s="1"/>
  <c r="U59" i="22" s="1"/>
  <c r="T55" i="22"/>
  <c r="T57" i="22" s="1"/>
  <c r="T59" i="22" s="1"/>
  <c r="S55" i="22"/>
  <c r="S57" i="22" s="1"/>
  <c r="S59" i="22" s="1"/>
  <c r="R55" i="22"/>
  <c r="R57" i="22" s="1"/>
  <c r="R59" i="22" s="1"/>
  <c r="Q55" i="22"/>
  <c r="Q57" i="22" s="1"/>
  <c r="Q59" i="22" s="1"/>
  <c r="P55" i="22"/>
  <c r="P57" i="22" s="1"/>
  <c r="P59" i="22" s="1"/>
  <c r="O55" i="22"/>
  <c r="O57" i="22" s="1"/>
  <c r="O59" i="22" s="1"/>
  <c r="N55" i="22"/>
  <c r="N57" i="22" s="1"/>
  <c r="N59" i="22" s="1"/>
  <c r="M55" i="22"/>
  <c r="M57" i="22" s="1"/>
  <c r="M59" i="22" s="1"/>
  <c r="L55" i="22"/>
  <c r="L57" i="22" s="1"/>
  <c r="L59" i="22" s="1"/>
  <c r="C41" i="23"/>
  <c r="C43" i="23" s="1"/>
  <c r="C45" i="23" s="1"/>
  <c r="C27" i="23"/>
  <c r="C26" i="23"/>
  <c r="C42" i="23"/>
  <c r="C44" i="23" s="1"/>
  <c r="C46" i="23" s="1"/>
  <c r="C55" i="27"/>
  <c r="C131" i="27"/>
  <c r="D131" i="27" s="1"/>
  <c r="C132" i="27"/>
  <c r="D132" i="27"/>
  <c r="C133" i="27"/>
  <c r="D133" i="27" s="1"/>
  <c r="C134" i="27"/>
  <c r="D134" i="27" s="1"/>
  <c r="C135" i="27"/>
  <c r="D135" i="27"/>
  <c r="C136" i="27"/>
  <c r="D136" i="27"/>
  <c r="C137" i="27"/>
  <c r="D137" i="27" s="1"/>
  <c r="C138" i="27"/>
  <c r="D138" i="27" s="1"/>
  <c r="C139" i="27"/>
  <c r="D139" i="27" s="1"/>
  <c r="C140" i="27"/>
  <c r="D140" i="27"/>
  <c r="C141" i="27"/>
  <c r="D141" i="27" s="1"/>
  <c r="C142" i="27"/>
  <c r="D142" i="27" s="1"/>
  <c r="C143" i="27"/>
  <c r="D143" i="27" s="1"/>
  <c r="C144" i="27"/>
  <c r="D144" i="27" s="1"/>
  <c r="C145" i="27"/>
  <c r="D145" i="27" s="1"/>
  <c r="C146" i="27"/>
  <c r="D146" i="27" s="1"/>
  <c r="C147" i="27"/>
  <c r="D147" i="27" s="1"/>
  <c r="C148" i="27"/>
  <c r="D148" i="27" s="1"/>
  <c r="C149" i="27"/>
  <c r="D149" i="27" s="1"/>
  <c r="C150" i="27"/>
  <c r="D150" i="27" s="1"/>
  <c r="C151" i="27"/>
  <c r="D151" i="27"/>
  <c r="C152" i="27"/>
  <c r="D152" i="27" s="1"/>
  <c r="C153" i="27"/>
  <c r="D153" i="27" s="1"/>
  <c r="C154" i="27"/>
  <c r="D154" i="27"/>
  <c r="C155" i="27"/>
  <c r="D155" i="27" s="1"/>
  <c r="C156" i="27"/>
  <c r="D156" i="27"/>
  <c r="C157" i="27"/>
  <c r="D157" i="27"/>
  <c r="C158" i="27"/>
  <c r="D158" i="27" s="1"/>
  <c r="C159" i="27"/>
  <c r="D159" i="27" s="1"/>
  <c r="C160" i="27"/>
  <c r="D160" i="27" s="1"/>
  <c r="C161" i="27"/>
  <c r="D161" i="27" s="1"/>
  <c r="C162" i="27"/>
  <c r="D162" i="27"/>
  <c r="C163" i="27"/>
  <c r="D163" i="27" s="1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C171" i="27"/>
  <c r="D171" i="27"/>
  <c r="C172" i="27"/>
  <c r="D172" i="27"/>
  <c r="C173" i="27"/>
  <c r="D173" i="27"/>
  <c r="C174" i="27"/>
  <c r="D174" i="27"/>
  <c r="C175" i="27"/>
  <c r="D175" i="27"/>
  <c r="C176" i="27"/>
  <c r="D176" i="27"/>
  <c r="C177" i="27"/>
  <c r="D177" i="27"/>
  <c r="C178" i="27"/>
  <c r="D178" i="27" s="1"/>
  <c r="C179" i="27"/>
  <c r="D179" i="27"/>
  <c r="C180" i="27"/>
  <c r="D180" i="27"/>
  <c r="C181" i="27"/>
  <c r="D181" i="27" s="1"/>
  <c r="C182" i="27"/>
  <c r="D182" i="27" s="1"/>
  <c r="C183" i="27"/>
  <c r="D183" i="27" s="1"/>
  <c r="C184" i="27"/>
  <c r="D184" i="27"/>
  <c r="C185" i="27"/>
  <c r="D185" i="27" s="1"/>
  <c r="C186" i="27"/>
  <c r="D186" i="27"/>
  <c r="C187" i="27"/>
  <c r="D187" i="27"/>
  <c r="C188" i="27"/>
  <c r="D188" i="27"/>
  <c r="C189" i="27"/>
  <c r="D189" i="27"/>
  <c r="C190" i="27"/>
  <c r="D190" i="27" s="1"/>
  <c r="C191" i="27"/>
  <c r="D191" i="27"/>
  <c r="C192" i="27"/>
  <c r="D192" i="27"/>
  <c r="C193" i="27"/>
  <c r="D193" i="27"/>
  <c r="C194" i="27"/>
  <c r="D194" i="27"/>
  <c r="C195" i="27"/>
  <c r="D195" i="27"/>
  <c r="C196" i="27"/>
  <c r="D196" i="27" s="1"/>
  <c r="C197" i="27"/>
  <c r="D197" i="27"/>
  <c r="C198" i="27"/>
  <c r="D198" i="27"/>
  <c r="C199" i="27"/>
  <c r="D199" i="27" s="1"/>
  <c r="C200" i="27"/>
  <c r="D200" i="27"/>
  <c r="C201" i="27"/>
  <c r="D201" i="27"/>
  <c r="C202" i="27"/>
  <c r="D202" i="27"/>
  <c r="C203" i="27"/>
  <c r="D203" i="27" s="1"/>
  <c r="C204" i="27"/>
  <c r="D204" i="27" s="1"/>
  <c r="C205" i="27"/>
  <c r="D205" i="27"/>
  <c r="C206" i="27"/>
  <c r="D206" i="27"/>
  <c r="C207" i="27"/>
  <c r="D207" i="27"/>
  <c r="C208" i="27"/>
  <c r="D208" i="27"/>
  <c r="C209" i="27"/>
  <c r="D209" i="27" s="1"/>
  <c r="C210" i="27"/>
  <c r="D210" i="27"/>
  <c r="C211" i="27"/>
  <c r="D211" i="27"/>
  <c r="C212" i="27"/>
  <c r="D212" i="27"/>
  <c r="C213" i="27"/>
  <c r="D213" i="27"/>
  <c r="C214" i="27"/>
  <c r="D214" i="27"/>
  <c r="C215" i="27"/>
  <c r="D215" i="27"/>
  <c r="C216" i="27"/>
  <c r="D216" i="27"/>
  <c r="C217" i="27"/>
  <c r="D217" i="27" s="1"/>
  <c r="C218" i="27"/>
  <c r="D218" i="27" s="1"/>
  <c r="C219" i="27"/>
  <c r="D219" i="27"/>
  <c r="C220" i="27"/>
  <c r="D220" i="27"/>
  <c r="C221" i="27"/>
  <c r="D221" i="27" s="1"/>
  <c r="C222" i="27"/>
  <c r="D222" i="27" s="1"/>
  <c r="C223" i="27"/>
  <c r="D223" i="27"/>
  <c r="C224" i="27"/>
  <c r="D224" i="27" s="1"/>
  <c r="C225" i="27"/>
  <c r="D225" i="27"/>
  <c r="C226" i="27"/>
  <c r="D226" i="27" s="1"/>
  <c r="C227" i="27"/>
  <c r="D227" i="27" s="1"/>
  <c r="C228" i="27"/>
  <c r="D228" i="27"/>
  <c r="C229" i="27"/>
  <c r="D229" i="27"/>
  <c r="C230" i="27"/>
  <c r="D230" i="27" s="1"/>
  <c r="C231" i="27"/>
  <c r="D231" i="27"/>
  <c r="C232" i="27"/>
  <c r="D232" i="27"/>
  <c r="C233" i="27"/>
  <c r="D233" i="27" s="1"/>
  <c r="C234" i="27"/>
  <c r="D234" i="27"/>
  <c r="C235" i="27"/>
  <c r="D235" i="27"/>
  <c r="C236" i="27"/>
  <c r="D236" i="27"/>
  <c r="C237" i="27"/>
  <c r="D237" i="27" s="1"/>
  <c r="C238" i="27"/>
  <c r="D238" i="27" s="1"/>
  <c r="C239" i="27"/>
  <c r="D239" i="27"/>
  <c r="C240" i="27"/>
  <c r="D240" i="27"/>
  <c r="C241" i="27"/>
  <c r="D241" i="27" s="1"/>
  <c r="C242" i="27"/>
  <c r="D242" i="27" s="1"/>
  <c r="C243" i="27"/>
  <c r="D243" i="27" s="1"/>
  <c r="C244" i="27"/>
  <c r="D244" i="27"/>
  <c r="C245" i="27"/>
  <c r="D245" i="27"/>
  <c r="C246" i="27"/>
  <c r="D246" i="27"/>
  <c r="C247" i="27"/>
  <c r="D247" i="27" s="1"/>
  <c r="C248" i="27"/>
  <c r="D248" i="27"/>
  <c r="C249" i="27"/>
  <c r="D249" i="27"/>
  <c r="C250" i="27"/>
  <c r="D250" i="27"/>
  <c r="C251" i="27"/>
  <c r="D251" i="27"/>
  <c r="H1292" i="1"/>
  <c r="C32" i="27"/>
  <c r="C31" i="27"/>
  <c r="H1295" i="1" s="1"/>
  <c r="BE207" i="1"/>
  <c r="BF207" i="1"/>
  <c r="BG207" i="1"/>
  <c r="BH207" i="1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101" i="18"/>
  <c r="C98" i="18"/>
  <c r="C97" i="18"/>
  <c r="C94" i="18"/>
  <c r="C93" i="18"/>
  <c r="C92" i="18"/>
  <c r="C89" i="18"/>
  <c r="C88" i="18"/>
  <c r="C86" i="18"/>
  <c r="C85" i="18"/>
  <c r="C84" i="18"/>
  <c r="C102" i="18"/>
  <c r="C99" i="18"/>
  <c r="C95" i="18"/>
  <c r="C90" i="18"/>
  <c r="C103" i="18"/>
  <c r="C100" i="18"/>
  <c r="C96" i="18"/>
  <c r="C91" i="18"/>
  <c r="C87" i="18"/>
  <c r="C129" i="18"/>
  <c r="C128" i="18"/>
  <c r="C123" i="18"/>
  <c r="C117" i="18"/>
  <c r="C116" i="18"/>
  <c r="C114" i="18"/>
  <c r="C112" i="18"/>
  <c r="C131" i="18"/>
  <c r="C130" i="18"/>
  <c r="C126" i="18"/>
  <c r="C122" i="18"/>
  <c r="C119" i="18"/>
  <c r="C115" i="18"/>
  <c r="C127" i="18"/>
  <c r="C125" i="18"/>
  <c r="C124" i="18"/>
  <c r="C121" i="18"/>
  <c r="C120" i="18"/>
  <c r="C118" i="18"/>
  <c r="C113" i="18"/>
  <c r="C159" i="18"/>
  <c r="C158" i="18"/>
  <c r="C157" i="18"/>
  <c r="C154" i="18"/>
  <c r="C153" i="18"/>
  <c r="C150" i="18"/>
  <c r="C147" i="18"/>
  <c r="C146" i="18"/>
  <c r="C143" i="18"/>
  <c r="C142" i="18"/>
  <c r="C140" i="18"/>
  <c r="C156" i="18"/>
  <c r="C151" i="18"/>
  <c r="C144" i="18"/>
  <c r="C155" i="18"/>
  <c r="C152" i="18"/>
  <c r="C149" i="18"/>
  <c r="C148" i="18"/>
  <c r="C145" i="18"/>
  <c r="C141" i="18"/>
  <c r="C186" i="18"/>
  <c r="C181" i="18"/>
  <c r="C178" i="18"/>
  <c r="C177" i="18"/>
  <c r="C176" i="18"/>
  <c r="C173" i="18"/>
  <c r="C172" i="18"/>
  <c r="C171" i="18"/>
  <c r="C168" i="18"/>
  <c r="C185" i="18"/>
  <c r="C182" i="18"/>
  <c r="C179" i="18"/>
  <c r="C175" i="18"/>
  <c r="C174" i="18"/>
  <c r="C169" i="18"/>
  <c r="C187" i="18"/>
  <c r="C184" i="18"/>
  <c r="C183" i="18"/>
  <c r="C180" i="18"/>
  <c r="C170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48" i="18"/>
  <c r="C49" i="18"/>
  <c r="C50" i="18"/>
  <c r="C51" i="18"/>
  <c r="C52" i="18"/>
  <c r="C53" i="18"/>
  <c r="C54" i="18"/>
  <c r="C55" i="18"/>
  <c r="C76" i="18"/>
  <c r="C77" i="18"/>
  <c r="C78" i="18"/>
  <c r="C79" i="18"/>
  <c r="C80" i="18"/>
  <c r="C81" i="18"/>
  <c r="C82" i="18"/>
  <c r="C83" i="18"/>
  <c r="C104" i="18"/>
  <c r="C105" i="18"/>
  <c r="C110" i="18"/>
  <c r="C111" i="18"/>
  <c r="C132" i="18"/>
  <c r="C136" i="18"/>
  <c r="C137" i="18"/>
  <c r="C138" i="18"/>
  <c r="C106" i="18"/>
  <c r="C107" i="18"/>
  <c r="C108" i="18"/>
  <c r="C109" i="18"/>
  <c r="C133" i="18"/>
  <c r="C134" i="18"/>
  <c r="C135" i="18"/>
  <c r="C139" i="18"/>
  <c r="C160" i="18"/>
  <c r="C161" i="18"/>
  <c r="C162" i="18"/>
  <c r="C163" i="18"/>
  <c r="C164" i="18"/>
  <c r="C165" i="18"/>
  <c r="C166" i="18"/>
  <c r="C167" i="18"/>
  <c r="C220" i="18"/>
  <c r="C222" i="18"/>
  <c r="C193" i="18"/>
  <c r="C195" i="18"/>
  <c r="C216" i="18"/>
  <c r="C218" i="18"/>
  <c r="C188" i="18"/>
  <c r="C194" i="18"/>
  <c r="C217" i="18"/>
  <c r="C221" i="18"/>
  <c r="C223" i="18"/>
  <c r="C189" i="18"/>
  <c r="C190" i="18"/>
  <c r="C192" i="18"/>
  <c r="C219" i="18"/>
  <c r="C224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191" i="18"/>
  <c r="C102" i="17"/>
  <c r="C103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108" i="17"/>
  <c r="C109" i="17"/>
  <c r="C112" i="17"/>
  <c r="C114" i="17"/>
  <c r="C116" i="17"/>
  <c r="C117" i="17"/>
  <c r="C118" i="17"/>
  <c r="C120" i="17"/>
  <c r="C121" i="17"/>
  <c r="C123" i="17"/>
  <c r="C124" i="17"/>
  <c r="C125" i="17"/>
  <c r="C127" i="17"/>
  <c r="C128" i="17"/>
  <c r="C129" i="17"/>
  <c r="C130" i="17"/>
  <c r="C131" i="17"/>
  <c r="C133" i="17"/>
  <c r="C134" i="17"/>
  <c r="C135" i="17"/>
  <c r="C140" i="17"/>
  <c r="C143" i="17"/>
  <c r="C96" i="17"/>
  <c r="C98" i="17"/>
  <c r="C100" i="17"/>
  <c r="C105" i="17"/>
  <c r="C110" i="17"/>
  <c r="C111" i="17"/>
  <c r="C115" i="17"/>
  <c r="C119" i="17"/>
  <c r="C122" i="17"/>
  <c r="C126" i="17"/>
  <c r="C132" i="17"/>
  <c r="C136" i="17"/>
  <c r="C137" i="17"/>
  <c r="C138" i="17"/>
  <c r="C139" i="17"/>
  <c r="C141" i="17"/>
  <c r="C142" i="17"/>
  <c r="C144" i="17"/>
  <c r="C145" i="17"/>
  <c r="C146" i="17"/>
  <c r="C147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95" i="17"/>
  <c r="C97" i="17"/>
  <c r="C104" i="17"/>
  <c r="C106" i="17"/>
  <c r="C107" i="17"/>
  <c r="C11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220" i="17"/>
  <c r="C222" i="17"/>
  <c r="C187" i="17"/>
  <c r="C193" i="17"/>
  <c r="C195" i="17"/>
  <c r="C216" i="17"/>
  <c r="C218" i="17"/>
  <c r="C188" i="17"/>
  <c r="C194" i="17"/>
  <c r="C217" i="17"/>
  <c r="C221" i="17"/>
  <c r="C223" i="17"/>
  <c r="C189" i="17"/>
  <c r="C190" i="17"/>
  <c r="C192" i="17"/>
  <c r="C219" i="17"/>
  <c r="C224" i="17"/>
  <c r="C7" i="17"/>
  <c r="C8" i="17"/>
  <c r="C9" i="17"/>
  <c r="C10" i="17"/>
  <c r="C11" i="17"/>
  <c r="C99" i="17"/>
  <c r="C10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203" i="17"/>
  <c r="C210" i="17"/>
  <c r="C199" i="17"/>
  <c r="C211" i="17"/>
  <c r="C196" i="17"/>
  <c r="C209" i="17"/>
  <c r="C200" i="17"/>
  <c r="C202" i="17"/>
  <c r="C208" i="17"/>
  <c r="C201" i="17"/>
  <c r="C197" i="17"/>
  <c r="C206" i="17"/>
  <c r="C212" i="17"/>
  <c r="C213" i="17"/>
  <c r="C204" i="17"/>
  <c r="C207" i="17"/>
  <c r="C191" i="17"/>
  <c r="C198" i="17"/>
  <c r="C215" i="17"/>
  <c r="C205" i="17"/>
  <c r="C214" i="17"/>
  <c r="C148" i="17"/>
  <c r="C149" i="17"/>
  <c r="C150" i="17"/>
  <c r="C151" i="17"/>
  <c r="C152" i="17"/>
  <c r="C153" i="17"/>
  <c r="C154" i="17"/>
  <c r="C155" i="17"/>
  <c r="C156" i="17"/>
  <c r="E524" i="27"/>
  <c r="D524" i="27"/>
  <c r="F524" i="27" s="1"/>
  <c r="G524" i="27" s="1"/>
  <c r="T9" i="14"/>
  <c r="S12" i="14"/>
  <c r="S13" i="14"/>
  <c r="F14" i="14"/>
  <c r="BJ42" i="2"/>
  <c r="BB30" i="2" l="1"/>
  <c r="L33" i="21"/>
  <c r="I25" i="1" s="1"/>
  <c r="L39" i="21"/>
  <c r="L38" i="21" s="1"/>
  <c r="L35" i="21" s="1"/>
  <c r="L36" i="21"/>
  <c r="I37" i="1" s="1"/>
  <c r="X30" i="2"/>
  <c r="BJ44" i="2"/>
  <c r="AR30" i="2"/>
  <c r="AP44" i="2"/>
  <c r="J205" i="1" s="1"/>
  <c r="M205" i="1" s="1"/>
  <c r="D30" i="2"/>
  <c r="H213" i="1" s="1"/>
  <c r="C37" i="22" s="1"/>
  <c r="V44" i="2"/>
  <c r="J203" i="1" s="1"/>
  <c r="M203" i="1" s="1"/>
  <c r="AH30" i="2"/>
  <c r="J305" i="1"/>
  <c r="I306" i="1"/>
  <c r="P34" i="26"/>
  <c r="J28" i="26" s="1"/>
  <c r="G28" i="26"/>
  <c r="H1232" i="1"/>
  <c r="J37" i="26"/>
  <c r="K37" i="26" s="1"/>
  <c r="J294" i="1"/>
  <c r="I295" i="1"/>
  <c r="I284" i="1"/>
  <c r="M41" i="20"/>
  <c r="H41" i="20"/>
  <c r="M18" i="20"/>
  <c r="H18" i="20"/>
  <c r="J283" i="1"/>
  <c r="K555" i="1"/>
  <c r="J556" i="1"/>
  <c r="K544" i="1"/>
  <c r="J545" i="1"/>
  <c r="M2" i="1"/>
  <c r="M9" i="19"/>
  <c r="H1182" i="1"/>
  <c r="H1183" i="1" s="1"/>
  <c r="H857" i="1"/>
  <c r="L6" i="1" s="1"/>
  <c r="K4" i="19" s="1"/>
  <c r="I854" i="1"/>
  <c r="K11" i="32"/>
  <c r="L11" i="32"/>
  <c r="L10" i="32"/>
  <c r="K10" i="32"/>
  <c r="K9" i="32"/>
  <c r="L9" i="32"/>
  <c r="L8" i="32"/>
  <c r="K8" i="32"/>
  <c r="Q8" i="32" s="1"/>
  <c r="L7" i="32"/>
  <c r="K7" i="32"/>
  <c r="Q7" i="32" s="1"/>
  <c r="H927" i="1" s="1"/>
  <c r="K6" i="32"/>
  <c r="L6" i="32"/>
  <c r="J1031" i="1"/>
  <c r="C53" i="31"/>
  <c r="C55" i="31" s="1"/>
  <c r="H1047" i="1"/>
  <c r="H1048" i="1" s="1"/>
  <c r="C77" i="31" s="1"/>
  <c r="I983" i="1"/>
  <c r="I984" i="1" s="1"/>
  <c r="F1" i="20"/>
  <c r="J749" i="1"/>
  <c r="K749" i="1" s="1"/>
  <c r="J750" i="1"/>
  <c r="K750" i="1" s="1"/>
  <c r="M748" i="1"/>
  <c r="M749" i="1" s="1"/>
  <c r="K193" i="1"/>
  <c r="D108" i="22"/>
  <c r="I1047" i="1"/>
  <c r="I1048" i="1" s="1"/>
  <c r="C78" i="31" s="1"/>
  <c r="J1030" i="1"/>
  <c r="C54" i="31"/>
  <c r="C56" i="31" s="1"/>
  <c r="K77" i="22"/>
  <c r="K79" i="22" s="1"/>
  <c r="K81" i="22" s="1"/>
  <c r="K61" i="22"/>
  <c r="K65" i="22"/>
  <c r="K66" i="22"/>
  <c r="K100" i="22"/>
  <c r="K99" i="22"/>
  <c r="H77" i="22"/>
  <c r="H79" i="22" s="1"/>
  <c r="H81" i="22" s="1"/>
  <c r="H61" i="22"/>
  <c r="H65" i="22"/>
  <c r="H66" i="22"/>
  <c r="H99" i="22"/>
  <c r="H100" i="22"/>
  <c r="D77" i="22"/>
  <c r="D79" i="22" s="1"/>
  <c r="D81" i="22" s="1"/>
  <c r="D61" i="22"/>
  <c r="D65" i="22"/>
  <c r="D66" i="22"/>
  <c r="D99" i="22"/>
  <c r="D100" i="22"/>
  <c r="J77" i="22"/>
  <c r="J79" i="22" s="1"/>
  <c r="J81" i="22" s="1"/>
  <c r="J61" i="22"/>
  <c r="J65" i="22"/>
  <c r="J66" i="22"/>
  <c r="J99" i="22"/>
  <c r="J100" i="22"/>
  <c r="I77" i="22"/>
  <c r="I79" i="22" s="1"/>
  <c r="I81" i="22" s="1"/>
  <c r="I61" i="22"/>
  <c r="I65" i="22"/>
  <c r="I100" i="22"/>
  <c r="I66" i="22"/>
  <c r="I99" i="22"/>
  <c r="G77" i="22"/>
  <c r="G79" i="22" s="1"/>
  <c r="G81" i="22" s="1"/>
  <c r="G61" i="22"/>
  <c r="G65" i="22"/>
  <c r="G66" i="22"/>
  <c r="G100" i="22"/>
  <c r="G99" i="22"/>
  <c r="E77" i="22"/>
  <c r="E79" i="22" s="1"/>
  <c r="E81" i="22" s="1"/>
  <c r="E61" i="22"/>
  <c r="E65" i="22"/>
  <c r="E66" i="22"/>
  <c r="E99" i="22"/>
  <c r="E100" i="22"/>
  <c r="T78" i="22"/>
  <c r="T80" i="22" s="1"/>
  <c r="T82" i="22" s="1"/>
  <c r="T62" i="22"/>
  <c r="W78" i="22"/>
  <c r="W80" i="22" s="1"/>
  <c r="W82" i="22" s="1"/>
  <c r="W62" i="22"/>
  <c r="U78" i="22"/>
  <c r="U80" i="22" s="1"/>
  <c r="U82" i="22" s="1"/>
  <c r="U62" i="22"/>
  <c r="R78" i="22"/>
  <c r="R80" i="22" s="1"/>
  <c r="R82" i="22" s="1"/>
  <c r="R62" i="22"/>
  <c r="I78" i="22"/>
  <c r="I80" i="22" s="1"/>
  <c r="I82" i="22" s="1"/>
  <c r="I62" i="22"/>
  <c r="F77" i="22"/>
  <c r="F79" i="22" s="1"/>
  <c r="F81" i="22" s="1"/>
  <c r="F61" i="22"/>
  <c r="F65" i="22"/>
  <c r="F66" i="22"/>
  <c r="F99" i="22"/>
  <c r="F100" i="22"/>
  <c r="C77" i="22"/>
  <c r="C79" i="22" s="1"/>
  <c r="C81" i="22" s="1"/>
  <c r="C61" i="22"/>
  <c r="C65" i="22"/>
  <c r="C66" i="22"/>
  <c r="C100" i="22"/>
  <c r="C99" i="22"/>
  <c r="V78" i="22"/>
  <c r="V80" i="22" s="1"/>
  <c r="V82" i="22" s="1"/>
  <c r="V62" i="22"/>
  <c r="S78" i="22"/>
  <c r="S80" i="22" s="1"/>
  <c r="S82" i="22" s="1"/>
  <c r="S62" i="22"/>
  <c r="Q78" i="22"/>
  <c r="Q80" i="22" s="1"/>
  <c r="Q82" i="22" s="1"/>
  <c r="Q62" i="22"/>
  <c r="P78" i="22"/>
  <c r="P80" i="22" s="1"/>
  <c r="P82" i="22" s="1"/>
  <c r="P62" i="22"/>
  <c r="O78" i="22"/>
  <c r="O80" i="22" s="1"/>
  <c r="O82" i="22" s="1"/>
  <c r="O62" i="22"/>
  <c r="N78" i="22"/>
  <c r="N80" i="22" s="1"/>
  <c r="N82" i="22" s="1"/>
  <c r="N62" i="22"/>
  <c r="M78" i="22"/>
  <c r="M80" i="22" s="1"/>
  <c r="M82" i="22" s="1"/>
  <c r="M62" i="22"/>
  <c r="L78" i="22"/>
  <c r="L80" i="22" s="1"/>
  <c r="L82" i="22" s="1"/>
  <c r="L62" i="22"/>
  <c r="K78" i="22"/>
  <c r="K80" i="22" s="1"/>
  <c r="K82" i="22" s="1"/>
  <c r="K62" i="22"/>
  <c r="J78" i="22"/>
  <c r="J80" i="22" s="1"/>
  <c r="J82" i="22" s="1"/>
  <c r="J62" i="22"/>
  <c r="H78" i="22"/>
  <c r="H80" i="22" s="1"/>
  <c r="H82" i="22" s="1"/>
  <c r="H62" i="22"/>
  <c r="G78" i="22"/>
  <c r="G80" i="22" s="1"/>
  <c r="G82" i="22" s="1"/>
  <c r="G62" i="22"/>
  <c r="F78" i="22"/>
  <c r="F80" i="22" s="1"/>
  <c r="F82" i="22" s="1"/>
  <c r="F62" i="22"/>
  <c r="E78" i="22"/>
  <c r="E80" i="22" s="1"/>
  <c r="E82" i="22" s="1"/>
  <c r="E62" i="22"/>
  <c r="D78" i="22"/>
  <c r="D80" i="22" s="1"/>
  <c r="D82" i="22" s="1"/>
  <c r="D62" i="22"/>
  <c r="C78" i="22"/>
  <c r="C80" i="22" s="1"/>
  <c r="C82" i="22" s="1"/>
  <c r="C62" i="22"/>
  <c r="W77" i="22"/>
  <c r="W79" i="22" s="1"/>
  <c r="W81" i="22" s="1"/>
  <c r="W61" i="22"/>
  <c r="W66" i="22"/>
  <c r="W65" i="22"/>
  <c r="W99" i="22"/>
  <c r="W100" i="22"/>
  <c r="V77" i="22"/>
  <c r="V79" i="22" s="1"/>
  <c r="V81" i="22" s="1"/>
  <c r="V61" i="22"/>
  <c r="V65" i="22"/>
  <c r="V66" i="22"/>
  <c r="V100" i="22"/>
  <c r="V99" i="22"/>
  <c r="U77" i="22"/>
  <c r="U79" i="22" s="1"/>
  <c r="U81" i="22" s="1"/>
  <c r="U61" i="22"/>
  <c r="U65" i="22"/>
  <c r="U66" i="22"/>
  <c r="U100" i="22"/>
  <c r="U99" i="22"/>
  <c r="T77" i="22"/>
  <c r="T79" i="22" s="1"/>
  <c r="T81" i="22" s="1"/>
  <c r="T61" i="22"/>
  <c r="T65" i="22"/>
  <c r="T66" i="22"/>
  <c r="T100" i="22"/>
  <c r="T99" i="22"/>
  <c r="S77" i="22"/>
  <c r="S79" i="22" s="1"/>
  <c r="S81" i="22" s="1"/>
  <c r="S61" i="22"/>
  <c r="S65" i="22"/>
  <c r="S66" i="22"/>
  <c r="S99" i="22"/>
  <c r="S100" i="22"/>
  <c r="R77" i="22"/>
  <c r="R79" i="22" s="1"/>
  <c r="R81" i="22" s="1"/>
  <c r="R61" i="22"/>
  <c r="R65" i="22"/>
  <c r="R66" i="22"/>
  <c r="R99" i="22"/>
  <c r="R100" i="22"/>
  <c r="Q77" i="22"/>
  <c r="Q79" i="22" s="1"/>
  <c r="Q81" i="22" s="1"/>
  <c r="Q61" i="22"/>
  <c r="Q66" i="22"/>
  <c r="Q99" i="22"/>
  <c r="Q65" i="22"/>
  <c r="Q100" i="22"/>
  <c r="P77" i="22"/>
  <c r="P79" i="22" s="1"/>
  <c r="P81" i="22" s="1"/>
  <c r="P61" i="22"/>
  <c r="P65" i="22"/>
  <c r="P100" i="22"/>
  <c r="P66" i="22"/>
  <c r="P99" i="22"/>
  <c r="O77" i="22"/>
  <c r="O79" i="22" s="1"/>
  <c r="O81" i="22" s="1"/>
  <c r="O61" i="22"/>
  <c r="O65" i="22"/>
  <c r="O66" i="22"/>
  <c r="O99" i="22"/>
  <c r="O100" i="22"/>
  <c r="N77" i="22"/>
  <c r="N79" i="22" s="1"/>
  <c r="N81" i="22" s="1"/>
  <c r="N61" i="22"/>
  <c r="N65" i="22"/>
  <c r="N66" i="22"/>
  <c r="N100" i="22"/>
  <c r="N99" i="22"/>
  <c r="M77" i="22"/>
  <c r="M79" i="22" s="1"/>
  <c r="M81" i="22" s="1"/>
  <c r="M61" i="22"/>
  <c r="M65" i="22"/>
  <c r="M66" i="22"/>
  <c r="M99" i="22"/>
  <c r="C108" i="22" s="1"/>
  <c r="M100" i="22"/>
  <c r="C109" i="22" s="1"/>
  <c r="E109" i="22" s="1"/>
  <c r="L77" i="22"/>
  <c r="L79" i="22" s="1"/>
  <c r="L81" i="22" s="1"/>
  <c r="L61" i="22"/>
  <c r="L65" i="22"/>
  <c r="L66" i="22"/>
  <c r="L100" i="22"/>
  <c r="L99" i="22"/>
  <c r="C34" i="27"/>
  <c r="C40" i="27"/>
  <c r="C29" i="27"/>
  <c r="BE208" i="1"/>
  <c r="BE209" i="1"/>
  <c r="BE210" i="1"/>
  <c r="BG208" i="1"/>
  <c r="BG209" i="1"/>
  <c r="BG210" i="1"/>
  <c r="BH208" i="1"/>
  <c r="BF208" i="1" s="1"/>
  <c r="BH209" i="1"/>
  <c r="BH210" i="1"/>
  <c r="BF210" i="1" s="1"/>
  <c r="C51" i="22"/>
  <c r="H265" i="1"/>
  <c r="G426" i="1"/>
  <c r="C50" i="22"/>
  <c r="Q7" i="18" a="1"/>
  <c r="Q7" i="18" s="1"/>
  <c r="T12" i="18"/>
  <c r="T13" i="18"/>
  <c r="Q6" i="18" a="1"/>
  <c r="Q6" i="18" s="1"/>
  <c r="Q5" i="18" a="1"/>
  <c r="F6" i="18" a="1"/>
  <c r="F6" i="18" s="1"/>
  <c r="I6" i="18"/>
  <c r="W5" i="18"/>
  <c r="Q7" i="17" a="1"/>
  <c r="Q7" i="17" s="1"/>
  <c r="Q5" i="17" a="1"/>
  <c r="T12" i="17"/>
  <c r="W5" i="17"/>
  <c r="F6" i="17" a="1"/>
  <c r="F6" i="17" s="1"/>
  <c r="F7" i="17" s="1" a="1"/>
  <c r="F7" i="17" s="1"/>
  <c r="Q6" i="17" a="1"/>
  <c r="Q6" i="17" s="1"/>
  <c r="I6" i="17"/>
  <c r="T13" i="17"/>
  <c r="D525" i="27"/>
  <c r="E525" i="27"/>
  <c r="F16" i="14"/>
  <c r="F15" i="14"/>
  <c r="F17" i="14"/>
  <c r="N30" i="2"/>
  <c r="AZ44" i="2"/>
  <c r="J206" i="1" s="1"/>
  <c r="M206" i="1" s="1"/>
  <c r="BL30" i="2"/>
  <c r="L44" i="2"/>
  <c r="B44" i="2"/>
  <c r="AF44" i="2"/>
  <c r="J204" i="1" s="1"/>
  <c r="M204" i="1" s="1"/>
  <c r="L213" i="1"/>
  <c r="H227" i="1"/>
  <c r="L214" i="1"/>
  <c r="H228" i="1"/>
  <c r="C47" i="23"/>
  <c r="C49" i="23"/>
  <c r="C48" i="23"/>
  <c r="C50" i="23"/>
  <c r="BF209" i="1" l="1"/>
  <c r="E45" i="20"/>
  <c r="E41" i="20"/>
  <c r="E48" i="20"/>
  <c r="E42" i="20"/>
  <c r="E25" i="20"/>
  <c r="E21" i="20"/>
  <c r="E20" i="20"/>
  <c r="E11" i="20"/>
  <c r="E37" i="20"/>
  <c r="E49" i="20"/>
  <c r="L42" i="21"/>
  <c r="I41" i="1" s="1"/>
  <c r="L41" i="21"/>
  <c r="I40" i="1" s="1"/>
  <c r="E36" i="20"/>
  <c r="E38" i="20"/>
  <c r="E35" i="20"/>
  <c r="E47" i="20"/>
  <c r="J207" i="1"/>
  <c r="M207" i="1" s="1"/>
  <c r="J208" i="1"/>
  <c r="M208" i="1" s="1"/>
  <c r="J997" i="1" s="1"/>
  <c r="K997" i="1" s="1"/>
  <c r="E23" i="20"/>
  <c r="E14" i="20"/>
  <c r="E10" i="20"/>
  <c r="E9" i="20"/>
  <c r="E40" i="20"/>
  <c r="E39" i="20"/>
  <c r="E34" i="20"/>
  <c r="E50" i="20"/>
  <c r="E26" i="20"/>
  <c r="E22" i="20"/>
  <c r="F10" i="17"/>
  <c r="E108" i="22"/>
  <c r="O41" i="20"/>
  <c r="B41" i="20"/>
  <c r="E32" i="20"/>
  <c r="E33" i="20"/>
  <c r="E46" i="20"/>
  <c r="E44" i="20"/>
  <c r="E43" i="20"/>
  <c r="E27" i="20"/>
  <c r="O18" i="20"/>
  <c r="B18" i="20"/>
  <c r="E24" i="20"/>
  <c r="E19" i="20"/>
  <c r="E18" i="20"/>
  <c r="E17" i="20"/>
  <c r="E16" i="20"/>
  <c r="E15" i="20"/>
  <c r="E13" i="20"/>
  <c r="E12" i="20"/>
  <c r="Q6" i="32"/>
  <c r="S6" i="32" s="1"/>
  <c r="J995" i="1"/>
  <c r="K995" i="1" s="1"/>
  <c r="C42" i="22"/>
  <c r="F17" i="20"/>
  <c r="F40" i="20"/>
  <c r="J992" i="1"/>
  <c r="K992" i="1" s="1"/>
  <c r="M171" i="1"/>
  <c r="C40" i="22"/>
  <c r="M183" i="1"/>
  <c r="C37" i="23" s="1"/>
  <c r="C32" i="23"/>
  <c r="V83" i="22"/>
  <c r="V85" i="22"/>
  <c r="F42" i="20"/>
  <c r="F19" i="20"/>
  <c r="M6" i="18"/>
  <c r="F7" i="18" a="1"/>
  <c r="F7" i="18" s="1"/>
  <c r="F10" i="18" s="1"/>
  <c r="F8" i="18" a="1"/>
  <c r="F8" i="18" s="1"/>
  <c r="M184" i="1"/>
  <c r="C38" i="23" s="1"/>
  <c r="M172" i="1"/>
  <c r="C33" i="23" s="1"/>
  <c r="K305" i="1"/>
  <c r="J306" i="1"/>
  <c r="L37" i="26"/>
  <c r="H1230" i="1" s="1"/>
  <c r="H1231" i="1"/>
  <c r="K294" i="1"/>
  <c r="J295" i="1"/>
  <c r="F41" i="20"/>
  <c r="F18" i="20"/>
  <c r="J284" i="1"/>
  <c r="K283" i="1"/>
  <c r="L555" i="1"/>
  <c r="K556" i="1"/>
  <c r="L544" i="1"/>
  <c r="K545" i="1"/>
  <c r="J1214" i="1"/>
  <c r="J1199" i="1"/>
  <c r="O40" i="20"/>
  <c r="B40" i="20"/>
  <c r="O39" i="20"/>
  <c r="B39" i="20"/>
  <c r="B38" i="20"/>
  <c r="O38" i="20"/>
  <c r="O37" i="20"/>
  <c r="B37" i="20"/>
  <c r="O36" i="20"/>
  <c r="B36" i="20"/>
  <c r="O35" i="20"/>
  <c r="B35" i="20"/>
  <c r="B34" i="20"/>
  <c r="O34" i="20"/>
  <c r="B33" i="20"/>
  <c r="O33" i="20"/>
  <c r="B31" i="20"/>
  <c r="B32" i="20"/>
  <c r="O31" i="20"/>
  <c r="O32" i="20"/>
  <c r="H1272" i="1"/>
  <c r="I985" i="1"/>
  <c r="L1000" i="1"/>
  <c r="O17" i="20"/>
  <c r="B17" i="20"/>
  <c r="B16" i="20"/>
  <c r="O16" i="20"/>
  <c r="B15" i="20"/>
  <c r="O15" i="20"/>
  <c r="B14" i="20"/>
  <c r="O14" i="20"/>
  <c r="B13" i="20"/>
  <c r="O13" i="20"/>
  <c r="O12" i="20"/>
  <c r="B12" i="20"/>
  <c r="B11" i="20"/>
  <c r="O11" i="20"/>
  <c r="B10" i="20"/>
  <c r="O10" i="20"/>
  <c r="O9" i="20"/>
  <c r="B8" i="20"/>
  <c r="B9" i="20"/>
  <c r="O8" i="20"/>
  <c r="F16" i="20"/>
  <c r="F39" i="20"/>
  <c r="F36" i="20"/>
  <c r="F13" i="20"/>
  <c r="F32" i="20"/>
  <c r="F9" i="20"/>
  <c r="F38" i="20"/>
  <c r="F15" i="20"/>
  <c r="F14" i="20"/>
  <c r="F37" i="20"/>
  <c r="F35" i="20"/>
  <c r="F12" i="20"/>
  <c r="F10" i="20"/>
  <c r="F33" i="20"/>
  <c r="F34" i="20"/>
  <c r="F11" i="20"/>
  <c r="F27" i="20"/>
  <c r="F50" i="20"/>
  <c r="F26" i="20"/>
  <c r="F49" i="20"/>
  <c r="F25" i="20"/>
  <c r="F48" i="20"/>
  <c r="F24" i="20"/>
  <c r="F47" i="20"/>
  <c r="F23" i="20"/>
  <c r="F46" i="20"/>
  <c r="F22" i="20"/>
  <c r="F45" i="20"/>
  <c r="F44" i="20"/>
  <c r="F21" i="20"/>
  <c r="F20" i="20"/>
  <c r="F43" i="20"/>
  <c r="C41" i="27"/>
  <c r="C37" i="27"/>
  <c r="C56" i="27"/>
  <c r="C256" i="27"/>
  <c r="D256" i="27"/>
  <c r="C257" i="27"/>
  <c r="D257" i="27" s="1"/>
  <c r="C258" i="27"/>
  <c r="D258" i="27" s="1"/>
  <c r="C259" i="27"/>
  <c r="D259" i="27" s="1"/>
  <c r="C260" i="27"/>
  <c r="D260" i="27"/>
  <c r="C261" i="27"/>
  <c r="D261" i="27"/>
  <c r="C262" i="27"/>
  <c r="D262" i="27" s="1"/>
  <c r="C263" i="27"/>
  <c r="D263" i="27" s="1"/>
  <c r="C264" i="27"/>
  <c r="D264" i="27"/>
  <c r="C265" i="27"/>
  <c r="D265" i="27" s="1"/>
  <c r="C266" i="27"/>
  <c r="D266" i="27"/>
  <c r="C267" i="27"/>
  <c r="D267" i="27"/>
  <c r="C268" i="27"/>
  <c r="D268" i="27" s="1"/>
  <c r="C269" i="27"/>
  <c r="D269" i="27"/>
  <c r="C270" i="27"/>
  <c r="D270" i="27"/>
  <c r="C271" i="27"/>
  <c r="D271" i="27" s="1"/>
  <c r="C272" i="27"/>
  <c r="D272" i="27" s="1"/>
  <c r="C273" i="27"/>
  <c r="D273" i="27"/>
  <c r="C274" i="27"/>
  <c r="D274" i="27" s="1"/>
  <c r="C275" i="27"/>
  <c r="D275" i="27"/>
  <c r="C276" i="27"/>
  <c r="D276" i="27"/>
  <c r="C277" i="27"/>
  <c r="D277" i="27"/>
  <c r="C278" i="27"/>
  <c r="D278" i="27" s="1"/>
  <c r="C279" i="27"/>
  <c r="D279" i="27" s="1"/>
  <c r="C280" i="27"/>
  <c r="D280" i="27" s="1"/>
  <c r="C281" i="27"/>
  <c r="D281" i="27" s="1"/>
  <c r="C282" i="27"/>
  <c r="D282" i="27" s="1"/>
  <c r="C283" i="27"/>
  <c r="D283" i="27"/>
  <c r="C284" i="27"/>
  <c r="D284" i="27" s="1"/>
  <c r="C285" i="27"/>
  <c r="D285" i="27" s="1"/>
  <c r="C286" i="27"/>
  <c r="D286" i="27"/>
  <c r="C287" i="27"/>
  <c r="D287" i="27"/>
  <c r="C288" i="27"/>
  <c r="D288" i="27"/>
  <c r="C289" i="27"/>
  <c r="D289" i="27"/>
  <c r="C290" i="27"/>
  <c r="D290" i="27"/>
  <c r="C291" i="27"/>
  <c r="D291" i="27"/>
  <c r="C292" i="27"/>
  <c r="D292" i="27"/>
  <c r="C293" i="27"/>
  <c r="D293" i="27"/>
  <c r="C294" i="27"/>
  <c r="D294" i="27"/>
  <c r="C295" i="27"/>
  <c r="D295" i="27"/>
  <c r="C296" i="27"/>
  <c r="D296" i="27"/>
  <c r="C297" i="27"/>
  <c r="D297" i="27"/>
  <c r="C298" i="27"/>
  <c r="D298" i="27"/>
  <c r="C299" i="27"/>
  <c r="D299" i="27"/>
  <c r="C300" i="27"/>
  <c r="D300" i="27"/>
  <c r="C301" i="27"/>
  <c r="D301" i="27"/>
  <c r="C302" i="27"/>
  <c r="D302" i="27"/>
  <c r="C303" i="27"/>
  <c r="D303" i="27" s="1"/>
  <c r="C304" i="27"/>
  <c r="D304" i="27"/>
  <c r="C305" i="27"/>
  <c r="D305" i="27"/>
  <c r="C306" i="27"/>
  <c r="D306" i="27"/>
  <c r="C307" i="27"/>
  <c r="D307" i="27" s="1"/>
  <c r="C308" i="27"/>
  <c r="D308" i="27"/>
  <c r="C309" i="27"/>
  <c r="D309" i="27"/>
  <c r="C310" i="27"/>
  <c r="D310" i="27" s="1"/>
  <c r="C311" i="27"/>
  <c r="D311" i="27"/>
  <c r="C312" i="27"/>
  <c r="D312" i="27"/>
  <c r="C313" i="27"/>
  <c r="D313" i="27"/>
  <c r="C314" i="27"/>
  <c r="D314" i="27"/>
  <c r="C315" i="27"/>
  <c r="D315" i="27"/>
  <c r="C316" i="27"/>
  <c r="D316" i="27"/>
  <c r="C317" i="27"/>
  <c r="D317" i="27"/>
  <c r="C318" i="27"/>
  <c r="D318" i="27" s="1"/>
  <c r="C319" i="27"/>
  <c r="D319" i="27"/>
  <c r="C320" i="27"/>
  <c r="D320" i="27" s="1"/>
  <c r="C321" i="27"/>
  <c r="D321" i="27" s="1"/>
  <c r="C322" i="27"/>
  <c r="D322" i="27" s="1"/>
  <c r="C323" i="27"/>
  <c r="D323" i="27"/>
  <c r="C324" i="27"/>
  <c r="D324" i="27"/>
  <c r="C325" i="27"/>
  <c r="D325" i="27"/>
  <c r="C326" i="27"/>
  <c r="D326" i="27"/>
  <c r="C327" i="27"/>
  <c r="D327" i="27"/>
  <c r="C328" i="27"/>
  <c r="D328" i="27" s="1"/>
  <c r="C329" i="27"/>
  <c r="D329" i="27"/>
  <c r="C330" i="27"/>
  <c r="D330" i="27"/>
  <c r="C331" i="27"/>
  <c r="D331" i="27"/>
  <c r="C332" i="27"/>
  <c r="D332" i="27"/>
  <c r="C333" i="27"/>
  <c r="D333" i="27" s="1"/>
  <c r="C334" i="27"/>
  <c r="D334" i="27" s="1"/>
  <c r="C335" i="27"/>
  <c r="D335" i="27"/>
  <c r="C336" i="27"/>
  <c r="D336" i="27"/>
  <c r="C337" i="27"/>
  <c r="D337" i="27" s="1"/>
  <c r="C338" i="27"/>
  <c r="D338" i="27"/>
  <c r="C339" i="27"/>
  <c r="D339" i="27" s="1"/>
  <c r="C340" i="27"/>
  <c r="D340" i="27" s="1"/>
  <c r="C341" i="27"/>
  <c r="D341" i="27" s="1"/>
  <c r="C342" i="27"/>
  <c r="D342" i="27"/>
  <c r="C343" i="27"/>
  <c r="D343" i="27" s="1"/>
  <c r="C344" i="27"/>
  <c r="D344" i="27"/>
  <c r="C345" i="27"/>
  <c r="D345" i="27" s="1"/>
  <c r="C346" i="27"/>
  <c r="D346" i="27"/>
  <c r="C347" i="27"/>
  <c r="D347" i="27"/>
  <c r="C348" i="27"/>
  <c r="D348" i="27"/>
  <c r="C349" i="27"/>
  <c r="D349" i="27"/>
  <c r="C350" i="27"/>
  <c r="D350" i="27" s="1"/>
  <c r="C351" i="27"/>
  <c r="D351" i="27" s="1"/>
  <c r="C352" i="27"/>
  <c r="D352" i="27"/>
  <c r="C353" i="27"/>
  <c r="D353" i="27" s="1"/>
  <c r="C354" i="27"/>
  <c r="D354" i="27"/>
  <c r="C355" i="27"/>
  <c r="D355" i="27"/>
  <c r="C356" i="27"/>
  <c r="D356" i="27"/>
  <c r="C357" i="27"/>
  <c r="D357" i="27" s="1"/>
  <c r="C358" i="27"/>
  <c r="D358" i="27" s="1"/>
  <c r="C359" i="27"/>
  <c r="D359" i="27" s="1"/>
  <c r="C360" i="27"/>
  <c r="D360" i="27"/>
  <c r="C361" i="27"/>
  <c r="D361" i="27" s="1"/>
  <c r="C362" i="27"/>
  <c r="D362" i="27" s="1"/>
  <c r="C363" i="27"/>
  <c r="D363" i="27"/>
  <c r="C364" i="27"/>
  <c r="D364" i="27"/>
  <c r="C365" i="27"/>
  <c r="D365" i="27" s="1"/>
  <c r="C366" i="27"/>
  <c r="D366" i="27"/>
  <c r="C367" i="27"/>
  <c r="D367" i="27"/>
  <c r="C368" i="27"/>
  <c r="D368" i="27"/>
  <c r="C369" i="27"/>
  <c r="D369" i="27"/>
  <c r="C370" i="27"/>
  <c r="D370" i="27" s="1"/>
  <c r="C371" i="27"/>
  <c r="D371" i="27"/>
  <c r="C372" i="27"/>
  <c r="D372" i="27"/>
  <c r="C373" i="27"/>
  <c r="D373" i="27"/>
  <c r="C374" i="27"/>
  <c r="D374" i="27"/>
  <c r="C375" i="27"/>
  <c r="D375" i="27" s="1"/>
  <c r="C376" i="27"/>
  <c r="D376" i="27"/>
  <c r="H1294" i="1"/>
  <c r="M5" i="18"/>
  <c r="V9" i="18"/>
  <c r="W9" i="18"/>
  <c r="W10" i="18"/>
  <c r="V10" i="18"/>
  <c r="W10" i="17"/>
  <c r="V10" i="17"/>
  <c r="W9" i="17"/>
  <c r="V9" i="17"/>
  <c r="M5" i="17"/>
  <c r="I17" i="14" a="1"/>
  <c r="I17" i="14" s="1"/>
  <c r="I16" i="14" a="1"/>
  <c r="I16" i="14" s="1"/>
  <c r="I14" i="14" a="1"/>
  <c r="I14" i="14" s="1"/>
  <c r="F18" i="14"/>
  <c r="I15" i="14" a="1"/>
  <c r="I15" i="14" s="1"/>
  <c r="I970" i="1"/>
  <c r="I971" i="1" s="1"/>
  <c r="I972" i="1" s="1"/>
  <c r="H1248" i="1"/>
  <c r="H1249" i="1" s="1"/>
  <c r="I1249" i="1" s="1"/>
  <c r="L970" i="1"/>
  <c r="L971" i="1" s="1"/>
  <c r="L972" i="1" s="1"/>
  <c r="L962" i="1"/>
  <c r="L963" i="1" s="1"/>
  <c r="L964" i="1" s="1"/>
  <c r="H266" i="1"/>
  <c r="P1061" i="1"/>
  <c r="P1062" i="1"/>
  <c r="P1066" i="1"/>
  <c r="P1067" i="1"/>
  <c r="P1070" i="1"/>
  <c r="S1070" i="1" s="1"/>
  <c r="P1071" i="1"/>
  <c r="S1071" i="1" s="1"/>
  <c r="P1074" i="1"/>
  <c r="P1075" i="1"/>
  <c r="P1079" i="1"/>
  <c r="P1080" i="1"/>
  <c r="P1083" i="1"/>
  <c r="P1084" i="1"/>
  <c r="P1087" i="1"/>
  <c r="P1088" i="1"/>
  <c r="D8" i="29"/>
  <c r="D12" i="29" s="1"/>
  <c r="C29" i="22"/>
  <c r="J994" i="1"/>
  <c r="K994" i="1" s="1"/>
  <c r="C43" i="22"/>
  <c r="J201" i="1"/>
  <c r="J202" i="1"/>
  <c r="M202" i="1" s="1"/>
  <c r="J991" i="1" s="1"/>
  <c r="K991" i="1" s="1"/>
  <c r="J993" i="1"/>
  <c r="K993" i="1" s="1"/>
  <c r="C41" i="22"/>
  <c r="Q9" i="32"/>
  <c r="F525" i="27"/>
  <c r="G525" i="27" s="1"/>
  <c r="K83" i="22"/>
  <c r="K85" i="22"/>
  <c r="H83" i="22"/>
  <c r="H85" i="22"/>
  <c r="D83" i="22"/>
  <c r="D85" i="22"/>
  <c r="J83" i="22"/>
  <c r="J85" i="22"/>
  <c r="I83" i="22"/>
  <c r="I85" i="22"/>
  <c r="G83" i="22"/>
  <c r="G85" i="22"/>
  <c r="E83" i="22"/>
  <c r="E85" i="22"/>
  <c r="T84" i="22"/>
  <c r="T86" i="22"/>
  <c r="W84" i="22"/>
  <c r="W86" i="22"/>
  <c r="U84" i="22"/>
  <c r="U86" i="22"/>
  <c r="R84" i="22"/>
  <c r="R86" i="22"/>
  <c r="I84" i="22"/>
  <c r="I86" i="22"/>
  <c r="F83" i="22"/>
  <c r="F85" i="22"/>
  <c r="C83" i="22"/>
  <c r="C85" i="22"/>
  <c r="V84" i="22"/>
  <c r="V86" i="22"/>
  <c r="S84" i="22"/>
  <c r="S86" i="22"/>
  <c r="Q84" i="22"/>
  <c r="Q86" i="22"/>
  <c r="P84" i="22"/>
  <c r="P86" i="22"/>
  <c r="O84" i="22"/>
  <c r="O86" i="22"/>
  <c r="N84" i="22"/>
  <c r="N86" i="22"/>
  <c r="M84" i="22"/>
  <c r="M86" i="22"/>
  <c r="L84" i="22"/>
  <c r="L86" i="22"/>
  <c r="K84" i="22"/>
  <c r="K86" i="22"/>
  <c r="J84" i="22"/>
  <c r="J86" i="22"/>
  <c r="H84" i="22"/>
  <c r="H86" i="22"/>
  <c r="G84" i="22"/>
  <c r="G86" i="22"/>
  <c r="F84" i="22"/>
  <c r="F86" i="22"/>
  <c r="E84" i="22"/>
  <c r="E86" i="22"/>
  <c r="D84" i="22"/>
  <c r="D86" i="22"/>
  <c r="C84" i="22"/>
  <c r="C86" i="22"/>
  <c r="W83" i="22"/>
  <c r="W85" i="22"/>
  <c r="U83" i="22"/>
  <c r="U85" i="22"/>
  <c r="T83" i="22"/>
  <c r="T85" i="22"/>
  <c r="S83" i="22"/>
  <c r="S85" i="22"/>
  <c r="R83" i="22"/>
  <c r="R85" i="22"/>
  <c r="Q83" i="22"/>
  <c r="Q85" i="22"/>
  <c r="P83" i="22"/>
  <c r="P85" i="22"/>
  <c r="O83" i="22"/>
  <c r="O85" i="22"/>
  <c r="N83" i="22"/>
  <c r="N85" i="22"/>
  <c r="M83" i="22"/>
  <c r="M85" i="22"/>
  <c r="L83" i="22"/>
  <c r="L85" i="22"/>
  <c r="M6" i="17"/>
  <c r="F8" i="17" a="1"/>
  <c r="F8" i="17" s="1"/>
  <c r="J34" i="20" l="1"/>
  <c r="J48" i="20"/>
  <c r="I48" i="20"/>
  <c r="D48" i="20" s="1"/>
  <c r="J25" i="20"/>
  <c r="I25" i="20"/>
  <c r="D25" i="20" s="1"/>
  <c r="C41" i="20"/>
  <c r="C18" i="20"/>
  <c r="H115" i="1"/>
  <c r="O12" i="32"/>
  <c r="H118" i="1"/>
  <c r="L259" i="1"/>
  <c r="H259" i="1"/>
  <c r="H260" i="1"/>
  <c r="O11" i="32"/>
  <c r="Q11" i="32" s="1"/>
  <c r="O10" i="32"/>
  <c r="Q10" i="32" s="1"/>
  <c r="H519" i="1"/>
  <c r="H508" i="1"/>
  <c r="H509" i="1"/>
  <c r="M185" i="1"/>
  <c r="C39" i="23" s="1"/>
  <c r="J996" i="1"/>
  <c r="K996" i="1" s="1"/>
  <c r="C44" i="22"/>
  <c r="M173" i="1"/>
  <c r="C34" i="23" s="1"/>
  <c r="I37" i="20"/>
  <c r="I14" i="20"/>
  <c r="J37" i="20"/>
  <c r="J14" i="20"/>
  <c r="I17" i="20"/>
  <c r="J40" i="20"/>
  <c r="J17" i="20"/>
  <c r="I40" i="20"/>
  <c r="D40" i="20" s="1"/>
  <c r="I26" i="20"/>
  <c r="I49" i="20"/>
  <c r="J26" i="20"/>
  <c r="J49" i="20"/>
  <c r="J22" i="20"/>
  <c r="I22" i="20"/>
  <c r="D22" i="20" s="1"/>
  <c r="J45" i="20"/>
  <c r="I45" i="20"/>
  <c r="I9" i="17"/>
  <c r="I10" i="17"/>
  <c r="I9" i="20"/>
  <c r="I32" i="20"/>
  <c r="J9" i="20"/>
  <c r="J32" i="20"/>
  <c r="I33" i="20"/>
  <c r="J33" i="20"/>
  <c r="J10" i="20"/>
  <c r="I10" i="20"/>
  <c r="D10" i="20" s="1"/>
  <c r="I46" i="20"/>
  <c r="J23" i="20"/>
  <c r="J46" i="20"/>
  <c r="I23" i="20"/>
  <c r="I44" i="20"/>
  <c r="I21" i="20"/>
  <c r="J44" i="20"/>
  <c r="J21" i="20"/>
  <c r="J43" i="20"/>
  <c r="J20" i="20"/>
  <c r="I20" i="20"/>
  <c r="D20" i="20" s="1"/>
  <c r="I43" i="20"/>
  <c r="D43" i="20" s="1"/>
  <c r="I47" i="20"/>
  <c r="J47" i="20"/>
  <c r="D47" i="20" s="1"/>
  <c r="I24" i="20"/>
  <c r="J24" i="20"/>
  <c r="J42" i="20"/>
  <c r="I42" i="20"/>
  <c r="D42" i="20" s="1"/>
  <c r="J19" i="20"/>
  <c r="I19" i="20"/>
  <c r="I18" i="20"/>
  <c r="I41" i="20"/>
  <c r="J18" i="20"/>
  <c r="J41" i="20"/>
  <c r="J38" i="20"/>
  <c r="J15" i="20"/>
  <c r="I38" i="20"/>
  <c r="D38" i="20" s="1"/>
  <c r="I15" i="20"/>
  <c r="J13" i="20"/>
  <c r="J36" i="20"/>
  <c r="I13" i="20"/>
  <c r="I36" i="20"/>
  <c r="J35" i="20"/>
  <c r="J12" i="20"/>
  <c r="I35" i="20"/>
  <c r="D35" i="20" s="1"/>
  <c r="I12" i="20"/>
  <c r="N990" i="1"/>
  <c r="T6" i="32"/>
  <c r="I990" i="1" s="1"/>
  <c r="S7" i="32"/>
  <c r="N997" i="1"/>
  <c r="I11" i="20"/>
  <c r="J11" i="20"/>
  <c r="I34" i="20"/>
  <c r="I27" i="20"/>
  <c r="I50" i="20"/>
  <c r="J27" i="20"/>
  <c r="J50" i="20"/>
  <c r="I39" i="20"/>
  <c r="I16" i="20"/>
  <c r="J39" i="20"/>
  <c r="J16" i="20"/>
  <c r="D74" i="22"/>
  <c r="H74" i="22"/>
  <c r="I74" i="22"/>
  <c r="J74" i="22"/>
  <c r="K74" i="22"/>
  <c r="M69" i="22"/>
  <c r="N74" i="22"/>
  <c r="P69" i="22"/>
  <c r="Q74" i="22"/>
  <c r="R74" i="22"/>
  <c r="S74" i="22"/>
  <c r="T74" i="22"/>
  <c r="U69" i="22"/>
  <c r="V69" i="22"/>
  <c r="W69" i="22"/>
  <c r="C69" i="22"/>
  <c r="C74" i="22"/>
  <c r="D69" i="22"/>
  <c r="E69" i="22"/>
  <c r="E74" i="22"/>
  <c r="F69" i="22"/>
  <c r="F74" i="22"/>
  <c r="G69" i="22"/>
  <c r="G74" i="22"/>
  <c r="H69" i="22"/>
  <c r="F11" i="18"/>
  <c r="M73" i="22"/>
  <c r="L68" i="22"/>
  <c r="L73" i="22"/>
  <c r="K68" i="22"/>
  <c r="K73" i="22"/>
  <c r="J68" i="22"/>
  <c r="J73" i="22"/>
  <c r="I68" i="22"/>
  <c r="Q73" i="22"/>
  <c r="I73" i="22"/>
  <c r="H68" i="22"/>
  <c r="H73" i="22"/>
  <c r="G68" i="22"/>
  <c r="G73" i="22"/>
  <c r="F68" i="22"/>
  <c r="F73" i="22"/>
  <c r="E68" i="22"/>
  <c r="E73" i="22"/>
  <c r="D68" i="22"/>
  <c r="C68" i="22"/>
  <c r="C73" i="22"/>
  <c r="W68" i="22"/>
  <c r="W73" i="22"/>
  <c r="V68" i="22"/>
  <c r="V73" i="22"/>
  <c r="U68" i="22"/>
  <c r="U73" i="22"/>
  <c r="T68" i="22"/>
  <c r="T73" i="22"/>
  <c r="S68" i="22"/>
  <c r="S73" i="22"/>
  <c r="R68" i="22"/>
  <c r="R73" i="22"/>
  <c r="Q68" i="22"/>
  <c r="D73" i="22"/>
  <c r="P68" i="22"/>
  <c r="P73" i="22"/>
  <c r="O68" i="22"/>
  <c r="O73" i="22"/>
  <c r="N68" i="22"/>
  <c r="N73" i="22"/>
  <c r="M68" i="22"/>
  <c r="M16" i="18"/>
  <c r="M7" i="18"/>
  <c r="M8" i="18" s="1"/>
  <c r="F9" i="18"/>
  <c r="I69" i="22"/>
  <c r="J69" i="22"/>
  <c r="K69" i="22"/>
  <c r="L69" i="22"/>
  <c r="M74" i="22"/>
  <c r="N69" i="22"/>
  <c r="O69" i="22"/>
  <c r="O74" i="22"/>
  <c r="P74" i="22"/>
  <c r="Q69" i="22"/>
  <c r="R69" i="22"/>
  <c r="S69" i="22"/>
  <c r="T69" i="22"/>
  <c r="U74" i="22"/>
  <c r="V74" i="22"/>
  <c r="W74" i="22"/>
  <c r="L74" i="22"/>
  <c r="L305" i="1"/>
  <c r="K306" i="1"/>
  <c r="L294" i="1"/>
  <c r="K295" i="1"/>
  <c r="K284" i="1"/>
  <c r="L283" i="1"/>
  <c r="M555" i="1"/>
  <c r="L556" i="1"/>
  <c r="M544" i="1"/>
  <c r="L545" i="1"/>
  <c r="O42" i="20"/>
  <c r="C40" i="20"/>
  <c r="B42" i="20"/>
  <c r="C42" i="20" s="1"/>
  <c r="O43" i="20"/>
  <c r="B43" i="20"/>
  <c r="C43" i="20" s="1"/>
  <c r="C39" i="20"/>
  <c r="C38" i="20"/>
  <c r="B44" i="20"/>
  <c r="C44" i="20" s="1"/>
  <c r="O44" i="20"/>
  <c r="O45" i="20"/>
  <c r="C37" i="20"/>
  <c r="B45" i="20"/>
  <c r="C45" i="20" s="1"/>
  <c r="O46" i="20"/>
  <c r="B46" i="20"/>
  <c r="C46" i="20" s="1"/>
  <c r="C36" i="20"/>
  <c r="O47" i="20"/>
  <c r="C35" i="20"/>
  <c r="B47" i="20"/>
  <c r="C47" i="20" s="1"/>
  <c r="B48" i="20"/>
  <c r="C48" i="20" s="1"/>
  <c r="C34" i="20"/>
  <c r="O48" i="20"/>
  <c r="B49" i="20"/>
  <c r="C49" i="20" s="1"/>
  <c r="C33" i="20"/>
  <c r="O49" i="20"/>
  <c r="B51" i="20"/>
  <c r="C31" i="20"/>
  <c r="L31" i="20" s="1"/>
  <c r="B50" i="20"/>
  <c r="O51" i="20"/>
  <c r="P31" i="20"/>
  <c r="Y31" i="20" s="1"/>
  <c r="O50" i="20"/>
  <c r="L999" i="1"/>
  <c r="L1001" i="1"/>
  <c r="K24" i="19"/>
  <c r="L28" i="1"/>
  <c r="K40" i="19" s="1"/>
  <c r="K1" i="1"/>
  <c r="O19" i="20"/>
  <c r="B19" i="20"/>
  <c r="C19" i="20" s="1"/>
  <c r="C17" i="20"/>
  <c r="B20" i="20"/>
  <c r="C20" i="20" s="1"/>
  <c r="C16" i="20"/>
  <c r="O20" i="20"/>
  <c r="B21" i="20"/>
  <c r="C21" i="20" s="1"/>
  <c r="C15" i="20"/>
  <c r="O21" i="20"/>
  <c r="B22" i="20"/>
  <c r="C22" i="20" s="1"/>
  <c r="C14" i="20"/>
  <c r="O22" i="20"/>
  <c r="B23" i="20"/>
  <c r="C23" i="20" s="1"/>
  <c r="C13" i="20"/>
  <c r="O23" i="20"/>
  <c r="O24" i="20"/>
  <c r="B24" i="20"/>
  <c r="C24" i="20" s="1"/>
  <c r="C12" i="20"/>
  <c r="B25" i="20"/>
  <c r="C25" i="20" s="1"/>
  <c r="C11" i="20"/>
  <c r="O25" i="20"/>
  <c r="B26" i="20"/>
  <c r="C26" i="20" s="1"/>
  <c r="C10" i="20"/>
  <c r="O26" i="20"/>
  <c r="O27" i="20"/>
  <c r="B28" i="20"/>
  <c r="C8" i="20"/>
  <c r="L8" i="20" s="1"/>
  <c r="B27" i="20"/>
  <c r="C27" i="20" s="1"/>
  <c r="C9" i="20"/>
  <c r="O28" i="20"/>
  <c r="P8" i="20"/>
  <c r="Y8" i="20" s="1"/>
  <c r="L519" i="1"/>
  <c r="L508" i="1"/>
  <c r="L274" i="1"/>
  <c r="H274" i="1"/>
  <c r="H275" i="1"/>
  <c r="L509" i="1"/>
  <c r="C31" i="23"/>
  <c r="M170" i="1"/>
  <c r="M201" i="1"/>
  <c r="I9" i="18"/>
  <c r="I10" i="18"/>
  <c r="E526" i="27"/>
  <c r="D526" i="27"/>
  <c r="F9" i="17"/>
  <c r="F11" i="17"/>
  <c r="F5" i="17" s="1"/>
  <c r="M16" i="17"/>
  <c r="C29" i="31" s="1"/>
  <c r="C84" i="31" s="1"/>
  <c r="M7" i="17"/>
  <c r="M8" i="17" s="1"/>
  <c r="D36" i="20" l="1"/>
  <c r="D13" i="20"/>
  <c r="D9" i="20"/>
  <c r="D32" i="20"/>
  <c r="C32" i="20" s="1"/>
  <c r="D19" i="20"/>
  <c r="D12" i="20"/>
  <c r="D37" i="20"/>
  <c r="D46" i="20"/>
  <c r="D44" i="20"/>
  <c r="D34" i="20"/>
  <c r="D27" i="20"/>
  <c r="G120" i="1"/>
  <c r="D14" i="20"/>
  <c r="D17" i="20"/>
  <c r="D49" i="20"/>
  <c r="D33" i="20"/>
  <c r="D23" i="20"/>
  <c r="D24" i="20"/>
  <c r="D18" i="20"/>
  <c r="D41" i="20"/>
  <c r="D11" i="20"/>
  <c r="D50" i="20"/>
  <c r="C50" i="20" s="1"/>
  <c r="L41" i="20"/>
  <c r="I787" i="1"/>
  <c r="K787" i="1" s="1"/>
  <c r="L18" i="20"/>
  <c r="I764" i="1"/>
  <c r="K764" i="1" s="1"/>
  <c r="D26" i="20"/>
  <c r="C35" i="23"/>
  <c r="D21" i="20"/>
  <c r="D15" i="20"/>
  <c r="M177" i="1"/>
  <c r="M178" i="1" s="1"/>
  <c r="D45" i="20"/>
  <c r="L70" i="22"/>
  <c r="G75" i="22"/>
  <c r="E75" i="22"/>
  <c r="C75" i="22"/>
  <c r="U70" i="22"/>
  <c r="R70" i="22"/>
  <c r="Q70" i="22"/>
  <c r="L75" i="22"/>
  <c r="J70" i="22"/>
  <c r="F70" i="22"/>
  <c r="W75" i="22"/>
  <c r="T75" i="22"/>
  <c r="Q75" i="22"/>
  <c r="N75" i="22"/>
  <c r="O70" i="22"/>
  <c r="J75" i="22"/>
  <c r="H75" i="22"/>
  <c r="F75" i="22"/>
  <c r="D75" i="22"/>
  <c r="V70" i="22"/>
  <c r="T70" i="22"/>
  <c r="S70" i="22"/>
  <c r="P70" i="22"/>
  <c r="M70" i="22"/>
  <c r="I70" i="22"/>
  <c r="E70" i="22"/>
  <c r="K70" i="22"/>
  <c r="G70" i="22"/>
  <c r="C70" i="22"/>
  <c r="W70" i="22"/>
  <c r="N70" i="22"/>
  <c r="H70" i="22"/>
  <c r="D70" i="22"/>
  <c r="V75" i="22"/>
  <c r="U75" i="22"/>
  <c r="S75" i="22"/>
  <c r="R75" i="22"/>
  <c r="P75" i="22"/>
  <c r="O75" i="22"/>
  <c r="M75" i="22"/>
  <c r="K75" i="22"/>
  <c r="I75" i="22"/>
  <c r="S8" i="32"/>
  <c r="N991" i="1"/>
  <c r="T7" i="32"/>
  <c r="I991" i="1" s="1"/>
  <c r="L991" i="1" s="1"/>
  <c r="D39" i="20"/>
  <c r="D16" i="20"/>
  <c r="F5" i="18"/>
  <c r="I8" i="18"/>
  <c r="M10" i="18" s="1"/>
  <c r="I7" i="18"/>
  <c r="M11" i="18" s="1"/>
  <c r="T6" i="18"/>
  <c r="T5" i="18"/>
  <c r="M9" i="18"/>
  <c r="M305" i="1"/>
  <c r="L306" i="1"/>
  <c r="M294" i="1"/>
  <c r="L295" i="1"/>
  <c r="L284" i="1"/>
  <c r="M283" i="1"/>
  <c r="N555" i="1"/>
  <c r="M556" i="1"/>
  <c r="N544" i="1"/>
  <c r="M545" i="1"/>
  <c r="L40" i="20"/>
  <c r="I786" i="1"/>
  <c r="K786" i="1" s="1"/>
  <c r="L42" i="20"/>
  <c r="I788" i="1"/>
  <c r="K788" i="1" s="1"/>
  <c r="L43" i="20"/>
  <c r="I789" i="1"/>
  <c r="K789" i="1" s="1"/>
  <c r="I785" i="1"/>
  <c r="K785" i="1" s="1"/>
  <c r="L39" i="20"/>
  <c r="I784" i="1"/>
  <c r="K784" i="1" s="1"/>
  <c r="L38" i="20"/>
  <c r="L44" i="20"/>
  <c r="I790" i="1"/>
  <c r="K790" i="1" s="1"/>
  <c r="L37" i="20"/>
  <c r="I783" i="1"/>
  <c r="K783" i="1" s="1"/>
  <c r="L45" i="20"/>
  <c r="I791" i="1"/>
  <c r="K791" i="1" s="1"/>
  <c r="L46" i="20"/>
  <c r="I792" i="1"/>
  <c r="K792" i="1" s="1"/>
  <c r="L36" i="20"/>
  <c r="I782" i="1"/>
  <c r="K782" i="1" s="1"/>
  <c r="L35" i="20"/>
  <c r="I781" i="1"/>
  <c r="K781" i="1" s="1"/>
  <c r="L47" i="20"/>
  <c r="I793" i="1"/>
  <c r="K793" i="1" s="1"/>
  <c r="L48" i="20"/>
  <c r="I794" i="1"/>
  <c r="K794" i="1" s="1"/>
  <c r="L34" i="20"/>
  <c r="I780" i="1"/>
  <c r="K780" i="1" s="1"/>
  <c r="L49" i="20"/>
  <c r="I795" i="1"/>
  <c r="K795" i="1" s="1"/>
  <c r="L33" i="20"/>
  <c r="I779" i="1"/>
  <c r="K779" i="1" s="1"/>
  <c r="L19" i="20"/>
  <c r="I765" i="1"/>
  <c r="K765" i="1" s="1"/>
  <c r="L17" i="20"/>
  <c r="I763" i="1"/>
  <c r="K763" i="1" s="1"/>
  <c r="L20" i="20"/>
  <c r="I766" i="1"/>
  <c r="K766" i="1" s="1"/>
  <c r="L16" i="20"/>
  <c r="I762" i="1"/>
  <c r="K762" i="1" s="1"/>
  <c r="L21" i="20"/>
  <c r="I767" i="1"/>
  <c r="K767" i="1" s="1"/>
  <c r="L15" i="20"/>
  <c r="I761" i="1"/>
  <c r="K761" i="1" s="1"/>
  <c r="L22" i="20"/>
  <c r="I768" i="1"/>
  <c r="K768" i="1" s="1"/>
  <c r="L14" i="20"/>
  <c r="I760" i="1"/>
  <c r="K760" i="1" s="1"/>
  <c r="L23" i="20"/>
  <c r="I769" i="1"/>
  <c r="K769" i="1" s="1"/>
  <c r="L13" i="20"/>
  <c r="I759" i="1"/>
  <c r="K759" i="1" s="1"/>
  <c r="L24" i="20"/>
  <c r="I770" i="1"/>
  <c r="K770" i="1" s="1"/>
  <c r="L12" i="20"/>
  <c r="I758" i="1"/>
  <c r="K758" i="1" s="1"/>
  <c r="L25" i="20"/>
  <c r="I771" i="1"/>
  <c r="K771" i="1" s="1"/>
  <c r="L11" i="20"/>
  <c r="I757" i="1"/>
  <c r="K757" i="1" s="1"/>
  <c r="L26" i="20"/>
  <c r="I772" i="1"/>
  <c r="K772" i="1" s="1"/>
  <c r="L10" i="20"/>
  <c r="I756" i="1"/>
  <c r="K756" i="1" s="1"/>
  <c r="L27" i="20"/>
  <c r="I773" i="1"/>
  <c r="K773" i="1" s="1"/>
  <c r="L9" i="20"/>
  <c r="I755" i="1"/>
  <c r="C36" i="23"/>
  <c r="C40" i="23" s="1"/>
  <c r="M182" i="1"/>
  <c r="M187" i="1" s="1"/>
  <c r="M188" i="1" s="1"/>
  <c r="C39" i="22"/>
  <c r="J990" i="1"/>
  <c r="K990" i="1" s="1"/>
  <c r="L990" i="1" s="1"/>
  <c r="M990" i="1" s="1"/>
  <c r="L216" i="1"/>
  <c r="M9" i="17"/>
  <c r="T5" i="17"/>
  <c r="T6" i="17"/>
  <c r="I7" i="17"/>
  <c r="M11" i="17" s="1"/>
  <c r="I8" i="17"/>
  <c r="M10" i="17" s="1"/>
  <c r="T9" i="17"/>
  <c r="T10" i="17"/>
  <c r="F14" i="17"/>
  <c r="F526" i="27"/>
  <c r="G526" i="27" s="1"/>
  <c r="S13" i="17"/>
  <c r="S12" i="17"/>
  <c r="I778" i="1" l="1"/>
  <c r="K778" i="1" s="1"/>
  <c r="L32" i="20"/>
  <c r="L222" i="1"/>
  <c r="J238" i="1" s="1"/>
  <c r="C54" i="23"/>
  <c r="C57" i="23" s="1"/>
  <c r="M991" i="1"/>
  <c r="T8" i="32"/>
  <c r="I992" i="1" s="1"/>
  <c r="L992" i="1" s="1"/>
  <c r="S9" i="32"/>
  <c r="N992" i="1"/>
  <c r="T9" i="18"/>
  <c r="T10" i="18"/>
  <c r="S13" i="18"/>
  <c r="S12" i="18"/>
  <c r="F14" i="18"/>
  <c r="F16" i="17"/>
  <c r="F15" i="17"/>
  <c r="F17" i="17"/>
  <c r="N305" i="1"/>
  <c r="M306" i="1"/>
  <c r="N294" i="1"/>
  <c r="M295" i="1"/>
  <c r="M284" i="1"/>
  <c r="N283" i="1"/>
  <c r="G558" i="1"/>
  <c r="N556" i="1"/>
  <c r="G547" i="1"/>
  <c r="N545" i="1"/>
  <c r="K755" i="1"/>
  <c r="N67" i="22"/>
  <c r="N71" i="22" s="1"/>
  <c r="Q72" i="22"/>
  <c r="Q76" i="22" s="1"/>
  <c r="U67" i="22"/>
  <c r="U71" i="22" s="1"/>
  <c r="W67" i="22"/>
  <c r="W71" i="22" s="1"/>
  <c r="C72" i="22"/>
  <c r="C76" i="22" s="1"/>
  <c r="G72" i="22"/>
  <c r="G76" i="22" s="1"/>
  <c r="I67" i="22"/>
  <c r="I71" i="22" s="1"/>
  <c r="J72" i="22"/>
  <c r="J76" i="22" s="1"/>
  <c r="H67" i="22"/>
  <c r="H71" i="22" s="1"/>
  <c r="K67" i="22"/>
  <c r="K71" i="22" s="1"/>
  <c r="K72" i="22"/>
  <c r="K76" i="22" s="1"/>
  <c r="O67" i="22"/>
  <c r="O71" i="22" s="1"/>
  <c r="P67" i="22"/>
  <c r="P71" i="22" s="1"/>
  <c r="R72" i="22"/>
  <c r="R76" i="22" s="1"/>
  <c r="T72" i="22"/>
  <c r="T76" i="22" s="1"/>
  <c r="U72" i="22"/>
  <c r="U76" i="22" s="1"/>
  <c r="F67" i="22"/>
  <c r="F71" i="22" s="1"/>
  <c r="E72" i="22"/>
  <c r="E76" i="22" s="1"/>
  <c r="D67" i="22"/>
  <c r="D71" i="22" s="1"/>
  <c r="H72" i="22"/>
  <c r="H76" i="22" s="1"/>
  <c r="T67" i="22"/>
  <c r="T71" i="22" s="1"/>
  <c r="V72" i="22"/>
  <c r="V76" i="22" s="1"/>
  <c r="M67" i="22"/>
  <c r="M71" i="22" s="1"/>
  <c r="V67" i="22"/>
  <c r="V71" i="22" s="1"/>
  <c r="C67" i="22"/>
  <c r="C71" i="22" s="1"/>
  <c r="F72" i="22"/>
  <c r="F76" i="22" s="1"/>
  <c r="E67" i="22"/>
  <c r="E71" i="22" s="1"/>
  <c r="G67" i="22"/>
  <c r="G71" i="22" s="1"/>
  <c r="I72" i="22"/>
  <c r="I76" i="22" s="1"/>
  <c r="D72" i="22"/>
  <c r="D76" i="22" s="1"/>
  <c r="L72" i="22"/>
  <c r="L76" i="22" s="1"/>
  <c r="N72" i="22"/>
  <c r="N76" i="22" s="1"/>
  <c r="O72" i="22"/>
  <c r="O76" i="22" s="1"/>
  <c r="Q67" i="22"/>
  <c r="Q71" i="22" s="1"/>
  <c r="L67" i="22"/>
  <c r="L71" i="22" s="1"/>
  <c r="M72" i="22"/>
  <c r="M76" i="22" s="1"/>
  <c r="P72" i="22"/>
  <c r="P76" i="22" s="1"/>
  <c r="S72" i="22"/>
  <c r="S76" i="22" s="1"/>
  <c r="R67" i="22"/>
  <c r="R71" i="22" s="1"/>
  <c r="S67" i="22"/>
  <c r="S71" i="22" s="1"/>
  <c r="W72" i="22"/>
  <c r="W76" i="22" s="1"/>
  <c r="J67" i="22"/>
  <c r="J71" i="22" s="1"/>
  <c r="L221" i="1"/>
  <c r="J237" i="1" s="1"/>
  <c r="C53" i="23"/>
  <c r="C56" i="23" s="1"/>
  <c r="C46" i="22"/>
  <c r="E527" i="27"/>
  <c r="D527" i="27"/>
  <c r="F527" i="27" s="1"/>
  <c r="G527" i="27" s="1"/>
  <c r="I796" i="1"/>
  <c r="L50" i="20"/>
  <c r="I1052" i="1" l="1"/>
  <c r="K238" i="1"/>
  <c r="J12" i="32"/>
  <c r="H916" i="1"/>
  <c r="H917" i="1" s="1"/>
  <c r="L138" i="1" s="1"/>
  <c r="D105" i="22"/>
  <c r="C51" i="31"/>
  <c r="U87" i="22"/>
  <c r="U91" i="22" s="1"/>
  <c r="M992" i="1"/>
  <c r="N87" i="22"/>
  <c r="N91" i="22" s="1"/>
  <c r="Q88" i="22"/>
  <c r="Q92" i="22" s="1"/>
  <c r="T9" i="32"/>
  <c r="I993" i="1" s="1"/>
  <c r="L993" i="1" s="1"/>
  <c r="M993" i="1" s="1"/>
  <c r="S10" i="32"/>
  <c r="N993" i="1"/>
  <c r="F15" i="18"/>
  <c r="F16" i="18"/>
  <c r="F17" i="18"/>
  <c r="I16" i="17" a="1"/>
  <c r="I16" i="17" s="1"/>
  <c r="I17" i="17" a="1"/>
  <c r="I17" i="17" s="1"/>
  <c r="W88" i="22"/>
  <c r="W92" i="22" s="1"/>
  <c r="W94" i="22" s="1"/>
  <c r="I15" i="17" a="1"/>
  <c r="I15" i="17" s="1"/>
  <c r="F18" i="17"/>
  <c r="I14" i="17" a="1"/>
  <c r="I14" i="17" s="1"/>
  <c r="G308" i="1"/>
  <c r="N306" i="1"/>
  <c r="N295" i="1"/>
  <c r="G297" i="1"/>
  <c r="N284" i="1"/>
  <c r="G286" i="1"/>
  <c r="H558" i="1"/>
  <c r="G559" i="1"/>
  <c r="G548" i="1"/>
  <c r="H547" i="1"/>
  <c r="J242" i="1"/>
  <c r="J243" i="1"/>
  <c r="K237" i="1"/>
  <c r="H561" i="1"/>
  <c r="H562" i="1"/>
  <c r="H1052" i="1"/>
  <c r="H1053" i="1"/>
  <c r="L980" i="1"/>
  <c r="C50" i="31"/>
  <c r="D104" i="22"/>
  <c r="H932" i="1"/>
  <c r="L981" i="1"/>
  <c r="L983" i="1" s="1"/>
  <c r="L984" i="1" s="1"/>
  <c r="L985" i="1" s="1"/>
  <c r="I997" i="1" s="1"/>
  <c r="L997" i="1" s="1"/>
  <c r="H911" i="1"/>
  <c r="H912" i="1" s="1"/>
  <c r="H933" i="1"/>
  <c r="I12" i="32"/>
  <c r="C59" i="23"/>
  <c r="C58" i="23"/>
  <c r="D528" i="27"/>
  <c r="E528" i="27"/>
  <c r="W87" i="22"/>
  <c r="W91" i="22" s="1"/>
  <c r="C88" i="22"/>
  <c r="C92" i="22" s="1"/>
  <c r="C94" i="22" s="1"/>
  <c r="G88" i="22"/>
  <c r="G92" i="22" s="1"/>
  <c r="I87" i="22"/>
  <c r="I91" i="22" s="1"/>
  <c r="J88" i="22"/>
  <c r="J92" i="22" s="1"/>
  <c r="H87" i="22"/>
  <c r="H91" i="22" s="1"/>
  <c r="K87" i="22"/>
  <c r="K91" i="22" s="1"/>
  <c r="K88" i="22"/>
  <c r="K92" i="22" s="1"/>
  <c r="O87" i="22"/>
  <c r="O91" i="22" s="1"/>
  <c r="R88" i="22"/>
  <c r="R92" i="22" s="1"/>
  <c r="T88" i="22"/>
  <c r="T92" i="22" s="1"/>
  <c r="F87" i="22"/>
  <c r="F91" i="22" s="1"/>
  <c r="E88" i="22"/>
  <c r="E92" i="22" s="1"/>
  <c r="D87" i="22"/>
  <c r="D91" i="22" s="1"/>
  <c r="T87" i="22"/>
  <c r="T91" i="22" s="1"/>
  <c r="I88" i="22"/>
  <c r="I92" i="22" s="1"/>
  <c r="N88" i="22"/>
  <c r="N92" i="22" s="1"/>
  <c r="Q87" i="22"/>
  <c r="Q91" i="22" s="1"/>
  <c r="P88" i="22"/>
  <c r="P92" i="22" s="1"/>
  <c r="R87" i="22"/>
  <c r="R91" i="22" s="1"/>
  <c r="P87" i="22"/>
  <c r="P91" i="22" s="1"/>
  <c r="U88" i="22"/>
  <c r="U92" i="22" s="1"/>
  <c r="H88" i="22"/>
  <c r="H92" i="22" s="1"/>
  <c r="V88" i="22"/>
  <c r="V92" i="22" s="1"/>
  <c r="D88" i="22"/>
  <c r="D92" i="22" s="1"/>
  <c r="O88" i="22"/>
  <c r="O92" i="22" s="1"/>
  <c r="M88" i="22"/>
  <c r="M92" i="22" s="1"/>
  <c r="S87" i="22"/>
  <c r="S91" i="22" s="1"/>
  <c r="J87" i="22"/>
  <c r="J91" i="22" s="1"/>
  <c r="M87" i="22"/>
  <c r="M91" i="22" s="1"/>
  <c r="V87" i="22"/>
  <c r="V91" i="22" s="1"/>
  <c r="C87" i="22"/>
  <c r="C91" i="22" s="1"/>
  <c r="F88" i="22"/>
  <c r="F92" i="22" s="1"/>
  <c r="E87" i="22"/>
  <c r="E91" i="22" s="1"/>
  <c r="G87" i="22"/>
  <c r="G91" i="22" s="1"/>
  <c r="L88" i="22"/>
  <c r="L92" i="22" s="1"/>
  <c r="S88" i="22"/>
  <c r="S92" i="22" s="1"/>
  <c r="L87" i="22"/>
  <c r="L91" i="22" s="1"/>
  <c r="K796" i="1"/>
  <c r="J829" i="1"/>
  <c r="J830" i="1" s="1"/>
  <c r="J831" i="1" s="1"/>
  <c r="I833" i="1" s="1"/>
  <c r="C52" i="31" l="1"/>
  <c r="U97" i="22"/>
  <c r="R49" i="20"/>
  <c r="U93" i="22"/>
  <c r="N93" i="22"/>
  <c r="N98" i="22"/>
  <c r="R42" i="20"/>
  <c r="N97" i="22"/>
  <c r="R22" i="20"/>
  <c r="Q94" i="22"/>
  <c r="T10" i="32"/>
  <c r="I995" i="1" s="1"/>
  <c r="L995" i="1" s="1"/>
  <c r="S11" i="32"/>
  <c r="N995" i="1"/>
  <c r="U98" i="22"/>
  <c r="I14" i="18" a="1"/>
  <c r="I14" i="18" s="1"/>
  <c r="F18" i="18"/>
  <c r="I15" i="18" a="1"/>
  <c r="I15" i="18" s="1"/>
  <c r="I17" i="18" a="1"/>
  <c r="I17" i="18" s="1"/>
  <c r="I16" i="18" a="1"/>
  <c r="I16" i="18" s="1"/>
  <c r="H308" i="1"/>
  <c r="G309" i="1"/>
  <c r="G298" i="1"/>
  <c r="H297" i="1"/>
  <c r="G287" i="1"/>
  <c r="AB47" i="20" s="1"/>
  <c r="H286" i="1"/>
  <c r="I558" i="1"/>
  <c r="H559" i="1"/>
  <c r="H548" i="1"/>
  <c r="I547" i="1"/>
  <c r="T11" i="32"/>
  <c r="I994" i="1" s="1"/>
  <c r="L994" i="1" s="1"/>
  <c r="M994" i="1" s="1"/>
  <c r="M995" i="1" s="1"/>
  <c r="N994" i="1"/>
  <c r="S42" i="20"/>
  <c r="P42" i="20" s="1"/>
  <c r="Y42" i="20" s="1"/>
  <c r="S19" i="20"/>
  <c r="P19" i="20" s="1"/>
  <c r="Y19" i="20" s="1"/>
  <c r="I676" i="1"/>
  <c r="K676" i="1" s="1"/>
  <c r="I602" i="1"/>
  <c r="K602" i="1" s="1"/>
  <c r="I346" i="1"/>
  <c r="K346" i="1" s="1"/>
  <c r="I427" i="1"/>
  <c r="K427" i="1" s="1"/>
  <c r="I652" i="1"/>
  <c r="K652" i="1" s="1"/>
  <c r="D106" i="22"/>
  <c r="H256" i="1"/>
  <c r="L256" i="1"/>
  <c r="H271" i="1"/>
  <c r="L271" i="1"/>
  <c r="H505" i="1"/>
  <c r="L505" i="1"/>
  <c r="H516" i="1"/>
  <c r="L516" i="1"/>
  <c r="H1276" i="1"/>
  <c r="H1277" i="1" s="1"/>
  <c r="H1284" i="1" s="1"/>
  <c r="I1284" i="1" s="1"/>
  <c r="AB32" i="20"/>
  <c r="AB35" i="20"/>
  <c r="AB38" i="20"/>
  <c r="AB40" i="20"/>
  <c r="AB41" i="20"/>
  <c r="AB42" i="20"/>
  <c r="AB43" i="20"/>
  <c r="AB44" i="20"/>
  <c r="AB45" i="20"/>
  <c r="AB46" i="20"/>
  <c r="H1131" i="1"/>
  <c r="AB33" i="20"/>
  <c r="AB34" i="20"/>
  <c r="AB36" i="20"/>
  <c r="AB37" i="20"/>
  <c r="AB39" i="20"/>
  <c r="H1112" i="1"/>
  <c r="H1113" i="1" s="1"/>
  <c r="H1117" i="1" s="1"/>
  <c r="H1118" i="1" s="1"/>
  <c r="D107" i="22"/>
  <c r="H257" i="1"/>
  <c r="L257" i="1"/>
  <c r="H272" i="1"/>
  <c r="L272" i="1"/>
  <c r="H506" i="1"/>
  <c r="L506" i="1"/>
  <c r="H517" i="1"/>
  <c r="L517" i="1"/>
  <c r="C79" i="31"/>
  <c r="K1075" i="1"/>
  <c r="H1064" i="1"/>
  <c r="I1065" i="1" s="1"/>
  <c r="L127" i="1"/>
  <c r="H888" i="1"/>
  <c r="K12" i="32"/>
  <c r="L12" i="32"/>
  <c r="W98" i="22"/>
  <c r="W93" i="22"/>
  <c r="W97" i="22"/>
  <c r="R12" i="20"/>
  <c r="G94" i="22"/>
  <c r="I97" i="22"/>
  <c r="I98" i="22"/>
  <c r="I93" i="22"/>
  <c r="R37" i="20"/>
  <c r="J94" i="22"/>
  <c r="R15" i="20"/>
  <c r="H93" i="22"/>
  <c r="H97" i="22"/>
  <c r="H98" i="22"/>
  <c r="R36" i="20"/>
  <c r="K98" i="22"/>
  <c r="K97" i="22"/>
  <c r="K93" i="22"/>
  <c r="R39" i="20"/>
  <c r="R16" i="20"/>
  <c r="K94" i="22"/>
  <c r="O97" i="22"/>
  <c r="O93" i="22"/>
  <c r="O98" i="22"/>
  <c r="R43" i="20"/>
  <c r="R23" i="20"/>
  <c r="R94" i="22"/>
  <c r="R25" i="20"/>
  <c r="T94" i="22"/>
  <c r="F93" i="22"/>
  <c r="F98" i="22"/>
  <c r="R34" i="20"/>
  <c r="F97" i="22"/>
  <c r="R10" i="20"/>
  <c r="E94" i="22"/>
  <c r="D98" i="22"/>
  <c r="D97" i="22"/>
  <c r="D93" i="22"/>
  <c r="R32" i="20"/>
  <c r="T98" i="22"/>
  <c r="R48" i="20"/>
  <c r="T97" i="22"/>
  <c r="T93" i="22"/>
  <c r="I94" i="22"/>
  <c r="R14" i="20"/>
  <c r="N94" i="22"/>
  <c r="R19" i="20"/>
  <c r="Q97" i="22"/>
  <c r="Q98" i="22"/>
  <c r="R45" i="20"/>
  <c r="Q93" i="22"/>
  <c r="R21" i="20"/>
  <c r="P94" i="22"/>
  <c r="R98" i="22"/>
  <c r="R97" i="22"/>
  <c r="R93" i="22"/>
  <c r="R46" i="20"/>
  <c r="P97" i="22"/>
  <c r="R44" i="20"/>
  <c r="P98" i="22"/>
  <c r="P93" i="22"/>
  <c r="R26" i="20"/>
  <c r="U94" i="22"/>
  <c r="R13" i="20"/>
  <c r="H94" i="22"/>
  <c r="V94" i="22"/>
  <c r="R27" i="20"/>
  <c r="D94" i="22"/>
  <c r="R9" i="20"/>
  <c r="O94" i="22"/>
  <c r="R20" i="20"/>
  <c r="C105" i="22"/>
  <c r="E105" i="22" s="1"/>
  <c r="M94" i="22"/>
  <c r="R18" i="20"/>
  <c r="S98" i="22"/>
  <c r="S93" i="22"/>
  <c r="S97" i="22"/>
  <c r="R47" i="20"/>
  <c r="J98" i="22"/>
  <c r="R38" i="20"/>
  <c r="J97" i="22"/>
  <c r="J93" i="22"/>
  <c r="R41" i="20"/>
  <c r="M98" i="22"/>
  <c r="C107" i="22" s="1"/>
  <c r="M97" i="22"/>
  <c r="C104" i="22"/>
  <c r="E104" i="22" s="1"/>
  <c r="M93" i="22"/>
  <c r="V98" i="22"/>
  <c r="V93" i="22"/>
  <c r="V97" i="22"/>
  <c r="R50" i="20"/>
  <c r="C93" i="22"/>
  <c r="C97" i="22"/>
  <c r="C98" i="22"/>
  <c r="R11" i="20"/>
  <c r="F94" i="22"/>
  <c r="E97" i="22"/>
  <c r="R33" i="20"/>
  <c r="E98" i="22"/>
  <c r="E93" i="22"/>
  <c r="G98" i="22"/>
  <c r="G93" i="22"/>
  <c r="G97" i="22"/>
  <c r="R35" i="20"/>
  <c r="R17" i="20"/>
  <c r="L94" i="22"/>
  <c r="S94" i="22"/>
  <c r="R24" i="20"/>
  <c r="R40" i="20"/>
  <c r="L93" i="22"/>
  <c r="L98" i="22"/>
  <c r="L97" i="22"/>
  <c r="F528" i="27"/>
  <c r="G528" i="27" s="1"/>
  <c r="I579" i="1" l="1"/>
  <c r="K579" i="1" s="1"/>
  <c r="I404" i="1"/>
  <c r="K404" i="1" s="1"/>
  <c r="I323" i="1"/>
  <c r="K323" i="1" s="1"/>
  <c r="E107" i="22"/>
  <c r="I308" i="1"/>
  <c r="H309" i="1"/>
  <c r="H298" i="1"/>
  <c r="I297" i="1"/>
  <c r="H287" i="1"/>
  <c r="I286" i="1"/>
  <c r="J558" i="1"/>
  <c r="I559" i="1"/>
  <c r="I548" i="1"/>
  <c r="J547" i="1"/>
  <c r="H1132" i="1"/>
  <c r="H1136" i="1" s="1"/>
  <c r="H1137" i="1" s="1"/>
  <c r="H1148" i="1"/>
  <c r="H1152" i="1" s="1"/>
  <c r="H1153" i="1" s="1"/>
  <c r="H1120" i="1"/>
  <c r="C97" i="31"/>
  <c r="L1076" i="1"/>
  <c r="H1082" i="1"/>
  <c r="K897" i="1"/>
  <c r="I897" i="1"/>
  <c r="S37" i="20"/>
  <c r="P37" i="20" s="1"/>
  <c r="Y37" i="20" s="1"/>
  <c r="S14" i="20"/>
  <c r="P14" i="20" s="1"/>
  <c r="Y14" i="20" s="1"/>
  <c r="I574" i="1"/>
  <c r="K574" i="1" s="1"/>
  <c r="I318" i="1"/>
  <c r="K318" i="1" s="1"/>
  <c r="I647" i="1"/>
  <c r="K647" i="1" s="1"/>
  <c r="I399" i="1"/>
  <c r="K399" i="1" s="1"/>
  <c r="I671" i="1"/>
  <c r="K671" i="1" s="1"/>
  <c r="I597" i="1"/>
  <c r="K597" i="1" s="1"/>
  <c r="I422" i="1"/>
  <c r="K422" i="1" s="1"/>
  <c r="I341" i="1"/>
  <c r="K341" i="1" s="1"/>
  <c r="V14" i="20"/>
  <c r="W14" i="20"/>
  <c r="V37" i="20"/>
  <c r="W37" i="20"/>
  <c r="S36" i="20"/>
  <c r="P36" i="20" s="1"/>
  <c r="Y36" i="20" s="1"/>
  <c r="S13" i="20"/>
  <c r="P13" i="20" s="1"/>
  <c r="Y13" i="20" s="1"/>
  <c r="I646" i="1"/>
  <c r="K646" i="1" s="1"/>
  <c r="I573" i="1"/>
  <c r="K573" i="1" s="1"/>
  <c r="I398" i="1"/>
  <c r="K398" i="1" s="1"/>
  <c r="I317" i="1"/>
  <c r="K317" i="1" s="1"/>
  <c r="I421" i="1"/>
  <c r="K421" i="1" s="1"/>
  <c r="I670" i="1"/>
  <c r="K670" i="1" s="1"/>
  <c r="I596" i="1"/>
  <c r="K596" i="1" s="1"/>
  <c r="I340" i="1"/>
  <c r="K340" i="1" s="1"/>
  <c r="W13" i="20"/>
  <c r="V13" i="20"/>
  <c r="Q13" i="20" s="1"/>
  <c r="W36" i="20"/>
  <c r="V36" i="20"/>
  <c r="S39" i="20"/>
  <c r="P39" i="20" s="1"/>
  <c r="Y39" i="20" s="1"/>
  <c r="S16" i="20"/>
  <c r="P16" i="20" s="1"/>
  <c r="Y16" i="20" s="1"/>
  <c r="I649" i="1"/>
  <c r="K649" i="1" s="1"/>
  <c r="I576" i="1"/>
  <c r="K576" i="1" s="1"/>
  <c r="I401" i="1"/>
  <c r="K401" i="1" s="1"/>
  <c r="I320" i="1"/>
  <c r="K320" i="1" s="1"/>
  <c r="I424" i="1"/>
  <c r="K424" i="1" s="1"/>
  <c r="I673" i="1"/>
  <c r="K673" i="1" s="1"/>
  <c r="I599" i="1"/>
  <c r="K599" i="1" s="1"/>
  <c r="I343" i="1"/>
  <c r="K343" i="1" s="1"/>
  <c r="V16" i="20"/>
  <c r="W16" i="20"/>
  <c r="V39" i="20"/>
  <c r="W39" i="20"/>
  <c r="S43" i="20"/>
  <c r="P43" i="20" s="1"/>
  <c r="Y43" i="20" s="1"/>
  <c r="S20" i="20"/>
  <c r="P20" i="20" s="1"/>
  <c r="Y20" i="20" s="1"/>
  <c r="I653" i="1"/>
  <c r="K653" i="1" s="1"/>
  <c r="I580" i="1"/>
  <c r="K580" i="1" s="1"/>
  <c r="I405" i="1"/>
  <c r="K405" i="1" s="1"/>
  <c r="I324" i="1"/>
  <c r="K324" i="1" s="1"/>
  <c r="I677" i="1"/>
  <c r="K677" i="1" s="1"/>
  <c r="I428" i="1"/>
  <c r="K428" i="1" s="1"/>
  <c r="I603" i="1"/>
  <c r="K603" i="1" s="1"/>
  <c r="I347" i="1"/>
  <c r="K347" i="1" s="1"/>
  <c r="W20" i="20"/>
  <c r="V43" i="20"/>
  <c r="V20" i="20"/>
  <c r="W43" i="20"/>
  <c r="W11" i="20"/>
  <c r="V34" i="20"/>
  <c r="V11" i="20"/>
  <c r="Q11" i="20" s="1"/>
  <c r="W34" i="20"/>
  <c r="S34" i="20"/>
  <c r="P34" i="20" s="1"/>
  <c r="Y34" i="20" s="1"/>
  <c r="S11" i="20"/>
  <c r="P11" i="20" s="1"/>
  <c r="Y11" i="20" s="1"/>
  <c r="I644" i="1"/>
  <c r="K644" i="1" s="1"/>
  <c r="I571" i="1"/>
  <c r="K571" i="1" s="1"/>
  <c r="I396" i="1"/>
  <c r="K396" i="1" s="1"/>
  <c r="I315" i="1"/>
  <c r="K315" i="1" s="1"/>
  <c r="I419" i="1"/>
  <c r="K419" i="1" s="1"/>
  <c r="I668" i="1"/>
  <c r="K668" i="1" s="1"/>
  <c r="I594" i="1"/>
  <c r="K594" i="1" s="1"/>
  <c r="I338" i="1"/>
  <c r="K338" i="1" s="1"/>
  <c r="S9" i="20"/>
  <c r="P9" i="20" s="1"/>
  <c r="Y9" i="20" s="1"/>
  <c r="S32" i="20"/>
  <c r="I313" i="1"/>
  <c r="K313" i="1" s="1"/>
  <c r="I394" i="1"/>
  <c r="K394" i="1" s="1"/>
  <c r="I569" i="1"/>
  <c r="K569" i="1" s="1"/>
  <c r="I642" i="1"/>
  <c r="K642" i="1" s="1"/>
  <c r="W32" i="20"/>
  <c r="W9" i="20"/>
  <c r="V9" i="20"/>
  <c r="Q9" i="20" s="1"/>
  <c r="V32" i="20"/>
  <c r="V48" i="20"/>
  <c r="V25" i="20"/>
  <c r="W48" i="20"/>
  <c r="W25" i="20"/>
  <c r="I658" i="1"/>
  <c r="K658" i="1" s="1"/>
  <c r="I585" i="1"/>
  <c r="K585" i="1" s="1"/>
  <c r="I682" i="1"/>
  <c r="K682" i="1" s="1"/>
  <c r="I608" i="1"/>
  <c r="K608" i="1" s="1"/>
  <c r="S45" i="20"/>
  <c r="P45" i="20" s="1"/>
  <c r="Y45" i="20" s="1"/>
  <c r="S22" i="20"/>
  <c r="P22" i="20" s="1"/>
  <c r="Y22" i="20" s="1"/>
  <c r="I655" i="1"/>
  <c r="K655" i="1" s="1"/>
  <c r="I407" i="1"/>
  <c r="K407" i="1" s="1"/>
  <c r="I326" i="1"/>
  <c r="K326" i="1" s="1"/>
  <c r="I582" i="1"/>
  <c r="K582" i="1" s="1"/>
  <c r="I430" i="1"/>
  <c r="K430" i="1" s="1"/>
  <c r="I605" i="1"/>
  <c r="K605" i="1" s="1"/>
  <c r="I349" i="1"/>
  <c r="K349" i="1" s="1"/>
  <c r="I679" i="1"/>
  <c r="K679" i="1" s="1"/>
  <c r="V45" i="20"/>
  <c r="V22" i="20"/>
  <c r="W22" i="20"/>
  <c r="W45" i="20"/>
  <c r="S46" i="20"/>
  <c r="P46" i="20" s="1"/>
  <c r="Y46" i="20" s="1"/>
  <c r="S23" i="20"/>
  <c r="P23" i="20" s="1"/>
  <c r="Y23" i="20" s="1"/>
  <c r="I656" i="1"/>
  <c r="K656" i="1" s="1"/>
  <c r="I583" i="1"/>
  <c r="K583" i="1" s="1"/>
  <c r="I408" i="1"/>
  <c r="K408" i="1" s="1"/>
  <c r="I327" i="1"/>
  <c r="K327" i="1" s="1"/>
  <c r="I680" i="1"/>
  <c r="K680" i="1" s="1"/>
  <c r="I431" i="1"/>
  <c r="K431" i="1" s="1"/>
  <c r="I606" i="1"/>
  <c r="K606" i="1" s="1"/>
  <c r="I350" i="1"/>
  <c r="K350" i="1" s="1"/>
  <c r="W46" i="20"/>
  <c r="W23" i="20"/>
  <c r="V23" i="20"/>
  <c r="Q23" i="20" s="1"/>
  <c r="V46" i="20"/>
  <c r="Q46" i="20" s="1"/>
  <c r="S44" i="20"/>
  <c r="P44" i="20" s="1"/>
  <c r="Y44" i="20" s="1"/>
  <c r="S21" i="20"/>
  <c r="P21" i="20" s="1"/>
  <c r="Y21" i="20" s="1"/>
  <c r="I429" i="1"/>
  <c r="K429" i="1" s="1"/>
  <c r="I604" i="1"/>
  <c r="K604" i="1" s="1"/>
  <c r="I678" i="1"/>
  <c r="K678" i="1" s="1"/>
  <c r="I348" i="1"/>
  <c r="K348" i="1" s="1"/>
  <c r="I581" i="1"/>
  <c r="K581" i="1" s="1"/>
  <c r="I406" i="1"/>
  <c r="K406" i="1" s="1"/>
  <c r="I654" i="1"/>
  <c r="K654" i="1" s="1"/>
  <c r="I325" i="1"/>
  <c r="K325" i="1" s="1"/>
  <c r="V21" i="20"/>
  <c r="V44" i="20"/>
  <c r="W21" i="20"/>
  <c r="W44" i="20"/>
  <c r="S47" i="20"/>
  <c r="P47" i="20" s="1"/>
  <c r="Y47" i="20" s="1"/>
  <c r="S24" i="20"/>
  <c r="P24" i="20" s="1"/>
  <c r="Y24" i="20" s="1"/>
  <c r="I657" i="1"/>
  <c r="K657" i="1" s="1"/>
  <c r="I409" i="1"/>
  <c r="K409" i="1" s="1"/>
  <c r="I328" i="1"/>
  <c r="K328" i="1" s="1"/>
  <c r="I584" i="1"/>
  <c r="K584" i="1" s="1"/>
  <c r="I681" i="1"/>
  <c r="K681" i="1" s="1"/>
  <c r="I351" i="1"/>
  <c r="K351" i="1" s="1"/>
  <c r="I607" i="1"/>
  <c r="K607" i="1" s="1"/>
  <c r="I432" i="1"/>
  <c r="K432" i="1" s="1"/>
  <c r="V24" i="20"/>
  <c r="V47" i="20"/>
  <c r="W24" i="20"/>
  <c r="W47" i="20"/>
  <c r="W38" i="20"/>
  <c r="W15" i="20"/>
  <c r="V15" i="20"/>
  <c r="V38" i="20"/>
  <c r="Q38" i="20" s="1"/>
  <c r="S15" i="20"/>
  <c r="P15" i="20" s="1"/>
  <c r="Y15" i="20" s="1"/>
  <c r="S38" i="20"/>
  <c r="P38" i="20" s="1"/>
  <c r="Y38" i="20" s="1"/>
  <c r="I648" i="1"/>
  <c r="K648" i="1" s="1"/>
  <c r="I319" i="1"/>
  <c r="K319" i="1" s="1"/>
  <c r="I575" i="1"/>
  <c r="K575" i="1" s="1"/>
  <c r="I400" i="1"/>
  <c r="K400" i="1" s="1"/>
  <c r="I423" i="1"/>
  <c r="K423" i="1" s="1"/>
  <c r="I672" i="1"/>
  <c r="K672" i="1" s="1"/>
  <c r="I342" i="1"/>
  <c r="K342" i="1" s="1"/>
  <c r="I598" i="1"/>
  <c r="K598" i="1" s="1"/>
  <c r="W41" i="20"/>
  <c r="W18" i="20"/>
  <c r="V18" i="20"/>
  <c r="V41" i="20"/>
  <c r="Q41" i="20" s="1"/>
  <c r="C106" i="22"/>
  <c r="E106" i="22" s="1"/>
  <c r="I651" i="1"/>
  <c r="K651" i="1" s="1"/>
  <c r="I578" i="1"/>
  <c r="K578" i="1" s="1"/>
  <c r="I403" i="1"/>
  <c r="K403" i="1" s="1"/>
  <c r="I322" i="1"/>
  <c r="K322" i="1" s="1"/>
  <c r="I675" i="1"/>
  <c r="K675" i="1" s="1"/>
  <c r="I426" i="1"/>
  <c r="K426" i="1" s="1"/>
  <c r="I601" i="1"/>
  <c r="K601" i="1" s="1"/>
  <c r="S18" i="20"/>
  <c r="P18" i="20" s="1"/>
  <c r="Y18" i="20" s="1"/>
  <c r="S41" i="20"/>
  <c r="P41" i="20" s="1"/>
  <c r="Y41" i="20" s="1"/>
  <c r="I345" i="1"/>
  <c r="K345" i="1" s="1"/>
  <c r="W27" i="20"/>
  <c r="V50" i="20"/>
  <c r="W50" i="20"/>
  <c r="V27" i="20"/>
  <c r="S33" i="20"/>
  <c r="P33" i="20" s="1"/>
  <c r="Y33" i="20" s="1"/>
  <c r="S10" i="20"/>
  <c r="P10" i="20" s="1"/>
  <c r="Y10" i="20" s="1"/>
  <c r="I643" i="1"/>
  <c r="K643" i="1" s="1"/>
  <c r="I570" i="1"/>
  <c r="K570" i="1" s="1"/>
  <c r="I395" i="1"/>
  <c r="K395" i="1" s="1"/>
  <c r="I314" i="1"/>
  <c r="K314" i="1" s="1"/>
  <c r="I418" i="1"/>
  <c r="K418" i="1" s="1"/>
  <c r="I667" i="1"/>
  <c r="K667" i="1" s="1"/>
  <c r="I593" i="1"/>
  <c r="K593" i="1" s="1"/>
  <c r="I337" i="1"/>
  <c r="K337" i="1" s="1"/>
  <c r="W10" i="20"/>
  <c r="V10" i="20"/>
  <c r="Q10" i="20" s="1"/>
  <c r="W33" i="20"/>
  <c r="V33" i="20"/>
  <c r="S35" i="20"/>
  <c r="P35" i="20" s="1"/>
  <c r="Y35" i="20" s="1"/>
  <c r="S12" i="20"/>
  <c r="P12" i="20" s="1"/>
  <c r="Y12" i="20" s="1"/>
  <c r="I645" i="1"/>
  <c r="K645" i="1" s="1"/>
  <c r="I572" i="1"/>
  <c r="K572" i="1" s="1"/>
  <c r="I316" i="1"/>
  <c r="K316" i="1" s="1"/>
  <c r="I397" i="1"/>
  <c r="K397" i="1" s="1"/>
  <c r="I420" i="1"/>
  <c r="K420" i="1" s="1"/>
  <c r="I339" i="1"/>
  <c r="K339" i="1" s="1"/>
  <c r="I669" i="1"/>
  <c r="K669" i="1" s="1"/>
  <c r="I595" i="1"/>
  <c r="K595" i="1" s="1"/>
  <c r="V12" i="20"/>
  <c r="W12" i="20"/>
  <c r="V35" i="20"/>
  <c r="W35" i="20"/>
  <c r="W40" i="20"/>
  <c r="W17" i="20"/>
  <c r="V40" i="20"/>
  <c r="Q40" i="20" s="1"/>
  <c r="V17" i="20"/>
  <c r="Q17" i="20" s="1"/>
  <c r="S17" i="20"/>
  <c r="P17" i="20" s="1"/>
  <c r="Y17" i="20" s="1"/>
  <c r="S40" i="20"/>
  <c r="P40" i="20" s="1"/>
  <c r="Y40" i="20" s="1"/>
  <c r="I577" i="1"/>
  <c r="K577" i="1" s="1"/>
  <c r="I650" i="1"/>
  <c r="K650" i="1" s="1"/>
  <c r="I321" i="1"/>
  <c r="K321" i="1" s="1"/>
  <c r="I402" i="1"/>
  <c r="K402" i="1" s="1"/>
  <c r="I674" i="1"/>
  <c r="K674" i="1" s="1"/>
  <c r="I344" i="1"/>
  <c r="K344" i="1" s="1"/>
  <c r="I425" i="1"/>
  <c r="K425" i="1" s="1"/>
  <c r="I600" i="1"/>
  <c r="K600" i="1" s="1"/>
  <c r="D529" i="27"/>
  <c r="E529" i="27"/>
  <c r="H253" i="1"/>
  <c r="J253" i="1" s="1"/>
  <c r="L269" i="1"/>
  <c r="N269" i="1" s="1"/>
  <c r="Q12" i="32"/>
  <c r="L253" i="1"/>
  <c r="N253" i="1" s="1"/>
  <c r="L513" i="1"/>
  <c r="L514" i="1" s="1"/>
  <c r="H269" i="1"/>
  <c r="J269" i="1" s="1"/>
  <c r="H502" i="1"/>
  <c r="H503" i="1" s="1"/>
  <c r="L502" i="1"/>
  <c r="L503" i="1" s="1"/>
  <c r="H513" i="1"/>
  <c r="H514" i="1" s="1"/>
  <c r="W19" i="20"/>
  <c r="W42" i="20"/>
  <c r="V19" i="20"/>
  <c r="V42" i="20"/>
  <c r="V49" i="20"/>
  <c r="V26" i="20"/>
  <c r="W49" i="20"/>
  <c r="W26" i="20"/>
  <c r="Q18" i="20" l="1"/>
  <c r="Q15" i="20"/>
  <c r="Q33" i="20"/>
  <c r="Q36" i="20"/>
  <c r="Q19" i="20"/>
  <c r="Q20" i="20"/>
  <c r="I329" i="1"/>
  <c r="K329" i="1" s="1"/>
  <c r="I433" i="1"/>
  <c r="K433" i="1" s="1"/>
  <c r="I410" i="1"/>
  <c r="K410" i="1" s="1"/>
  <c r="S25" i="20"/>
  <c r="P25" i="20" s="1"/>
  <c r="Y25" i="20" s="1"/>
  <c r="I352" i="1"/>
  <c r="K352" i="1" s="1"/>
  <c r="Q39" i="20"/>
  <c r="Q22" i="20"/>
  <c r="Q35" i="20"/>
  <c r="Q42" i="20"/>
  <c r="AB48" i="20"/>
  <c r="S48" i="20"/>
  <c r="P48" i="20" s="1"/>
  <c r="Y48" i="20" s="1"/>
  <c r="J308" i="1"/>
  <c r="I309" i="1"/>
  <c r="I298" i="1"/>
  <c r="J297" i="1"/>
  <c r="I287" i="1"/>
  <c r="J286" i="1"/>
  <c r="K558" i="1"/>
  <c r="K559" i="1" s="1"/>
  <c r="J559" i="1"/>
  <c r="I610" i="1" s="1"/>
  <c r="K610" i="1" s="1"/>
  <c r="I659" i="1"/>
  <c r="K659" i="1" s="1"/>
  <c r="I683" i="1"/>
  <c r="K683" i="1" s="1"/>
  <c r="I586" i="1"/>
  <c r="K586" i="1" s="1"/>
  <c r="I609" i="1"/>
  <c r="K609" i="1" s="1"/>
  <c r="J548" i="1"/>
  <c r="K547" i="1"/>
  <c r="K548" i="1" s="1"/>
  <c r="H1139" i="1"/>
  <c r="C92" i="31"/>
  <c r="H1155" i="1"/>
  <c r="C93" i="31"/>
  <c r="C94" i="31" s="1"/>
  <c r="C99" i="31"/>
  <c r="E127" i="31" s="1"/>
  <c r="D127" i="31"/>
  <c r="C81" i="31"/>
  <c r="H1088" i="1"/>
  <c r="H1083" i="1" s="1"/>
  <c r="H889" i="1"/>
  <c r="H891" i="1" s="1"/>
  <c r="H123" i="1" s="1"/>
  <c r="H1164" i="1"/>
  <c r="H1166" i="1" s="1"/>
  <c r="C57" i="31"/>
  <c r="C107" i="31" s="1"/>
  <c r="I417" i="1"/>
  <c r="I592" i="1"/>
  <c r="I336" i="1"/>
  <c r="I666" i="1"/>
  <c r="Q32" i="20"/>
  <c r="P32" i="20" s="1"/>
  <c r="Y32" i="20" s="1"/>
  <c r="I684" i="1"/>
  <c r="K684" i="1" s="1"/>
  <c r="S12" i="32"/>
  <c r="H935" i="1"/>
  <c r="Q14" i="20"/>
  <c r="Q37" i="20"/>
  <c r="Q16" i="20"/>
  <c r="Q34" i="20"/>
  <c r="Q48" i="20"/>
  <c r="Q43" i="20"/>
  <c r="Q25" i="20"/>
  <c r="Q47" i="20"/>
  <c r="Q21" i="20"/>
  <c r="Q44" i="20"/>
  <c r="Q24" i="20"/>
  <c r="Q12" i="20"/>
  <c r="F529" i="27"/>
  <c r="G529" i="27" s="1"/>
  <c r="Q45" i="20"/>
  <c r="K308" i="1" l="1"/>
  <c r="K309" i="1" s="1"/>
  <c r="J309" i="1"/>
  <c r="K297" i="1"/>
  <c r="K298" i="1" s="1"/>
  <c r="J298" i="1"/>
  <c r="I353" i="1"/>
  <c r="I434" i="1"/>
  <c r="K434" i="1" s="1"/>
  <c r="I411" i="1"/>
  <c r="K411" i="1" s="1"/>
  <c r="S26" i="20"/>
  <c r="P26" i="20" s="1"/>
  <c r="Y26" i="20" s="1"/>
  <c r="S49" i="20"/>
  <c r="P49" i="20" s="1"/>
  <c r="Y49" i="20" s="1"/>
  <c r="AB49" i="20"/>
  <c r="I330" i="1"/>
  <c r="K330" i="1" s="1"/>
  <c r="J287" i="1"/>
  <c r="K286" i="1"/>
  <c r="K287" i="1" s="1"/>
  <c r="I587" i="1"/>
  <c r="I660" i="1"/>
  <c r="C96" i="31"/>
  <c r="E126" i="31" s="1"/>
  <c r="H1163" i="1"/>
  <c r="H1168" i="1" s="1"/>
  <c r="D126" i="31"/>
  <c r="C83" i="31"/>
  <c r="C85" i="31"/>
  <c r="C86" i="31" s="1"/>
  <c r="C87" i="31" s="1"/>
  <c r="C110" i="31"/>
  <c r="C111" i="31" s="1"/>
  <c r="C112" i="31" s="1"/>
  <c r="C109" i="31"/>
  <c r="K417" i="1"/>
  <c r="K592" i="1"/>
  <c r="K336" i="1"/>
  <c r="K666" i="1"/>
  <c r="N996" i="1"/>
  <c r="T12" i="32"/>
  <c r="I996" i="1" s="1"/>
  <c r="L996" i="1" s="1"/>
  <c r="M996" i="1" s="1"/>
  <c r="M997" i="1" s="1"/>
  <c r="H999" i="1" s="1"/>
  <c r="H1000" i="1" s="1"/>
  <c r="D530" i="27"/>
  <c r="E530" i="27"/>
  <c r="Q26" i="20"/>
  <c r="Q49" i="20"/>
  <c r="Q50" i="20" l="1"/>
  <c r="P50" i="20" s="1"/>
  <c r="Y50" i="20" s="1"/>
  <c r="I354" i="1"/>
  <c r="I435" i="1"/>
  <c r="S50" i="20"/>
  <c r="Q27" i="20"/>
  <c r="I331" i="1"/>
  <c r="K331" i="1" s="1"/>
  <c r="I412" i="1"/>
  <c r="K412" i="1" s="1"/>
  <c r="S27" i="20"/>
  <c r="P27" i="20" s="1"/>
  <c r="Y27" i="20" s="1"/>
  <c r="AB50" i="20"/>
  <c r="C119" i="31"/>
  <c r="H1170" i="1"/>
  <c r="C89" i="31"/>
  <c r="E125" i="31" s="1"/>
  <c r="C133" i="31"/>
  <c r="D125" i="31"/>
  <c r="H1001" i="1"/>
  <c r="L32" i="1"/>
  <c r="K44" i="19" s="1"/>
  <c r="K2" i="1"/>
  <c r="K28" i="19"/>
  <c r="C114" i="31"/>
  <c r="F530" i="27"/>
  <c r="G530" i="27" s="1"/>
  <c r="K353" i="1"/>
  <c r="K587" i="1"/>
  <c r="J715" i="1"/>
  <c r="J716" i="1" s="1"/>
  <c r="J717" i="1" s="1"/>
  <c r="I719" i="1" s="1"/>
  <c r="K660" i="1"/>
  <c r="J724" i="1"/>
  <c r="J725" i="1" s="1"/>
  <c r="J726" i="1" s="1"/>
  <c r="I728" i="1" s="1"/>
  <c r="K354" i="1" l="1"/>
  <c r="J477" i="1"/>
  <c r="J478" i="1" s="1"/>
  <c r="J479" i="1" s="1"/>
  <c r="I481" i="1" s="1"/>
  <c r="J486" i="1"/>
  <c r="J487" i="1" s="1"/>
  <c r="J488" i="1" s="1"/>
  <c r="I490" i="1" s="1"/>
  <c r="K435" i="1"/>
  <c r="C130" i="31"/>
  <c r="C121" i="31"/>
  <c r="E130" i="31" s="1"/>
  <c r="M15" i="1"/>
  <c r="C134" i="31"/>
  <c r="C116" i="31"/>
  <c r="C129" i="31"/>
  <c r="E531" i="27"/>
  <c r="D531" i="27"/>
  <c r="F531" i="27" s="1"/>
  <c r="G531" i="27" s="1"/>
  <c r="M3" i="1" l="1"/>
  <c r="M11" i="19"/>
  <c r="E532" i="27"/>
  <c r="D532" i="27"/>
  <c r="F532" i="27" s="1"/>
  <c r="G532" i="27" s="1"/>
  <c r="E129" i="31"/>
  <c r="C135" i="31"/>
  <c r="L17" i="1" s="1"/>
  <c r="K13" i="19" s="1"/>
  <c r="D533" i="27" l="1"/>
  <c r="F533" i="27" s="1"/>
  <c r="G533" i="27" s="1"/>
  <c r="E533" i="27"/>
  <c r="D534" i="27" l="1"/>
  <c r="F534" i="27" s="1"/>
  <c r="G534" i="27" s="1"/>
  <c r="E534" i="27"/>
  <c r="E535" i="27" l="1"/>
  <c r="D535" i="27"/>
  <c r="F535" i="27" s="1"/>
  <c r="G535" i="27" s="1"/>
  <c r="E536" i="27" l="1"/>
  <c r="C511" i="27" s="1"/>
  <c r="D536" i="27"/>
  <c r="F536" i="27" l="1"/>
  <c r="C509" i="27" l="1"/>
  <c r="G536" i="27"/>
  <c r="C510" i="27" l="1"/>
  <c r="C512" i="27"/>
  <c r="C50" i="27" l="1"/>
  <c r="D94" i="27"/>
  <c r="D99" i="27"/>
  <c r="D107" i="27"/>
  <c r="D86" i="27"/>
  <c r="D91" i="27"/>
  <c r="D102" i="27"/>
  <c r="D111" i="27"/>
  <c r="D87" i="27"/>
  <c r="D96" i="27"/>
  <c r="D90" i="27"/>
  <c r="D93" i="27"/>
  <c r="D97" i="27"/>
  <c r="D101" i="27"/>
  <c r="D110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88" i="27"/>
  <c r="D95" i="27"/>
  <c r="D100" i="27"/>
  <c r="D109" i="27"/>
  <c r="D89" i="27"/>
  <c r="D92" i="27"/>
  <c r="D98" i="27"/>
  <c r="D108" i="27"/>
  <c r="C501" i="27" l="1"/>
  <c r="D501" i="27" s="1"/>
  <c r="C500" i="27"/>
  <c r="D500" i="27" s="1"/>
  <c r="C499" i="27"/>
  <c r="D499" i="27" s="1"/>
  <c r="C498" i="27"/>
  <c r="D498" i="27" s="1"/>
  <c r="C497" i="27"/>
  <c r="D497" i="27" s="1"/>
  <c r="C496" i="27"/>
  <c r="D496" i="27" s="1"/>
  <c r="C495" i="27"/>
  <c r="D495" i="27" s="1"/>
  <c r="C494" i="27"/>
  <c r="D494" i="27" s="1"/>
  <c r="C493" i="27"/>
  <c r="D493" i="27" s="1"/>
  <c r="C492" i="27"/>
  <c r="D492" i="27" s="1"/>
  <c r="C491" i="27"/>
  <c r="D491" i="27" s="1"/>
  <c r="C490" i="27"/>
  <c r="D490" i="27" s="1"/>
  <c r="C489" i="27"/>
  <c r="D489" i="27" s="1"/>
  <c r="C488" i="27"/>
  <c r="D488" i="27" s="1"/>
  <c r="C487" i="27"/>
  <c r="D487" i="27" s="1"/>
  <c r="C486" i="27"/>
  <c r="D486" i="27" s="1"/>
  <c r="C485" i="27"/>
  <c r="D485" i="27" s="1"/>
  <c r="C484" i="27"/>
  <c r="D484" i="27" s="1"/>
  <c r="C483" i="27"/>
  <c r="D483" i="27" s="1"/>
  <c r="C482" i="27"/>
  <c r="D482" i="27" s="1"/>
  <c r="C481" i="27"/>
  <c r="D481" i="27" s="1"/>
  <c r="C480" i="27"/>
  <c r="D480" i="27" s="1"/>
  <c r="C479" i="27"/>
  <c r="D479" i="27" s="1"/>
  <c r="C478" i="27"/>
  <c r="D478" i="27" s="1"/>
  <c r="C477" i="27"/>
  <c r="D477" i="27" s="1"/>
  <c r="C476" i="27"/>
  <c r="D476" i="27" s="1"/>
  <c r="C475" i="27"/>
  <c r="D475" i="27" s="1"/>
  <c r="C474" i="27"/>
  <c r="D474" i="27" s="1"/>
  <c r="C473" i="27"/>
  <c r="D473" i="27" s="1"/>
  <c r="C472" i="27"/>
  <c r="D472" i="27" s="1"/>
  <c r="C471" i="27"/>
  <c r="D471" i="27" s="1"/>
  <c r="C470" i="27"/>
  <c r="D470" i="27" s="1"/>
  <c r="C469" i="27"/>
  <c r="D469" i="27" s="1"/>
  <c r="C468" i="27"/>
  <c r="D468" i="27" s="1"/>
  <c r="C467" i="27"/>
  <c r="D467" i="27" s="1"/>
  <c r="C466" i="27"/>
  <c r="D466" i="27" s="1"/>
  <c r="C465" i="27"/>
  <c r="D465" i="27" s="1"/>
  <c r="C464" i="27"/>
  <c r="D464" i="27" s="1"/>
  <c r="C463" i="27"/>
  <c r="D463" i="27" s="1"/>
  <c r="C462" i="27"/>
  <c r="D462" i="27" s="1"/>
  <c r="C461" i="27"/>
  <c r="D461" i="27" s="1"/>
  <c r="C460" i="27"/>
  <c r="D460" i="27" s="1"/>
  <c r="C459" i="27"/>
  <c r="D459" i="27" s="1"/>
  <c r="C458" i="27"/>
  <c r="D458" i="27" s="1"/>
  <c r="C457" i="27"/>
  <c r="D457" i="27" s="1"/>
  <c r="C456" i="27"/>
  <c r="D456" i="27" s="1"/>
  <c r="C455" i="27"/>
  <c r="D455" i="27" s="1"/>
  <c r="C454" i="27"/>
  <c r="D454" i="27" s="1"/>
  <c r="C453" i="27"/>
  <c r="D453" i="27" s="1"/>
  <c r="C452" i="27"/>
  <c r="D452" i="27" s="1"/>
  <c r="C451" i="27"/>
  <c r="D451" i="27" s="1"/>
  <c r="C450" i="27"/>
  <c r="D450" i="27" s="1"/>
  <c r="C449" i="27"/>
  <c r="D449" i="27" s="1"/>
  <c r="C448" i="27"/>
  <c r="D448" i="27" s="1"/>
  <c r="C447" i="27"/>
  <c r="D447" i="27" s="1"/>
  <c r="C446" i="27"/>
  <c r="D446" i="27" s="1"/>
  <c r="C445" i="27"/>
  <c r="D445" i="27" s="1"/>
  <c r="C444" i="27"/>
  <c r="D444" i="27" s="1"/>
  <c r="C443" i="27"/>
  <c r="D443" i="27" s="1"/>
  <c r="C442" i="27"/>
  <c r="D442" i="27" s="1"/>
  <c r="C441" i="27"/>
  <c r="D441" i="27" s="1"/>
  <c r="C440" i="27"/>
  <c r="D440" i="27" s="1"/>
  <c r="C439" i="27"/>
  <c r="D439" i="27" s="1"/>
  <c r="C438" i="27"/>
  <c r="D438" i="27" s="1"/>
  <c r="C437" i="27"/>
  <c r="D437" i="27" s="1"/>
  <c r="C436" i="27"/>
  <c r="D436" i="27" s="1"/>
  <c r="C435" i="27"/>
  <c r="D435" i="27" s="1"/>
  <c r="C434" i="27"/>
  <c r="D434" i="27" s="1"/>
  <c r="C433" i="27"/>
  <c r="D433" i="27" s="1"/>
  <c r="C432" i="27"/>
  <c r="D432" i="27" s="1"/>
  <c r="C431" i="27"/>
  <c r="D431" i="27" s="1"/>
  <c r="C430" i="27"/>
  <c r="D430" i="27" s="1"/>
  <c r="C429" i="27"/>
  <c r="D429" i="27" s="1"/>
  <c r="C428" i="27"/>
  <c r="D428" i="27" s="1"/>
  <c r="C427" i="27"/>
  <c r="D427" i="27" s="1"/>
  <c r="C426" i="27"/>
  <c r="D426" i="27" s="1"/>
  <c r="C425" i="27"/>
  <c r="D425" i="27" s="1"/>
  <c r="C424" i="27"/>
  <c r="D424" i="27" s="1"/>
  <c r="C423" i="27"/>
  <c r="D423" i="27" s="1"/>
  <c r="C422" i="27"/>
  <c r="D422" i="27" s="1"/>
  <c r="C421" i="27"/>
  <c r="D421" i="27" s="1"/>
  <c r="C420" i="27"/>
  <c r="D420" i="27" s="1"/>
  <c r="C419" i="27"/>
  <c r="D419" i="27" s="1"/>
  <c r="C418" i="27"/>
  <c r="D418" i="27" s="1"/>
  <c r="C417" i="27"/>
  <c r="D417" i="27" s="1"/>
  <c r="C416" i="27"/>
  <c r="D416" i="27" s="1"/>
  <c r="C415" i="27"/>
  <c r="D415" i="27" s="1"/>
  <c r="C414" i="27"/>
  <c r="D414" i="27" s="1"/>
  <c r="C413" i="27"/>
  <c r="D413" i="27" s="1"/>
  <c r="C412" i="27"/>
  <c r="D412" i="27" s="1"/>
  <c r="C411" i="27"/>
  <c r="D411" i="27" s="1"/>
  <c r="C410" i="27"/>
  <c r="D410" i="27" s="1"/>
  <c r="C409" i="27"/>
  <c r="D409" i="27" s="1"/>
  <c r="C408" i="27"/>
  <c r="D408" i="27" s="1"/>
  <c r="C407" i="27"/>
  <c r="D407" i="27" s="1"/>
  <c r="C406" i="27"/>
  <c r="D406" i="27" s="1"/>
  <c r="C405" i="27"/>
  <c r="D405" i="27" s="1"/>
  <c r="C404" i="27"/>
  <c r="D404" i="27" s="1"/>
  <c r="C403" i="27"/>
  <c r="D403" i="27" s="1"/>
  <c r="C402" i="27"/>
  <c r="D402" i="27" s="1"/>
  <c r="C401" i="27"/>
  <c r="D401" i="27" s="1"/>
  <c r="C400" i="27"/>
  <c r="D400" i="27" s="1"/>
  <c r="C399" i="27"/>
  <c r="D399" i="27" s="1"/>
  <c r="C398" i="27"/>
  <c r="D398" i="27" s="1"/>
  <c r="C397" i="27"/>
  <c r="D397" i="27" s="1"/>
  <c r="C396" i="27"/>
  <c r="D396" i="27" s="1"/>
  <c r="C395" i="27"/>
  <c r="D395" i="27" s="1"/>
  <c r="C394" i="27"/>
  <c r="D394" i="27" s="1"/>
  <c r="C393" i="27"/>
  <c r="D393" i="27" s="1"/>
  <c r="C392" i="27"/>
  <c r="D392" i="27" s="1"/>
  <c r="C391" i="27"/>
  <c r="D391" i="27" s="1"/>
  <c r="C390" i="27"/>
  <c r="D390" i="27" s="1"/>
  <c r="C389" i="27"/>
  <c r="D389" i="27" s="1"/>
  <c r="C388" i="27"/>
  <c r="D388" i="27" s="1"/>
  <c r="C387" i="27"/>
  <c r="D387" i="27" s="1"/>
  <c r="C386" i="27"/>
  <c r="D386" i="27" s="1"/>
  <c r="C385" i="27"/>
  <c r="D385" i="27" s="1"/>
  <c r="C384" i="27"/>
  <c r="D384" i="27" s="1"/>
  <c r="C383" i="27"/>
  <c r="D383" i="27" s="1"/>
  <c r="C382" i="27"/>
  <c r="D382" i="27" s="1"/>
  <c r="C381" i="27"/>
  <c r="D381" i="27" s="1"/>
  <c r="C57" i="27"/>
  <c r="H1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<sst xmlns="http://schemas.openxmlformats.org/spreadsheetml/2006/main" count="4752" uniqueCount="1775">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</sst>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1033</v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8.97484351928673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10078.467802782858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11.673213690093458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20402.101550358984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6.610943625902003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819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30.0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5.0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125.0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50.0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C750*C748</f>
        <v>36628.13126546316</v>
      </c>
      <c r="D7" s="1" t="s">
        <v>50</v>
      </c>
      <c r="E7" s="488" t="inlineStr">
        <is>
          <t xml:space="preserve">*Módulo secante da laje × daf da laje isolada (item 8)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0.002192510094213845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473.49084484607977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35.0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849.0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</v>
      </c>
      <c r="W15" s="529">
        <f>(Geometria!H31*Geometria!H33)/100^2</f>
        <v>0.060595</v>
      </c>
    </row>
    <row r="16" spans="2:23" ht="18" x14ac:dyDescent="0.35">
      <c r="B16" s="483" t="s">
        <v>1052</v>
      </c>
      <c r="C16" s="490">
        <f>C6</f>
        <v>50.0</v>
      </c>
      <c r="D16" s="1" t="s">
        <v>50</v>
      </c>
      <c r="E16" s="488" t="inlineStr">
        <is>
          <t xml:space="preserve">*fck de referência: a seção composta é homogeneizada para o concreto da laje (item 8)</t>
        </is>
      </c>
      <c r="S16" s="489"/>
      <c r="V16" s="530">
        <f>Geometria!H58</f>
        <v>50.0</v>
      </c>
      <c r="W16" s="530">
        <f>Geometria!H59</f>
        <v>30.0</v>
      </c>
    </row>
    <row r="17" spans="2:23" ht="18" x14ac:dyDescent="0.35">
      <c r="B17" s="492" t="s">
        <v>1054</v>
      </c>
      <c r="C17" s="493">
        <f>C750*C749</f>
        <v>47616.57064510211</v>
      </c>
      <c r="D17" s="1" t="s">
        <v>50</v>
      </c>
      <c r="E17" s="488" t="inlineStr">
        <is>
          <t xml:space="preserve">*Módulo secante da laje × daf do pano pronto (item 8)</t>
        </is>
      </c>
      <c r="S17" s="489"/>
      <c r="V17" s="500"/>
    </row>
    <row r="18" spans="2:23" ht="18" customHeight="1" x14ac:dyDescent="0.35">
      <c r="B18" s="483" t="s">
        <v>1073</v>
      </c>
      <c r="C18" s="495">
        <f>C767</f>
        <v>0.2518963379384319</v>
      </c>
      <c r="D18" s="1" t="s">
        <v>631</v>
      </c>
      <c r="E18" s="488" t="inlineStr">
        <is>
          <t xml:space="preserve">*Área real de concreto: laje + capa na largura da laje (a chaveta é somada em C20)</t>
        </is>
      </c>
      <c r="S18" s="489"/>
      <c r="V18" s="531">
        <f ca="1">((V15*V16)+(W15*W16))/(V15+W15)</f>
        <v>45.15223203334162</v>
      </c>
      <c r="W18" s="532" t="s">
        <v>1179</v>
      </c>
    </row>
    <row r="19" spans="2:23" x14ac:dyDescent="0.25">
      <c r="B19" s="483" t="s">
        <v>1058</v>
      </c>
      <c r="C19" s="495">
        <f>C766</f>
        <v>0.003414118897043114</v>
      </c>
      <c r="D19" s="1" t="s">
        <v>1059</v>
      </c>
      <c r="E19" s="488" t="inlineStr">
        <is>
          <t xml:space="preserve">*Inércia da seção composta (laje + capa + chaveta) homogeneizada para o concreto da laje (item 8)</t>
        </is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649.2460948460798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8.97484351928673</v>
      </c>
      <c r="D23" s="502" t="s">
        <v>1079</v>
      </c>
      <c r="E23" s="488" t="inlineStr">
        <is>
          <t xml:space="preserve">*Frequência natural da laje isolada (montagem). Atenção: no ensaio 1 do item 9 a laje solta, sem graute nos apoios, mediu cerca de 15% abaixo deste cálculo</t>
        </is>
      </c>
      <c r="S23" s="489"/>
    </row>
    <row r="24" spans="2:23" x14ac:dyDescent="0.25">
      <c r="B24" s="482" t="s">
        <v>1081</v>
      </c>
      <c r="C24" s="1">
        <f ca="1">C7*C9*1000</f>
        <v>80307.54753171772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10078.467802782858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12782999.839642419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11.673213690093458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162568.63365183154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20402.101550358984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25876955.30213386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150000000.0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11.673213690093458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16.0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414031284.83414173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100.0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2500.0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6.610943625902003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8.97484351928673</v>
      </c>
    </row>
    <row r="56" spans="2:19" ht="15" customHeight="1" x14ac:dyDescent="0.25">
      <c r="B56" s="517" t="s">
        <v>1117</v>
      </c>
      <c r="C56" s="518">
        <f ca="1">C29</f>
        <v>11.673213690093458</v>
      </c>
    </row>
    <row r="57" spans="2:19" ht="15" customHeight="1" x14ac:dyDescent="0.25">
      <c r="B57" s="517" t="s">
        <v>1118</v>
      </c>
      <c r="C57" s="518">
        <f ca="1">C50</f>
        <v>6.610943625902003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40.43172614715871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31.946055227384665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25.87630473418158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21.385375813373205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17.96965606540387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15.31142291963407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13.202196292949786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11.50057988185848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10.107931536789678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8.953738662346568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7.986513806846166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7.1679514499117944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6.469076183545395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5.867642796866571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5.346343953343301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4.891550989448314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4.492414016350968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52.58790063145659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41.550933832262004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33.656256404132215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27.815087937299353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23.37240028064738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19.914944617829715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17.171559389863376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14.95833617961432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13.146975157864148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11.645763461637449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10.387733458065501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9.3230627158261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8.414064101033054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7.631804173272613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6.953771984324838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6.362241286225373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5.843100070161845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29.78234235308619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23.53172729132736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19.06069910597516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15.752643889235669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13.23659660137164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11.27852018105039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9.724846482640388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8.471421824877849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7.445585588271547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6.595397614524277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5.88293182283184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5.279972051516665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4.76517477649379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4.322153992284616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3.9381609723089173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3.6031567308081582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3.30914915034291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0.002785563887133584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0.005571127774267168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0.008356691661400751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0.011142255548534336</v>
      </c>
      <c r="D135" s="523">
        <f t="shared" ca="1" si="7"/>
        <v>0.5877852522924731</v>
      </c>
    </row>
    <row r="136" spans="2:4" x14ac:dyDescent="0.25">
      <c r="B136" s="521">
        <v>5</v>
      </c>
      <c r="C136" s="522">
        <f t="shared" ca="1" si="6"/>
        <v>0.01392781943566792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0.016713383322801503</v>
      </c>
      <c r="D137" s="523">
        <f t="shared" ca="1" si="7"/>
        <v>0.8090169943749475</v>
      </c>
    </row>
    <row r="138" spans="2:4" x14ac:dyDescent="0.25">
      <c r="B138" s="521">
        <v>7</v>
      </c>
      <c r="C138" s="522">
        <f t="shared" ca="1" si="6"/>
        <v>0.019498947209935086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0.022284511097068672</v>
      </c>
      <c r="D139" s="523">
        <f t="shared" ca="1" si="7"/>
        <v>0.9510565162951535</v>
      </c>
    </row>
    <row r="140" spans="2:4" x14ac:dyDescent="0.25">
      <c r="B140" s="521">
        <v>9</v>
      </c>
      <c r="C140" s="522">
        <f t="shared" ca="1" si="6"/>
        <v>0.025070074984202256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0.02785563887133584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0.030641202758469425</v>
      </c>
      <c r="D142" s="523">
        <f t="shared" ca="1" si="7"/>
        <v>0.9876883405951377</v>
      </c>
    </row>
    <row r="143" spans="2:4" x14ac:dyDescent="0.25">
      <c r="B143" s="521">
        <v>12</v>
      </c>
      <c r="C143" s="522">
        <f t="shared" ca="1" si="6"/>
        <v>0.033426766645603005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0.03621233053273659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0.03899789441987017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0.04178345830700376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0.044569022194137345</v>
      </c>
      <c r="D147" s="523">
        <f t="shared" ca="1" si="7"/>
        <v>0.5877852522924732</v>
      </c>
    </row>
    <row r="148" spans="2:4" x14ac:dyDescent="0.25">
      <c r="B148" s="521">
        <v>17</v>
      </c>
      <c r="C148" s="522">
        <f t="shared" ca="1" si="6"/>
        <v>0.047354586081270925</v>
      </c>
      <c r="D148" s="523">
        <f t="shared" ca="1" si="7"/>
        <v>0.45399049973954686</v>
      </c>
    </row>
    <row r="149" spans="2:4" x14ac:dyDescent="0.25">
      <c r="B149" s="521">
        <v>18</v>
      </c>
      <c r="C149" s="522">
        <f t="shared" ca="1" si="6"/>
        <v>0.05014014996840451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0.05292571385553809</v>
      </c>
      <c r="D150" s="523">
        <f t="shared" ca="1" si="7"/>
        <v>0.15643446504023098</v>
      </c>
    </row>
    <row r="151" spans="2:4" x14ac:dyDescent="0.25">
      <c r="B151" s="521">
        <v>20</v>
      </c>
      <c r="C151" s="522">
        <f t="shared" ca="1" si="6"/>
        <v>0.05571127774267168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0.058496841629805264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0.06128240551693885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0.06406796940407243</v>
      </c>
      <c r="D154" s="523">
        <f t="shared" ca="1" si="7"/>
        <v>-0.4539904997395467</v>
      </c>
    </row>
    <row r="155" spans="2:4" x14ac:dyDescent="0.25">
      <c r="B155" s="521">
        <v>24</v>
      </c>
      <c r="C155" s="522">
        <f t="shared" ca="1" si="6"/>
        <v>0.06685353329120601</v>
      </c>
      <c r="D155" s="523">
        <f t="shared" ca="1" si="7"/>
        <v>-0.587785252292473</v>
      </c>
    </row>
    <row r="156" spans="2:4" x14ac:dyDescent="0.25">
      <c r="B156" s="521">
        <v>25</v>
      </c>
      <c r="C156" s="522">
        <f t="shared" ca="1" si="6"/>
        <v>0.0696390971783396</v>
      </c>
      <c r="D156" s="523">
        <f t="shared" ca="1" si="7"/>
        <v>-0.7071067811865477</v>
      </c>
    </row>
    <row r="157" spans="2:4" x14ac:dyDescent="0.25">
      <c r="B157" s="521">
        <v>26</v>
      </c>
      <c r="C157" s="522">
        <f t="shared" ca="1" si="6"/>
        <v>0.07242466106547318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0.07521022495260676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0.07799578883974034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0.08078135272687394</v>
      </c>
      <c r="D160" s="523">
        <f t="shared" ca="1" si="7"/>
        <v>-0.9876883405951377</v>
      </c>
    </row>
    <row r="161" spans="2:4" x14ac:dyDescent="0.25">
      <c r="B161" s="521">
        <v>30</v>
      </c>
      <c r="C161" s="522">
        <f t="shared" ca="1" si="6"/>
        <v>0.08356691661400752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0.08635248050114111</v>
      </c>
      <c r="D162" s="523">
        <f t="shared" ca="1" si="7"/>
        <v>-0.9876883405951377</v>
      </c>
    </row>
    <row r="163" spans="2:4" x14ac:dyDescent="0.25">
      <c r="B163" s="521">
        <v>32</v>
      </c>
      <c r="C163" s="522">
        <f t="shared" ca="1" si="6"/>
        <v>0.08913804438827469</v>
      </c>
      <c r="D163" s="523">
        <f t="shared" ca="1" si="7"/>
        <v>-0.9510565162951536</v>
      </c>
    </row>
    <row r="164" spans="2:4" x14ac:dyDescent="0.25">
      <c r="B164" s="521">
        <v>33</v>
      </c>
      <c r="C164" s="522">
        <f t="shared" ca="1" si="6"/>
        <v>0.09192360827540827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0.09470917216254185</v>
      </c>
      <c r="D165" s="523">
        <f t="shared" ca="1" si="7"/>
        <v>-0.8090169943749476</v>
      </c>
    </row>
    <row r="166" spans="2:4" x14ac:dyDescent="0.25">
      <c r="B166" s="521">
        <v>35</v>
      </c>
      <c r="C166" s="522">
        <f t="shared" ca="1" si="6"/>
        <v>0.09749473604967544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0.10028029993680902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0.1030658638239426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0.10585142771107618</v>
      </c>
      <c r="D169" s="523">
        <f t="shared" ca="1" si="7"/>
        <v>-0.3090169943749476</v>
      </c>
    </row>
    <row r="170" spans="2:4" x14ac:dyDescent="0.25">
      <c r="B170" s="521">
        <v>39</v>
      </c>
      <c r="C170" s="522">
        <f t="shared" ca="1" si="6"/>
        <v>0.10863699159820978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0.11142255548534336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0.11420811937247694</v>
      </c>
      <c r="D172" s="523">
        <f t="shared" ca="1" si="7"/>
        <v>0.15643446504023062</v>
      </c>
    </row>
    <row r="173" spans="2:4" x14ac:dyDescent="0.25">
      <c r="B173" s="521">
        <v>42</v>
      </c>
      <c r="C173" s="522">
        <f t="shared" ca="1" si="6"/>
        <v>0.11699368325961053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0.11977924714674411</v>
      </c>
      <c r="D174" s="523">
        <f t="shared" ca="1" si="7"/>
        <v>0.4539904997395466</v>
      </c>
    </row>
    <row r="175" spans="2:4" x14ac:dyDescent="0.25">
      <c r="B175" s="521">
        <v>44</v>
      </c>
      <c r="C175" s="522">
        <f t="shared" ca="1" si="6"/>
        <v>0.1225648110338777</v>
      </c>
      <c r="D175" s="523">
        <f t="shared" ca="1" si="7"/>
        <v>0.5877852522924736</v>
      </c>
    </row>
    <row r="176" spans="2:4" x14ac:dyDescent="0.25">
      <c r="B176" s="521">
        <v>45</v>
      </c>
      <c r="C176" s="522">
        <f t="shared" ca="1" si="6"/>
        <v>0.12535037492101128</v>
      </c>
      <c r="D176" s="523">
        <f t="shared" ca="1" si="7"/>
        <v>0.7071067811865474</v>
      </c>
    </row>
    <row r="177" spans="2:4" x14ac:dyDescent="0.25">
      <c r="B177" s="521">
        <v>46</v>
      </c>
      <c r="C177" s="522">
        <f t="shared" ca="1" si="6"/>
        <v>0.12813593880814486</v>
      </c>
      <c r="D177" s="523">
        <f t="shared" ca="1" si="7"/>
        <v>0.8090169943749472</v>
      </c>
    </row>
    <row r="178" spans="2:4" x14ac:dyDescent="0.25">
      <c r="B178" s="521">
        <v>47</v>
      </c>
      <c r="C178" s="522">
        <f t="shared" ca="1" si="6"/>
        <v>0.13092150269527844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0.13370706658241202</v>
      </c>
      <c r="D179" s="523">
        <f t="shared" ca="1" si="7"/>
        <v>0.9510565162951535</v>
      </c>
    </row>
    <row r="180" spans="2:4" x14ac:dyDescent="0.25">
      <c r="B180" s="521">
        <v>49</v>
      </c>
      <c r="C180" s="522">
        <f t="shared" ca="1" si="6"/>
        <v>0.13649263046954563</v>
      </c>
      <c r="D180" s="523">
        <f t="shared" ca="1" si="7"/>
        <v>0.9876883405951378</v>
      </c>
    </row>
    <row r="181" spans="2:4" x14ac:dyDescent="0.25">
      <c r="B181" s="521">
        <v>50</v>
      </c>
      <c r="C181" s="522">
        <f t="shared" ca="1" si="6"/>
        <v>0.1392781943566792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0.14206375824381276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0.14484932213094637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0.14763488601807995</v>
      </c>
      <c r="D184" s="523">
        <f t="shared" ca="1" si="7"/>
        <v>0.8910065241883676</v>
      </c>
    </row>
    <row r="185" spans="2:4" x14ac:dyDescent="0.25">
      <c r="B185" s="521">
        <v>54</v>
      </c>
      <c r="C185" s="522">
        <f t="shared" ca="1" si="6"/>
        <v>0.15042044990521353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0.1532060137923471</v>
      </c>
      <c r="D186" s="523">
        <f t="shared" ca="1" si="7"/>
        <v>0.7071067811865483</v>
      </c>
    </row>
    <row r="187" spans="2:4" x14ac:dyDescent="0.25">
      <c r="B187" s="521">
        <v>56</v>
      </c>
      <c r="C187" s="522">
        <f t="shared" ca="1" si="6"/>
        <v>0.1559915776794807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0.1587771415666143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0.16156270545374787</v>
      </c>
      <c r="D189" s="523">
        <f t="shared" ca="1" si="7"/>
        <v>0.3090169943749478</v>
      </c>
    </row>
    <row r="190" spans="2:4" x14ac:dyDescent="0.25">
      <c r="B190" s="521">
        <v>59</v>
      </c>
      <c r="C190" s="522">
        <f t="shared" ca="1" si="6"/>
        <v>0.16434826934088145</v>
      </c>
      <c r="D190" s="523">
        <f t="shared" ca="1" si="7"/>
        <v>0.15643446504023034</v>
      </c>
    </row>
    <row r="191" spans="2:4" x14ac:dyDescent="0.25">
      <c r="B191" s="521">
        <v>60</v>
      </c>
      <c r="C191" s="522">
        <f t="shared" ca="1" si="6"/>
        <v>0.16713383322801503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0.1699193971151486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0.17270496100228222</v>
      </c>
      <c r="D193" s="523">
        <f t="shared" ca="1" si="7"/>
        <v>-0.30901699437494873</v>
      </c>
    </row>
    <row r="194" spans="2:4" x14ac:dyDescent="0.25">
      <c r="B194" s="521">
        <v>63</v>
      </c>
      <c r="C194" s="522">
        <f t="shared" ca="1" si="6"/>
        <v>0.17549052488941577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0.17827608877654938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0.18106165266368296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0.18384721655081654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0.18663278043795012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0.1894183443250837</v>
      </c>
      <c r="D199" s="523">
        <f t="shared" ca="1" si="9"/>
        <v>-0.9510565162951534</v>
      </c>
    </row>
    <row r="200" spans="2:4" x14ac:dyDescent="0.25">
      <c r="B200" s="521">
        <v>69</v>
      </c>
      <c r="C200" s="522">
        <f t="shared" ca="1" si="8"/>
        <v>0.1922039082122173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0.19498947209935089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0.19777503598648444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0.20056059987361805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0.20334616376075162</v>
      </c>
      <c r="D204" s="523">
        <f t="shared" ca="1" si="9"/>
        <v>-0.8910065241883677</v>
      </c>
    </row>
    <row r="205" spans="2:4" x14ac:dyDescent="0.25">
      <c r="B205" s="521">
        <v>74</v>
      </c>
      <c r="C205" s="522">
        <f t="shared" ca="1" si="8"/>
        <v>0.2061317276478852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0.20891729153501878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0.21170285542215236</v>
      </c>
      <c r="D207" s="523">
        <f t="shared" ca="1" si="9"/>
        <v>-0.5877852522924735</v>
      </c>
    </row>
    <row r="208" spans="2:4" x14ac:dyDescent="0.25">
      <c r="B208" s="521">
        <v>77</v>
      </c>
      <c r="C208" s="522">
        <f t="shared" ca="1" si="8"/>
        <v>0.21448841930928597</v>
      </c>
      <c r="D208" s="523">
        <f t="shared" ca="1" si="9"/>
        <v>-0.4539904997395464</v>
      </c>
    </row>
    <row r="209" spans="2:4" x14ac:dyDescent="0.25">
      <c r="B209" s="521">
        <v>78</v>
      </c>
      <c r="C209" s="522">
        <f t="shared" ca="1" si="8"/>
        <v>0.21727398319641955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0.22005954708355313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0.2228451109706867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0.2256306748578203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0.22841623874495387</v>
      </c>
      <c r="D213" s="523">
        <f t="shared" ca="1" si="9"/>
        <v>0.30901699437494695</v>
      </c>
    </row>
    <row r="214" spans="2:4" x14ac:dyDescent="0.25">
      <c r="B214" s="521">
        <v>83</v>
      </c>
      <c r="C214" s="522">
        <f t="shared" ca="1" si="8"/>
        <v>0.23120180263208748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0.23398736651922106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0.23677293040635464</v>
      </c>
      <c r="D216" s="523">
        <f t="shared" ca="1" si="9"/>
        <v>0.7071067811865478</v>
      </c>
    </row>
    <row r="217" spans="2:4" x14ac:dyDescent="0.25">
      <c r="B217" s="521">
        <v>86</v>
      </c>
      <c r="C217" s="522">
        <f t="shared" ca="1" si="8"/>
        <v>0.23955849429348822</v>
      </c>
      <c r="D217" s="523">
        <f t="shared" ca="1" si="9"/>
        <v>0.8090169943749471</v>
      </c>
    </row>
    <row r="218" spans="2:4" x14ac:dyDescent="0.25">
      <c r="B218" s="521">
        <v>87</v>
      </c>
      <c r="C218" s="522">
        <f t="shared" ca="1" si="8"/>
        <v>0.24234405818062177</v>
      </c>
      <c r="D218" s="523">
        <f t="shared" ca="1" si="9"/>
        <v>0.8910065241883672</v>
      </c>
    </row>
    <row r="219" spans="2:4" x14ac:dyDescent="0.25">
      <c r="B219" s="521">
        <v>88</v>
      </c>
      <c r="C219" s="522">
        <f t="shared" ca="1" si="8"/>
        <v>0.2451296220677554</v>
      </c>
      <c r="D219" s="523">
        <f t="shared" ca="1" si="9"/>
        <v>0.951056516295154</v>
      </c>
    </row>
    <row r="220" spans="2:4" x14ac:dyDescent="0.25">
      <c r="B220" s="521">
        <v>89</v>
      </c>
      <c r="C220" s="522">
        <f t="shared" ca="1" si="8"/>
        <v>0.24791518595488898</v>
      </c>
      <c r="D220" s="523">
        <f t="shared" ca="1" si="9"/>
        <v>0.9876883405951378</v>
      </c>
    </row>
    <row r="221" spans="2:4" x14ac:dyDescent="0.25">
      <c r="B221" s="521">
        <v>90</v>
      </c>
      <c r="C221" s="522">
        <f t="shared" ca="1" si="8"/>
        <v>0.25070074984202256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0.25348631372915614</v>
      </c>
      <c r="D222" s="523">
        <f t="shared" ca="1" si="9"/>
        <v>0.9876883405951377</v>
      </c>
    </row>
    <row r="223" spans="2:4" x14ac:dyDescent="0.25">
      <c r="B223" s="521">
        <v>92</v>
      </c>
      <c r="C223" s="522">
        <f t="shared" ca="1" si="8"/>
        <v>0.2562718776162897</v>
      </c>
      <c r="D223" s="523">
        <f t="shared" ca="1" si="9"/>
        <v>0.9510565162951538</v>
      </c>
    </row>
    <row r="224" spans="2:4" x14ac:dyDescent="0.25">
      <c r="B224" s="521">
        <v>93</v>
      </c>
      <c r="C224" s="522">
        <f t="shared" ca="1" si="8"/>
        <v>0.2590574415034233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0.2618430053905569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0.26462856927769046</v>
      </c>
      <c r="D226" s="523">
        <f t="shared" ca="1" si="9"/>
        <v>0.7071067811865486</v>
      </c>
    </row>
    <row r="227" spans="2:4" x14ac:dyDescent="0.25">
      <c r="B227" s="521">
        <v>96</v>
      </c>
      <c r="C227" s="522">
        <f t="shared" ca="1" si="8"/>
        <v>0.26741413316482404</v>
      </c>
      <c r="D227" s="523">
        <f t="shared" ca="1" si="9"/>
        <v>0.5877852522924736</v>
      </c>
    </row>
    <row r="228" spans="2:4" x14ac:dyDescent="0.25">
      <c r="B228" s="521">
        <v>97</v>
      </c>
      <c r="C228" s="522">
        <f t="shared" ca="1" si="8"/>
        <v>0.2701996970519576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0.27298526093909126</v>
      </c>
      <c r="D229" s="523">
        <f t="shared" ca="1" si="9"/>
        <v>0.3090169943749463</v>
      </c>
    </row>
    <row r="230" spans="2:4" x14ac:dyDescent="0.25">
      <c r="B230" s="521">
        <v>99</v>
      </c>
      <c r="C230" s="522">
        <f t="shared" ca="1" si="8"/>
        <v>0.27577082482622484</v>
      </c>
      <c r="D230" s="523">
        <f t="shared" ca="1" si="9"/>
        <v>0.1564344650402306</v>
      </c>
    </row>
    <row r="231" spans="2:4" x14ac:dyDescent="0.25">
      <c r="B231" s="521">
        <v>100</v>
      </c>
      <c r="C231" s="522">
        <f t="shared" ca="1" si="8"/>
        <v>0.2785563887133584</v>
      </c>
      <c r="D231" s="523">
        <f t="shared" ca="1" si="9"/>
        <v>-1.164033439826574e-15</v>
      </c>
    </row>
    <row r="232" spans="2:4" x14ac:dyDescent="0.25">
      <c r="B232" s="521">
        <v>101</v>
      </c>
      <c r="C232" s="522">
        <f t="shared" ca="1" si="8"/>
        <v>0.28134195260049194</v>
      </c>
      <c r="D232" s="523">
        <f t="shared" ca="1" si="9"/>
        <v>-0.15643446504022762</v>
      </c>
    </row>
    <row r="233" spans="2:4" x14ac:dyDescent="0.25">
      <c r="B233" s="521">
        <v>102</v>
      </c>
      <c r="C233" s="522">
        <f t="shared" ca="1" si="8"/>
        <v>0.2841275164876255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0.28691308037475916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0.28969864426189273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0.2924842081490263</v>
      </c>
      <c r="D236" s="523">
        <f t="shared" ca="1" si="9"/>
        <v>-0.7071067811865477</v>
      </c>
    </row>
    <row r="237" spans="2:4" x14ac:dyDescent="0.25">
      <c r="B237" s="521">
        <v>106</v>
      </c>
      <c r="C237" s="522">
        <f t="shared" ca="1" si="8"/>
        <v>0.2952697720361599</v>
      </c>
      <c r="D237" s="523">
        <f t="shared" ca="1" si="9"/>
        <v>-0.8090169943749481</v>
      </c>
    </row>
    <row r="238" spans="2:4" x14ac:dyDescent="0.25">
      <c r="B238" s="521">
        <v>107</v>
      </c>
      <c r="C238" s="522">
        <f t="shared" ca="1" si="8"/>
        <v>0.2980553359232935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0.30084089981042705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0.30362646369756063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0.3064120275846942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0.3091975914718278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0.3119831553589614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0.314768719246095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0.3175542831332286</v>
      </c>
      <c r="D245" s="523">
        <f t="shared" ca="1" si="9"/>
        <v>-0.8090169943749468</v>
      </c>
    </row>
    <row r="246" spans="2:4" x14ac:dyDescent="0.25">
      <c r="B246" s="521">
        <v>115</v>
      </c>
      <c r="C246" s="522">
        <f t="shared" ca="1" si="8"/>
        <v>0.32033984702036217</v>
      </c>
      <c r="D246" s="523">
        <f t="shared" ca="1" si="9"/>
        <v>-0.7071067811865461</v>
      </c>
    </row>
    <row r="247" spans="2:4" x14ac:dyDescent="0.25">
      <c r="B247" s="521">
        <v>116</v>
      </c>
      <c r="C247" s="522">
        <f t="shared" ca="1" si="8"/>
        <v>0.32312541090749575</v>
      </c>
      <c r="D247" s="523">
        <f t="shared" ca="1" si="9"/>
        <v>-0.5877852522924737</v>
      </c>
    </row>
    <row r="248" spans="2:4" x14ac:dyDescent="0.25">
      <c r="B248" s="521">
        <v>117</v>
      </c>
      <c r="C248" s="522">
        <f t="shared" ca="1" si="8"/>
        <v>0.32591097479462927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0.3286965386817629</v>
      </c>
      <c r="D249" s="523">
        <f t="shared" ca="1" si="9"/>
        <v>-0.3090169943749464</v>
      </c>
    </row>
    <row r="250" spans="2:4" x14ac:dyDescent="0.25">
      <c r="B250" s="521">
        <v>119</v>
      </c>
      <c r="C250" s="522">
        <f t="shared" ca="1" si="8"/>
        <v>0.3314821025688965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0.33426766645603007</v>
      </c>
      <c r="D251" s="523">
        <f t="shared" ca="1" si="9"/>
        <v>-7.347880794884119e-16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0.0021416553027909014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0.004283310605581803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0.006424965908372704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0.008566621211163606</v>
      </c>
      <c r="D260" s="523">
        <f t="shared" ca="1" si="11"/>
        <v>0.5877852522924731</v>
      </c>
    </row>
    <row r="261" spans="2:4" x14ac:dyDescent="0.25">
      <c r="B261" s="521">
        <v>5</v>
      </c>
      <c r="C261" s="522">
        <f t="shared" ca="1" si="10"/>
        <v>0.010708276513954507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0.012849931816745408</v>
      </c>
      <c r="D262" s="523">
        <f t="shared" ca="1" si="11"/>
        <v>0.8090169943749473</v>
      </c>
    </row>
    <row r="263" spans="2:4" x14ac:dyDescent="0.25">
      <c r="B263" s="521">
        <v>7</v>
      </c>
      <c r="C263" s="522">
        <f t="shared" ca="1" si="10"/>
        <v>0.014991587119536309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0.01713324242232721</v>
      </c>
      <c r="D264" s="523">
        <f t="shared" ca="1" si="11"/>
        <v>0.9510565162951535</v>
      </c>
    </row>
    <row r="265" spans="2:4" x14ac:dyDescent="0.25">
      <c r="B265" s="521">
        <v>9</v>
      </c>
      <c r="C265" s="522">
        <f t="shared" ca="1" si="10"/>
        <v>0.01927489772511811</v>
      </c>
      <c r="D265" s="523">
        <f t="shared" ca="1" si="11"/>
        <v>0.9876883405951377</v>
      </c>
    </row>
    <row r="266" spans="2:4" x14ac:dyDescent="0.25">
      <c r="B266" s="521">
        <v>10</v>
      </c>
      <c r="C266" s="522">
        <f t="shared" ca="1" si="10"/>
        <v>0.021416553027909013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0.023558208330699916</v>
      </c>
      <c r="D267" s="523">
        <f t="shared" ca="1" si="11"/>
        <v>0.9876883405951378</v>
      </c>
    </row>
    <row r="268" spans="2:4" x14ac:dyDescent="0.25">
      <c r="B268" s="521">
        <v>12</v>
      </c>
      <c r="C268" s="522">
        <f t="shared" ca="1" si="10"/>
        <v>0.025699863633490815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0.027841518936281718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0.029983174239072617</v>
      </c>
      <c r="D270" s="523">
        <f t="shared" ca="1" si="11"/>
        <v>0.8090169943749478</v>
      </c>
    </row>
    <row r="271" spans="2:4" x14ac:dyDescent="0.25">
      <c r="B271" s="521">
        <v>15</v>
      </c>
      <c r="C271" s="522">
        <f t="shared" ca="1" si="10"/>
        <v>0.03212482954186352</v>
      </c>
      <c r="D271" s="523">
        <f t="shared" ca="1" si="11"/>
        <v>0.7071067811865476</v>
      </c>
    </row>
    <row r="272" spans="2:4" x14ac:dyDescent="0.25">
      <c r="B272" s="521">
        <v>16</v>
      </c>
      <c r="C272" s="522">
        <f t="shared" ca="1" si="10"/>
        <v>0.03426648484465442</v>
      </c>
      <c r="D272" s="523">
        <f t="shared" ca="1" si="11"/>
        <v>0.5877852522924732</v>
      </c>
    </row>
    <row r="273" spans="2:4" x14ac:dyDescent="0.25">
      <c r="B273" s="521">
        <v>17</v>
      </c>
      <c r="C273" s="522">
        <f t="shared" ca="1" si="10"/>
        <v>0.03640814014744532</v>
      </c>
      <c r="D273" s="523">
        <f t="shared" ca="1" si="11"/>
        <v>0.4539904997395473</v>
      </c>
    </row>
    <row r="274" spans="2:4" x14ac:dyDescent="0.25">
      <c r="B274" s="521">
        <v>18</v>
      </c>
      <c r="C274" s="522">
        <f t="shared" ca="1" si="10"/>
        <v>0.03854979545023622</v>
      </c>
      <c r="D274" s="523">
        <f t="shared" ca="1" si="11"/>
        <v>0.30901699437494795</v>
      </c>
    </row>
    <row r="275" spans="2:4" x14ac:dyDescent="0.25">
      <c r="B275" s="521">
        <v>19</v>
      </c>
      <c r="C275" s="522">
        <f t="shared" ca="1" si="10"/>
        <v>0.040691450753027124</v>
      </c>
      <c r="D275" s="523">
        <f t="shared" ca="1" si="11"/>
        <v>0.15643446504023142</v>
      </c>
    </row>
    <row r="276" spans="2:4" x14ac:dyDescent="0.25">
      <c r="B276" s="521">
        <v>20</v>
      </c>
      <c r="C276" s="522">
        <f t="shared" ca="1" si="10"/>
        <v>0.04283310605581803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0.04497476135860893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0.04711641666139983</v>
      </c>
      <c r="D278" s="523">
        <f t="shared" ca="1" si="11"/>
        <v>-0.3090169943749473</v>
      </c>
    </row>
    <row r="279" spans="2:4" x14ac:dyDescent="0.25">
      <c r="B279" s="521">
        <v>23</v>
      </c>
      <c r="C279" s="522">
        <f t="shared" ca="1" si="10"/>
        <v>0.04925807196419073</v>
      </c>
      <c r="D279" s="523">
        <f t="shared" ca="1" si="11"/>
        <v>-0.45399049973954625</v>
      </c>
    </row>
    <row r="280" spans="2:4" x14ac:dyDescent="0.25">
      <c r="B280" s="521">
        <v>24</v>
      </c>
      <c r="C280" s="522">
        <f t="shared" ca="1" si="10"/>
        <v>0.05139972726698163</v>
      </c>
      <c r="D280" s="523">
        <f t="shared" ca="1" si="11"/>
        <v>-0.5877852522924727</v>
      </c>
    </row>
    <row r="281" spans="2:4" x14ac:dyDescent="0.25">
      <c r="B281" s="521">
        <v>25</v>
      </c>
      <c r="C281" s="522">
        <f t="shared" ca="1" si="10"/>
        <v>0.05354138256977253</v>
      </c>
      <c r="D281" s="523">
        <f t="shared" ca="1" si="11"/>
        <v>-0.7071067811865471</v>
      </c>
    </row>
    <row r="282" spans="2:4" x14ac:dyDescent="0.25">
      <c r="B282" s="521">
        <v>26</v>
      </c>
      <c r="C282" s="522">
        <f t="shared" ca="1" si="10"/>
        <v>0.055683037872563436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0.05782469317535434</v>
      </c>
      <c r="D283" s="523">
        <f t="shared" ca="1" si="11"/>
        <v>-0.8910065241883678</v>
      </c>
    </row>
    <row r="284" spans="2:4" x14ac:dyDescent="0.25">
      <c r="B284" s="521">
        <v>28</v>
      </c>
      <c r="C284" s="522">
        <f t="shared" ca="1" si="10"/>
        <v>0.059966348478145234</v>
      </c>
      <c r="D284" s="523">
        <f t="shared" ca="1" si="11"/>
        <v>-0.9510565162951532</v>
      </c>
    </row>
    <row r="285" spans="2:4" x14ac:dyDescent="0.25">
      <c r="B285" s="521">
        <v>29</v>
      </c>
      <c r="C285" s="522">
        <f t="shared" ca="1" si="10"/>
        <v>0.06210800378093614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0.06424965908372704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0.06639131438651794</v>
      </c>
      <c r="D287" s="523">
        <f t="shared" ca="1" si="11"/>
        <v>-0.9876883405951379</v>
      </c>
    </row>
    <row r="288" spans="2:4" x14ac:dyDescent="0.25">
      <c r="B288" s="521">
        <v>32</v>
      </c>
      <c r="C288" s="522">
        <f t="shared" ca="1" si="10"/>
        <v>0.06853296968930885</v>
      </c>
      <c r="D288" s="523">
        <f t="shared" ca="1" si="11"/>
        <v>-0.9510565162951536</v>
      </c>
    </row>
    <row r="289" spans="2:4" x14ac:dyDescent="0.25">
      <c r="B289" s="521">
        <v>33</v>
      </c>
      <c r="C289" s="522">
        <f t="shared" ca="1" si="10"/>
        <v>0.07067462499209974</v>
      </c>
      <c r="D289" s="523">
        <f t="shared" ca="1" si="11"/>
        <v>-0.8910065241883683</v>
      </c>
    </row>
    <row r="290" spans="2:4" x14ac:dyDescent="0.25">
      <c r="B290" s="521">
        <v>34</v>
      </c>
      <c r="C290" s="522">
        <f t="shared" ca="1" si="10"/>
        <v>0.07281628029489064</v>
      </c>
      <c r="D290" s="523">
        <f t="shared" ca="1" si="11"/>
        <v>-0.8090169943749481</v>
      </c>
    </row>
    <row r="291" spans="2:4" x14ac:dyDescent="0.25">
      <c r="B291" s="521">
        <v>35</v>
      </c>
      <c r="C291" s="522">
        <f t="shared" ca="1" si="10"/>
        <v>0.07495793559768155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0.07709959090047244</v>
      </c>
      <c r="D292" s="523">
        <f t="shared" ca="1" si="11"/>
        <v>-0.587785252292474</v>
      </c>
    </row>
    <row r="293" spans="2:4" x14ac:dyDescent="0.25">
      <c r="B293" s="521">
        <v>37</v>
      </c>
      <c r="C293" s="522">
        <f t="shared" ca="1" si="10"/>
        <v>0.07924124620326335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0.08138290150605425</v>
      </c>
      <c r="D294" s="523">
        <f t="shared" ca="1" si="11"/>
        <v>-0.3090169943749485</v>
      </c>
    </row>
    <row r="295" spans="2:4" x14ac:dyDescent="0.25">
      <c r="B295" s="521">
        <v>39</v>
      </c>
      <c r="C295" s="522">
        <f t="shared" ca="1" si="10"/>
        <v>0.08352455680884514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0.08566621211163605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0.08780786741442695</v>
      </c>
      <c r="D297" s="523">
        <f t="shared" ca="1" si="11"/>
        <v>0.15643446504022973</v>
      </c>
    </row>
    <row r="298" spans="2:4" x14ac:dyDescent="0.25">
      <c r="B298" s="521">
        <v>42</v>
      </c>
      <c r="C298" s="522">
        <f t="shared" ca="1" si="10"/>
        <v>0.08994952271721786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0.09209117802000875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0.09423283332279966</v>
      </c>
      <c r="D300" s="523">
        <f t="shared" ca="1" si="11"/>
        <v>0.5877852522924729</v>
      </c>
    </row>
    <row r="301" spans="2:4" x14ac:dyDescent="0.25">
      <c r="B301" s="521">
        <v>45</v>
      </c>
      <c r="C301" s="522">
        <f t="shared" ca="1" si="10"/>
        <v>0.09637448862559056</v>
      </c>
      <c r="D301" s="523">
        <f t="shared" ca="1" si="11"/>
        <v>0.7071067811865474</v>
      </c>
    </row>
    <row r="302" spans="2:4" x14ac:dyDescent="0.25">
      <c r="B302" s="521">
        <v>46</v>
      </c>
      <c r="C302" s="522">
        <f t="shared" ca="1" si="10"/>
        <v>0.09851614392838146</v>
      </c>
      <c r="D302" s="523">
        <f t="shared" ca="1" si="11"/>
        <v>0.8090169943749468</v>
      </c>
    </row>
    <row r="303" spans="2:4" x14ac:dyDescent="0.25">
      <c r="B303" s="521">
        <v>47</v>
      </c>
      <c r="C303" s="522">
        <f t="shared" ca="1" si="10"/>
        <v>0.10065779923117237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0.10279945453396326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0.10494110983675417</v>
      </c>
      <c r="D305" s="523">
        <f t="shared" ca="1" si="11"/>
        <v>0.9876883405951377</v>
      </c>
    </row>
    <row r="306" spans="2:4" x14ac:dyDescent="0.25">
      <c r="B306" s="521">
        <v>50</v>
      </c>
      <c r="C306" s="522">
        <f t="shared" ca="1" si="10"/>
        <v>0.10708276513954507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0.10922442044233596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0.11136607574512687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0.11350773104791777</v>
      </c>
      <c r="D309" s="523">
        <f t="shared" ca="1" si="11"/>
        <v>0.8910065241883685</v>
      </c>
    </row>
    <row r="310" spans="2:4" x14ac:dyDescent="0.25">
      <c r="B310" s="521">
        <v>54</v>
      </c>
      <c r="C310" s="522">
        <f t="shared" ca="1" si="10"/>
        <v>0.11564938635070868</v>
      </c>
      <c r="D310" s="523">
        <f t="shared" ca="1" si="11"/>
        <v>0.8090169943749477</v>
      </c>
    </row>
    <row r="311" spans="2:4" x14ac:dyDescent="0.25">
      <c r="B311" s="521">
        <v>55</v>
      </c>
      <c r="C311" s="522">
        <f t="shared" ca="1" si="10"/>
        <v>0.11779104165349957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0.11993269695629047</v>
      </c>
      <c r="D312" s="523">
        <f t="shared" ca="1" si="11"/>
        <v>0.5877852522924748</v>
      </c>
    </row>
    <row r="313" spans="2:4" x14ac:dyDescent="0.25">
      <c r="B313" s="521">
        <v>57</v>
      </c>
      <c r="C313" s="522">
        <f t="shared" ca="1" si="10"/>
        <v>0.12207435225908138</v>
      </c>
      <c r="D313" s="523">
        <f t="shared" ca="1" si="11"/>
        <v>0.4539904997395479</v>
      </c>
    </row>
    <row r="314" spans="2:4" x14ac:dyDescent="0.25">
      <c r="B314" s="521">
        <v>58</v>
      </c>
      <c r="C314" s="522">
        <f t="shared" ca="1" si="10"/>
        <v>0.12421600756187227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0.12635766286466318</v>
      </c>
      <c r="D315" s="523">
        <f t="shared" ca="1" si="11"/>
        <v>0.1564344650402321</v>
      </c>
    </row>
    <row r="316" spans="2:4" x14ac:dyDescent="0.25">
      <c r="B316" s="521">
        <v>60</v>
      </c>
      <c r="C316" s="522">
        <f t="shared" ca="1" si="10"/>
        <v>0.12849931816745408</v>
      </c>
      <c r="D316" s="523">
        <f t="shared" ca="1" si="11"/>
        <v>3.6739403974420594e-16</v>
      </c>
    </row>
    <row r="317" spans="2:4" x14ac:dyDescent="0.25">
      <c r="B317" s="521">
        <v>61</v>
      </c>
      <c r="C317" s="522">
        <f t="shared" ca="1" si="10"/>
        <v>0.13064097347024498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0.13278262877303587</v>
      </c>
      <c r="D318" s="523">
        <f t="shared" ca="1" si="11"/>
        <v>-0.3090169943749454</v>
      </c>
    </row>
    <row r="319" spans="2:4" x14ac:dyDescent="0.25">
      <c r="B319" s="521">
        <v>63</v>
      </c>
      <c r="C319" s="522">
        <f t="shared" ca="1" si="10"/>
        <v>0.13492428407582677</v>
      </c>
      <c r="D319" s="523">
        <f t="shared" ca="1" si="11"/>
        <v>-0.4539904997395441</v>
      </c>
    </row>
    <row r="320" spans="2:4" x14ac:dyDescent="0.25">
      <c r="B320" s="521">
        <v>64</v>
      </c>
      <c r="C320" s="522">
        <f t="shared" ref="C320:C376" ca="1" si="12">B320/40/$C$29</f>
        <v>0.1370659393786177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0.1392075946814086</v>
      </c>
      <c r="D321" s="523">
        <f t="shared" ca="1" si="13"/>
        <v>-0.7071067811865466</v>
      </c>
    </row>
    <row r="322" spans="2:4" x14ac:dyDescent="0.25">
      <c r="B322" s="521">
        <v>66</v>
      </c>
      <c r="C322" s="522">
        <f t="shared" ca="1" si="12"/>
        <v>0.14134924998419948</v>
      </c>
      <c r="D322" s="523">
        <f t="shared" ca="1" si="13"/>
        <v>-0.8090169943749461</v>
      </c>
    </row>
    <row r="323" spans="2:4" x14ac:dyDescent="0.25">
      <c r="B323" s="521">
        <v>67</v>
      </c>
      <c r="C323" s="522">
        <f t="shared" ca="1" si="12"/>
        <v>0.14349090528699038</v>
      </c>
      <c r="D323" s="523">
        <f t="shared" ca="1" si="13"/>
        <v>-0.8910065241883672</v>
      </c>
    </row>
    <row r="324" spans="2:4" x14ac:dyDescent="0.25">
      <c r="B324" s="521">
        <v>68</v>
      </c>
      <c r="C324" s="522">
        <f t="shared" ca="1" si="12"/>
        <v>0.14563256058978127</v>
      </c>
      <c r="D324" s="523">
        <f t="shared" ca="1" si="13"/>
        <v>-0.9510565162951529</v>
      </c>
    </row>
    <row r="325" spans="2:4" x14ac:dyDescent="0.25">
      <c r="B325" s="521">
        <v>69</v>
      </c>
      <c r="C325" s="522">
        <f t="shared" ca="1" si="12"/>
        <v>0.1477742158925722</v>
      </c>
      <c r="D325" s="523">
        <f t="shared" ca="1" si="13"/>
        <v>-0.9876883405951375</v>
      </c>
    </row>
    <row r="326" spans="2:4" x14ac:dyDescent="0.25">
      <c r="B326" s="521">
        <v>70</v>
      </c>
      <c r="C326" s="522">
        <f t="shared" ca="1" si="12"/>
        <v>0.1499158711953631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0.152057526498154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0.15419918180094488</v>
      </c>
      <c r="D328" s="523">
        <f t="shared" ca="1" si="13"/>
        <v>-0.9510565162951543</v>
      </c>
    </row>
    <row r="329" spans="2:4" x14ac:dyDescent="0.25">
      <c r="B329" s="521">
        <v>73</v>
      </c>
      <c r="C329" s="522">
        <f t="shared" ca="1" si="12"/>
        <v>0.15634083710373578</v>
      </c>
      <c r="D329" s="523">
        <f t="shared" ca="1" si="13"/>
        <v>-0.8910065241883692</v>
      </c>
    </row>
    <row r="330" spans="2:4" x14ac:dyDescent="0.25">
      <c r="B330" s="521">
        <v>74</v>
      </c>
      <c r="C330" s="522">
        <f t="shared" ca="1" si="12"/>
        <v>0.1584824924065267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0.1606241477093176</v>
      </c>
      <c r="D331" s="523">
        <f t="shared" ca="1" si="13"/>
        <v>-0.7071067811865485</v>
      </c>
    </row>
    <row r="332" spans="2:4" x14ac:dyDescent="0.25">
      <c r="B332" s="521">
        <v>76</v>
      </c>
      <c r="C332" s="522">
        <f t="shared" ca="1" si="12"/>
        <v>0.1627658030121085</v>
      </c>
      <c r="D332" s="523">
        <f t="shared" ca="1" si="13"/>
        <v>-0.5877852522924749</v>
      </c>
    </row>
    <row r="333" spans="2:4" x14ac:dyDescent="0.25">
      <c r="B333" s="521">
        <v>77</v>
      </c>
      <c r="C333" s="522">
        <f t="shared" ca="1" si="12"/>
        <v>0.1649074583148994</v>
      </c>
      <c r="D333" s="523">
        <f t="shared" ca="1" si="13"/>
        <v>-0.453990499739548</v>
      </c>
    </row>
    <row r="334" spans="2:4" x14ac:dyDescent="0.25">
      <c r="B334" s="521">
        <v>78</v>
      </c>
      <c r="C334" s="522">
        <f t="shared" ca="1" si="12"/>
        <v>0.1670491136176903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0.1691907689204812</v>
      </c>
      <c r="D335" s="523">
        <f t="shared" ca="1" si="13"/>
        <v>-0.15643446504023223</v>
      </c>
    </row>
    <row r="336" spans="2:4" x14ac:dyDescent="0.25">
      <c r="B336" s="521">
        <v>80</v>
      </c>
      <c r="C336" s="522">
        <f t="shared" ca="1" si="12"/>
        <v>0.1713324242232721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0.173474079526063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0.1756157348288539</v>
      </c>
      <c r="D338" s="523">
        <f t="shared" ca="1" si="13"/>
        <v>0.30901699437494523</v>
      </c>
    </row>
    <row r="339" spans="2:4" x14ac:dyDescent="0.25">
      <c r="B339" s="521">
        <v>83</v>
      </c>
      <c r="C339" s="522">
        <f t="shared" ca="1" si="12"/>
        <v>0.17775739013164482</v>
      </c>
      <c r="D339" s="523">
        <f t="shared" ca="1" si="13"/>
        <v>0.4539904997395455</v>
      </c>
    </row>
    <row r="340" spans="2:4" x14ac:dyDescent="0.25">
      <c r="B340" s="521">
        <v>84</v>
      </c>
      <c r="C340" s="522">
        <f t="shared" ca="1" si="12"/>
        <v>0.17989904543443572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0.1820407007372266</v>
      </c>
      <c r="D341" s="523">
        <f t="shared" ca="1" si="13"/>
        <v>0.7071067811865466</v>
      </c>
    </row>
    <row r="342" spans="2:4" x14ac:dyDescent="0.25">
      <c r="B342" s="521">
        <v>86</v>
      </c>
      <c r="C342" s="522">
        <f t="shared" ca="1" si="12"/>
        <v>0.1841823560400175</v>
      </c>
      <c r="D342" s="523">
        <f t="shared" ca="1" si="13"/>
        <v>0.8090169943749461</v>
      </c>
    </row>
    <row r="343" spans="2:4" x14ac:dyDescent="0.25">
      <c r="B343" s="521">
        <v>87</v>
      </c>
      <c r="C343" s="522">
        <f t="shared" ca="1" si="12"/>
        <v>0.1863240113428084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0.18846566664559933</v>
      </c>
      <c r="D344" s="523">
        <f t="shared" ca="1" si="13"/>
        <v>0.9510565162951534</v>
      </c>
    </row>
    <row r="345" spans="2:4" x14ac:dyDescent="0.25">
      <c r="B345" s="521">
        <v>89</v>
      </c>
      <c r="C345" s="522">
        <f t="shared" ca="1" si="12"/>
        <v>0.19060732194839022</v>
      </c>
      <c r="D345" s="523">
        <f t="shared" ca="1" si="13"/>
        <v>0.9876883405951375</v>
      </c>
    </row>
    <row r="346" spans="2:4" x14ac:dyDescent="0.25">
      <c r="B346" s="521">
        <v>90</v>
      </c>
      <c r="C346" s="522">
        <f t="shared" ca="1" si="12"/>
        <v>0.19274897725118112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0.19489063255397202</v>
      </c>
      <c r="D347" s="523">
        <f t="shared" ca="1" si="13"/>
        <v>0.987688340595138</v>
      </c>
    </row>
    <row r="348" spans="2:4" x14ac:dyDescent="0.25">
      <c r="B348" s="521">
        <v>92</v>
      </c>
      <c r="C348" s="522">
        <f t="shared" ca="1" si="12"/>
        <v>0.1970322878567629</v>
      </c>
      <c r="D348" s="523">
        <f t="shared" ca="1" si="13"/>
        <v>0.9510565162951543</v>
      </c>
    </row>
    <row r="349" spans="2:4" x14ac:dyDescent="0.25">
      <c r="B349" s="521">
        <v>93</v>
      </c>
      <c r="C349" s="522">
        <f t="shared" ca="1" si="12"/>
        <v>0.19917394315955383</v>
      </c>
      <c r="D349" s="523">
        <f t="shared" ca="1" si="13"/>
        <v>0.8910065241883686</v>
      </c>
    </row>
    <row r="350" spans="2:4" x14ac:dyDescent="0.25">
      <c r="B350" s="521">
        <v>94</v>
      </c>
      <c r="C350" s="522">
        <f t="shared" ca="1" si="12"/>
        <v>0.20131559846234473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0.20345725376513563</v>
      </c>
      <c r="D351" s="523">
        <f t="shared" ca="1" si="13"/>
        <v>0.7071067811865486</v>
      </c>
    </row>
    <row r="352" spans="2:4" x14ac:dyDescent="0.25">
      <c r="B352" s="521">
        <v>96</v>
      </c>
      <c r="C352" s="522">
        <f t="shared" ca="1" si="12"/>
        <v>0.20559890906792652</v>
      </c>
      <c r="D352" s="523">
        <f t="shared" ca="1" si="13"/>
        <v>0.587785252292475</v>
      </c>
    </row>
    <row r="353" spans="2:4" x14ac:dyDescent="0.25">
      <c r="B353" s="521">
        <v>97</v>
      </c>
      <c r="C353" s="522">
        <f t="shared" ca="1" si="12"/>
        <v>0.20774056437071742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0.20988221967350834</v>
      </c>
      <c r="D354" s="523">
        <f t="shared" ca="1" si="13"/>
        <v>0.309016994374948</v>
      </c>
    </row>
    <row r="355" spans="2:4" x14ac:dyDescent="0.25">
      <c r="B355" s="521">
        <v>99</v>
      </c>
      <c r="C355" s="522">
        <f t="shared" ca="1" si="12"/>
        <v>0.21202387497629924</v>
      </c>
      <c r="D355" s="523">
        <f t="shared" ca="1" si="13"/>
        <v>0.15643446504023234</v>
      </c>
    </row>
    <row r="356" spans="2:4" x14ac:dyDescent="0.25">
      <c r="B356" s="521">
        <v>100</v>
      </c>
      <c r="C356" s="522">
        <f t="shared" ca="1" si="12"/>
        <v>0.21416553027909013</v>
      </c>
      <c r="D356" s="523">
        <f t="shared" ca="1" si="13"/>
        <v>2.388680238973927e-15</v>
      </c>
    </row>
    <row r="357" spans="2:4" x14ac:dyDescent="0.25">
      <c r="B357" s="521">
        <v>101</v>
      </c>
      <c r="C357" s="522">
        <f t="shared" ca="1" si="12"/>
        <v>0.21630718558188103</v>
      </c>
      <c r="D357" s="523">
        <f t="shared" ca="1" si="13"/>
        <v>-0.15643446504022937</v>
      </c>
    </row>
    <row r="358" spans="2:4" x14ac:dyDescent="0.25">
      <c r="B358" s="521">
        <v>102</v>
      </c>
      <c r="C358" s="522">
        <f t="shared" ca="1" si="12"/>
        <v>0.21844884088467192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0.22059049618746285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0.22273215149025374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0.22487380679304464</v>
      </c>
      <c r="D361" s="523">
        <f t="shared" ca="1" si="13"/>
        <v>-0.7071067811865452</v>
      </c>
    </row>
    <row r="362" spans="2:4" x14ac:dyDescent="0.25">
      <c r="B362" s="521">
        <v>106</v>
      </c>
      <c r="C362" s="522">
        <f t="shared" ca="1" si="12"/>
        <v>0.22701546209583554</v>
      </c>
      <c r="D362" s="523">
        <f t="shared" ca="1" si="13"/>
        <v>-0.809016994374946</v>
      </c>
    </row>
    <row r="363" spans="2:4" x14ac:dyDescent="0.25">
      <c r="B363" s="521">
        <v>107</v>
      </c>
      <c r="C363" s="522">
        <f t="shared" ca="1" si="12"/>
        <v>0.22915711739862643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0.23129877270141735</v>
      </c>
      <c r="D364" s="523">
        <f t="shared" ca="1" si="13"/>
        <v>-0.9510565162951534</v>
      </c>
    </row>
    <row r="365" spans="2:4" x14ac:dyDescent="0.25">
      <c r="B365" s="521">
        <v>109</v>
      </c>
      <c r="C365" s="522">
        <f t="shared" ca="1" si="12"/>
        <v>0.23344042800420825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0.23558208330699915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0.23772373860979004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0.23986539391258094</v>
      </c>
      <c r="D368" s="523">
        <f t="shared" ca="1" si="13"/>
        <v>-0.9510565162951549</v>
      </c>
    </row>
    <row r="369" spans="2:4" x14ac:dyDescent="0.25">
      <c r="B369" s="521">
        <v>113</v>
      </c>
      <c r="C369" s="522">
        <f t="shared" ca="1" si="12"/>
        <v>0.24200704921537186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0.24414870451816276</v>
      </c>
      <c r="D370" s="523">
        <f t="shared" ca="1" si="13"/>
        <v>-0.8090169943749489</v>
      </c>
    </row>
    <row r="371" spans="2:4" x14ac:dyDescent="0.25">
      <c r="B371" s="521">
        <v>115</v>
      </c>
      <c r="C371" s="522">
        <f t="shared" ca="1" si="12"/>
        <v>0.24629035982095365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0.24843201512374455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0.25057367042653544</v>
      </c>
      <c r="D373" s="523">
        <f t="shared" ca="1" si="13"/>
        <v>-0.4539904997395498</v>
      </c>
    </row>
    <row r="374" spans="2:4" x14ac:dyDescent="0.25">
      <c r="B374" s="521">
        <v>118</v>
      </c>
      <c r="C374" s="522">
        <f t="shared" ca="1" si="12"/>
        <v>0.25271532572932637</v>
      </c>
      <c r="D374" s="523">
        <f t="shared" ca="1" si="13"/>
        <v>-0.3090169943749498</v>
      </c>
    </row>
    <row r="375" spans="2:4" x14ac:dyDescent="0.25">
      <c r="B375" s="521">
        <v>119</v>
      </c>
      <c r="C375" s="522">
        <f t="shared" ca="1" si="12"/>
        <v>0.25485698103211724</v>
      </c>
      <c r="D375" s="523">
        <f t="shared" ca="1" si="13"/>
        <v>-0.15643446504023598</v>
      </c>
    </row>
    <row r="376" spans="2:4" x14ac:dyDescent="0.25">
      <c r="B376" s="521">
        <v>120</v>
      </c>
      <c r="C376" s="522">
        <f t="shared" ca="1" si="12"/>
        <v>0.25699863633490816</v>
      </c>
      <c r="D376" s="523">
        <f t="shared" ca="1" si="13"/>
        <v>-7.347880794884119e-16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0.0037816084079205833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0.0075632168158411665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0.011344825223761748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0.015126433631682333</v>
      </c>
      <c r="D385" s="523">
        <f t="shared" ca="1" si="15"/>
        <v>0.5877852522924731</v>
      </c>
    </row>
    <row r="386" spans="2:4" x14ac:dyDescent="0.25">
      <c r="B386" s="521">
        <v>5</v>
      </c>
      <c r="C386" s="522">
        <f t="shared" ca="1" si="14"/>
        <v>0.018908042039602915</v>
      </c>
      <c r="D386" s="523">
        <f t="shared" ca="1" si="15"/>
        <v>0.7071067811865475</v>
      </c>
    </row>
    <row r="387" spans="2:4" x14ac:dyDescent="0.25">
      <c r="B387" s="521">
        <v>6</v>
      </c>
      <c r="C387" s="522">
        <f t="shared" ca="1" si="14"/>
        <v>0.022689650447523496</v>
      </c>
      <c r="D387" s="523">
        <f t="shared" ca="1" si="15"/>
        <v>0.8090169943749473</v>
      </c>
    </row>
    <row r="388" spans="2:4" x14ac:dyDescent="0.25">
      <c r="B388" s="521">
        <v>7</v>
      </c>
      <c r="C388" s="522">
        <f t="shared" ca="1" si="14"/>
        <v>0.02647125885544408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0.030252867263364666</v>
      </c>
      <c r="D389" s="523">
        <f t="shared" ca="1" si="15"/>
        <v>0.9510565162951535</v>
      </c>
    </row>
    <row r="390" spans="2:4" x14ac:dyDescent="0.25">
      <c r="B390" s="521">
        <v>9</v>
      </c>
      <c r="C390" s="522">
        <f t="shared" ca="1" si="14"/>
        <v>0.03403447567128525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0.03781608407920583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0.041597692487126414</v>
      </c>
      <c r="D392" s="523">
        <f t="shared" ca="1" si="15"/>
        <v>0.9876883405951378</v>
      </c>
    </row>
    <row r="393" spans="2:4" x14ac:dyDescent="0.25">
      <c r="B393" s="521">
        <v>12</v>
      </c>
      <c r="C393" s="522">
        <f t="shared" ca="1" si="14"/>
        <v>0.04537930089504699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0.049160909302967584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0.05294251771088816</v>
      </c>
      <c r="D395" s="523">
        <f t="shared" ca="1" si="15"/>
        <v>0.8090169943749475</v>
      </c>
    </row>
    <row r="396" spans="2:4" x14ac:dyDescent="0.25">
      <c r="B396" s="521">
        <v>15</v>
      </c>
      <c r="C396" s="522">
        <f t="shared" ca="1" si="14"/>
        <v>0.05672412611880875</v>
      </c>
      <c r="D396" s="523">
        <f t="shared" ca="1" si="15"/>
        <v>0.7071067811865476</v>
      </c>
    </row>
    <row r="397" spans="2:4" x14ac:dyDescent="0.25">
      <c r="B397" s="521">
        <v>16</v>
      </c>
      <c r="C397" s="522">
        <f t="shared" ca="1" si="14"/>
        <v>0.06050573452672933</v>
      </c>
      <c r="D397" s="523">
        <f t="shared" ca="1" si="15"/>
        <v>0.5877852522924732</v>
      </c>
    </row>
    <row r="398" spans="2:4" x14ac:dyDescent="0.25">
      <c r="B398" s="521">
        <v>17</v>
      </c>
      <c r="C398" s="522">
        <f t="shared" ca="1" si="14"/>
        <v>0.06428734293464991</v>
      </c>
      <c r="D398" s="523">
        <f t="shared" ca="1" si="15"/>
        <v>0.45399049973954686</v>
      </c>
    </row>
    <row r="399" spans="2:4" x14ac:dyDescent="0.25">
      <c r="B399" s="521">
        <v>18</v>
      </c>
      <c r="C399" s="522">
        <f t="shared" ca="1" si="14"/>
        <v>0.0680689513425705</v>
      </c>
      <c r="D399" s="523">
        <f t="shared" ca="1" si="15"/>
        <v>0.3090169943749475</v>
      </c>
    </row>
    <row r="400" spans="2:4" x14ac:dyDescent="0.25">
      <c r="B400" s="521">
        <v>19</v>
      </c>
      <c r="C400" s="522">
        <f t="shared" ca="1" si="14"/>
        <v>0.07185055975049108</v>
      </c>
      <c r="D400" s="523">
        <f t="shared" ca="1" si="15"/>
        <v>0.15643446504023098</v>
      </c>
    </row>
    <row r="401" spans="2:4" x14ac:dyDescent="0.25">
      <c r="B401" s="521">
        <v>20</v>
      </c>
      <c r="C401" s="522">
        <f t="shared" ca="1" si="14"/>
        <v>0.07563216815841166</v>
      </c>
      <c r="D401" s="523">
        <f t="shared" ca="1" si="15"/>
        <v>1.2246467991473532e-16</v>
      </c>
    </row>
    <row r="402" spans="2:4" x14ac:dyDescent="0.25">
      <c r="B402" s="521">
        <v>21</v>
      </c>
      <c r="C402" s="522">
        <f t="shared" ca="1" si="14"/>
        <v>0.07941377656633225</v>
      </c>
      <c r="D402" s="523">
        <f t="shared" ca="1" si="15"/>
        <v>-0.15643446504023073</v>
      </c>
    </row>
    <row r="403" spans="2:4" x14ac:dyDescent="0.25">
      <c r="B403" s="521">
        <v>22</v>
      </c>
      <c r="C403" s="522">
        <f t="shared" ca="1" si="14"/>
        <v>0.08319538497425283</v>
      </c>
      <c r="D403" s="523">
        <f t="shared" ca="1" si="15"/>
        <v>-0.3090169943749473</v>
      </c>
    </row>
    <row r="404" spans="2:4" x14ac:dyDescent="0.25">
      <c r="B404" s="521">
        <v>23</v>
      </c>
      <c r="C404" s="522">
        <f t="shared" ca="1" si="14"/>
        <v>0.0869769933821734</v>
      </c>
      <c r="D404" s="523">
        <f t="shared" ca="1" si="15"/>
        <v>-0.45399049973954625</v>
      </c>
    </row>
    <row r="405" spans="2:4" x14ac:dyDescent="0.25">
      <c r="B405" s="521">
        <v>24</v>
      </c>
      <c r="C405" s="522">
        <f t="shared" ca="1" si="14"/>
        <v>0.09075860179009398</v>
      </c>
      <c r="D405" s="523">
        <f t="shared" ca="1" si="15"/>
        <v>-0.5877852522924727</v>
      </c>
    </row>
    <row r="406" spans="2:4" x14ac:dyDescent="0.25">
      <c r="B406" s="521">
        <v>25</v>
      </c>
      <c r="C406" s="522">
        <f t="shared" ca="1" si="14"/>
        <v>0.09454021019801458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0.09832181860593517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0.10210342701385575</v>
      </c>
      <c r="D408" s="523">
        <f t="shared" ca="1" si="15"/>
        <v>-0.8910065241883678</v>
      </c>
    </row>
    <row r="409" spans="2:4" x14ac:dyDescent="0.25">
      <c r="B409" s="521">
        <v>28</v>
      </c>
      <c r="C409" s="522">
        <f t="shared" ca="1" si="14"/>
        <v>0.10588503542177632</v>
      </c>
      <c r="D409" s="523">
        <f t="shared" ca="1" si="15"/>
        <v>-0.9510565162951535</v>
      </c>
    </row>
    <row r="410" spans="2:4" x14ac:dyDescent="0.25">
      <c r="B410" s="521">
        <v>29</v>
      </c>
      <c r="C410" s="522">
        <f t="shared" ca="1" si="14"/>
        <v>0.1096666438296969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0.1134482522376175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0.11722986064553807</v>
      </c>
      <c r="D412" s="523">
        <f t="shared" ca="1" si="15"/>
        <v>-0.9876883405951378</v>
      </c>
    </row>
    <row r="413" spans="2:4" x14ac:dyDescent="0.25">
      <c r="B413" s="521">
        <v>32</v>
      </c>
      <c r="C413" s="522">
        <f t="shared" ca="1" si="14"/>
        <v>0.12101146905345866</v>
      </c>
      <c r="D413" s="523">
        <f t="shared" ca="1" si="15"/>
        <v>-0.9510565162951536</v>
      </c>
    </row>
    <row r="414" spans="2:4" x14ac:dyDescent="0.25">
      <c r="B414" s="521">
        <v>33</v>
      </c>
      <c r="C414" s="522">
        <f t="shared" ca="1" si="14"/>
        <v>0.12479307746137923</v>
      </c>
      <c r="D414" s="523">
        <f t="shared" ca="1" si="15"/>
        <v>-0.8910065241883683</v>
      </c>
    </row>
    <row r="415" spans="2:4" x14ac:dyDescent="0.25">
      <c r="B415" s="521">
        <v>34</v>
      </c>
      <c r="C415" s="522">
        <f t="shared" ca="1" si="14"/>
        <v>0.12857468586929982</v>
      </c>
      <c r="D415" s="523">
        <f t="shared" ca="1" si="15"/>
        <v>-0.8090169943749476</v>
      </c>
    </row>
    <row r="416" spans="2:4" x14ac:dyDescent="0.25">
      <c r="B416" s="521">
        <v>35</v>
      </c>
      <c r="C416" s="522">
        <f t="shared" ca="1" si="14"/>
        <v>0.1323562942772204</v>
      </c>
      <c r="D416" s="523">
        <f t="shared" ca="1" si="15"/>
        <v>-0.7071067811865483</v>
      </c>
    </row>
    <row r="417" spans="2:4" x14ac:dyDescent="0.25">
      <c r="B417" s="521">
        <v>36</v>
      </c>
      <c r="C417" s="522">
        <f t="shared" ca="1" si="14"/>
        <v>0.136137902685141</v>
      </c>
      <c r="D417" s="523">
        <f t="shared" ca="1" si="15"/>
        <v>-0.5877852522924734</v>
      </c>
    </row>
    <row r="418" spans="2:4" x14ac:dyDescent="0.25">
      <c r="B418" s="521">
        <v>37</v>
      </c>
      <c r="C418" s="522">
        <f t="shared" ca="1" si="14"/>
        <v>0.13991951109306158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0.14370111950098216</v>
      </c>
      <c r="D419" s="523">
        <f t="shared" ca="1" si="15"/>
        <v>-0.3090169943749476</v>
      </c>
    </row>
    <row r="420" spans="2:4" x14ac:dyDescent="0.25">
      <c r="B420" s="521">
        <v>39</v>
      </c>
      <c r="C420" s="522">
        <f t="shared" ca="1" si="14"/>
        <v>0.14748272790890274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0.15126433631682332</v>
      </c>
      <c r="D421" s="523">
        <f t="shared" ca="1" si="15"/>
        <v>-2.4492935982947064e-16</v>
      </c>
    </row>
    <row r="422" spans="2:4" x14ac:dyDescent="0.25">
      <c r="B422" s="521">
        <v>41</v>
      </c>
      <c r="C422" s="522">
        <f t="shared" ca="1" si="14"/>
        <v>0.1550459447247439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0.1588275531326645</v>
      </c>
      <c r="D423" s="523">
        <f t="shared" ca="1" si="15"/>
        <v>0.3090169943749472</v>
      </c>
    </row>
    <row r="424" spans="2:4" x14ac:dyDescent="0.25">
      <c r="B424" s="521">
        <v>43</v>
      </c>
      <c r="C424" s="522">
        <f t="shared" ca="1" si="14"/>
        <v>0.16260916154058508</v>
      </c>
      <c r="D424" s="523">
        <f t="shared" ca="1" si="15"/>
        <v>0.4539904997395466</v>
      </c>
    </row>
    <row r="425" spans="2:4" x14ac:dyDescent="0.25">
      <c r="B425" s="521">
        <v>44</v>
      </c>
      <c r="C425" s="522">
        <f t="shared" ca="1" si="14"/>
        <v>0.16639076994850566</v>
      </c>
      <c r="D425" s="523">
        <f t="shared" ca="1" si="15"/>
        <v>0.5877852522924729</v>
      </c>
    </row>
    <row r="426" spans="2:4" x14ac:dyDescent="0.25">
      <c r="B426" s="521">
        <v>45</v>
      </c>
      <c r="C426" s="522">
        <f t="shared" ca="1" si="14"/>
        <v>0.17017237835642623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0.1739539867643468</v>
      </c>
      <c r="D427" s="523">
        <f t="shared" ca="1" si="15"/>
        <v>0.8090169943749468</v>
      </c>
    </row>
    <row r="428" spans="2:4" x14ac:dyDescent="0.25">
      <c r="B428" s="521">
        <v>47</v>
      </c>
      <c r="C428" s="522">
        <f t="shared" ca="1" si="14"/>
        <v>0.17773559517226742</v>
      </c>
      <c r="D428" s="523">
        <f t="shared" ca="1" si="15"/>
        <v>0.8910065241883677</v>
      </c>
    </row>
    <row r="429" spans="2:4" x14ac:dyDescent="0.25">
      <c r="B429" s="521">
        <v>48</v>
      </c>
      <c r="C429" s="522">
        <f t="shared" ca="1" si="14"/>
        <v>0.18151720358018797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0.18529881198810857</v>
      </c>
      <c r="D430" s="523">
        <f t="shared" ca="1" si="15"/>
        <v>0.9876883405951377</v>
      </c>
    </row>
    <row r="431" spans="2:4" x14ac:dyDescent="0.25">
      <c r="B431" s="521">
        <v>50</v>
      </c>
      <c r="C431" s="522">
        <f t="shared" ca="1" si="14"/>
        <v>0.18908042039602915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0.19286202880394973</v>
      </c>
      <c r="D432" s="523">
        <f t="shared" ca="1" si="15"/>
        <v>0.9876883405951379</v>
      </c>
    </row>
    <row r="433" spans="2:4" x14ac:dyDescent="0.25">
      <c r="B433" s="521">
        <v>52</v>
      </c>
      <c r="C433" s="522">
        <f t="shared" ca="1" si="14"/>
        <v>0.19664363721187034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0.2004252456197909</v>
      </c>
      <c r="D434" s="523">
        <f t="shared" ca="1" si="15"/>
        <v>0.8910065241883685</v>
      </c>
    </row>
    <row r="435" spans="2:4" x14ac:dyDescent="0.25">
      <c r="B435" s="521">
        <v>54</v>
      </c>
      <c r="C435" s="522">
        <f t="shared" ca="1" si="14"/>
        <v>0.2042068540277115</v>
      </c>
      <c r="D435" s="523">
        <f t="shared" ca="1" si="15"/>
        <v>0.8090169943749477</v>
      </c>
    </row>
    <row r="436" spans="2:4" x14ac:dyDescent="0.25">
      <c r="B436" s="521">
        <v>55</v>
      </c>
      <c r="C436" s="522">
        <f t="shared" ca="1" si="14"/>
        <v>0.20798846243563207</v>
      </c>
      <c r="D436" s="523">
        <f t="shared" ca="1" si="15"/>
        <v>0.7071067811865483</v>
      </c>
    </row>
    <row r="437" spans="2:4" x14ac:dyDescent="0.25">
      <c r="B437" s="521">
        <v>56</v>
      </c>
      <c r="C437" s="522">
        <f t="shared" ca="1" si="14"/>
        <v>0.21177007084355265</v>
      </c>
      <c r="D437" s="523">
        <f t="shared" ca="1" si="15"/>
        <v>0.5877852522924734</v>
      </c>
    </row>
    <row r="438" spans="2:4" x14ac:dyDescent="0.25">
      <c r="B438" s="521">
        <v>57</v>
      </c>
      <c r="C438" s="522">
        <f t="shared" ca="1" si="14"/>
        <v>0.21555167925147325</v>
      </c>
      <c r="D438" s="523">
        <f t="shared" ca="1" si="15"/>
        <v>0.4539904997395463</v>
      </c>
    </row>
    <row r="439" spans="2:4" x14ac:dyDescent="0.25">
      <c r="B439" s="521">
        <v>58</v>
      </c>
      <c r="C439" s="522">
        <f t="shared" ca="1" si="14"/>
        <v>0.2193332876593938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0.2231148960673144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0.226896504475235</v>
      </c>
      <c r="D441" s="523">
        <f t="shared" ca="1" si="15"/>
        <v>3.6739403974420594e-16</v>
      </c>
    </row>
    <row r="442" spans="2:4" x14ac:dyDescent="0.25">
      <c r="B442" s="521">
        <v>61</v>
      </c>
      <c r="C442" s="522">
        <f t="shared" ca="1" si="14"/>
        <v>0.23067811288315557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0.23445972129107615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0.23824132969899672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0.24202293810691733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0.2458045465148379</v>
      </c>
      <c r="D446" s="523">
        <f t="shared" ca="1" si="17"/>
        <v>-0.7071067811865479</v>
      </c>
    </row>
    <row r="447" spans="2:4" x14ac:dyDescent="0.25">
      <c r="B447" s="521">
        <v>66</v>
      </c>
      <c r="C447" s="522">
        <f t="shared" ca="1" si="16"/>
        <v>0.24958615492275846</v>
      </c>
      <c r="D447" s="523">
        <f t="shared" ca="1" si="17"/>
        <v>-0.8090169943749461</v>
      </c>
    </row>
    <row r="448" spans="2:4" x14ac:dyDescent="0.25">
      <c r="B448" s="521">
        <v>67</v>
      </c>
      <c r="C448" s="522">
        <f t="shared" ca="1" si="16"/>
        <v>0.25336776333067906</v>
      </c>
      <c r="D448" s="523">
        <f t="shared" ca="1" si="17"/>
        <v>-0.8910065241883672</v>
      </c>
    </row>
    <row r="449" spans="2:4" x14ac:dyDescent="0.25">
      <c r="B449" s="521">
        <v>68</v>
      </c>
      <c r="C449" s="522">
        <f t="shared" ca="1" si="16"/>
        <v>0.25714937173859964</v>
      </c>
      <c r="D449" s="523">
        <f t="shared" ca="1" si="17"/>
        <v>-0.9510565162951534</v>
      </c>
    </row>
    <row r="450" spans="2:4" x14ac:dyDescent="0.25">
      <c r="B450" s="521">
        <v>69</v>
      </c>
      <c r="C450" s="522">
        <f t="shared" ca="1" si="16"/>
        <v>0.2609309801465202</v>
      </c>
      <c r="D450" s="523">
        <f t="shared" ca="1" si="17"/>
        <v>-0.9876883405951375</v>
      </c>
    </row>
    <row r="451" spans="2:4" x14ac:dyDescent="0.25">
      <c r="B451" s="521">
        <v>70</v>
      </c>
      <c r="C451" s="522">
        <f t="shared" ca="1" si="16"/>
        <v>0.2647125885544408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0.2684941969623614</v>
      </c>
      <c r="D452" s="523">
        <f t="shared" ca="1" si="17"/>
        <v>-0.9876883405951379</v>
      </c>
    </row>
    <row r="453" spans="2:4" x14ac:dyDescent="0.25">
      <c r="B453" s="521">
        <v>72</v>
      </c>
      <c r="C453" s="522">
        <f t="shared" ca="1" si="16"/>
        <v>0.272275805370282</v>
      </c>
      <c r="D453" s="523">
        <f t="shared" ca="1" si="17"/>
        <v>-0.9510565162951538</v>
      </c>
    </row>
    <row r="454" spans="2:4" x14ac:dyDescent="0.25">
      <c r="B454" s="521">
        <v>73</v>
      </c>
      <c r="C454" s="522">
        <f t="shared" ca="1" si="16"/>
        <v>0.27605741377820253</v>
      </c>
      <c r="D454" s="523">
        <f t="shared" ca="1" si="17"/>
        <v>-0.8910065241883685</v>
      </c>
    </row>
    <row r="455" spans="2:4" x14ac:dyDescent="0.25">
      <c r="B455" s="521">
        <v>74</v>
      </c>
      <c r="C455" s="522">
        <f t="shared" ca="1" si="16"/>
        <v>0.27983902218612317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0.28362063059404374</v>
      </c>
      <c r="D456" s="523">
        <f t="shared" ca="1" si="17"/>
        <v>-0.7071067811865472</v>
      </c>
    </row>
    <row r="457" spans="2:4" x14ac:dyDescent="0.25">
      <c r="B457" s="521">
        <v>76</v>
      </c>
      <c r="C457" s="522">
        <f t="shared" ca="1" si="16"/>
        <v>0.2874022390019643</v>
      </c>
      <c r="D457" s="523">
        <f t="shared" ca="1" si="17"/>
        <v>-0.5877852522924735</v>
      </c>
    </row>
    <row r="458" spans="2:4" x14ac:dyDescent="0.25">
      <c r="B458" s="521">
        <v>77</v>
      </c>
      <c r="C458" s="522">
        <f t="shared" ca="1" si="16"/>
        <v>0.2911838474098849</v>
      </c>
      <c r="D458" s="523">
        <f t="shared" ca="1" si="17"/>
        <v>-0.453990499739548</v>
      </c>
    </row>
    <row r="459" spans="2:4" x14ac:dyDescent="0.25">
      <c r="B459" s="521">
        <v>78</v>
      </c>
      <c r="C459" s="522">
        <f t="shared" ca="1" si="16"/>
        <v>0.2949654558178055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0.29874706422572606</v>
      </c>
      <c r="D460" s="523">
        <f t="shared" ca="1" si="17"/>
        <v>-0.15643446504023223</v>
      </c>
    </row>
    <row r="461" spans="2:4" x14ac:dyDescent="0.25">
      <c r="B461" s="521">
        <v>80</v>
      </c>
      <c r="C461" s="522">
        <f t="shared" ca="1" si="16"/>
        <v>0.30252867263364663</v>
      </c>
      <c r="D461" s="523">
        <f t="shared" ca="1" si="17"/>
        <v>-4.898587196589413e-16</v>
      </c>
    </row>
    <row r="462" spans="2:4" x14ac:dyDescent="0.25">
      <c r="B462" s="521">
        <v>81</v>
      </c>
      <c r="C462" s="522">
        <f t="shared" ca="1" si="16"/>
        <v>0.3063102810415672</v>
      </c>
      <c r="D462" s="523">
        <f t="shared" ca="1" si="17"/>
        <v>0.1564344650402295</v>
      </c>
    </row>
    <row r="463" spans="2:4" x14ac:dyDescent="0.25">
      <c r="B463" s="521">
        <v>82</v>
      </c>
      <c r="C463" s="522">
        <f t="shared" ca="1" si="16"/>
        <v>0.3100918894494878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0.3138734978574084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0.317655106265329</v>
      </c>
      <c r="D465" s="523">
        <f t="shared" ca="1" si="17"/>
        <v>0.5877852522924727</v>
      </c>
    </row>
    <row r="466" spans="2:4" x14ac:dyDescent="0.25">
      <c r="B466" s="521">
        <v>85</v>
      </c>
      <c r="C466" s="522">
        <f t="shared" ca="1" si="16"/>
        <v>0.3214367146732496</v>
      </c>
      <c r="D466" s="523">
        <f t="shared" ca="1" si="17"/>
        <v>0.7071067811865478</v>
      </c>
    </row>
    <row r="467" spans="2:4" x14ac:dyDescent="0.25">
      <c r="B467" s="521">
        <v>86</v>
      </c>
      <c r="C467" s="522">
        <f t="shared" ca="1" si="16"/>
        <v>0.32521832308117016</v>
      </c>
      <c r="D467" s="523">
        <f t="shared" ca="1" si="17"/>
        <v>0.8090169943749471</v>
      </c>
    </row>
    <row r="468" spans="2:4" x14ac:dyDescent="0.25">
      <c r="B468" s="521">
        <v>87</v>
      </c>
      <c r="C468" s="522">
        <f t="shared" ca="1" si="16"/>
        <v>0.3289999314890907</v>
      </c>
      <c r="D468" s="523">
        <f t="shared" ca="1" si="17"/>
        <v>0.8910065241883665</v>
      </c>
    </row>
    <row r="469" spans="2:4" x14ac:dyDescent="0.25">
      <c r="B469" s="521">
        <v>88</v>
      </c>
      <c r="C469" s="522">
        <f t="shared" ca="1" si="16"/>
        <v>0.3327815398970113</v>
      </c>
      <c r="D469" s="523">
        <f t="shared" ca="1" si="17"/>
        <v>0.9510565162951534</v>
      </c>
    </row>
    <row r="470" spans="2:4" x14ac:dyDescent="0.25">
      <c r="B470" s="521">
        <v>89</v>
      </c>
      <c r="C470" s="522">
        <f t="shared" ca="1" si="16"/>
        <v>0.3365631483049319</v>
      </c>
      <c r="D470" s="523">
        <f t="shared" ca="1" si="17"/>
        <v>0.9876883405951375</v>
      </c>
    </row>
    <row r="471" spans="2:4" x14ac:dyDescent="0.25">
      <c r="B471" s="521">
        <v>90</v>
      </c>
      <c r="C471" s="522">
        <f t="shared" ca="1" si="16"/>
        <v>0.34034475671285247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0.34412636512077305</v>
      </c>
      <c r="D472" s="523">
        <f t="shared" ca="1" si="17"/>
        <v>0.987688340595138</v>
      </c>
    </row>
    <row r="473" spans="2:4" x14ac:dyDescent="0.25">
      <c r="B473" s="521">
        <v>92</v>
      </c>
      <c r="C473" s="522">
        <f t="shared" ca="1" si="16"/>
        <v>0.3479079735286936</v>
      </c>
      <c r="D473" s="523">
        <f t="shared" ca="1" si="17"/>
        <v>0.9510565162951543</v>
      </c>
    </row>
    <row r="474" spans="2:4" x14ac:dyDescent="0.25">
      <c r="B474" s="521">
        <v>93</v>
      </c>
      <c r="C474" s="522">
        <f t="shared" ca="1" si="16"/>
        <v>0.35168958193661426</v>
      </c>
      <c r="D474" s="523">
        <f t="shared" ca="1" si="17"/>
        <v>0.8910065241883677</v>
      </c>
    </row>
    <row r="475" spans="2:4" x14ac:dyDescent="0.25">
      <c r="B475" s="521">
        <v>94</v>
      </c>
      <c r="C475" s="522">
        <f t="shared" ca="1" si="16"/>
        <v>0.35547119034453484</v>
      </c>
      <c r="D475" s="523">
        <f t="shared" ca="1" si="17"/>
        <v>0.8090169943749478</v>
      </c>
    </row>
    <row r="476" spans="2:4" x14ac:dyDescent="0.25">
      <c r="B476" s="521">
        <v>95</v>
      </c>
      <c r="C476" s="522">
        <f t="shared" ca="1" si="16"/>
        <v>0.3592527987524554</v>
      </c>
      <c r="D476" s="523">
        <f t="shared" ca="1" si="17"/>
        <v>0.7071067811865474</v>
      </c>
    </row>
    <row r="477" spans="2:4" x14ac:dyDescent="0.25">
      <c r="B477" s="521">
        <v>96</v>
      </c>
      <c r="C477" s="522">
        <f t="shared" ca="1" si="16"/>
        <v>0.36303440716037594</v>
      </c>
      <c r="D477" s="523">
        <f t="shared" ca="1" si="17"/>
        <v>0.587785252292475</v>
      </c>
    </row>
    <row r="478" spans="2:4" x14ac:dyDescent="0.25">
      <c r="B478" s="521">
        <v>97</v>
      </c>
      <c r="C478" s="522">
        <f t="shared" ca="1" si="16"/>
        <v>0.3668160155682965</v>
      </c>
      <c r="D478" s="523">
        <f t="shared" ca="1" si="17"/>
        <v>0.4539904997395497</v>
      </c>
    </row>
    <row r="479" spans="2:4" x14ac:dyDescent="0.25">
      <c r="B479" s="521">
        <v>98</v>
      </c>
      <c r="C479" s="522">
        <f t="shared" ca="1" si="16"/>
        <v>0.37059762397621715</v>
      </c>
      <c r="D479" s="523">
        <f t="shared" ca="1" si="17"/>
        <v>0.309016994374948</v>
      </c>
    </row>
    <row r="480" spans="2:4" x14ac:dyDescent="0.25">
      <c r="B480" s="521">
        <v>99</v>
      </c>
      <c r="C480" s="522">
        <f t="shared" ca="1" si="16"/>
        <v>0.37437923238413773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0.3781608407920583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0.3819424491999789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0.38572405760789946</v>
      </c>
      <c r="D483" s="523">
        <f t="shared" ca="1" si="17"/>
        <v>-0.3090169943749451</v>
      </c>
    </row>
    <row r="484" spans="2:4" x14ac:dyDescent="0.25">
      <c r="B484" s="521">
        <v>103</v>
      </c>
      <c r="C484" s="522">
        <f t="shared" ca="1" si="16"/>
        <v>0.3895056660158201</v>
      </c>
      <c r="D484" s="523">
        <f t="shared" ca="1" si="17"/>
        <v>-0.4539904997395486</v>
      </c>
    </row>
    <row r="485" spans="2:4" x14ac:dyDescent="0.25">
      <c r="B485" s="521">
        <v>104</v>
      </c>
      <c r="C485" s="522">
        <f t="shared" ca="1" si="16"/>
        <v>0.3932872744237407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0.3970688828316612</v>
      </c>
      <c r="D486" s="523">
        <f t="shared" ca="1" si="17"/>
        <v>-0.7071067811865452</v>
      </c>
    </row>
    <row r="487" spans="2:4" x14ac:dyDescent="0.25">
      <c r="B487" s="521">
        <v>106</v>
      </c>
      <c r="C487" s="522">
        <f t="shared" ca="1" si="16"/>
        <v>0.4008504912395818</v>
      </c>
      <c r="D487" s="523">
        <f t="shared" ca="1" si="17"/>
        <v>-0.809016994374946</v>
      </c>
    </row>
    <row r="488" spans="2:4" x14ac:dyDescent="0.25">
      <c r="B488" s="521">
        <v>107</v>
      </c>
      <c r="C488" s="522">
        <f t="shared" ca="1" si="16"/>
        <v>0.40463209964750235</v>
      </c>
      <c r="D488" s="523">
        <f t="shared" ca="1" si="17"/>
        <v>-0.8910065241883671</v>
      </c>
    </row>
    <row r="489" spans="2:4" x14ac:dyDescent="0.25">
      <c r="B489" s="521">
        <v>108</v>
      </c>
      <c r="C489" s="522">
        <f t="shared" ca="1" si="16"/>
        <v>0.408413708055423</v>
      </c>
      <c r="D489" s="523">
        <f t="shared" ca="1" si="17"/>
        <v>-0.9510565162951534</v>
      </c>
    </row>
    <row r="490" spans="2:4" x14ac:dyDescent="0.25">
      <c r="B490" s="521">
        <v>109</v>
      </c>
      <c r="C490" s="522">
        <f t="shared" ca="1" si="16"/>
        <v>0.41219531646334356</v>
      </c>
      <c r="D490" s="523">
        <f t="shared" ca="1" si="17"/>
        <v>-0.9876883405951378</v>
      </c>
    </row>
    <row r="491" spans="2:4" x14ac:dyDescent="0.25">
      <c r="B491" s="521">
        <v>110</v>
      </c>
      <c r="C491" s="522">
        <f t="shared" ca="1" si="16"/>
        <v>0.41597692487126414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0.4197585332791847</v>
      </c>
      <c r="D492" s="523">
        <f t="shared" ca="1" si="17"/>
        <v>-0.987688340595138</v>
      </c>
    </row>
    <row r="493" spans="2:4" x14ac:dyDescent="0.25">
      <c r="B493" s="521">
        <v>112</v>
      </c>
      <c r="C493" s="522">
        <f t="shared" ca="1" si="16"/>
        <v>0.4235401416871053</v>
      </c>
      <c r="D493" s="523">
        <f t="shared" ca="1" si="17"/>
        <v>-0.9510565162951538</v>
      </c>
    </row>
    <row r="494" spans="2:4" x14ac:dyDescent="0.25">
      <c r="B494" s="521">
        <v>113</v>
      </c>
      <c r="C494" s="522">
        <f t="shared" ca="1" si="16"/>
        <v>0.42732175009502593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0.4311033585029465</v>
      </c>
      <c r="D495" s="523">
        <f t="shared" ca="1" si="17"/>
        <v>-0.8090169943749468</v>
      </c>
    </row>
    <row r="496" spans="2:4" x14ac:dyDescent="0.25">
      <c r="B496" s="521">
        <v>115</v>
      </c>
      <c r="C496" s="522">
        <f t="shared" ca="1" si="16"/>
        <v>0.43488496691086703</v>
      </c>
      <c r="D496" s="523">
        <f t="shared" ca="1" si="17"/>
        <v>-0.7071067811865487</v>
      </c>
    </row>
    <row r="497" spans="2:8" x14ac:dyDescent="0.25">
      <c r="B497" s="521">
        <v>116</v>
      </c>
      <c r="C497" s="522">
        <f t="shared" ca="1" si="16"/>
        <v>0.4386665753187876</v>
      </c>
      <c r="D497" s="523">
        <f t="shared" ca="1" si="17"/>
        <v>-0.5877852522924737</v>
      </c>
    </row>
    <row r="498" spans="2:8" x14ac:dyDescent="0.25">
      <c r="B498" s="521">
        <v>117</v>
      </c>
      <c r="C498" s="522">
        <f t="shared" ca="1" si="16"/>
        <v>0.4424481837267082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0.4462297921346288</v>
      </c>
      <c r="D499" s="523">
        <f t="shared" ca="1" si="17"/>
        <v>-0.3090169943749464</v>
      </c>
    </row>
    <row r="500" spans="2:8" x14ac:dyDescent="0.25">
      <c r="B500" s="521">
        <v>119</v>
      </c>
      <c r="C500" s="522">
        <f t="shared" ca="1" si="16"/>
        <v>0.4500114005425494</v>
      </c>
      <c r="D500" s="523">
        <f t="shared" ca="1" si="17"/>
        <v>-0.15643446504023248</v>
      </c>
    </row>
    <row r="501" spans="2:8" x14ac:dyDescent="0.25">
      <c r="B501" s="521">
        <v>120</v>
      </c>
      <c r="C501" s="522">
        <f t="shared" ca="1" si="16"/>
        <v>0.45379300895047</v>
      </c>
      <c r="D501" s="523">
        <f t="shared" ca="1" si="17"/>
        <v>-7.347880794884119e-16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Geometria!H1222</f>
        <v>0.0</v>
      </c>
      <c r="D505" s="503" t="s">
        <v>1173</v>
      </c>
      <c r="E505" s="488" t="s">
        <v>1181</v>
      </c>
    </row>
    <row r="506" spans="2:8" x14ac:dyDescent="0.25">
      <c r="B506" s="541" t="s">
        <v>1163</v>
      </c>
      <c r="C506" s="527">
        <f>Geometria!H1228</f>
        <v>0.21</v>
      </c>
      <c r="D506" s="503" t="s">
        <v>1173</v>
      </c>
      <c r="E506" s="488" t="s">
        <v>1182</v>
      </c>
    </row>
    <row r="507" spans="2:8" x14ac:dyDescent="0.25">
      <c r="B507" s="541" t="s">
        <v>1164</v>
      </c>
      <c r="C507" s="527">
        <f>3*C505/(1-C505)</f>
        <v>0.0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0.7974683544303797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3.250393867492676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-4.451195063381874e-05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3.433227539151318e-06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1.070464414223925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-513.6959070930053</v>
      </c>
    </row>
    <row r="518" spans="4:7" x14ac:dyDescent="0.25">
      <c r="D518" s="543">
        <f t="shared" ref="D518:D536" si="19">IF(G517&gt;0,F517,D517)</f>
        <v>3.0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-85.612937077183</v>
      </c>
    </row>
    <row r="519" spans="4:7" x14ac:dyDescent="0.25">
      <c r="D519" s="543">
        <f t="shared" si="19"/>
        <v>3.0</v>
      </c>
      <c r="E519" s="543">
        <f t="shared" si="20"/>
        <v>3.45</v>
      </c>
      <c r="F519" s="543">
        <f t="shared" si="18"/>
        <v>3.225</v>
      </c>
      <c r="G519" s="543">
        <f t="shared" si="21"/>
        <v>7.722360430946463</v>
      </c>
    </row>
    <row r="520" spans="4:7" x14ac:dyDescent="0.25">
      <c r="D520" s="543">
        <f t="shared" si="19"/>
        <v>3.225</v>
      </c>
      <c r="E520" s="543">
        <f t="shared" si="20"/>
        <v>3.45</v>
      </c>
      <c r="F520" s="543">
        <f t="shared" si="18"/>
        <v>3.3375000000000004</v>
      </c>
      <c r="G520" s="543">
        <f t="shared" si="21"/>
        <v>-31.56096665702384</v>
      </c>
    </row>
    <row r="521" spans="4:7" x14ac:dyDescent="0.25">
      <c r="D521" s="543">
        <f t="shared" si="19"/>
        <v>3.225</v>
      </c>
      <c r="E521" s="543">
        <f t="shared" si="20"/>
        <v>3.3375000000000004</v>
      </c>
      <c r="F521" s="543">
        <f t="shared" si="18"/>
        <v>3.28125</v>
      </c>
      <c r="G521" s="543">
        <f t="shared" si="21"/>
        <v>-10.250880331835848</v>
      </c>
    </row>
    <row r="522" spans="4:7" x14ac:dyDescent="0.25">
      <c r="D522" s="543">
        <f t="shared" si="19"/>
        <v>3.225</v>
      </c>
      <c r="E522" s="543">
        <f t="shared" si="20"/>
        <v>3.28125</v>
      </c>
      <c r="F522" s="543">
        <f t="shared" si="18"/>
        <v>3.253125</v>
      </c>
      <c r="G522" s="543">
        <f t="shared" si="21"/>
        <v>-0.8683107791359248</v>
      </c>
    </row>
    <row r="523" spans="4:7" x14ac:dyDescent="0.25">
      <c r="D523" s="543">
        <f t="shared" si="19"/>
        <v>3.225</v>
      </c>
      <c r="E523" s="543">
        <f t="shared" si="20"/>
        <v>3.253125</v>
      </c>
      <c r="F523" s="543">
        <f t="shared" si="18"/>
        <v>3.2390625</v>
      </c>
      <c r="G523" s="543">
        <f t="shared" si="21"/>
        <v>3.523434478808852</v>
      </c>
    </row>
    <row r="524" spans="4:7" x14ac:dyDescent="0.25">
      <c r="D524" s="543">
        <f t="shared" si="19"/>
        <v>3.2390625</v>
      </c>
      <c r="E524" s="543">
        <f t="shared" si="20"/>
        <v>3.253125</v>
      </c>
      <c r="F524" s="543">
        <f t="shared" si="18"/>
        <v>3.24609375</v>
      </c>
      <c r="G524" s="543">
        <f t="shared" si="21"/>
        <v>1.3519834635597903</v>
      </c>
    </row>
    <row r="525" spans="4:7" x14ac:dyDescent="0.25">
      <c r="D525" s="543">
        <f t="shared" si="19"/>
        <v>3.24609375</v>
      </c>
      <c r="E525" s="543">
        <f t="shared" si="20"/>
        <v>3.253125</v>
      </c>
      <c r="F525" s="543">
        <f t="shared" si="18"/>
        <v>3.249609375</v>
      </c>
      <c r="G525" s="543">
        <f t="shared" si="21"/>
        <v>0.24798190901248773</v>
      </c>
    </row>
    <row r="526" spans="4:7" x14ac:dyDescent="0.25">
      <c r="D526" s="543">
        <f t="shared" si="19"/>
        <v>3.249609375</v>
      </c>
      <c r="E526" s="543">
        <f t="shared" si="20"/>
        <v>3.253125</v>
      </c>
      <c r="F526" s="543">
        <f t="shared" si="18"/>
        <v>3.2513671874999996</v>
      </c>
      <c r="G526" s="543">
        <f t="shared" si="21"/>
        <v>-0.30862300650355223</v>
      </c>
    </row>
    <row r="527" spans="4:7" x14ac:dyDescent="0.25">
      <c r="D527" s="543">
        <f t="shared" si="19"/>
        <v>3.249609375</v>
      </c>
      <c r="E527" s="543">
        <f t="shared" si="20"/>
        <v>3.2513671874999996</v>
      </c>
      <c r="F527" s="543">
        <f t="shared" si="18"/>
        <v>3.25048828125</v>
      </c>
      <c r="G527" s="543">
        <f t="shared" si="21"/>
        <v>-0.029935821946697416</v>
      </c>
    </row>
    <row r="528" spans="4:7" x14ac:dyDescent="0.25">
      <c r="D528" s="543">
        <f t="shared" si="19"/>
        <v>3.249609375</v>
      </c>
      <c r="E528" s="543">
        <f t="shared" si="20"/>
        <v>3.25048828125</v>
      </c>
      <c r="F528" s="543">
        <f t="shared" si="18"/>
        <v>3.250048828125</v>
      </c>
      <c r="G528" s="543">
        <f t="shared" si="21"/>
        <v>0.10911914650413479</v>
      </c>
    </row>
    <row r="529" spans="2:9" x14ac:dyDescent="0.25">
      <c r="D529" s="543">
        <f t="shared" si="19"/>
        <v>3.250048828125</v>
      </c>
      <c r="E529" s="543">
        <f t="shared" si="20"/>
        <v>3.25048828125</v>
      </c>
      <c r="F529" s="543">
        <f t="shared" si="18"/>
        <v>3.2502685546875</v>
      </c>
      <c r="G529" s="543">
        <f t="shared" si="21"/>
        <v>0.039615697859733956</v>
      </c>
    </row>
    <row r="530" spans="2:9" x14ac:dyDescent="0.25">
      <c r="D530" s="543">
        <f t="shared" si="19"/>
        <v>3.2502685546875</v>
      </c>
      <c r="E530" s="543">
        <f t="shared" si="20"/>
        <v>3.25048828125</v>
      </c>
      <c r="F530" s="543">
        <f t="shared" si="18"/>
        <v>3.25037841796875</v>
      </c>
      <c r="G530" s="543">
        <f t="shared" si="21"/>
        <v>0.004845948081868556</v>
      </c>
    </row>
    <row r="531" spans="2:9" x14ac:dyDescent="0.25">
      <c r="D531" s="543">
        <f t="shared" si="19"/>
        <v>3.25037841796875</v>
      </c>
      <c r="E531" s="543">
        <f t="shared" si="20"/>
        <v>3.25048828125</v>
      </c>
      <c r="F531" s="543">
        <f t="shared" si="18"/>
        <v>3.250433349609375</v>
      </c>
      <c r="G531" s="543">
        <f t="shared" si="21"/>
        <v>-0.012543434247323404</v>
      </c>
    </row>
    <row r="532" spans="2:9" x14ac:dyDescent="0.25">
      <c r="D532" s="543">
        <f t="shared" si="19"/>
        <v>3.25037841796875</v>
      </c>
      <c r="E532" s="543">
        <f t="shared" si="20"/>
        <v>3.250433349609375</v>
      </c>
      <c r="F532" s="543">
        <f t="shared" si="18"/>
        <v>3.250405883789062</v>
      </c>
      <c r="G532" s="543">
        <f t="shared" si="21"/>
        <v>-0.0038483674306100113</v>
      </c>
    </row>
    <row r="533" spans="2:9" x14ac:dyDescent="0.25">
      <c r="D533" s="543">
        <f t="shared" si="19"/>
        <v>3.25037841796875</v>
      </c>
      <c r="E533" s="543">
        <f t="shared" si="20"/>
        <v>3.250405883789062</v>
      </c>
      <c r="F533" s="543">
        <f t="shared" si="18"/>
        <v>3.250392150878906</v>
      </c>
      <c r="G533" s="543">
        <f t="shared" si="21"/>
        <v>0.0004988842362436685</v>
      </c>
    </row>
    <row r="534" spans="2:9" x14ac:dyDescent="0.25">
      <c r="D534" s="543">
        <f t="shared" si="19"/>
        <v>3.250392150878906</v>
      </c>
      <c r="E534" s="543">
        <f t="shared" si="20"/>
        <v>3.250405883789062</v>
      </c>
      <c r="F534" s="543">
        <f t="shared" si="18"/>
        <v>3.250399017333984</v>
      </c>
      <c r="G534" s="543">
        <f t="shared" si="21"/>
        <v>-0.0016747181191583138</v>
      </c>
    </row>
    <row r="535" spans="2:9" x14ac:dyDescent="0.25">
      <c r="D535" s="543">
        <f t="shared" si="19"/>
        <v>3.250392150878906</v>
      </c>
      <c r="E535" s="543">
        <f t="shared" si="20"/>
        <v>3.250399017333984</v>
      </c>
      <c r="F535" s="543">
        <f t="shared" si="18"/>
        <v>3.250395584106445</v>
      </c>
      <c r="G535" s="543">
        <f t="shared" si="21"/>
        <v>-0.0005879110720812264</v>
      </c>
    </row>
    <row r="536" spans="2:9" ht="15.75" thickBot="1" x14ac:dyDescent="0.3">
      <c r="D536" s="544">
        <f t="shared" si="19"/>
        <v>3.250392150878906</v>
      </c>
      <c r="E536" s="544">
        <f t="shared" si="20"/>
        <v>3.250395584106445</v>
      </c>
      <c r="F536" s="544">
        <f t="shared" si="18"/>
        <v>3.250393867492676</v>
      </c>
      <c r="G536" s="544">
        <f t="shared" si="21"/>
        <v>-4.451195063381874e-05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</v>
      </c>
      <c r="D544" s="807" t="s">
        <v>1206</v>
      </c>
      <c r="E544" s="807"/>
      <c r="F544" s="536" t="str">
        <f>IF($C$50&gt;=C544,"Ok","Não atende")</f>
        <v>Não atende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  <row r="700" spans="2:19" ht="15.75" thickBot="1">
      <c r="B700" s="486" t="inlineStr">
        <is>
          <t xml:space="preserve">7.</t>
        </is>
      </c>
      <c r="C700" s="809" t="inlineStr">
        <is>
          <t xml:space="preserve">VERIFICAÇÕES COMPLEMENTARES DE CONFORTO (AISC Design Guide 11, 2ª ed.)</t>
        </is>
      </c>
      <c r="D700" s="809"/>
      <c r="E700" s="809"/>
      <c r="F700" s="809"/>
      <c r="G700" s="809"/>
      <c r="H700" s="809"/>
      <c r="I700" s="809"/>
      <c r="J700" s="809"/>
      <c r="K700" s="809"/>
      <c r="L700" s="809"/>
      <c r="M700" s="809"/>
      <c r="N700" s="809"/>
      <c r="O700" s="809"/>
      <c r="P700" s="809"/>
      <c r="Q700" s="809"/>
      <c r="R700" s="809"/>
      <c r="S700" s="809"/>
    </row>
    <row r="701" spans="2:19">
      <c r="B701" s="813" t="inlineStr">
        <is>
          <t xml:space="preserve"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Entradas editáveis: δviga, q,uso, Cj, β, P0 e a0/g.</t>
        </is>
      </c>
    </row>
    <row r="702" spans="2:19"/>
    <row r="704" spans="2:19" ht="15.75" thickBot="1">
      <c r="B704" s="486" t="inlineStr">
        <is>
          <t xml:space="preserve">7.1</t>
        </is>
      </c>
      <c r="C704" s="809" t="inlineStr">
        <is>
          <t xml:space="preserve">CONFERÊNCIA DA FREQUÊNCIA PELA FLECHA</t>
        </is>
      </c>
      <c r="D704" s="809"/>
      <c r="E704" s="809"/>
      <c r="F704" s="809"/>
      <c r="G704" s="809"/>
      <c r="H704" s="809"/>
      <c r="I704" s="809"/>
      <c r="J704" s="809"/>
      <c r="K704" s="809"/>
      <c r="L704" s="809"/>
      <c r="M704" s="809"/>
      <c r="N704" s="809"/>
      <c r="O704" s="809"/>
      <c r="P704" s="809"/>
      <c r="Q704" s="809"/>
      <c r="R704" s="809"/>
      <c r="S704" s="809"/>
    </row>
    <row r="705" spans="2:19">
      <c r="B705" s="482" t="inlineStr">
        <is>
          <t xml:space="preserve">w</t>
        </is>
      </c>
      <c r="C705" s="1">
        <f>(C20*9.81)+((C47*C48+C46)*C5/100*9.81)</f>
        <v>19857.854190440044</v>
      </c>
      <c r="D705" s="1" t="inlineStr">
        <is>
          <t xml:space="preserve">N/m</t>
        </is>
      </c>
      <c r="E705" s="488" t="inlineStr">
        <is>
          <t xml:space="preserve">*Carga por laje na mesma combinação do item 3: peso próprio + capa + chaveta + g5 + ψ1·q1</t>
        </is>
      </c>
    </row>
    <row r="706" spans="2:19">
      <c r="B706" s="482" t="inlineStr">
        <is>
          <t xml:space="preserve">δlaje</t>
        </is>
      </c>
      <c r="C706" s="1">
        <f>5*C705*(C14/100)^4/(384*C30*1000)*1000</f>
        <v>8.263520385911887</v>
      </c>
      <c r="D706" s="1" t="inlineStr">
        <is>
          <t xml:space="preserve">mm</t>
        </is>
      </c>
      <c r="E706" s="488" t="inlineStr">
        <is>
          <t xml:space="preserve">*Flecha elástica imediata no meio do vão, laje biapoiada, com o Ecs dinâmico (5wL⁴/384EI)</t>
        </is>
      </c>
    </row>
    <row r="707" spans="2:19">
      <c r="B707" s="482" t="inlineStr">
        <is>
          <t xml:space="preserve">fn,flecha</t>
        </is>
      </c>
      <c r="C707" s="501">
        <f>0.18*SQRT(9.81/(C706/1000))*$C$512</f>
        <v>6.638908634416513</v>
      </c>
      <c r="D707" s="1" t="inlineStr">
        <is>
          <t xml:space="preserve">Hz</t>
        </is>
      </c>
      <c r="E707" s="488" t="inlineStr">
        <is>
          <t xml:space="preserve">*fn = 0,18·√(g/δ) × R. Fórmula do AISC DG11 (eq. 3.3); para viga biapoiada é praticamente exata (o coeficiente teórico é 0,179)</t>
        </is>
      </c>
    </row>
    <row r="708" spans="2:19">
      <c r="B708" s="482" t="inlineStr">
        <is>
          <t xml:space="preserve">Diferença</t>
        </is>
      </c>
      <c r="C708" s="1">
        <f>C707/C50-1</f>
        <v>0.004230108453041614</v>
      </c>
      <c r="D708" s="1" t="inlineStr">
        <is>
          <t xml:space="preserve">-</t>
        </is>
      </c>
      <c r="E708" s="488" t="inlineStr">
        <is>
          <t xml:space="preserve">*Diferença para o item 3. Deve ser próxima de zero: é uma conferência independente das fórmulas e unidades</t>
        </is>
      </c>
    </row>
    <row r="711" spans="2:19" ht="15.75" thickBot="1">
      <c r="B711" s="486" t="inlineStr">
        <is>
          <t xml:space="preserve">7.2</t>
        </is>
      </c>
      <c r="C711" s="809" t="inlineStr">
        <is>
          <t xml:space="preserve">INFLUÊNCIA DA FLEXIBILIDADE DAS VIGAS DE APOIO</t>
        </is>
      </c>
      <c r="D711" s="809"/>
      <c r="E711" s="809"/>
      <c r="F711" s="809"/>
      <c r="G711" s="809"/>
      <c r="H711" s="809"/>
      <c r="I711" s="809"/>
      <c r="J711" s="809"/>
      <c r="K711" s="809"/>
      <c r="L711" s="809"/>
      <c r="M711" s="809"/>
      <c r="N711" s="809"/>
      <c r="O711" s="809"/>
      <c r="P711" s="809"/>
      <c r="Q711" s="809"/>
      <c r="R711" s="809"/>
      <c r="S711" s="809"/>
    </row>
    <row r="712" spans="2:19">
      <c r="B712" s="483" t="inlineStr">
        <is>
          <t xml:space="preserve">δviga,esq</t>
        </is>
      </c>
      <c r="C712" s="490">
        <v>0</v>
      </c>
      <c r="D712" s="1" t="inlineStr">
        <is>
          <t xml:space="preserve">mm</t>
        </is>
      </c>
      <c r="E712" s="488" t="inlineStr">
        <is>
          <t xml:space="preserve">*Flecha no meio do vão da viga de apoio esquerda sob a reação das lajes, na mesma combinação (tirar do cálculo da viga). 0 = apoio indeformável (pilar, parede ou viga muito rígida)</t>
        </is>
      </c>
    </row>
    <row r="713" spans="2:19">
      <c r="B713" s="483" t="inlineStr">
        <is>
          <t xml:space="preserve">δviga,dir</t>
        </is>
      </c>
      <c r="C713" s="490">
        <v>0</v>
      </c>
      <c r="D713" s="1" t="inlineStr">
        <is>
          <t xml:space="preserve">mm</t>
        </is>
      </c>
      <c r="E713" s="488" t="inlineStr">
        <is>
          <t xml:space="preserve">*Idem para a viga de apoio direita</t>
        </is>
      </c>
    </row>
    <row r="714" spans="2:19">
      <c r="B714" s="482" t="inlineStr">
        <is>
          <t xml:space="preserve">δviga</t>
        </is>
      </c>
      <c r="C714" s="1">
        <f>(C712+C713)/2</f>
        <v>0.0</v>
      </c>
      <c r="D714" s="1" t="inlineStr">
        <is>
          <t xml:space="preserve">mm</t>
        </is>
      </c>
      <c r="E714" s="488" t="inlineStr">
        <is>
          <t xml:space="preserve">*Deslocamento médio dos apoios: é o quanto o meio do vão da laje desce a mais por causa das vigas</t>
        </is>
      </c>
    </row>
    <row r="715" spans="2:19">
      <c r="B715" s="482" t="inlineStr">
        <is>
          <t xml:space="preserve">fviga</t>
        </is>
      </c>
      <c r="C715" s="1" t="str">
        <f>IF(C714&gt;0,0.18*SQRT(9.81/(C714/1000)),"-")</f>
        <v>-</v>
      </c>
      <c r="D715" s="1" t="inlineStr">
        <is>
          <t xml:space="preserve">Hz</t>
        </is>
      </c>
      <c r="E715" s="488" t="inlineStr">
        <is>
          <t xml:space="preserve">*Frequência do modo em que as vigas vibram levando as lajes junto</t>
        </is>
      </c>
    </row>
    <row r="716" spans="2:19">
      <c r="B716" s="482" t="inlineStr">
        <is>
          <t xml:space="preserve">fn,sistema</t>
        </is>
      </c>
      <c r="C716" s="501">
        <f>IF(C714&gt;0,1/SQRT(1/C50^2+1/C715^2),C50)</f>
        <v>6.610943625902003</v>
      </c>
      <c r="D716" s="1" t="inlineStr">
        <is>
          <t xml:space="preserve">Hz</t>
        </is>
      </c>
      <c r="E716" s="488" t="inlineStr">
        <is>
          <t xml:space="preserve">*Frequência do conjunto laje + vigas (Dunkerley: 1/f² = 1/flaje² + 1/fviga²). Sempre menor que as duas; é o valor a comparar com a tabela de usos</t>
        </is>
      </c>
    </row>
    <row r="719" spans="2:19" ht="15.75" thickBot="1">
      <c r="B719" s="486" t="inlineStr">
        <is>
          <t xml:space="preserve">7.3</t>
        </is>
      </c>
      <c r="C719" s="809" t="inlineStr">
        <is>
          <t xml:space="preserve">ACELERAÇÃO DE PICO POR CAMINHADA (AISC DG11, cap. 4)</t>
        </is>
      </c>
      <c r="D719" s="809"/>
      <c r="E719" s="809"/>
      <c r="F719" s="809"/>
      <c r="G719" s="809"/>
      <c r="H719" s="809"/>
      <c r="I719" s="809"/>
      <c r="J719" s="809"/>
      <c r="K719" s="809"/>
      <c r="L719" s="809"/>
      <c r="M719" s="809"/>
      <c r="N719" s="809"/>
      <c r="O719" s="809"/>
      <c r="P719" s="809"/>
      <c r="Q719" s="809"/>
      <c r="R719" s="809"/>
      <c r="S719" s="809"/>
    </row>
    <row r="720" spans="2:19">
      <c r="B720" s="813" t="inlineStr">
        <is>
          <t xml:space="preserve">*Critério: ap/g = P0·e^(−0,35·fn) / (β·W) ≤ a0/g. Vale para fn &lt; 9 Hz; acima disso a caminhada não entra em ressonância e o critério passa a ser a rigidez a uma força concentrada (≥ 1 kN/mm).</t>
        </is>
      </c>
    </row>
    <row r="721" spans="2:19"/>
    <row r="722" spans="2:19">
      <c r="B722" s="483" t="inlineStr">
        <is>
          <t xml:space="preserve">q,uso</t>
        </is>
      </c>
      <c r="C722" s="490">
        <v>50</v>
      </c>
      <c r="D722" s="1" t="inlineStr">
        <is>
          <t xml:space="preserve">kgf/m²</t>
        </is>
      </c>
      <c r="E722" s="488" t="inlineStr">
        <is>
          <t xml:space="preserve">*Sobrecarga realmente presente no uso, e não a de projeto (AISC: ≈ 50 kgf/m² escritórios, ≈ 30 kgf/m² residências). Aqui mais massa reduz a aceleração, então usar a carga de projeto ficaria contra a segurança</t>
        </is>
      </c>
    </row>
    <row r="723" spans="2:19">
      <c r="B723" s="482" t="inlineStr">
        <is>
          <t xml:space="preserve">fn,ac</t>
        </is>
      </c>
      <c r="C723" s="501">
        <f>IF(C714&gt;0,1/SQRT(1/(((C40/((C20*C39*(C14/100))+(C722*(C14/100)*(C39*C5/100))+(C46*(C14/100)*(C39*C5/100))))^0.5)*1/(2*PI())*$C$512)^2+1/C715^2),((C40/((C20*C39*(C14/100))+(C722*(C14/100)*(C39*C5/100))+(C46*(C14/100)*(C39*C5/100))))^0.5)*1/(2*PI())*$C$512)</f>
        <v>10.282489193600526</v>
      </c>
      <c r="D723" s="1" t="inlineStr">
        <is>
          <t xml:space="preserve">Hz</t>
        </is>
      </c>
      <c r="E723" s="488" t="inlineStr">
        <is>
          <t xml:space="preserve">*Frequência do pano com a carga de uso real (mesma fórmula do item 3, incluindo R e as vigas do item 7.2)</t>
        </is>
      </c>
    </row>
    <row r="724" spans="2:19">
      <c r="B724" s="482" t="inlineStr">
        <is>
          <t xml:space="preserve">Ds</t>
        </is>
      </c>
      <c r="C724" s="1">
        <f>(C4/100)^3/12</f>
        <v>1.041666666666667e-05</v>
      </c>
      <c r="D724" s="1" t="inlineStr">
        <is>
          <t xml:space="preserve">m⁴/m</t>
        </is>
      </c>
      <c r="E724" s="488" t="inlineStr">
        <is>
          <t xml:space="preserve">*Rigidez transversal por metro de largura: só a capa (conservador, as juntas entre lajes não transmitem flexão)</t>
        </is>
      </c>
    </row>
    <row r="725" spans="2:19">
      <c r="B725" s="482" t="inlineStr">
        <is>
          <t xml:space="preserve">Dj</t>
        </is>
      </c>
      <c r="C725" s="1">
        <f>C19/(C5/100)</f>
        <v>0.0027312951176344915</v>
      </c>
      <c r="D725" s="1" t="inlineStr">
        <is>
          <t xml:space="preserve">m⁴/m</t>
        </is>
      </c>
      <c r="E725" s="488" t="inlineStr">
        <is>
          <t xml:space="preserve">*Rigidez longitudinal por metro de largura: inércia da seção composta / largura da laje</t>
        </is>
      </c>
    </row>
    <row r="726" spans="2:19">
      <c r="B726" s="483" t="inlineStr">
        <is>
          <t xml:space="preserve">Cj</t>
        </is>
      </c>
      <c r="C726" s="490">
        <v>2</v>
      </c>
      <c r="D726" s="1" t="inlineStr">
        <is>
          <t xml:space="preserve">-</t>
        </is>
      </c>
      <c r="E726" s="488" t="inlineStr">
        <is>
          <t xml:space="preserve">*2,0 para painel no meio do piso; 1,0 para painel junto a uma borda livre (sem laje do outro lado)</t>
        </is>
      </c>
    </row>
    <row r="727" spans="2:19">
      <c r="B727" s="482" t="inlineStr">
        <is>
          <t xml:space="preserve">Bj</t>
        </is>
      </c>
      <c r="C727" s="1">
        <f>MIN(C726*(C724/C725)^0.25*(C14/100),2/3*C38/100)</f>
        <v>4.219662541259813</v>
      </c>
      <c r="D727" s="1" t="inlineStr">
        <is>
          <t xml:space="preserve">m</t>
        </is>
      </c>
      <c r="E727" s="488" t="inlineStr">
        <is>
          <t xml:space="preserve">*Largura efetiva do piso que vibra junto com o ponto excitado, limitada a 2/3 da largura do pano</t>
        </is>
      </c>
    </row>
    <row r="728" spans="2:19">
      <c r="B728" s="482" t="inlineStr">
        <is>
          <t xml:space="preserve">W</t>
        </is>
      </c>
      <c r="C728" s="1">
        <f>((C20/(C5/100))+C722+C46)*9.81/1000*C727*(C14/100)</f>
        <v>235.25458659486674</v>
      </c>
      <c r="D728" s="1" t="inlineStr">
        <is>
          <t xml:space="preserve">kN</t>
        </is>
      </c>
      <c r="E728" s="488" t="inlineStr">
        <is>
          <t xml:space="preserve">*Peso efetivo que participa da vibração: carga por m² × Bj × L</t>
        </is>
      </c>
    </row>
    <row r="729" spans="2:19">
      <c r="B729" s="483" t="inlineStr">
        <is>
          <t xml:space="preserve">β</t>
        </is>
      </c>
      <c r="C729" s="490">
        <v>0.03</v>
      </c>
      <c r="D729" s="1" t="inlineStr">
        <is>
          <t xml:space="preserve">-</t>
        </is>
      </c>
      <c r="E729" s="488" t="inlineStr">
        <is>
          <t xml:space="preserve">*Taxa de amortecimento: 0,02 laje sem acabamentos/divisórias; 0,03 com forro, instalações e mobiliário; 0,05 com divisórias até o teto</t>
        </is>
      </c>
    </row>
    <row r="730" spans="2:19">
      <c r="B730" s="483" t="inlineStr">
        <is>
          <t xml:space="preserve">P0</t>
        </is>
      </c>
      <c r="C730" s="490">
        <v>0.29</v>
      </c>
      <c r="D730" s="1" t="inlineStr">
        <is>
          <t xml:space="preserve">kN</t>
        </is>
      </c>
      <c r="E730" s="488" t="inlineStr">
        <is>
          <t xml:space="preserve">*Amplitude da força de uma pessoa caminhando (AISC: 0,29 kN)</t>
        </is>
      </c>
    </row>
    <row r="731" spans="2:19">
      <c r="B731" s="482" t="inlineStr">
        <is>
          <t xml:space="preserve">ap/g</t>
        </is>
      </c>
      <c r="C731" s="501">
        <f>C730*EXP(-0.35*C723)/(C729*C728)*100</f>
        <v>0.1124006267564637</v>
      </c>
      <c r="D731" s="1" t="inlineStr">
        <is>
          <t xml:space="preserve">%g</t>
        </is>
      </c>
      <c r="E731" s="488" t="inlineStr">
        <is>
          <t xml:space="preserve">*Aceleração de pico estimada, em % da gravidade</t>
        </is>
      </c>
    </row>
    <row r="732" spans="2:19">
      <c r="B732" s="483" t="inlineStr">
        <is>
          <t xml:space="preserve">a0/g</t>
        </is>
      </c>
      <c r="C732" s="490">
        <v>0.5</v>
      </c>
      <c r="D732" s="1" t="inlineStr">
        <is>
          <t xml:space="preserve">%g</t>
        </is>
      </c>
      <c r="E732" s="488" t="inlineStr">
        <is>
          <t xml:space="preserve">*Limite (AISC Tab. 4.1): 0,5% escritórios, residências, escolas, igrejas; 1,5% shoppings e passarelas internas; 5% passarelas externas</t>
        </is>
      </c>
    </row>
    <row r="733" spans="2:19">
      <c r="B733" s="482" t="inlineStr">
        <is>
          <t xml:space="preserve">kpontual</t>
        </is>
      </c>
      <c r="C733" s="1">
        <f>48*C30/(C14/100)^3/1000</f>
        <v>12.751313468974367</v>
      </c>
      <c r="D733" s="1" t="inlineStr">
        <is>
          <t xml:space="preserve">kN/mm</t>
        </is>
      </c>
      <c r="E733" s="488" t="inlineStr">
        <is>
          <t xml:space="preserve">*Rigidez a força concentrada no meio do vão de uma laje isolada (48EI/L³, conservador). Usada só quando fn ≥ 9 Hz: exige ≥ 1 kN/mm</t>
        </is>
      </c>
    </row>
    <row r="734" spans="2:19">
      <c r="B734" s="506" t="inlineStr">
        <is>
          <t xml:space="preserve">Situação:</t>
        </is>
      </c>
      <c r="C734" s="507" t="str">
        <f>IF(C723&gt;=9,IF(C733&gt;=1,"fn ≥ 9 Hz: Ok (rigidez)","fn ≥ 9 Hz: Não atende (rigidez &lt; 1 kN/mm)"),IF(C731&lt;=C732,"Ok","Não atende - aumentar rigidez, massa ou amortecimento"))</f>
        <v>fn ≥ 9 Hz: Ok (rigidez)</v>
      </c>
    </row>
    <row r="740" spans="2:22">
      <c r="B740" s="486" t="inlineStr">
        <is>
          <t xml:space="preserve">8.</t>
        </is>
      </c>
      <c r="C740" s="809" t="inlineStr">
        <is>
          <t xml:space="preserve">PARÂMETROS DOS MATERIAIS E SEÇÃO COMPOSTA HOMOGENEIZADA (usados nos itens 1 a 3)</t>
        </is>
      </c>
      <c r="D740" s="809"/>
      <c r="E740" s="809"/>
      <c r="F740" s="809"/>
      <c r="G740" s="809"/>
      <c r="H740" s="809"/>
      <c r="I740" s="809"/>
      <c r="J740" s="809"/>
      <c r="K740" s="809"/>
      <c r="L740" s="809"/>
      <c r="M740" s="809"/>
      <c r="N740" s="809"/>
      <c r="O740" s="809"/>
      <c r="P740" s="809"/>
      <c r="Q740" s="809"/>
      <c r="R740" s="809"/>
      <c r="S740" s="809"/>
    </row>
    <row r="741" spans="2:22">
      <c r="B741" s="813" t="inlineStr">
        <is>
          <t xml:space="preserve">*A seção composta é homogeneizada para o concreto da laje: capa e chaveta entram com a razão entre módulos (n), cada material com seu αE. A massa usa a área real de concreto (capa na largura da laje). O daf é separado entre laje isolada (montagem) e pano pronto, conforme os ensaios do item 9.</t>
        </is>
      </c>
    </row>
    <row r="742" spans="2:22"/>
    <row r="744" spans="2:22">
      <c r="B744" s="483" t="inlineStr">
        <is>
          <t xml:space="preserve">αE,laje</t>
        </is>
      </c>
      <c r="C744" s="490">
        <v>1.0</v>
      </c>
      <c r="D744" s="1" t="inlineStr">
        <is>
          <t xml:space="preserve">-</t>
        </is>
      </c>
      <c r="E744" s="488" t="inlineStr">
        <is>
          <t xml:space="preserve">*Agregado do concreto da laje (fabricante: 1,0). NBR 6118 8.2.8: basalto/diabásio 1,2; granito/gnaisse 1,0; calcário 0,9; arenito 0,7</t>
        </is>
      </c>
    </row>
    <row r="745" spans="2:22">
      <c r="B745" s="483" t="inlineStr">
        <is>
          <t xml:space="preserve">αE,capa</t>
        </is>
      </c>
      <c r="C745" s="490">
        <v>1.0</v>
      </c>
      <c r="D745" s="1" t="inlineStr">
        <is>
          <t xml:space="preserve">-</t>
        </is>
      </c>
      <c r="E745" s="488" t="inlineStr">
        <is>
          <t xml:space="preserve">*Agregado do concreto da capa (concreto de obra, pode diferir do da laje)</t>
        </is>
      </c>
    </row>
    <row r="746" spans="2:22">
      <c r="B746" s="483" t="inlineStr">
        <is>
          <t xml:space="preserve">fck,chav</t>
        </is>
      </c>
      <c r="C746" s="490">
        <f>Geometria!H59</f>
        <v>30.0</v>
      </c>
      <c r="D746" s="1" t="inlineStr">
        <is>
          <t xml:space="preserve">MPa</t>
        </is>
      </c>
      <c r="E746" s="488" t="inlineStr">
        <is>
          <t xml:space="preserve">*fck do concreto/graute da chaveta (padrão = fck da capa)</t>
        </is>
      </c>
    </row>
    <row r="747" spans="2:22">
      <c r="B747" s="483" t="inlineStr">
        <is>
          <t xml:space="preserve">αE,chav</t>
        </is>
      </c>
      <c r="C747" s="490">
        <f>C745</f>
        <v>1.0</v>
      </c>
      <c r="D747" s="1" t="inlineStr">
        <is>
          <t xml:space="preserve">-</t>
        </is>
      </c>
      <c r="E747" s="488" t="inlineStr">
        <is>
          <t xml:space="preserve">*Agregado do concreto da chaveta (padrão = capa)</t>
        </is>
      </c>
    </row>
    <row r="748" spans="2:22">
      <c r="B748" s="483" t="inlineStr">
        <is>
          <t xml:space="preserve">daf,isol</t>
        </is>
      </c>
      <c r="C748" s="490">
        <v>1.0</v>
      </c>
      <c r="D748" s="1" t="inlineStr">
        <is>
          <t xml:space="preserve">-</t>
        </is>
      </c>
      <c r="E748" s="488" t="inlineStr">
        <is>
          <t xml:space="preserve">*Majorador dinâmico do módulo para a laje isolada (item 2.1). O ensaio 1 do item 9 mostrou que 1,3 superestima a frequência da laje solta na montagem</t>
        </is>
      </c>
    </row>
    <row r="749" spans="2:22">
      <c r="B749" s="483" t="inlineStr">
        <is>
          <t xml:space="preserve">daf,pronto</t>
        </is>
      </c>
      <c r="C749" s="490">
        <f>Geometria!H1290</f>
        <v>1.3</v>
      </c>
      <c r="D749" s="1" t="inlineStr">
        <is>
          <t xml:space="preserve">-</t>
        </is>
      </c>
      <c r="E749" s="488" t="inlineStr">
        <is>
          <t xml:space="preserve">*Majorador dinâmico do módulo para o pano pronto (itens 2.2, 2.3 e 3)</t>
        </is>
      </c>
    </row>
    <row r="750" spans="2:22">
      <c r="B750" s="482" t="inlineStr">
        <is>
          <t xml:space="preserve">Ecs,laje</t>
        </is>
      </c>
      <c r="C750" s="1">
        <f>C744*5600*SQRT(C6)*MIN(1,0.8+0.2*C6/80)</f>
        <v>36628.13126546316</v>
      </c>
      <c r="D750" s="1" t="inlineStr">
        <is>
          <t xml:space="preserve">MPa</t>
        </is>
      </c>
      <c r="E750" s="488" t="inlineStr">
        <is>
          <t xml:space="preserve">*Módulo secante estático do concreto da laje</t>
        </is>
      </c>
    </row>
    <row r="751" spans="2:22">
      <c r="B751" s="482" t="inlineStr">
        <is>
          <t xml:space="preserve">Ecs,capa</t>
        </is>
      </c>
      <c r="C751" s="1">
        <f>C745*5600*SQRT(Geometria!H59)*MIN(1,0.8+0.2*Geometria!H59/80)</f>
        <v>26838.405317753142</v>
      </c>
      <c r="D751" s="1" t="inlineStr">
        <is>
          <t xml:space="preserve">MPa</t>
        </is>
      </c>
      <c r="E751" s="488" t="inlineStr">
        <is>
          <t xml:space="preserve">*Módulo secante estático do concreto da capa</t>
        </is>
      </c>
    </row>
    <row r="752" spans="2:22">
      <c r="B752" s="482" t="inlineStr">
        <is>
          <t xml:space="preserve">Ecs,chav</t>
        </is>
      </c>
      <c r="C752" s="1">
        <f>C747*5600*SQRT(C746)*MIN(1,0.8+0.2*C746/80)</f>
        <v>26838.405317753142</v>
      </c>
      <c r="D752" s="1" t="inlineStr">
        <is>
          <t xml:space="preserve">MPa</t>
        </is>
      </c>
      <c r="E752" s="488" t="inlineStr">
        <is>
          <t xml:space="preserve">*Módulo secante estático do concreto da chaveta</t>
        </is>
      </c>
    </row>
    <row r="753" spans="2:22">
      <c r="B753" s="482" t="inlineStr">
        <is>
          <t xml:space="preserve">n,capa</t>
        </is>
      </c>
      <c r="C753" s="1">
        <f>C751/C750</f>
        <v>0.732726579012214</v>
      </c>
      <c r="D753" s="1" t="inlineStr">
        <is>
          <t xml:space="preserve">-</t>
        </is>
      </c>
      <c r="E753" s="488" t="inlineStr">
        <is>
          <t xml:space="preserve">*Razão de módulos capa / laje</t>
        </is>
      </c>
    </row>
    <row r="754" spans="2:22">
      <c r="B754" s="482" t="inlineStr">
        <is>
          <t xml:space="preserve">n,chav</t>
        </is>
      </c>
      <c r="C754" s="1">
        <f>C752/C750</f>
        <v>0.732726579012214</v>
      </c>
      <c r="D754" s="1" t="inlineStr">
        <is>
          <t xml:space="preserve">-</t>
        </is>
      </c>
      <c r="E754" s="488" t="inlineStr">
        <is>
          <t xml:space="preserve">*Razão de módulos chaveta / laje</t>
        </is>
      </c>
    </row>
    <row r="755" spans="2:22">
      <c r="B755" s="482" t="inlineStr">
        <is>
          <t xml:space="preserve">A,pré</t>
        </is>
      </c>
      <c r="C755" s="1">
        <f>C8</f>
        <v>0.1893963379384319</v>
      </c>
      <c r="D755" s="1" t="inlineStr">
        <is>
          <t xml:space="preserve">m²</t>
        </is>
      </c>
      <c r="E755" s="488" t="inlineStr">
        <is>
          <t xml:space="preserve">*Área da laje pré-fabricada</t>
        </is>
      </c>
    </row>
    <row r="756" spans="2:22">
      <c r="B756" s="482" t="inlineStr">
        <is>
          <t xml:space="preserve">y,pré</t>
        </is>
      </c>
      <c r="C756" s="1">
        <f>Geometria!H24/100</f>
        <v>0.1468407649909011</v>
      </c>
      <c r="D756" s="1" t="inlineStr">
        <is>
          <t xml:space="preserve">m</t>
        </is>
      </c>
      <c r="E756" s="488" t="inlineStr">
        <is>
          <t xml:space="preserve">*Centro de gravidade da laje, a partir da face inferior</t>
        </is>
      </c>
    </row>
    <row r="757" spans="2:22">
      <c r="B757" s="482" t="inlineStr">
        <is>
          <t xml:space="preserve">I,pré</t>
        </is>
      </c>
      <c r="C757" s="1">
        <f>C9</f>
        <v>0.002192510094213845</v>
      </c>
      <c r="D757" s="1" t="inlineStr">
        <is>
          <t xml:space="preserve">m⁴</t>
        </is>
      </c>
      <c r="E757" s="488" t="inlineStr">
        <is>
          <t xml:space="preserve">*Inércia da laje pré-fabricada</t>
        </is>
      </c>
    </row>
    <row r="758" spans="2:22">
      <c r="B758" s="482" t="inlineStr">
        <is>
          <t xml:space="preserve">A,capa</t>
        </is>
      </c>
      <c r="C758" s="1">
        <f>(C5/100)*(C4/100)</f>
        <v>0.0625</v>
      </c>
      <c r="D758" s="1" t="inlineStr">
        <is>
          <t xml:space="preserve">m²</t>
        </is>
      </c>
      <c r="E758" s="488" t="inlineStr">
        <is>
          <t xml:space="preserve">*Capa na largura da laje (bf × hcapa)</t>
        </is>
      </c>
    </row>
    <row r="759" spans="2:22">
      <c r="B759" s="482" t="inlineStr">
        <is>
          <t xml:space="preserve">y,capa</t>
        </is>
      </c>
      <c r="C759" s="1">
        <f>(C3+C4/2)/100</f>
        <v>0.325</v>
      </c>
      <c r="D759" s="1" t="inlineStr">
        <is>
          <t xml:space="preserve">m</t>
        </is>
      </c>
      <c r="E759" s="488" t="inlineStr">
        <is>
          <t xml:space="preserve">*Centro de gravidade da capa</t>
        </is>
      </c>
    </row>
    <row r="760" spans="2:22">
      <c r="B760" s="482" t="inlineStr">
        <is>
          <t xml:space="preserve">I,capa</t>
        </is>
      </c>
      <c r="C760" s="1">
        <f>(C5/100)*(C4/100)^3/12</f>
        <v>1.3020833333333336e-05</v>
      </c>
      <c r="D760" s="1" t="inlineStr">
        <is>
          <t xml:space="preserve">m⁴</t>
        </is>
      </c>
      <c r="E760" s="488" t="inlineStr">
        <is>
          <t xml:space="preserve">*Inércia própria da capa</t>
        </is>
      </c>
    </row>
    <row r="761" spans="2:22">
      <c r="B761" s="482" t="inlineStr">
        <is>
          <t xml:space="preserve">A,chav</t>
        </is>
      </c>
      <c r="C761" s="1">
        <f>'Propriedades geométricas chavet'!M6/100^2</f>
        <v>0.0078021</v>
      </c>
      <c r="D761" s="1" t="inlineStr">
        <is>
          <t xml:space="preserve">m²</t>
        </is>
      </c>
      <c r="E761" s="488" t="inlineStr">
        <is>
          <t xml:space="preserve">*Área da chaveta (uma junta por laje)</t>
        </is>
      </c>
    </row>
    <row r="762" spans="2:22">
      <c r="B762" s="482" t="inlineStr">
        <is>
          <t xml:space="preserve">y,chav</t>
        </is>
      </c>
      <c r="C762" s="1">
        <f>'Propriedades geométricas chavet'!M7/100</f>
        <v>0.1463607163455993</v>
      </c>
      <c r="D762" s="1" t="inlineStr">
        <is>
          <t xml:space="preserve">m</t>
        </is>
      </c>
      <c r="E762" s="488" t="inlineStr">
        <is>
          <t xml:space="preserve">*Centro de gravidade da chaveta</t>
        </is>
      </c>
    </row>
    <row r="763" spans="2:22">
      <c r="B763" s="482" t="inlineStr">
        <is>
          <t xml:space="preserve">I,chav</t>
        </is>
      </c>
      <c r="C763" s="1">
        <f>'Propriedades geométricas chavet'!M9/100^4</f>
        <v>4.7247377939506293e-05</v>
      </c>
      <c r="D763" s="1" t="inlineStr">
        <is>
          <t xml:space="preserve">m⁴</t>
        </is>
      </c>
      <c r="E763" s="488" t="inlineStr">
        <is>
          <t xml:space="preserve">*Inércia própria da chaveta</t>
        </is>
      </c>
    </row>
    <row r="764" spans="2:22">
      <c r="B764" s="482" t="inlineStr">
        <is>
          <t xml:space="preserve">A,hom</t>
        </is>
      </c>
      <c r="C764" s="1">
        <f>C755+C753*C758+C754*C761</f>
        <v>0.2409085551688065</v>
      </c>
      <c r="D764" s="1" t="inlineStr">
        <is>
          <t xml:space="preserve">m²</t>
        </is>
      </c>
      <c r="E764" s="488" t="inlineStr">
        <is>
          <t xml:space="preserve">*Área homogeneizada</t>
        </is>
      </c>
    </row>
    <row r="765" spans="2:22">
      <c r="B765" s="482" t="inlineStr">
        <is>
          <t xml:space="preserve">y,hom</t>
        </is>
      </c>
      <c r="C765" s="1">
        <f>(C755*C756+C753*C758*C759+C754*C761*C762)/C764</f>
        <v>0.18069647872226735</v>
      </c>
      <c r="D765" s="1" t="inlineStr">
        <is>
          <t xml:space="preserve">m</t>
        </is>
      </c>
      <c r="E765" s="488" t="inlineStr">
        <is>
          <t xml:space="preserve">*Centro de gravidade da seção homogeneizada</t>
        </is>
      </c>
    </row>
    <row r="766" spans="2:22">
      <c r="B766" s="482" t="inlineStr">
        <is>
          <t xml:space="preserve">I,hom</t>
        </is>
      </c>
      <c r="C766" s="1">
        <f>C757+C755*(C756-C765)^2+C753*(C760+C758*(C759-C765)^2)+C754*(C763+C761*(C762-C765)^2)</f>
        <v>0.003414118897043114</v>
      </c>
      <c r="D766" s="1" t="inlineStr">
        <is>
          <t xml:space="preserve">m⁴</t>
        </is>
      </c>
      <c r="E766" s="488" t="inlineStr">
        <is>
          <t xml:space="preserve">*Inércia da seção composta (laje + capa + chaveta) homogeneizada para o concreto da laje</t>
        </is>
      </c>
    </row>
    <row r="767" spans="2:22">
      <c r="B767" s="482" t="inlineStr">
        <is>
          <t xml:space="preserve">A,real</t>
        </is>
      </c>
      <c r="C767" s="1">
        <f>C755+C758</f>
        <v>0.2518963379384319</v>
      </c>
      <c r="D767" s="1" t="inlineStr">
        <is>
          <t xml:space="preserve">m²</t>
        </is>
      </c>
      <c r="E767" s="488" t="inlineStr">
        <is>
          <t xml:space="preserve">*Área real de concreto para a massa (a chaveta é somada em C20)</t>
        </is>
      </c>
    </row>
    <row r="770" spans="2:22">
      <c r="B770" s="486" t="inlineStr">
        <is>
          <t xml:space="preserve">9.</t>
        </is>
      </c>
      <c r="C770" s="809" t="inlineStr">
        <is>
          <t xml:space="preserve">VALIDAÇÃO EXPERIMENTAL - ENSAIOS DE CAMPO DE MORANDINI (dissertação de mestrado, 2026)</t>
        </is>
      </c>
      <c r="D770" s="809"/>
      <c r="E770" s="809"/>
      <c r="F770" s="809"/>
      <c r="G770" s="809"/>
      <c r="H770" s="809"/>
      <c r="I770" s="809"/>
      <c r="J770" s="809"/>
      <c r="K770" s="809"/>
      <c r="L770" s="809"/>
      <c r="M770" s="809"/>
      <c r="N770" s="809"/>
      <c r="O770" s="809"/>
      <c r="P770" s="809"/>
      <c r="Q770" s="809"/>
      <c r="R770" s="809"/>
      <c r="S770" s="809"/>
    </row>
    <row r="771" spans="2:22">
      <c r="B771" s="813" t="inlineStr">
        <is>
          <t xml:space="preserve">*Reproduz dois ensaios de campo com a mesma metodologia desta aba, para conferir se as hipóteses adotadas (daf, αE, αR) levam a frequências próximas das medidas. Seções calculadas a partir das Figuras 21 (H300) e 34 (H250) da dissertação. Alterar as células de entrada permite testar outras hipóteses.</t>
        </is>
      </c>
    </row>
    <row r="772" spans="2:22"/>
    <row r="774" spans="2:22">
      <c r="B774" s="486" t="inlineStr">
        <is>
          <t xml:space="preserve">9.1</t>
        </is>
      </c>
      <c r="C774" s="809" t="inlineStr">
        <is>
          <t xml:space="preserve">ENSAIO 1 - LAJE H300 ISOLADA NA MONTAGEM (biapoiada, sem capa e sem chaveta)</t>
        </is>
      </c>
      <c r="D774" s="809"/>
      <c r="E774" s="809"/>
      <c r="F774" s="809"/>
      <c r="G774" s="809"/>
      <c r="H774" s="809"/>
      <c r="I774" s="809"/>
      <c r="J774" s="809"/>
      <c r="K774" s="809"/>
      <c r="L774" s="809"/>
      <c r="M774" s="809"/>
      <c r="N774" s="809"/>
      <c r="O774" s="809"/>
      <c r="P774" s="809"/>
      <c r="Q774" s="809"/>
      <c r="R774" s="809"/>
      <c r="S774" s="809"/>
    </row>
    <row r="775" spans="2:22">
      <c r="B775" s="483" t="inlineStr">
        <is>
          <t xml:space="preserve">L</t>
        </is>
      </c>
      <c r="C775" s="490">
        <v>10.88</v>
      </c>
      <c r="D775" s="1" t="inlineStr">
        <is>
          <t xml:space="preserve">m</t>
        </is>
      </c>
      <c r="E775" s="488" t="inlineStr">
        <is>
          <t xml:space="preserve">*Comprimento da laje ensaiada</t>
        </is>
      </c>
    </row>
    <row r="776" spans="2:22">
      <c r="B776" s="483" t="inlineStr">
        <is>
          <t xml:space="preserve">A</t>
        </is>
      </c>
      <c r="C776" s="490">
        <v>0.20652</v>
      </c>
      <c r="D776" s="1" t="inlineStr">
        <is>
          <t xml:space="preserve">m²</t>
        </is>
      </c>
      <c r="E776" s="488" t="inlineStr">
        <is>
          <t xml:space="preserve">*Área da seção H300 (Figura 21), calculada</t>
        </is>
      </c>
    </row>
    <row r="777" spans="2:22">
      <c r="B777" s="483" t="inlineStr">
        <is>
          <t xml:space="preserve">I</t>
        </is>
      </c>
      <c r="C777" s="490">
        <v>0.0022714</v>
      </c>
      <c r="D777" s="1" t="inlineStr">
        <is>
          <t xml:space="preserve">m⁴</t>
        </is>
      </c>
      <c r="E777" s="488" t="inlineStr">
        <is>
          <t xml:space="preserve">*Inércia da seção H300 (Figura 21), calculada</t>
        </is>
      </c>
    </row>
    <row r="778" spans="2:22">
      <c r="B778" s="483" t="inlineStr">
        <is>
          <t xml:space="preserve">fck</t>
        </is>
      </c>
      <c r="C778" s="490">
        <v>50</v>
      </c>
      <c r="D778" s="1" t="inlineStr">
        <is>
          <t xml:space="preserve">MPa</t>
        </is>
      </c>
      <c r="E778" s="488" t="inlineStr">
        <is>
          <t xml:space="preserve">*Classe do concreto da laje</t>
        </is>
      </c>
    </row>
    <row r="779" spans="2:22">
      <c r="B779" s="482" t="inlineStr">
        <is>
          <t xml:space="preserve">Ecs</t>
        </is>
      </c>
      <c r="C779" s="1">
        <f>C744*5600*SQRT(C778)*MIN(1,0.8+0.2*C778/80)*C748</f>
        <v>36628.13126546316</v>
      </c>
      <c r="D779" s="1" t="inlineStr">
        <is>
          <t xml:space="preserve">MPa</t>
        </is>
      </c>
      <c r="E779" s="488" t="inlineStr">
        <is>
          <t xml:space="preserve">*Módulo com αE da laje e daf da laje isolada (item 8)</t>
        </is>
      </c>
    </row>
    <row r="780" spans="2:22">
      <c r="B780" s="482" t="inlineStr">
        <is>
          <t xml:space="preserve">m</t>
        </is>
      </c>
      <c r="C780" s="1">
        <f>C776*2500</f>
        <v>516.3000000000001</v>
      </c>
      <c r="D780" s="1" t="inlineStr">
        <is>
          <t xml:space="preserve">kg/m</t>
        </is>
      </c>
      <c r="E780" s="488" t="inlineStr">
        <is>
          <t xml:space="preserve">*Massa da laje por metro</t>
        </is>
      </c>
    </row>
    <row r="781" spans="2:22">
      <c r="B781" s="483" t="inlineStr">
        <is>
          <t xml:space="preserve">mp</t>
        </is>
      </c>
      <c r="C781" s="490">
        <v>75</v>
      </c>
      <c r="D781" s="1" t="inlineStr">
        <is>
          <t xml:space="preserve">kg</t>
        </is>
      </c>
      <c r="E781" s="488" t="inlineStr">
        <is>
          <t xml:space="preserve">*Massa da pessoa que excitou a laje no meio do vão</t>
        </is>
      </c>
    </row>
    <row r="782" spans="2:22">
      <c r="B782" s="482" t="inlineStr">
        <is>
          <t xml:space="preserve">fn,calc</t>
        </is>
      </c>
      <c r="C782" s="501">
        <f>PI()/(2*C775^2)*SQRT(C779*10^6*C777/C780)*SQRT((C780*C775/2)/(C780*C775/2+C781))</f>
        <v>5.25705835165276</v>
      </c>
      <c r="D782" s="1" t="inlineStr">
        <is>
          <t xml:space="preserve">Hz</t>
        </is>
      </c>
      <c r="E782" s="488" t="inlineStr">
        <is>
          <t xml:space="preserve">*Frequência calculada (biapoiada, com a massa da pessoa)</t>
        </is>
      </c>
    </row>
    <row r="783" spans="2:22">
      <c r="B783" s="483" t="inlineStr">
        <is>
          <t xml:space="preserve">fn,med</t>
        </is>
      </c>
      <c r="C783" s="490">
        <v>4.59</v>
      </c>
      <c r="D783" s="1" t="inlineStr">
        <is>
          <t xml:space="preserve">Hz</t>
        </is>
      </c>
      <c r="E783" s="488" t="inlineStr">
        <is>
          <t xml:space="preserve">*Frequência medida (1º pico)</t>
        </is>
      </c>
    </row>
    <row r="784" spans="2:22">
      <c r="B784" s="482" t="inlineStr">
        <is>
          <t xml:space="preserve">Diferença</t>
        </is>
      </c>
      <c r="C784" s="1">
        <f>C782/C783-1</f>
        <v>0.14532861691781274</v>
      </c>
      <c r="D784" s="1" t="inlineStr">
        <is>
          <t xml:space="preserve">-</t>
        </is>
      </c>
      <c r="E784" s="488" t="inlineStr">
        <is>
          <t xml:space="preserve">*Positivo = cálculo acima do medido (contra a segurança)</t>
        </is>
      </c>
    </row>
    <row r="785" spans="2:22">
      <c r="B785" s="813" t="inlineStr">
        <is>
          <t xml:space="preserve">*Mesmo com daf = 1,0 o cálculo fica cerca de 15% acima do medido. A razão entre os modos medidos (37,01/4,59 = 8,1, contra 9,0 teórico) indica apoios cedendo verticalmente na montagem (laje sem graute), efeito que o modelo biapoiado não capta.</t>
        </is>
      </c>
    </row>
    <row r="786" spans="2:22"/>
    <row r="788" spans="2:22">
      <c r="B788" s="486" t="inlineStr">
        <is>
          <t xml:space="preserve">9.2</t>
        </is>
      </c>
      <c r="C788" s="809" t="inlineStr">
        <is>
          <t xml:space="preserve">ENSAIO 2 - PISO PRONTO H250 + CHAVETA + CAPA 5 cm ARMADA (φ5 c/15)</t>
        </is>
      </c>
      <c r="D788" s="809"/>
      <c r="E788" s="809"/>
      <c r="F788" s="809"/>
      <c r="G788" s="809"/>
      <c r="H788" s="809"/>
      <c r="I788" s="809"/>
      <c r="J788" s="809"/>
      <c r="K788" s="809"/>
      <c r="L788" s="809"/>
      <c r="M788" s="809"/>
      <c r="N788" s="809"/>
      <c r="O788" s="809"/>
      <c r="P788" s="809"/>
      <c r="Q788" s="809"/>
      <c r="R788" s="809"/>
      <c r="S788" s="809"/>
    </row>
    <row r="789" spans="2:22">
      <c r="B789" s="483" t="inlineStr">
        <is>
          <t xml:space="preserve">L</t>
        </is>
      </c>
      <c r="C789" s="490">
        <v>9.82</v>
      </c>
      <c r="D789" s="1" t="inlineStr">
        <is>
          <t xml:space="preserve">m</t>
        </is>
      </c>
      <c r="E789" s="488" t="inlineStr">
        <is>
          <t xml:space="preserve">*Comprimento da laje ensaiada</t>
        </is>
      </c>
      <c r="U789" s="1" t="inlineStr">
        <is>
          <t xml:space="preserve">αR (2 apoios)</t>
        </is>
      </c>
      <c r="V789" s="1" t="inlineStr">
        <is>
          <t xml:space="preserve">R = (u/π)²</t>
        </is>
      </c>
    </row>
    <row r="790" spans="2:22">
      <c r="B790" s="483" t="inlineStr">
        <is>
          <t xml:space="preserve">A,pré</t>
        </is>
      </c>
      <c r="C790" s="490">
        <v>0.18885</v>
      </c>
      <c r="D790" s="1" t="inlineStr">
        <is>
          <t xml:space="preserve">m²</t>
        </is>
      </c>
      <c r="E790" s="488" t="inlineStr">
        <is>
          <t xml:space="preserve">*Área da seção H250 (Figura 34), calculada</t>
        </is>
      </c>
      <c r="U790" s="1">
        <v>0.0</v>
      </c>
      <c r="V790" s="1">
        <v>1.0</v>
      </c>
    </row>
    <row r="791" spans="2:22">
      <c r="B791" s="483" t="inlineStr">
        <is>
          <t xml:space="preserve">I,pré</t>
        </is>
      </c>
      <c r="C791" s="490">
        <v>0.0013983</v>
      </c>
      <c r="D791" s="1" t="inlineStr">
        <is>
          <t xml:space="preserve">m⁴</t>
        </is>
      </c>
      <c r="E791" s="488" t="inlineStr">
        <is>
          <t xml:space="preserve">*Inércia da seção H250 (Figura 34), calculada</t>
        </is>
      </c>
      <c r="U791" s="1">
        <v>0.05</v>
      </c>
      <c r="V791" s="1">
        <v>1.031039876882482</v>
      </c>
    </row>
    <row r="792" spans="2:22">
      <c r="B792" s="483" t="inlineStr">
        <is>
          <t xml:space="preserve">h</t>
        </is>
      </c>
      <c r="C792" s="490">
        <v>0.25</v>
      </c>
      <c r="D792" s="1" t="inlineStr">
        <is>
          <t xml:space="preserve">m</t>
        </is>
      </c>
      <c r="E792" s="488" t="inlineStr">
        <is>
          <t xml:space="preserve">*Altura da laje</t>
        </is>
      </c>
      <c r="U792" s="1">
        <v>0.1</v>
      </c>
      <c r="V792" s="1">
        <v>1.0634527847785624</v>
      </c>
    </row>
    <row r="793" spans="2:22">
      <c r="B793" s="483" t="inlineStr">
        <is>
          <t xml:space="preserve">hcapa</t>
        </is>
      </c>
      <c r="C793" s="490">
        <v>0.05</v>
      </c>
      <c r="D793" s="1" t="inlineStr">
        <is>
          <t xml:space="preserve">m</t>
        </is>
      </c>
      <c r="E793" s="488" t="inlineStr">
        <is>
          <t xml:space="preserve">*Espessura da capa</t>
        </is>
      </c>
      <c r="U793" s="1">
        <v>0.15</v>
      </c>
      <c r="V793" s="1">
        <v>1.0973803248584257</v>
      </c>
    </row>
    <row r="794" spans="2:22">
      <c r="B794" s="483" t="inlineStr">
        <is>
          <t xml:space="preserve">b</t>
        </is>
      </c>
      <c r="C794" s="490">
        <v>1.245</v>
      </c>
      <c r="D794" s="1" t="inlineStr">
        <is>
          <t xml:space="preserve">m</t>
        </is>
      </c>
      <c r="E794" s="488" t="inlineStr">
        <is>
          <t xml:space="preserve">*Largura da laje</t>
        </is>
      </c>
      <c r="U794" s="1">
        <v>0.2</v>
      </c>
      <c r="V794" s="1">
        <v>1.1329833846018142</v>
      </c>
    </row>
    <row r="795" spans="2:22">
      <c r="B795" s="483" t="inlineStr">
        <is>
          <t xml:space="preserve">A,chav</t>
        </is>
      </c>
      <c r="C795" s="490">
        <v>0.0065</v>
      </c>
      <c r="D795" s="1" t="inlineStr">
        <is>
          <t xml:space="preserve">m²</t>
        </is>
      </c>
      <c r="E795" s="488" t="inlineStr">
        <is>
          <t xml:space="preserve">*Área da chaveta (estimada, proporcional à da H300)</t>
        </is>
      </c>
      <c r="U795" s="1">
        <v>0.25</v>
      </c>
      <c r="V795" s="1">
        <v>1.1704457899039942</v>
      </c>
    </row>
    <row r="796" spans="2:22">
      <c r="B796" s="483" t="inlineStr">
        <is>
          <t xml:space="preserve">I,chav</t>
        </is>
      </c>
      <c r="C796" s="490">
        <v>2.73e-05</v>
      </c>
      <c r="D796" s="1" t="inlineStr">
        <is>
          <t xml:space="preserve">m⁴</t>
        </is>
      </c>
      <c r="E796" s="488" t="inlineStr">
        <is>
          <t xml:space="preserve">*Inércia própria da chaveta (estimada)</t>
        </is>
      </c>
      <c r="U796" s="1">
        <v>0.3</v>
      </c>
      <c r="V796" s="1">
        <v>1.209978815348511</v>
      </c>
    </row>
    <row r="797" spans="2:22">
      <c r="B797" s="483" t="inlineStr">
        <is>
          <t xml:space="preserve">fck,pré</t>
        </is>
      </c>
      <c r="C797" s="490">
        <v>50</v>
      </c>
      <c r="D797" s="1" t="inlineStr">
        <is>
          <t xml:space="preserve">MPa</t>
        </is>
      </c>
      <c r="E797" s="488" t="inlineStr">
        <is>
          <t xml:space="preserve">*Classe do concreto da laje</t>
        </is>
      </c>
      <c r="U797" s="1">
        <v>0.35</v>
      </c>
      <c r="V797" s="1">
        <v>1.251826800598981</v>
      </c>
    </row>
    <row r="798" spans="2:22">
      <c r="B798" s="483" t="inlineStr">
        <is>
          <t xml:space="preserve">fck,capa</t>
        </is>
      </c>
      <c r="C798" s="490">
        <v>30</v>
      </c>
      <c r="D798" s="1" t="inlineStr">
        <is>
          <t xml:space="preserve">MPa</t>
        </is>
      </c>
      <c r="E798" s="488" t="inlineStr">
        <is>
          <t xml:space="preserve">*Classe do concreto da capa e da chaveta</t>
        </is>
      </c>
      <c r="U798" s="1">
        <v>0.4</v>
      </c>
      <c r="V798" s="1">
        <v>1.2962742057134606</v>
      </c>
    </row>
    <row r="799" spans="2:22">
      <c r="B799" s="482" t="inlineStr">
        <is>
          <t xml:space="preserve">Ecs,pré</t>
        </is>
      </c>
      <c r="C799" s="1">
        <f>C744*5600*SQRT(C797)*MIN(1,0.8+0.2*C797/80)</f>
        <v>36628.13126546316</v>
      </c>
      <c r="D799" s="1" t="inlineStr">
        <is>
          <t xml:space="preserve">MPa</t>
        </is>
      </c>
      <c r="E799" s="488" t="inlineStr">
        <is>
          <t xml:space="preserve">*Módulo estático da laje (αE do item 8)</t>
        </is>
      </c>
      <c r="U799" s="1">
        <v>0.45</v>
      </c>
      <c r="V799" s="1">
        <v>1.3436545568512093</v>
      </c>
    </row>
    <row r="800" spans="2:22">
      <c r="B800" s="482" t="inlineStr">
        <is>
          <t xml:space="preserve">n</t>
        </is>
      </c>
      <c r="C800" s="1">
        <f>C745*5600*SQRT(C798)*MIN(1,0.8+0.2*C798/80)/C799</f>
        <v>0.732726579012214</v>
      </c>
      <c r="D800" s="1" t="inlineStr">
        <is>
          <t xml:space="preserve">-</t>
        </is>
      </c>
      <c r="E800" s="488" t="inlineStr">
        <is>
          <t xml:space="preserve">*Razão de módulos capa / laje (αE da capa do item 8)</t>
        </is>
      </c>
      <c r="U800" s="1">
        <v>0.5</v>
      </c>
      <c r="V800" s="1">
        <v>1.3943619016708617</v>
      </c>
    </row>
    <row r="801" spans="2:22">
      <c r="B801" s="482" t="inlineStr">
        <is>
          <t xml:space="preserve">y</t>
        </is>
      </c>
      <c r="C801" s="1">
        <f>(C790*C792/2+C800*C794*C793*(C792+C793/2)+C800*C795*C792/2)/(C790+C800*C794*C793+C800*C795)</f>
        <v>0.15360000332550502</v>
      </c>
      <c r="D801" s="1" t="inlineStr">
        <is>
          <t xml:space="preserve">m</t>
        </is>
      </c>
      <c r="E801" s="488" t="inlineStr">
        <is>
          <t xml:space="preserve">*Centro de gravidade da seção composta homogeneizada</t>
        </is>
      </c>
      <c r="U801" s="1">
        <v>0.55</v>
      </c>
      <c r="V801" s="1">
        <v>1.4488656338187176</v>
      </c>
    </row>
    <row r="802" spans="2:22">
      <c r="B802" s="482" t="inlineStr">
        <is>
          <t xml:space="preserve">I,comp</t>
        </is>
      </c>
      <c r="C802" s="1">
        <f>C791+C790*(C792/2-C801)^2+C800*(C794*C793^3/12+C794*C793*(C792+C793/2-C801)^2)+C800*(C796+C795*(C792/2-C801)^2)</f>
        <v>0.0022584046606633668</v>
      </c>
      <c r="D802" s="1" t="inlineStr">
        <is>
          <t xml:space="preserve">m⁴</t>
        </is>
      </c>
      <c r="E802" s="488" t="inlineStr">
        <is>
          <t xml:space="preserve">*Inércia da seção composta homogeneizada</t>
        </is>
      </c>
      <c r="U802" s="1">
        <v>0.6</v>
      </c>
      <c r="V802" s="1">
        <v>1.5077298933678485</v>
      </c>
    </row>
    <row r="803" spans="2:22">
      <c r="B803" s="483" t="inlineStr">
        <is>
          <t xml:space="preserve">rev</t>
        </is>
      </c>
      <c r="C803" s="490">
        <v>0</v>
      </c>
      <c r="D803" s="1" t="inlineStr">
        <is>
          <t xml:space="preserve">kN/m²</t>
        </is>
      </c>
      <c r="E803" s="488" t="inlineStr">
        <is>
          <t xml:space="preserve">*Revestimento/cargas presentes no dia do ensaio (não informado na dissertação)</t>
        </is>
      </c>
      <c r="U803" s="1">
        <v>0.65</v>
      </c>
      <c r="V803" s="1">
        <v>1.571639258514838</v>
      </c>
    </row>
    <row r="804" spans="2:22">
      <c r="B804" s="482" t="inlineStr">
        <is>
          <t xml:space="preserve">m</t>
        </is>
      </c>
      <c r="C804" s="1">
        <f>(C790+C794*C793+C795)*2500+C803*1000/9.81*C794</f>
        <v>644.0</v>
      </c>
      <c r="D804" s="1" t="inlineStr">
        <is>
          <t xml:space="preserve">kg/m</t>
        </is>
      </c>
      <c r="E804" s="488" t="inlineStr">
        <is>
          <t xml:space="preserve">*Massa por laje</t>
        </is>
      </c>
      <c r="U804" s="1">
        <v>0.7</v>
      </c>
      <c r="V804" s="1">
        <v>1.6414331953308823</v>
      </c>
    </row>
    <row r="805" spans="2:22">
      <c r="B805" s="482" t="inlineStr">
        <is>
          <t xml:space="preserve">fn,biap</t>
        </is>
      </c>
      <c r="C805" s="1">
        <f>PI()/(2*C789^2)*SQRT(C799*C749*10^6*C802/C804)</f>
        <v>6.656315605199798</v>
      </c>
      <c r="D805" s="1" t="inlineStr">
        <is>
          <t xml:space="preserve">Hz</t>
        </is>
      </c>
      <c r="E805" s="488" t="inlineStr">
        <is>
          <t xml:space="preserve">*Frequência biapoiada (daf do pano pronto)</t>
        </is>
      </c>
      <c r="U805" s="1">
        <v>0.75</v>
      </c>
      <c r="V805" s="1">
        <v>1.7181528515517415</v>
      </c>
    </row>
    <row r="806" spans="2:22">
      <c r="B806" s="483" t="inlineStr">
        <is>
          <t xml:space="preserve">As</t>
        </is>
      </c>
      <c r="C806" s="490">
        <v>1.31</v>
      </c>
      <c r="D806" s="1" t="inlineStr">
        <is>
          <t xml:space="preserve">cm²/m</t>
        </is>
      </c>
      <c r="E806" s="488" t="inlineStr">
        <is>
          <t xml:space="preserve">*Armadura da capa sobre o apoio (malha φ5 c/15, armadura mínima)</t>
        </is>
      </c>
      <c r="U806" s="1">
        <v>0.8</v>
      </c>
      <c r="V806" s="1">
        <v>1.8031054518748</v>
      </c>
    </row>
    <row r="807" spans="2:22">
      <c r="B807" s="482" t="inlineStr">
        <is>
          <t xml:space="preserve">d</t>
        </is>
      </c>
      <c r="C807" s="1">
        <f>C792+C793-0.025</f>
        <v>0.27499999999999997</v>
      </c>
      <c r="D807" s="1" t="inlineStr">
        <is>
          <t xml:space="preserve">m</t>
        </is>
      </c>
      <c r="E807" s="488" t="inlineStr">
        <is>
          <t xml:space="preserve">*Altura útil</t>
        </is>
      </c>
      <c r="U807" s="1">
        <v>0.85</v>
      </c>
      <c r="V807" s="1">
        <v>1.8979540316486299</v>
      </c>
    </row>
    <row r="808" spans="2:22">
      <c r="B808" s="483" t="inlineStr">
        <is>
          <t xml:space="preserve">La</t>
        </is>
      </c>
      <c r="C808" s="490">
        <v>0.1</v>
      </c>
      <c r="D808" s="1" t="inlineStr">
        <is>
          <t xml:space="preserve">m</t>
        </is>
      </c>
      <c r="E808" s="488" t="inlineStr">
        <is>
          <t xml:space="preserve">*Comprimento de apoio (estimado)</t>
        </is>
      </c>
      <c r="U808" s="1">
        <v>0.9</v>
      </c>
      <c r="V808" s="1">
        <v>2.0048438251908314</v>
      </c>
    </row>
    <row r="809" spans="2:22">
      <c r="B809" s="482" t="inlineStr">
        <is>
          <t xml:space="preserve">Led</t>
        </is>
      </c>
      <c r="C809" s="1">
        <f>25*0.5/100+C808</f>
        <v>0.225</v>
      </c>
      <c r="D809" s="1" t="inlineStr">
        <is>
          <t xml:space="preserve">m</t>
        </is>
      </c>
      <c r="E809" s="488" t="inlineStr">
        <is>
          <t xml:space="preserve">*Mesma regra do cálculo de αR da planilha: 25φ + La</t>
        </is>
      </c>
      <c r="U809" s="1">
        <v>0.95</v>
      </c>
      <c r="V809" s="1">
        <v>2.126581411796258</v>
      </c>
    </row>
    <row r="810" spans="2:22">
      <c r="B810" s="482" t="inlineStr">
        <is>
          <t xml:space="preserve">Rsec</t>
        </is>
      </c>
      <c r="C810" s="1">
        <f>0.75*C806*C794*21000*C807^2/C809</f>
        <v>8633.8415625</v>
      </c>
      <c r="D810" s="1" t="inlineStr">
        <is>
          <t xml:space="preserve">kN.m/rad</t>
        </is>
      </c>
      <c r="E810" s="488" t="inlineStr">
        <is>
          <t xml:space="preserve">*Rigidez da ligação por laje, NBR 9062: k·As·Es·d²/Led (k = 0,75)</t>
        </is>
      </c>
    </row>
    <row r="811" spans="2:22">
      <c r="B811" s="483" t="inlineStr">
        <is>
          <t xml:space="preserve">NLF</t>
        </is>
      </c>
      <c r="C811" s="490">
        <f>Geometria!H1247</f>
        <v>0.25</v>
      </c>
      <c r="D811" s="1" t="inlineStr">
        <is>
          <t xml:space="preserve">-</t>
        </is>
      </c>
      <c r="E811" s="488" t="inlineStr">
        <is>
          <t xml:space="preserve">*Redutor de rigidez da laje no cálculo do αR (mesmo da Geometria). 0,25 equivale a admitir a ligação ~4× mais rígida que só o aço, como ocorre com a junta não fissurada nas pequenas amplitudes de vibração</t>
        </is>
      </c>
    </row>
    <row r="812" spans="2:22">
      <c r="B812" s="482" t="inlineStr">
        <is>
          <t xml:space="preserve">αR</t>
        </is>
      </c>
      <c r="C812" s="1">
        <f>1/(1+3*C799*C749*1000*C802*C811/(C810*C789))</f>
        <v>0.5124857178422303</v>
      </c>
      <c r="D812" s="1" t="inlineStr">
        <is>
          <t xml:space="preserve">-</t>
        </is>
      </c>
      <c r="E812" s="488" t="inlineStr">
        <is>
          <t xml:space="preserve">*Coeficiente de engastamento resultante (igual nos dois apoios)</t>
        </is>
      </c>
    </row>
    <row r="813" spans="2:22">
      <c r="B813" s="482" t="inlineStr">
        <is>
          <t xml:space="preserve">R</t>
        </is>
      </c>
      <c r="C813" s="1">
        <f>INDEX($V$790:$V$809,MIN(INT(C812/0.05),18)+1)+(C812-INDEX($U$790:$U$809,MIN(INT(C812/0.05),18)+1))/0.05*(INDEX($V$790:$V$809,MIN(INT(C812/0.05),18)+2)-INDEX($V$790:$V$809,MIN(INT(C812/0.05),18)+1))</f>
        <v>1.4079722660897944</v>
      </c>
      <c r="D813" s="1" t="inlineStr">
        <is>
          <t xml:space="preserve">-</t>
        </is>
      </c>
      <c r="E813" s="488" t="inlineStr">
        <is>
          <t xml:space="preserve">*Multiplicador de frequência (u/π)², interpolado na tabela U:V (mesma equação característica do item 2.2b)</t>
        </is>
      </c>
    </row>
    <row r="814" spans="2:22">
      <c r="B814" s="482" t="inlineStr">
        <is>
          <t xml:space="preserve">fn,calc</t>
        </is>
      </c>
      <c r="C814" s="501">
        <f>C805*C813</f>
        <v>9.371907766462021</v>
      </c>
      <c r="D814" s="1" t="inlineStr">
        <is>
          <t xml:space="preserve">Hz</t>
        </is>
      </c>
      <c r="E814" s="488" t="inlineStr">
        <is>
          <t xml:space="preserve">*Frequência calculada com engastamento semirrígido</t>
        </is>
      </c>
    </row>
    <row r="815" spans="2:22">
      <c r="B815" s="483" t="inlineStr">
        <is>
          <t xml:space="preserve">fn,med</t>
        </is>
      </c>
      <c r="C815" s="490">
        <v>8.13</v>
      </c>
      <c r="D815" s="1" t="inlineStr">
        <is>
          <t xml:space="preserve">Hz</t>
        </is>
      </c>
      <c r="E815" s="488" t="inlineStr">
        <is>
          <t xml:space="preserve">*1º pico medido</t>
        </is>
      </c>
    </row>
    <row r="816" spans="2:22">
      <c r="B816" s="482" t="inlineStr">
        <is>
          <t xml:space="preserve">Diferença</t>
        </is>
      </c>
      <c r="C816" s="1">
        <f>C814/C815-1</f>
        <v>0.15275618283665682</v>
      </c>
      <c r="D816" s="1" t="inlineStr">
        <is>
          <t xml:space="preserve">-</t>
        </is>
      </c>
      <c r="E816" s="488" t="inlineStr">
        <is>
          <t xml:space="preserve">*Em relação ao 1º pico</t>
        </is>
      </c>
    </row>
    <row r="817" spans="2:22">
      <c r="B817" s="483" t="inlineStr">
        <is>
          <t xml:space="preserve">fn,med2</t>
        </is>
      </c>
      <c r="C817" s="490">
        <v>9.96</v>
      </c>
      <c r="D817" s="1" t="inlineStr">
        <is>
          <t xml:space="preserve">Hz</t>
        </is>
      </c>
      <c r="E817" s="488" t="inlineStr">
        <is>
          <t xml:space="preserve">*2º pico medido (a dissertação não separa qual é a flexão principal)</t>
        </is>
      </c>
    </row>
    <row r="818" spans="2:22">
      <c r="B818" s="482" t="inlineStr">
        <is>
          <t xml:space="preserve">Diferença</t>
        </is>
      </c>
      <c r="C818" s="1">
        <f>C814/C817-1</f>
        <v>-0.059045404973692706</v>
      </c>
      <c r="D818" s="1" t="inlineStr">
        <is>
          <t xml:space="preserve">-</t>
        </is>
      </c>
      <c r="E818" s="488" t="inlineStr">
        <is>
          <t xml:space="preserve">*Em relação ao 2º pico</t>
        </is>
      </c>
    </row>
    <row r="819" spans="2:22">
      <c r="B819" s="813" t="inlineStr">
        <is>
          <t xml:space="preserve">*Sem engastamento a laje biapoiada fica 18% a 28% abaixo do medido: o piso pronto é mais rígido que o modelo. A armadura mínima da capa, com o critério de αR da própria planilha (NLF = 0,25), leva a αR ≈ 0,5 e a frequências entre 8 e 9,4 Hz, conforme o revestimento presente no ensaio.</t>
        </is>
      </c>
    </row>
    <row r="820" spans="2:22"/>
  </sheetData>
  <mergeCells count="41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  <mergeCell ref="C700:S700"/>
    <mergeCell ref="B701:S702"/>
    <mergeCell ref="C704:S704"/>
    <mergeCell ref="C711:S711"/>
    <mergeCell ref="C719:S719"/>
    <mergeCell ref="B720:S721"/>
    <mergeCell ref="C740:S740"/>
    <mergeCell ref="B741:S742"/>
    <mergeCell ref="C770:S770"/>
    <mergeCell ref="B771:S772"/>
    <mergeCell ref="C774:S774"/>
    <mergeCell ref="B785:S786"/>
    <mergeCell ref="C788:S788"/>
    <mergeCell ref="B819:S820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8</vt:i4>
      </vt:variant>
    </vt:vector>
  </HeadingPairs>
  <TitlesOfParts>
    <vt:vector size="30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