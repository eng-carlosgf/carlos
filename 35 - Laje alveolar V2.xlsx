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theme/themeOverride3.xml" ContentType="application/vnd.openxmlformats-officedocument.themeOverrid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3.xml" ContentType="application/vnd.openxmlformats-officedocument.drawingml.chart+xml"/>
  <Override PartName="/xl/theme/themeOverride4.xml" ContentType="application/vnd.openxmlformats-officedocument.themeOverride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5.xml" ContentType="application/vnd.openxmlformats-officedocument.themeOverride+xml"/>
  <Override PartName="/xl/charts/chart2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6.xml" ContentType="application/vnd.openxmlformats-officedocument.themeOverride+xml"/>
  <Override PartName="/xl/charts/chart2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3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3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harts/chart3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charts/chart3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charts/chart4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charts/chart4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charts/chart4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4.xml" ContentType="application/vnd.openxmlformats-officedocument.drawing+xml"/>
  <Override PartName="/xl/charts/chart4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ferreira\Downloads\"/>
    </mc:Choice>
  </mc:AlternateContent>
  <xr:revisionPtr revIDLastSave="0" documentId="13_ncr:1_{603035C9-6F47-4165-9CD6-3143DA126E5C}" xr6:coauthVersionLast="47" xr6:coauthVersionMax="47" xr10:uidLastSave="{00000000-0000-0000-0000-000000000000}"/>
  <bookViews>
    <workbookView xWindow="-120" yWindow="-120" windowWidth="29040" windowHeight="15720" firstSheet="1" activeTab="1" xr2:uid="{B2D1BE43-30C2-40BC-8095-03CB7F650103}"/>
  </bookViews>
  <sheets>
    <sheet name="ELU-Cisalhamento" sheetId="28" state="hidden" r:id="rId1"/>
    <sheet name="Geometria" sheetId="1" r:id="rId2"/>
    <sheet name="Cisalhamento 14861" sheetId="31" r:id="rId3"/>
    <sheet name="Diagrama cortante" sheetId="30" state="hidden" r:id="rId4"/>
    <sheet name="K mola" sheetId="29" state="hidden" r:id="rId5"/>
    <sheet name="Homogeneização" sheetId="21" state="hidden" r:id="rId6"/>
    <sheet name="Tensões" sheetId="20" state="hidden" r:id="rId7"/>
    <sheet name="Frequência" sheetId="27" r:id="rId8"/>
    <sheet name="Deslocamento viga" sheetId="33" r:id="rId9"/>
    <sheet name="Resumo" sheetId="19" r:id="rId10"/>
    <sheet name="Fluência" sheetId="2" state="hidden" r:id="rId11"/>
    <sheet name="Seções Compostas" sheetId="12" state="hidden" r:id="rId12"/>
    <sheet name="Propriedades geométricas VI" sheetId="16" state="hidden" r:id="rId13"/>
    <sheet name="Propriedades geométricas LA " sheetId="14" state="hidden" r:id="rId14"/>
    <sheet name="Valores &quot;A&quot; e &quot;Y&quot; Alv. Preenc." sheetId="18" state="hidden" r:id="rId15"/>
    <sheet name="Valores &quot;A&quot; e &quot;Y&quot;" sheetId="17" state="hidden" r:id="rId16"/>
    <sheet name="Seções " sheetId="15" state="hidden" r:id="rId17"/>
    <sheet name="Propriedades geométricas chavet" sheetId="13" state="hidden" r:id="rId18"/>
    <sheet name="Perdas por Seção" sheetId="22" state="hidden" r:id="rId19"/>
    <sheet name="Isolamento de cabos" sheetId="23" state="hidden" r:id="rId20"/>
    <sheet name="Armadura Negativo LE" sheetId="25" state="hidden" r:id="rId21"/>
    <sheet name="Armadura Negativo LD" sheetId="26" state="hidden" r:id="rId22"/>
    <sheet name="Estádio - Flechas" sheetId="32" r:id="rId23"/>
  </sheets>
  <externalReferences>
    <externalReference r:id="rId24"/>
  </externalReferences>
  <definedNames>
    <definedName name="_xlnm.Print_Area" localSheetId="1">Geometria!$G$1:$N$1327</definedName>
    <definedName name="_xlnm.Print_Area" localSheetId="5">Homogeneização!$K$1:$Y$58</definedName>
    <definedName name="_xlnm.Print_Area" localSheetId="9">Resumo!$H$1:$Q$210</definedName>
    <definedName name="FirstX" localSheetId="5">#REF!</definedName>
    <definedName name="FirstX" localSheetId="17">'Propriedades geométricas chavet'!$B$6</definedName>
    <definedName name="FirstX" localSheetId="13">'Propriedades geométricas LA '!$B$6</definedName>
    <definedName name="FirstX" localSheetId="12">'Propriedades geométricas VI'!$B$6</definedName>
    <definedName name="FirstX" localSheetId="16">#REF!</definedName>
    <definedName name="FirstX" localSheetId="11">#REF!</definedName>
    <definedName name="FirstX" localSheetId="15">'Valores "A" e "Y"'!$B$6</definedName>
    <definedName name="FirstX" localSheetId="14">'Valores "A" e "Y" Alv. Preenc.'!$B$6</definedName>
    <definedName name="FirstX">#REF!</definedName>
    <definedName name="testex">#REF!</definedName>
    <definedName name="testey">#REF!</definedName>
    <definedName name="X" localSheetId="0">OFFSET(FirstX,0,0,COUNT(#REF!))</definedName>
    <definedName name="X" localSheetId="7">OFFSET(FirstX,0,0,COUNT(#REF!))</definedName>
    <definedName name="X" localSheetId="5">OFFSET(Homogeneização!FirstX,0,0,COUNT(#REF!))</definedName>
    <definedName name="X" localSheetId="17">OFFSET('Propriedades geométricas chavet'!FirstX,0,0,COUNT('Propriedades geométricas chavet'!$B$1:$B$65531))</definedName>
    <definedName name="X" localSheetId="13">OFFSET('Propriedades geométricas LA '!FirstX,0,0,COUNT('Propriedades geométricas LA '!$B$1:$B$65531))</definedName>
    <definedName name="X" localSheetId="12">OFFSET('Propriedades geométricas VI'!FirstX,0,0,COUNT('Propriedades geométricas VI'!$B$1:$B$65531))</definedName>
    <definedName name="X" localSheetId="16">OFFSET('Seções '!FirstX,0,0,COUNT(#REF!))</definedName>
    <definedName name="X" localSheetId="11">OFFSET('Seções Compostas'!FirstX,0,0,COUNT(#REF!))</definedName>
    <definedName name="X" localSheetId="15">OFFSET('Valores "A" e "Y"'!FirstX,0,0,COUNT('Valores "A" e "Y"'!$B$1:$B$65531))</definedName>
    <definedName name="X" localSheetId="14">OFFSET('Valores "A" e "Y" Alv. Preenc.'!FirstX,0,0,COUNT('Valores "A" e "Y" Alv. Preenc.'!$B$1:$B$65531))</definedName>
    <definedName name="X">OFFSET(FirstX,0,0,COUNT(#REF!))</definedName>
    <definedName name="XX">#REF!</definedName>
    <definedName name="XXX">#REF!</definedName>
    <definedName name="XXXX">#REF!</definedName>
    <definedName name="Y" localSheetId="0">OFFSET('ELU-Cisalhamento'!X,0,1)</definedName>
    <definedName name="Y" localSheetId="7">OFFSET(Frequência!X,0,1)</definedName>
    <definedName name="Y" localSheetId="5">OFFSET(Homogeneização!X,0,1)</definedName>
    <definedName name="Y" localSheetId="17">OFFSET('Propriedades geométricas chavet'!X,0,1)</definedName>
    <definedName name="Y" localSheetId="13">OFFSET('Propriedades geométricas LA '!X,0,1)</definedName>
    <definedName name="Y" localSheetId="12">OFFSET('Propriedades geométricas VI'!X,0,1)</definedName>
    <definedName name="Y" localSheetId="16">OFFSET('Seções '!X,0,1)</definedName>
    <definedName name="Y" localSheetId="11">OFFSET('Seções Compostas'!X,0,1)</definedName>
    <definedName name="Y" localSheetId="15">OFFSET('Valores "A" e "Y"'!X,0,1)</definedName>
    <definedName name="Y" localSheetId="14">OFFSET('Valores "A" e "Y" Alv. Preenc.'!X,0,1)</definedName>
    <definedName name="Y">OFFSET(X,0,1)</definedName>
    <definedName name="YY">#REF!</definedName>
    <definedName name="YYY">#REF!</definedName>
    <definedName name="YYYY">#REF!</definedName>
  </definedNames>
  <calcPr calcId="191029" fullCalcOnLoad="1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Eduardo</author>
  </authors>
  <commentList>
    <comment ref="G107" authorId="0" shapeId="0" xr:uid="{13E0256F-D6E6-4625-B479-4CE0B2B2584E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Considera-se a fissuração</t>
        </r>
      </text>
    </comment>
    <comment ref="I715" authorId="0" shapeId="0" xr:uid="{4E8B3A05-0097-408D-BF72-162DF3C0995D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Altura da linha neutra</t>
        </r>
      </text>
    </comment>
    <comment ref="I724" authorId="0" shapeId="0" xr:uid="{DAB441E5-118D-41EB-AFBC-D96F1305B896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Altura da linha neutra</t>
        </r>
      </text>
    </comment>
    <comment ref="G738" authorId="0" shapeId="0" xr:uid="{AD3BE161-2D82-4459-91BA-D81B315D4A8E}">
      <text>
        <r>
          <rPr>
            <b/>
            <sz val="9"/>
            <color indexed="81"/>
            <rFont val="Segoe UI"/>
            <family val="2"/>
          </rPr>
          <t xml:space="preserve">Carlos Eduardo:
Considera-se somente peso próprio
</t>
        </r>
      </text>
    </comment>
    <comment ref="I829" authorId="0" shapeId="0" xr:uid="{CB71EEA6-EE09-467C-9A6C-39936F54918E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Altura da linha neutra</t>
        </r>
      </text>
    </comment>
    <comment ref="G937" authorId="0" shapeId="0" xr:uid="{3F3D343E-92F7-4F58-ABD9-A835DBBC107A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Momento atuante
Verrificar psi redutor</t>
        </r>
      </text>
    </comment>
    <comment ref="K947" authorId="0" shapeId="0" xr:uid="{123407A1-6990-4D96-9908-BAC48E0567DA}">
      <text>
        <r>
          <rPr>
            <b/>
            <sz val="9"/>
            <color indexed="81"/>
            <rFont val="Segoe UI"/>
            <family val="2"/>
          </rPr>
          <t>Carlos Eduardo:</t>
        </r>
        <r>
          <rPr>
            <sz val="9"/>
            <color indexed="81"/>
            <rFont val="Segoe UI"/>
            <family val="2"/>
          </rPr>
          <t xml:space="preserve">
2 = Cimento CPV - ARI</t>
        </r>
      </text>
    </comment>
    <comment ref="G1252" authorId="0" shapeId="0" xr:uid="{FD30143B-BA48-4E80-8DF7-AB1C4E1A85A4}">
      <text>
        <r>
          <rPr>
            <b/>
            <sz val="9"/>
            <color indexed="81"/>
            <rFont val="Segoe UI"/>
            <family val="2"/>
          </rPr>
          <t xml:space="preserve">Carlos Eduardo:
Considera-se somente peso próprio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Eduardo</author>
  </authors>
  <commentList>
    <comment ref="F3" authorId="0" shapeId="0" xr:uid="{80084839-B3D5-4F54-9FFF-45BB68796576}">
      <text>
        <r>
          <rPr>
            <b/>
            <sz val="9"/>
            <color indexed="81"/>
            <rFont val="Segoe UI"/>
            <family val="2"/>
          </rPr>
          <t xml:space="preserve">Carlos Eduardo:
Considera-se somente peso próprio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3" authorId="0" shapeId="0" xr:uid="{88AFF992-2E52-48D6-AFCE-024C046FA668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" authorId="0" shapeId="0" xr:uid="{E3B18459-CA05-4CE3-8FE9-400D6C3BB79D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" authorId="0" shapeId="0" xr:uid="{F3C1B42D-239F-4903-B068-C512A494DE6C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" authorId="0" shapeId="0" xr:uid="{1A98DE67-1B57-429C-ABFE-1C6A62881E1B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3" authorId="0" shapeId="0" xr:uid="{E39D925B-2571-4B99-B2FC-6143B6C7A1EB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3" authorId="0" shapeId="0" xr:uid="{F057F9A2-8BFC-4940-9A27-23D077FEA30B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6" authorId="0" shapeId="0" xr:uid="{E8DE493E-81FA-4E73-86D6-44C4975C03BC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7A6DE7BD-658D-465C-914B-7C799030ABD9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6" authorId="0" shapeId="0" xr:uid="{5C6A79BC-2680-40EF-BE79-281C5D60F404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978CC1A6-D8A5-4653-92AF-AB7C2AB22878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6" authorId="0" shapeId="0" xr:uid="{2BB28C54-A078-4E14-8AC5-FD2E1AA5FD0A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098AEF53-F1FC-45D5-9C59-1DD0BAA830C1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6" authorId="0" shapeId="0" xr:uid="{2F6E6A39-15F5-4E8B-B2CB-A08813520BC5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045F3FB4-58E3-4D36-88D1-16F65E91EF0C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3" authorId="0" shapeId="0" xr:uid="{786496F3-E1A8-4569-A3B6-F515CFEE63CF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" authorId="0" shapeId="0" xr:uid="{25491860-FF0A-458A-B942-A958F70FBA5E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polyakovy</author>
  </authors>
  <commentList>
    <comment ref="B6" authorId="0" shapeId="0" xr:uid="{1AD4DF34-A0EB-4C37-90F3-78A5DB37D15C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0" shapeId="0" xr:uid="{3B03D007-8307-4336-B3D7-B078FA20E03B}">
      <text>
        <r>
          <rPr>
            <b/>
            <sz val="8"/>
            <color indexed="81"/>
            <rFont val="Tahoma"/>
            <family val="2"/>
          </rPr>
          <t>Always  0.000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<sst xmlns="http://schemas.openxmlformats.org/spreadsheetml/2006/main" count="5061" uniqueCount="1976">
  <si>
    <t>Simples</t>
  </si>
  <si>
    <t>Composta</t>
  </si>
  <si>
    <t>L,vão</t>
  </si>
  <si>
    <t>h</t>
  </si>
  <si>
    <t>Ac</t>
  </si>
  <si>
    <t>Ic</t>
  </si>
  <si>
    <t>K1</t>
  </si>
  <si>
    <t>K2</t>
  </si>
  <si>
    <t>Rendimento</t>
  </si>
  <si>
    <t>σ,f</t>
  </si>
  <si>
    <t xml:space="preserve">bw </t>
  </si>
  <si>
    <t>H,laje</t>
  </si>
  <si>
    <t>L,mc</t>
  </si>
  <si>
    <t>H,capa</t>
  </si>
  <si>
    <t>cm²</t>
  </si>
  <si>
    <t>y'.1</t>
  </si>
  <si>
    <t>y'.2</t>
  </si>
  <si>
    <t>g0</t>
  </si>
  <si>
    <t>sobrecargas</t>
  </si>
  <si>
    <t>g1</t>
  </si>
  <si>
    <t>g2</t>
  </si>
  <si>
    <t>kgf/m²</t>
  </si>
  <si>
    <t>Revestimento = g2</t>
  </si>
  <si>
    <t>Alvenaria = g3</t>
  </si>
  <si>
    <t>g3</t>
  </si>
  <si>
    <t>kgf/m</t>
  </si>
  <si>
    <t>q0</t>
  </si>
  <si>
    <t>Sobrecarga da laje = q0</t>
  </si>
  <si>
    <t>Solicitações</t>
  </si>
  <si>
    <t>M,g0</t>
  </si>
  <si>
    <t>M,g1</t>
  </si>
  <si>
    <t>M,g2</t>
  </si>
  <si>
    <t>M,g3</t>
  </si>
  <si>
    <t>kN*m</t>
  </si>
  <si>
    <t>M,q0</t>
  </si>
  <si>
    <t>kN*cm</t>
  </si>
  <si>
    <t>(Peso próprio)</t>
  </si>
  <si>
    <t>(Revestimento)</t>
  </si>
  <si>
    <t>(Capa de concreto)</t>
  </si>
  <si>
    <t>(Alvenaria)</t>
  </si>
  <si>
    <t>(Sobrecarga acidental0</t>
  </si>
  <si>
    <t>yc</t>
  </si>
  <si>
    <t>yf,g+q</t>
  </si>
  <si>
    <t>Ψ2,cqp</t>
  </si>
  <si>
    <t>Ψ1,cf</t>
  </si>
  <si>
    <t>g4</t>
  </si>
  <si>
    <t>Laje = g1</t>
  </si>
  <si>
    <t>kN/m</t>
  </si>
  <si>
    <t>M,g4</t>
  </si>
  <si>
    <t>yf,g0,g1</t>
  </si>
  <si>
    <t>Mpa</t>
  </si>
  <si>
    <t>Por conta da diferença de concreto entre a viga e a solidarização, deve ser feito uma redução da largura da mesa colaborante</t>
  </si>
  <si>
    <t>L,apoio</t>
  </si>
  <si>
    <t>Ψ0</t>
  </si>
  <si>
    <t>Ψ1</t>
  </si>
  <si>
    <t>Ψ2</t>
  </si>
  <si>
    <t>Protensão limitada</t>
  </si>
  <si>
    <t>ELS-F = Combinação frequente Ψ1 e com limite da resistência a tração de 0,7fctm</t>
  </si>
  <si>
    <t>ELS-D = Combinação quase permanente Ψ2 e com limite de tensão &lt; 0</t>
  </si>
  <si>
    <t>σ,pi</t>
  </si>
  <si>
    <t>MPa</t>
  </si>
  <si>
    <t>kN/cm²</t>
  </si>
  <si>
    <t>Estimativa do número de cabos no tempo infinito</t>
  </si>
  <si>
    <t>kN/m²</t>
  </si>
  <si>
    <t>Ap &gt;</t>
  </si>
  <si>
    <t>ELS-F</t>
  </si>
  <si>
    <t>Tração na fibra superior ATO</t>
  </si>
  <si>
    <t>σ,pi,ATO</t>
  </si>
  <si>
    <t>% de perda</t>
  </si>
  <si>
    <t>σ,sup</t>
  </si>
  <si>
    <t>Limite de 1,2fctm</t>
  </si>
  <si>
    <t>A"sup &gt;</t>
  </si>
  <si>
    <t>c</t>
  </si>
  <si>
    <t>hcg,sup</t>
  </si>
  <si>
    <t>hcg,inf</t>
  </si>
  <si>
    <t>Cabo representante</t>
  </si>
  <si>
    <t>Primeira camada</t>
  </si>
  <si>
    <t>Segunda Camada</t>
  </si>
  <si>
    <t>Terceira Camada</t>
  </si>
  <si>
    <t>Quarta Camada</t>
  </si>
  <si>
    <t>cm</t>
  </si>
  <si>
    <t>Perdas de protensão</t>
  </si>
  <si>
    <t>Tamanho da pista</t>
  </si>
  <si>
    <t>m</t>
  </si>
  <si>
    <t>Acomodação da cunha</t>
  </si>
  <si>
    <t>Relaxação da armadura</t>
  </si>
  <si>
    <t>R</t>
  </si>
  <si>
    <t>Ѱ</t>
  </si>
  <si>
    <t>Δσ,pr</t>
  </si>
  <si>
    <t>Perda por deformação imediata do concreto</t>
  </si>
  <si>
    <t>A,p</t>
  </si>
  <si>
    <t>A',p</t>
  </si>
  <si>
    <t>e,p</t>
  </si>
  <si>
    <t>e',p</t>
  </si>
  <si>
    <t xml:space="preserve">cm </t>
  </si>
  <si>
    <t>Np</t>
  </si>
  <si>
    <t>kN</t>
  </si>
  <si>
    <t>Mp</t>
  </si>
  <si>
    <t>σc,po+g,inf</t>
  </si>
  <si>
    <t>σc,po+g,sup</t>
  </si>
  <si>
    <t>σp</t>
  </si>
  <si>
    <t>Eci</t>
  </si>
  <si>
    <t>Δσcg,inf</t>
  </si>
  <si>
    <t>Δσcg,sup</t>
  </si>
  <si>
    <t>σpsup,t=1</t>
  </si>
  <si>
    <t>Perdas diferidas</t>
  </si>
  <si>
    <t>Seção 1 (viga)</t>
  </si>
  <si>
    <t>Perímetro</t>
  </si>
  <si>
    <t>Seção 2 (laje)</t>
  </si>
  <si>
    <t>A</t>
  </si>
  <si>
    <t>B</t>
  </si>
  <si>
    <t>C</t>
  </si>
  <si>
    <t>D</t>
  </si>
  <si>
    <t>σ,p</t>
  </si>
  <si>
    <t>Δσ,p,c,inf</t>
  </si>
  <si>
    <t>A'</t>
  </si>
  <si>
    <t>Perda por retração do concreto</t>
  </si>
  <si>
    <t>Δσ,p,s</t>
  </si>
  <si>
    <t>R,inf</t>
  </si>
  <si>
    <t>R,sup</t>
  </si>
  <si>
    <t>Cordoalhas</t>
  </si>
  <si>
    <t>Rb</t>
  </si>
  <si>
    <t>Barras</t>
  </si>
  <si>
    <t>fptk (%)</t>
  </si>
  <si>
    <t>Porcentagem da força de tração da cordoalha</t>
  </si>
  <si>
    <t>Ѱ(inf,1)</t>
  </si>
  <si>
    <t>Ѱ(sup,1)</t>
  </si>
  <si>
    <t>X(inf,1)inf</t>
  </si>
  <si>
    <t>X(inf,1)sup</t>
  </si>
  <si>
    <t>Δσ,pr,inf</t>
  </si>
  <si>
    <t>Δσ,pr,sup</t>
  </si>
  <si>
    <t>Simultaneidade das perdas</t>
  </si>
  <si>
    <t>Xp,inf</t>
  </si>
  <si>
    <t>X,c</t>
  </si>
  <si>
    <t>N,inf</t>
  </si>
  <si>
    <t>N,sup</t>
  </si>
  <si>
    <t>P,p</t>
  </si>
  <si>
    <t>Δσ,p(inf,1)inf</t>
  </si>
  <si>
    <t>Δσ,p(inf,1)sup</t>
  </si>
  <si>
    <t>Δσ,p,c,sup</t>
  </si>
  <si>
    <t>Tensão final dos cabos</t>
  </si>
  <si>
    <t>σ,pinf</t>
  </si>
  <si>
    <t>σ,psup</t>
  </si>
  <si>
    <t>Perda (%)</t>
  </si>
  <si>
    <t>ELS-F - limites</t>
  </si>
  <si>
    <t>Tração</t>
  </si>
  <si>
    <t>Compressão</t>
  </si>
  <si>
    <t>Borda inferior</t>
  </si>
  <si>
    <t>σ1</t>
  </si>
  <si>
    <t>Momento máximo</t>
  </si>
  <si>
    <t>N,p/a</t>
  </si>
  <si>
    <t>Mp/Wi</t>
  </si>
  <si>
    <t>(Mg3+Mg4)/Wi,comp</t>
  </si>
  <si>
    <t>(Mg0+Mg1+Mg2)/Wi</t>
  </si>
  <si>
    <t>Ψ1q/Wi,comp</t>
  </si>
  <si>
    <t>Momento mínimo</t>
  </si>
  <si>
    <t>Borda superior</t>
  </si>
  <si>
    <t>ys</t>
  </si>
  <si>
    <t>W,2</t>
  </si>
  <si>
    <t>m³</t>
  </si>
  <si>
    <t>Mp/Ws</t>
  </si>
  <si>
    <t>(Mg0+Mg1+Mg2)/Ws</t>
  </si>
  <si>
    <t>(Mg3+Mg4)/Ws,comp</t>
  </si>
  <si>
    <t>Ψ1q/Ws,comp</t>
  </si>
  <si>
    <t>&lt;</t>
  </si>
  <si>
    <t>Verificação da descompressão = ELS-D</t>
  </si>
  <si>
    <t>Limites</t>
  </si>
  <si>
    <t>Momento fletor - ATO</t>
  </si>
  <si>
    <t>Borda Inferior</t>
  </si>
  <si>
    <t>σi,1</t>
  </si>
  <si>
    <t>σi,2</t>
  </si>
  <si>
    <t>σi,3</t>
  </si>
  <si>
    <t>σi,4</t>
  </si>
  <si>
    <t>σi,5</t>
  </si>
  <si>
    <t>σi,6</t>
  </si>
  <si>
    <t>σi,7</t>
  </si>
  <si>
    <t>σi,8</t>
  </si>
  <si>
    <t>σi,9</t>
  </si>
  <si>
    <t>σi,10</t>
  </si>
  <si>
    <t>σi,11</t>
  </si>
  <si>
    <t>Limite</t>
  </si>
  <si>
    <t>Borda Superior</t>
  </si>
  <si>
    <t>Em caso de tração excesssiva, verificase a armadura passiva na região tracionada</t>
  </si>
  <si>
    <t>x</t>
  </si>
  <si>
    <t>Ft</t>
  </si>
  <si>
    <t>A's</t>
  </si>
  <si>
    <t>Ø</t>
  </si>
  <si>
    <t>mm</t>
  </si>
  <si>
    <t>Valores máximos de diâmetro e espaçamento, com barras de alta aderência</t>
  </si>
  <si>
    <t>Concreto com armaduras ativas</t>
  </si>
  <si>
    <t>Ø,máx</t>
  </si>
  <si>
    <t>σ,si = Mpa</t>
  </si>
  <si>
    <t>Tensão na barra</t>
  </si>
  <si>
    <t>S,máx = cm</t>
  </si>
  <si>
    <t>Momento fletor 1 - ELS-D = Mg0, Mg1, Mg2</t>
  </si>
  <si>
    <t>Momento fletor 2 - ELS-D = Mg3, Mg4</t>
  </si>
  <si>
    <t>Momento fletor 3 - ELS-D = Mq</t>
  </si>
  <si>
    <t>Momento máximo borda inferior</t>
  </si>
  <si>
    <t>Momento mínimo borda inferior</t>
  </si>
  <si>
    <t>Momento máximo borda superior</t>
  </si>
  <si>
    <t>Momento mínimo borda superior</t>
  </si>
  <si>
    <t>Ψ2q/Wi,comp</t>
  </si>
  <si>
    <t>Verificação de fissuras - ELS-F</t>
  </si>
  <si>
    <t>Momento fletor 3 - ELS-F = Mq</t>
  </si>
  <si>
    <t>Momento fletor 2 - ELS-F = Mg3, Mg4</t>
  </si>
  <si>
    <t>Momento fletor 1 - ELS-F = Mg0, Mg1, Mg2</t>
  </si>
  <si>
    <t>Md</t>
  </si>
  <si>
    <t>yf,PP</t>
  </si>
  <si>
    <t>yf,2</t>
  </si>
  <si>
    <t>Kmd</t>
  </si>
  <si>
    <t>kx</t>
  </si>
  <si>
    <t>kz</t>
  </si>
  <si>
    <t>ε,s</t>
  </si>
  <si>
    <t>ε,p</t>
  </si>
  <si>
    <t>fck</t>
  </si>
  <si>
    <t>GPa</t>
  </si>
  <si>
    <t>Gpa</t>
  </si>
  <si>
    <t>ϒ</t>
  </si>
  <si>
    <t>σp (MPa)</t>
  </si>
  <si>
    <t>€p (%)</t>
  </si>
  <si>
    <t>Ap</t>
  </si>
  <si>
    <t>Ap,utilizaddo</t>
  </si>
  <si>
    <t xml:space="preserve"> </t>
  </si>
  <si>
    <t>Momento de fissuração</t>
  </si>
  <si>
    <t>Mr</t>
  </si>
  <si>
    <t>σ</t>
  </si>
  <si>
    <t>fctm</t>
  </si>
  <si>
    <t>Mg1</t>
  </si>
  <si>
    <t>Verificação no tempo = 1</t>
  </si>
  <si>
    <t>Verificação no tempo infinito</t>
  </si>
  <si>
    <t xml:space="preserve">kN </t>
  </si>
  <si>
    <t>Ma</t>
  </si>
  <si>
    <t>Flechas devidas aos carregamentos</t>
  </si>
  <si>
    <r>
      <t>Δ</t>
    </r>
    <r>
      <rPr>
        <sz val="14.3"/>
        <color theme="1"/>
        <rFont val="Aptos Narrow"/>
        <family val="2"/>
      </rPr>
      <t>g1</t>
    </r>
  </si>
  <si>
    <t>Ec</t>
  </si>
  <si>
    <t>Pp - g0</t>
  </si>
  <si>
    <t>g0 + g1</t>
  </si>
  <si>
    <t>dias</t>
  </si>
  <si>
    <t>Considera-se agora a montagem da laje após</t>
  </si>
  <si>
    <r>
      <rPr>
        <sz val="11"/>
        <color theme="1"/>
        <rFont val="Aptos Narrow"/>
        <family val="2"/>
      </rPr>
      <t>β</t>
    </r>
    <r>
      <rPr>
        <sz val="14.3"/>
        <color theme="1"/>
        <rFont val="Aptos Narrow"/>
        <family val="2"/>
      </rPr>
      <t>1</t>
    </r>
  </si>
  <si>
    <t>s</t>
  </si>
  <si>
    <r>
      <t>Δ</t>
    </r>
    <r>
      <rPr>
        <sz val="14.3"/>
        <color theme="1"/>
        <rFont val="Aptos Narrow"/>
        <family val="2"/>
      </rPr>
      <t>g2</t>
    </r>
  </si>
  <si>
    <t>g0 + g1+g2</t>
  </si>
  <si>
    <t>g0 + g1+g2+G3</t>
  </si>
  <si>
    <r>
      <t>Δ</t>
    </r>
    <r>
      <rPr>
        <sz val="14.3"/>
        <color theme="1"/>
        <rFont val="Aptos Narrow"/>
        <family val="2"/>
      </rPr>
      <t>g3</t>
    </r>
  </si>
  <si>
    <t>g0 + g1+g2+G3+G4</t>
  </si>
  <si>
    <r>
      <t>Δ</t>
    </r>
    <r>
      <rPr>
        <sz val="14.3"/>
        <color theme="1"/>
        <rFont val="Aptos Narrow"/>
        <family val="2"/>
      </rPr>
      <t>g4</t>
    </r>
  </si>
  <si>
    <t>g0 + g1+g2+G3+G4+q</t>
  </si>
  <si>
    <r>
      <t>Δ</t>
    </r>
    <r>
      <rPr>
        <sz val="14.3"/>
        <color theme="1"/>
        <rFont val="Aptos Narrow"/>
        <family val="2"/>
      </rPr>
      <t>p</t>
    </r>
  </si>
  <si>
    <r>
      <t>Δa</t>
    </r>
    <r>
      <rPr>
        <sz val="14.3"/>
        <color theme="1"/>
        <rFont val="Aptos Narrow"/>
        <family val="2"/>
      </rPr>
      <t>p</t>
    </r>
  </si>
  <si>
    <t>Ação</t>
  </si>
  <si>
    <t>Protensão</t>
  </si>
  <si>
    <t>Peso próprio viga</t>
  </si>
  <si>
    <t>Peso próprio laje</t>
  </si>
  <si>
    <t>Capa</t>
  </si>
  <si>
    <t>Alvenaria</t>
  </si>
  <si>
    <t>Revestimento</t>
  </si>
  <si>
    <t>Carga acidental</t>
  </si>
  <si>
    <t>Perda de protensão</t>
  </si>
  <si>
    <t>Seção</t>
  </si>
  <si>
    <t>Pré-fabricada</t>
  </si>
  <si>
    <t>Flecha imediata - mm</t>
  </si>
  <si>
    <r>
      <t>Δ</t>
    </r>
    <r>
      <rPr>
        <sz val="14.3"/>
        <color theme="1"/>
        <rFont val="Aptos Narrow"/>
        <family val="2"/>
      </rPr>
      <t>g0</t>
    </r>
  </si>
  <si>
    <t>Δq</t>
  </si>
  <si>
    <t>KMD</t>
  </si>
  <si>
    <t>Kx</t>
  </si>
  <si>
    <t>Kz</t>
  </si>
  <si>
    <t>εc</t>
  </si>
  <si>
    <t>εs</t>
  </si>
  <si>
    <t>Ks (CA25)</t>
  </si>
  <si>
    <t>Ks (CA50)</t>
  </si>
  <si>
    <t>Ks (CA60)</t>
  </si>
  <si>
    <t>Cordoalha inferior</t>
  </si>
  <si>
    <t>Cordoalha superior</t>
  </si>
  <si>
    <t>Escolhido</t>
  </si>
  <si>
    <t>Necessário</t>
  </si>
  <si>
    <t>Tabela – Valores de εcs(t∞,t0) e do coeficiente de fluência φ(t∞,t0)</t>
  </si>
  <si>
    <t>Umidade média ambiente (%)</t>
  </si>
  <si>
    <t>Espessura fictícia 2Ac/lu (cm)</t>
  </si>
  <si>
    <t>φ(t∞,t0) – Concreto C20 a C45</t>
  </si>
  <si>
    <t>φ(t∞,t0) – Concreto C50 a C90</t>
  </si>
  <si>
    <t>εcs(t∞,t0) ‰</t>
  </si>
  <si>
    <t>t,0dias</t>
  </si>
  <si>
    <t>t₀ seção 01</t>
  </si>
  <si>
    <t>Coeficiente φ seção 01</t>
  </si>
  <si>
    <t>t₀ seção 02</t>
  </si>
  <si>
    <t>Coeficiente φ seção 02</t>
  </si>
  <si>
    <t>Coeficiente φ final</t>
  </si>
  <si>
    <t>--</t>
  </si>
  <si>
    <t>Pp VIGA</t>
  </si>
  <si>
    <t>PP Laje</t>
  </si>
  <si>
    <t>Perda protensão</t>
  </si>
  <si>
    <t>Seção pré-fabricada</t>
  </si>
  <si>
    <t>Seção composta</t>
  </si>
  <si>
    <t>DADOS DE ENTRADA</t>
  </si>
  <si>
    <t>AUXÍLIO</t>
  </si>
  <si>
    <r>
      <t>A</t>
    </r>
    <r>
      <rPr>
        <vertAlign val="subscript"/>
        <sz val="11"/>
        <color theme="1"/>
        <rFont val="Aptos Narrow"/>
        <family val="2"/>
        <scheme val="minor"/>
      </rPr>
      <t>c</t>
    </r>
  </si>
  <si>
    <t>Tipo Cimento</t>
  </si>
  <si>
    <t>α fluência</t>
  </si>
  <si>
    <t>α retração</t>
  </si>
  <si>
    <r>
      <t>u</t>
    </r>
    <r>
      <rPr>
        <vertAlign val="subscript"/>
        <sz val="11"/>
        <color theme="1"/>
        <rFont val="Aptos Narrow"/>
        <family val="2"/>
        <scheme val="minor"/>
      </rPr>
      <t>ar</t>
    </r>
  </si>
  <si>
    <t>Cimento</t>
  </si>
  <si>
    <t>CPV-ARI</t>
  </si>
  <si>
    <t>CPI E CPII</t>
  </si>
  <si>
    <t>U (umid.)</t>
  </si>
  <si>
    <r>
      <rPr>
        <sz val="11"/>
        <color theme="1"/>
        <rFont val="Times New Roman"/>
        <family val="1"/>
      </rPr>
      <t>Δ</t>
    </r>
    <r>
      <rPr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ef,i</t>
    </r>
  </si>
  <si>
    <t>CPIII e CPIV</t>
  </si>
  <si>
    <r>
      <t>T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</si>
  <si>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t</t>
    </r>
    <r>
      <rPr>
        <vertAlign val="subscript"/>
        <sz val="11"/>
        <color theme="1"/>
        <rFont val="Times New Roman"/>
        <family val="1"/>
      </rPr>
      <t>∞</t>
    </r>
  </si>
  <si>
    <t>Slump</t>
  </si>
  <si>
    <t>COEFICIENTE DE FLUÊNCIA</t>
  </si>
  <si>
    <t>RETRAÇÃO DO CONCRETO</t>
  </si>
  <si>
    <t>Deformação rápida</t>
  </si>
  <si>
    <r>
      <t>ε</t>
    </r>
    <r>
      <rPr>
        <vertAlign val="subscript"/>
        <sz val="11"/>
        <color theme="1"/>
        <rFont val="Times New Roman"/>
        <family val="1"/>
      </rPr>
      <t>1s 0-4</t>
    </r>
  </si>
  <si>
    <t>α</t>
  </si>
  <si>
    <r>
      <t>ε</t>
    </r>
    <r>
      <rPr>
        <vertAlign val="subscript"/>
        <sz val="11"/>
        <color theme="1"/>
        <rFont val="Times New Roman"/>
        <family val="1"/>
      </rPr>
      <t>1s 5-9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</si>
  <si>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0i, fic</t>
    </r>
  </si>
  <si>
    <r>
      <t>ε</t>
    </r>
    <r>
      <rPr>
        <vertAlign val="subscript"/>
        <sz val="11"/>
        <color theme="1"/>
        <rFont val="Times New Roman"/>
        <family val="1"/>
      </rPr>
      <t>1s 10-15</t>
    </r>
  </si>
  <si>
    <r>
      <t>t</t>
    </r>
    <r>
      <rPr>
        <vertAlign val="subscript"/>
        <sz val="11"/>
        <color theme="1"/>
        <rFont val="Times New Roman"/>
        <family val="1"/>
      </rPr>
      <t>∞, fic</t>
    </r>
  </si>
  <si>
    <r>
      <t>ε</t>
    </r>
    <r>
      <rPr>
        <vertAlign val="subscript"/>
        <sz val="11"/>
        <color theme="1"/>
        <rFont val="Times New Roman"/>
        <family val="1"/>
      </rPr>
      <t>1s adotado</t>
    </r>
  </si>
  <si>
    <r>
      <t>ε</t>
    </r>
    <r>
      <rPr>
        <vertAlign val="subscript"/>
        <sz val="11"/>
        <color theme="1"/>
        <rFont val="Times New Roman"/>
        <family val="1"/>
      </rPr>
      <t xml:space="preserve">2s 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</si>
  <si>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(t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)</t>
    </r>
  </si>
  <si>
    <r>
      <t>ε</t>
    </r>
    <r>
      <rPr>
        <vertAlign val="subscript"/>
        <sz val="11"/>
        <color theme="1"/>
        <rFont val="Times New Roman"/>
        <family val="1"/>
      </rPr>
      <t xml:space="preserve">cs∞ 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</si>
  <si>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(t</t>
    </r>
    <r>
      <rPr>
        <vertAlign val="subscript"/>
        <sz val="11"/>
        <color theme="1"/>
        <rFont val="Times New Roman"/>
        <family val="1"/>
      </rPr>
      <t>∞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</si>
  <si>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a fck&lt;=45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</si>
  <si>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a fck&gt;45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</si>
  <si>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a adotado</t>
    </r>
  </si>
  <si>
    <r>
      <t>h</t>
    </r>
    <r>
      <rPr>
        <vertAlign val="subscript"/>
        <sz val="11"/>
        <color theme="1"/>
        <rFont val="Calibri"/>
        <family val="2"/>
      </rPr>
      <t>fic</t>
    </r>
  </si>
  <si>
    <t>Deformação lenta irrev.</t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</si>
  <si>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1c 0-4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</si>
  <si>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1c 5-9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</si>
  <si>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1c 10-15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</si>
  <si>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1 adotado</t>
    </r>
  </si>
  <si>
    <t>E</t>
  </si>
  <si>
    <t>γ</t>
  </si>
  <si>
    <r>
      <t>β</t>
    </r>
    <r>
      <rPr>
        <vertAlign val="subscript"/>
        <sz val="11"/>
        <color theme="1"/>
        <rFont val="Calibri"/>
        <family val="2"/>
      </rPr>
      <t>s</t>
    </r>
    <r>
      <rPr>
        <sz val="11"/>
        <color theme="1"/>
        <rFont val="Calibri"/>
        <family val="2"/>
      </rPr>
      <t xml:space="preserve"> (t</t>
    </r>
    <r>
      <rPr>
        <vertAlign val="subscript"/>
        <sz val="11"/>
        <color theme="1"/>
        <rFont val="Calibri"/>
        <family val="2"/>
      </rPr>
      <t>0i,fic</t>
    </r>
    <r>
      <rPr>
        <sz val="11"/>
        <color theme="1"/>
        <rFont val="Calibri"/>
        <family val="2"/>
      </rPr>
      <t>)</t>
    </r>
  </si>
  <si>
    <r>
      <t>β</t>
    </r>
    <r>
      <rPr>
        <vertAlign val="subscript"/>
        <sz val="11"/>
        <color theme="1"/>
        <rFont val="Calibri"/>
        <family val="2"/>
      </rPr>
      <t>s</t>
    </r>
    <r>
      <rPr>
        <sz val="11"/>
        <color theme="1"/>
        <rFont val="Calibri"/>
        <family val="2"/>
      </rPr>
      <t xml:space="preserve"> (t</t>
    </r>
    <r>
      <rPr>
        <vertAlign val="subscript"/>
        <sz val="11"/>
        <color theme="1"/>
        <rFont val="Times New Roman"/>
        <family val="1"/>
      </rPr>
      <t>∞,</t>
    </r>
    <r>
      <rPr>
        <vertAlign val="subscript"/>
        <sz val="11"/>
        <color theme="1"/>
        <rFont val="Calibri"/>
        <family val="2"/>
      </rPr>
      <t xml:space="preserve"> fic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</si>
  <si>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2c</t>
    </r>
  </si>
  <si>
    <r>
      <rPr>
        <b/>
        <sz val="11"/>
        <color theme="1"/>
        <rFont val="Times New Roman"/>
        <family val="1"/>
      </rPr>
      <t>ε</t>
    </r>
    <r>
      <rPr>
        <b/>
        <vertAlign val="subscript"/>
        <sz val="11"/>
        <color theme="1"/>
        <rFont val="Calibri"/>
        <family val="2"/>
      </rPr>
      <t>cs</t>
    </r>
    <r>
      <rPr>
        <b/>
        <sz val="11"/>
        <color theme="1"/>
        <rFont val="Calibri"/>
        <family val="2"/>
      </rPr>
      <t xml:space="preserve"> (t, t</t>
    </r>
    <r>
      <rPr>
        <b/>
        <vertAlign val="subscript"/>
        <sz val="11"/>
        <color theme="1"/>
        <rFont val="Calibri"/>
        <family val="2"/>
      </rPr>
      <t>0</t>
    </r>
    <r>
      <rPr>
        <b/>
        <sz val="11"/>
        <color theme="1"/>
        <rFont val="Calibri"/>
        <family val="2"/>
      </rPr>
      <t>)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</si>
  <si>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f</t>
    </r>
    <r>
      <rPr>
        <vertAlign val="subscript"/>
        <sz val="11"/>
        <color theme="1"/>
        <rFont val="Times New Roman"/>
        <family val="1"/>
      </rPr>
      <t xml:space="preserve">∞&lt;=45 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</si>
  <si>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f</t>
    </r>
    <r>
      <rPr>
        <vertAlign val="subscript"/>
        <sz val="11"/>
        <color theme="1"/>
        <rFont val="Times New Roman"/>
        <family val="1"/>
      </rPr>
      <t>∞&gt;45</t>
    </r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</si>
  <si>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f</t>
    </r>
    <r>
      <rPr>
        <vertAlign val="subscript"/>
        <sz val="11"/>
        <color theme="1"/>
        <rFont val="Times New Roman"/>
        <family val="1"/>
      </rPr>
      <t>∞ adotado</t>
    </r>
  </si>
  <si>
    <t xml:space="preserve"> deformação lenta reversível</t>
  </si>
  <si>
    <r>
      <rPr>
        <sz val="11"/>
        <color theme="1"/>
        <rFont val="Times New Roman"/>
        <family val="1"/>
      </rPr>
      <t>φ</t>
    </r>
    <r>
      <rPr>
        <vertAlign val="subscript"/>
        <sz val="11"/>
        <color theme="1"/>
        <rFont val="Calibri"/>
        <family val="2"/>
      </rPr>
      <t>d</t>
    </r>
  </si>
  <si>
    <r>
      <t>β</t>
    </r>
    <r>
      <rPr>
        <vertAlign val="subscript"/>
        <sz val="11"/>
        <color theme="1"/>
        <rFont val="Calibri"/>
        <family val="2"/>
      </rPr>
      <t>d</t>
    </r>
    <r>
      <rPr>
        <sz val="11"/>
        <color theme="1"/>
        <rFont val="Calibri"/>
        <family val="2"/>
      </rPr>
      <t xml:space="preserve"> (t</t>
    </r>
    <r>
      <rPr>
        <sz val="11"/>
        <color theme="1"/>
        <rFont val="Calibri"/>
        <family val="2"/>
      </rPr>
      <t>)</t>
    </r>
  </si>
  <si>
    <r>
      <t>β</t>
    </r>
    <r>
      <rPr>
        <vertAlign val="subscript"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 xml:space="preserve"> (t</t>
    </r>
    <r>
      <rPr>
        <vertAlign val="subscript"/>
        <sz val="11"/>
        <color theme="1"/>
        <rFont val="Calibri"/>
        <family val="2"/>
      </rPr>
      <t>0i,fic</t>
    </r>
    <r>
      <rPr>
        <sz val="11"/>
        <color theme="1"/>
        <rFont val="Calibri"/>
        <family val="2"/>
      </rPr>
      <t>)</t>
    </r>
  </si>
  <si>
    <r>
      <t>β</t>
    </r>
    <r>
      <rPr>
        <vertAlign val="subscript"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 xml:space="preserve"> (t</t>
    </r>
    <r>
      <rPr>
        <vertAlign val="subscript"/>
        <sz val="11"/>
        <color theme="1"/>
        <rFont val="Times New Roman"/>
        <family val="1"/>
      </rPr>
      <t>∞,</t>
    </r>
    <r>
      <rPr>
        <vertAlign val="subscript"/>
        <sz val="11"/>
        <color theme="1"/>
        <rFont val="Calibri"/>
        <family val="2"/>
      </rPr>
      <t xml:space="preserve"> fic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</si>
  <si>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Times New Roman"/>
        <family val="1"/>
      </rPr>
      <t>φ</t>
    </r>
    <r>
      <rPr>
        <b/>
        <sz val="11"/>
        <color theme="1"/>
        <rFont val="Calibri"/>
        <family val="2"/>
      </rPr>
      <t xml:space="preserve"> (t,t</t>
    </r>
    <r>
      <rPr>
        <b/>
        <vertAlign val="subscript"/>
        <sz val="11"/>
        <color theme="1"/>
        <rFont val="Calibri"/>
        <family val="2"/>
      </rPr>
      <t>0</t>
    </r>
    <r>
      <rPr>
        <b/>
        <sz val="11"/>
        <color theme="1"/>
        <rFont val="Calibri"/>
        <family val="2"/>
      </rPr>
      <t>)</t>
    </r>
  </si>
  <si>
    <t>Seção Pré-fabricada</t>
  </si>
  <si>
    <t>Seção Solidarizada</t>
  </si>
  <si>
    <t>Coeficiente 1+φ final</t>
  </si>
  <si>
    <t>Soma</t>
  </si>
  <si>
    <t>Flecha t,inf</t>
  </si>
  <si>
    <t>Flecha final</t>
  </si>
  <si>
    <t>Flecha limite</t>
  </si>
  <si>
    <t xml:space="preserve">Considerar solidarização </t>
  </si>
  <si>
    <t>Geometria da mesa colaborante</t>
  </si>
  <si>
    <t>Dados do projeto</t>
  </si>
  <si>
    <t>Dados</t>
  </si>
  <si>
    <t>σi,12</t>
  </si>
  <si>
    <t>σi,13</t>
  </si>
  <si>
    <t>σi,14</t>
  </si>
  <si>
    <t>σi,15</t>
  </si>
  <si>
    <t>σi,16</t>
  </si>
  <si>
    <t>σi,17</t>
  </si>
  <si>
    <t>σi,18</t>
  </si>
  <si>
    <t>σi,19</t>
  </si>
  <si>
    <t>σi,20</t>
  </si>
  <si>
    <t>σi,21</t>
  </si>
  <si>
    <t>PROPERTIES OF SECTION DESCRIBED BY NODES COORDINATES</t>
  </si>
  <si>
    <t>Units:</t>
  </si>
  <si>
    <t xml:space="preserve">         Nodes Coordinates</t>
  </si>
  <si>
    <t>Section Properties
 About Centroidal Axis Parallel to Original Axis</t>
  </si>
  <si>
    <t>PROPRIEDADES EM TORNO DO EIXO X</t>
  </si>
  <si>
    <t>About Original Axis</t>
  </si>
  <si>
    <t>DX =</t>
  </si>
  <si>
    <t>X</t>
  </si>
  <si>
    <t>Y</t>
  </si>
  <si>
    <r>
      <t xml:space="preserve">f </t>
    </r>
    <r>
      <rPr>
        <sz val="10"/>
        <rFont val="Arial"/>
        <family val="2"/>
      </rPr>
      <t xml:space="preserve"> =</t>
    </r>
  </si>
  <si>
    <t xml:space="preserve"> deg</t>
  </si>
  <si>
    <t>X-dim =</t>
  </si>
  <si>
    <t>Ix =</t>
  </si>
  <si>
    <t>Imax =</t>
  </si>
  <si>
    <t>DY=</t>
  </si>
  <si>
    <t>A =</t>
  </si>
  <si>
    <t>Y-dim =</t>
  </si>
  <si>
    <t>Iy =</t>
  </si>
  <si>
    <t>Imin =</t>
  </si>
  <si>
    <t>Plot of diagonal</t>
  </si>
  <si>
    <t>Xcg =</t>
  </si>
  <si>
    <t>Sx(top) =</t>
  </si>
  <si>
    <t>Ixy =</t>
  </si>
  <si>
    <t>Yi</t>
  </si>
  <si>
    <t>Principal Axis Plot</t>
  </si>
  <si>
    <t>to control XY scale</t>
  </si>
  <si>
    <t>Ycg =</t>
  </si>
  <si>
    <t>Sx(bot) =</t>
  </si>
  <si>
    <t>Ys</t>
  </si>
  <si>
    <t>y</t>
  </si>
  <si>
    <t>Ixo =</t>
  </si>
  <si>
    <t>Sy(left) =</t>
  </si>
  <si>
    <t>Ix</t>
  </si>
  <si>
    <t>Iyo =</t>
  </si>
  <si>
    <t>Sy(right)=</t>
  </si>
  <si>
    <t>Wi</t>
  </si>
  <si>
    <t>Ixyo =</t>
  </si>
  <si>
    <t>Ws</t>
  </si>
  <si>
    <t>Section Properties About Principal Axis</t>
  </si>
  <si>
    <t>deg</t>
  </si>
  <si>
    <t>Sxp(top) =</t>
  </si>
  <si>
    <t>Ixp =</t>
  </si>
  <si>
    <t>Sxp(bot) =</t>
  </si>
  <si>
    <t>Iyp =</t>
  </si>
  <si>
    <t>Syp(left) =</t>
  </si>
  <si>
    <t>Ixyp =</t>
  </si>
  <si>
    <t>Syp(right)=</t>
  </si>
  <si>
    <t>J =</t>
  </si>
  <si>
    <t>Tabela 11.2 – Valores do coeficiente γf2</t>
  </si>
  <si>
    <t>Ações</t>
  </si>
  <si>
    <t>γf2</t>
  </si>
  <si>
    <t>Cargas de utilização de edificações</t>
  </si>
  <si>
    <t>Locais em que não há predominância de pesos de equipamentos que permanecem fixos por longos períodos de tempo, nem de elevadas concentrações de pessoas b</t>
  </si>
  <si>
    <t>Locais em que há predominância de pesos de equipamentos que permanecem fixos por longos períodos de tempo, ou de elevada concentração de pessoas c</t>
  </si>
  <si>
    <t>Biblioteca, arquivos, oficinas e garagens</t>
  </si>
  <si>
    <t>Vento</t>
  </si>
  <si>
    <t>Pressão dinâmica do vento nas estruturas em geral</t>
  </si>
  <si>
    <t>Temperatura</t>
  </si>
  <si>
    <t>Variações uniformes de temperatura em relação à média anual local</t>
  </si>
  <si>
    <t xml:space="preserve">Tabela 11.2 </t>
  </si>
  <si>
    <t>Coeficientes majoradores</t>
  </si>
  <si>
    <t>Cargas atuantes</t>
  </si>
  <si>
    <t>Geometria da viga retângular</t>
  </si>
  <si>
    <t>ELS-D</t>
  </si>
  <si>
    <t>Alongamento cabo superior</t>
  </si>
  <si>
    <t>W,sup</t>
  </si>
  <si>
    <t>W,inf</t>
  </si>
  <si>
    <t>y,alv</t>
  </si>
  <si>
    <t>e,alv</t>
  </si>
  <si>
    <t>h,alv</t>
  </si>
  <si>
    <t>Hy,capa</t>
  </si>
  <si>
    <t xml:space="preserve">Tensão inicial </t>
  </si>
  <si>
    <t>Verificação no ato da protensão  - ELS-ATO</t>
  </si>
  <si>
    <t>Verificação da deformação - Flechas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</si>
  <si>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</si>
  <si>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</si>
  <si>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</si>
  <si>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</si>
  <si>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</si>
  <si>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</si>
  <si>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</si>
  <si>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</si>
  <si>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</si>
  <si>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</si>
  <si>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</si>
  <si>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</si>
  <si>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</si>
  <si>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</si>
  <si>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</si>
  <si>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</si>
  <si>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</si>
  <si>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</si>
  <si>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</si>
  <si>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</si>
  <si>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</si>
  <si>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Contraflechas devidas ao momento de protensão</t>
  </si>
  <si>
    <t>Contra flechas devidas às perdas de protensão</t>
  </si>
  <si>
    <t>Alongamento cabo inferior</t>
  </si>
  <si>
    <t>y,cg,repr - inferior</t>
  </si>
  <si>
    <t>y,cg,repr - superior</t>
  </si>
  <si>
    <t>Coeficientes de fluência</t>
  </si>
  <si>
    <t>Valores ponderados - não dado sequencia *Desconsiderar*</t>
  </si>
  <si>
    <r>
      <t xml:space="preserve">Valores de </t>
    </r>
    <r>
      <rPr>
        <b/>
        <sz val="11"/>
        <color theme="1"/>
        <rFont val="Aptos Narrow"/>
        <family val="2"/>
      </rPr>
      <t>Ѱ,1000 em porcentagem</t>
    </r>
  </si>
  <si>
    <t>Cargas</t>
  </si>
  <si>
    <t>1 - Retângular</t>
  </si>
  <si>
    <t>As'</t>
  </si>
  <si>
    <t>&gt;</t>
  </si>
  <si>
    <t>As</t>
  </si>
  <si>
    <t>COMPOSTA</t>
  </si>
  <si>
    <t>Chaveta</t>
  </si>
  <si>
    <t>Ap,ELU</t>
  </si>
  <si>
    <t>La</t>
  </si>
  <si>
    <t>X,pc</t>
  </si>
  <si>
    <t>Lx</t>
  </si>
  <si>
    <t>Tipo de alveolo</t>
  </si>
  <si>
    <t>Vrd,c</t>
  </si>
  <si>
    <t>bw,ef</t>
  </si>
  <si>
    <t>fctd</t>
  </si>
  <si>
    <t>LP</t>
  </si>
  <si>
    <t>Comprimento de transferencia da armadura</t>
  </si>
  <si>
    <t>n1</t>
  </si>
  <si>
    <t>n2</t>
  </si>
  <si>
    <t>l,bpt,sup</t>
  </si>
  <si>
    <t>c,desp</t>
  </si>
  <si>
    <t xml:space="preserve">A peça protendida apresenta um comprimento de aproximadamente </t>
  </si>
  <si>
    <t>cm necessário para que o cabo atinja sua condição de aderência plena.</t>
  </si>
  <si>
    <t>Vd</t>
  </si>
  <si>
    <t>hpc</t>
  </si>
  <si>
    <t>Detalhamento - inferior</t>
  </si>
  <si>
    <t>Detalhamento - superior</t>
  </si>
  <si>
    <t>com 20% de perdas t,inf</t>
  </si>
  <si>
    <t>ε (‰)</t>
  </si>
  <si>
    <t>CP175</t>
  </si>
  <si>
    <t>CP190</t>
  </si>
  <si>
    <t>Verificando pela tabela de vasconcelos</t>
  </si>
  <si>
    <t>Flecha t=1</t>
  </si>
  <si>
    <t>Tamanho da laje.</t>
  </si>
  <si>
    <t>Largura da laje.</t>
  </si>
  <si>
    <t>Altura da laje.</t>
  </si>
  <si>
    <t>Centro de gravidade até a borda inferiror.</t>
  </si>
  <si>
    <t>Centro de gravidade até a borda superior.</t>
  </si>
  <si>
    <t>Comprimento de apoio em viga.</t>
  </si>
  <si>
    <t>Largura da base considerando somente concreto.</t>
  </si>
  <si>
    <t>Largura da mesa colaborante.</t>
  </si>
  <si>
    <t>Largura de apoio da mesa colaborante.</t>
  </si>
  <si>
    <t>Altura da capa de concreto.</t>
  </si>
  <si>
    <t>Altura da capa de concreto considerando contraflechas.</t>
  </si>
  <si>
    <t>Área de concreto da seção transversal.</t>
  </si>
  <si>
    <t>Inércia da seção transversal.</t>
  </si>
  <si>
    <t>Largura critica da seção  - Alma dos alvéolos.</t>
  </si>
  <si>
    <t>fbpt</t>
  </si>
  <si>
    <t>a,pi,inf</t>
  </si>
  <si>
    <t>Altura do centro de gravidade até o centro da armadura superior.</t>
  </si>
  <si>
    <t>Altura do centro de gravidade até o centro da armadura inferior.</t>
  </si>
  <si>
    <t>Módulo resistente da fibra superior.</t>
  </si>
  <si>
    <t>Módulo resistente da fibra inferior.</t>
  </si>
  <si>
    <t>Distância nuclear inferior.</t>
  </si>
  <si>
    <t>Distância nuclear superior.</t>
  </si>
  <si>
    <t>Rendimento da protensão.</t>
  </si>
  <si>
    <t>Coeficiente devido a geometria da seção transversal</t>
  </si>
  <si>
    <t>3. Coeficientes de cargas</t>
  </si>
  <si>
    <t>2 . Resistência dos materiais</t>
  </si>
  <si>
    <t>fyk =</t>
  </si>
  <si>
    <t>fck  =</t>
  </si>
  <si>
    <t>Fckj =</t>
  </si>
  <si>
    <r>
      <t>L</t>
    </r>
    <r>
      <rPr>
        <sz val="10"/>
        <color theme="1"/>
        <rFont val="Aptos Narrow"/>
        <family val="2"/>
        <scheme val="minor"/>
      </rPr>
      <t>pista</t>
    </r>
    <r>
      <rPr>
        <sz val="11"/>
        <color theme="1"/>
        <rFont val="Aptos Narrow"/>
        <family val="2"/>
        <scheme val="minor"/>
      </rPr>
      <t xml:space="preserve"> =</t>
    </r>
  </si>
  <si>
    <t>Cimento =</t>
  </si>
  <si>
    <t>Cimento da capa =</t>
  </si>
  <si>
    <t>Resistência caracterítica ao escoamento das barras de aço.</t>
  </si>
  <si>
    <t>Resistência característica à compressão do concreto.</t>
  </si>
  <si>
    <t>Resistência característica à compressão do concreto da laje.</t>
  </si>
  <si>
    <t>Resistência característica à compressão do concreto t=1.</t>
  </si>
  <si>
    <t>Tamanho da pista de protensão.</t>
  </si>
  <si>
    <t>Cimento utilizado na concretagem da viga.</t>
  </si>
  <si>
    <t>Cimento utilizado na concretagem da capa da laje.</t>
  </si>
  <si>
    <t>fck,laje =</t>
  </si>
  <si>
    <t>3 . Redução da largura da mesa colaborante</t>
  </si>
  <si>
    <r>
      <t>r = E</t>
    </r>
    <r>
      <rPr>
        <sz val="10"/>
        <color theme="1"/>
        <rFont val="Aptos Narrow"/>
        <family val="2"/>
        <scheme val="minor"/>
      </rPr>
      <t>capa</t>
    </r>
    <r>
      <rPr>
        <sz val="11"/>
        <color theme="1"/>
        <rFont val="Aptos Narrow"/>
        <family val="2"/>
        <scheme val="minor"/>
      </rPr>
      <t xml:space="preserve"> / E</t>
    </r>
    <r>
      <rPr>
        <sz val="10"/>
        <color theme="1"/>
        <rFont val="Aptos Narrow"/>
        <family val="2"/>
        <scheme val="minor"/>
      </rPr>
      <t>viga</t>
    </r>
  </si>
  <si>
    <r>
      <t>fctk</t>
    </r>
    <r>
      <rPr>
        <sz val="10"/>
        <color theme="1"/>
        <rFont val="Aptos Narrow"/>
        <family val="2"/>
        <scheme val="minor"/>
      </rPr>
      <t>inf</t>
    </r>
    <r>
      <rPr>
        <sz val="11"/>
        <color theme="1"/>
        <rFont val="Aptos Narrow"/>
        <family val="2"/>
        <scheme val="minor"/>
      </rPr>
      <t xml:space="preserve"> =</t>
    </r>
  </si>
  <si>
    <t>fctkjinf =</t>
  </si>
  <si>
    <r>
      <t>σ</t>
    </r>
    <r>
      <rPr>
        <sz val="10"/>
        <color theme="1"/>
        <rFont val="Aptos Narrow"/>
        <family val="2"/>
      </rPr>
      <t>pi</t>
    </r>
    <r>
      <rPr>
        <sz val="11"/>
        <color theme="1"/>
        <rFont val="Aptos Narrow"/>
        <family val="2"/>
      </rPr>
      <t xml:space="preserve"> =</t>
    </r>
  </si>
  <si>
    <r>
      <t>σ</t>
    </r>
    <r>
      <rPr>
        <sz val="10"/>
        <color theme="1"/>
        <rFont val="Aptos Narrow"/>
        <family val="2"/>
      </rPr>
      <t>pi,sup</t>
    </r>
    <r>
      <rPr>
        <sz val="11"/>
        <color theme="1"/>
        <rFont val="Aptos Narrow"/>
        <family val="2"/>
      </rPr>
      <t xml:space="preserve"> =</t>
    </r>
  </si>
  <si>
    <t>%,perda</t>
  </si>
  <si>
    <r>
      <t>σ</t>
    </r>
    <r>
      <rPr>
        <sz val="10"/>
        <color theme="1"/>
        <rFont val="Aptos Narrow"/>
        <family val="2"/>
        <scheme val="minor"/>
      </rPr>
      <t>pinf=</t>
    </r>
  </si>
  <si>
    <t>Área de aço cordoalhas</t>
  </si>
  <si>
    <t>Comprimento de alongamento</t>
  </si>
  <si>
    <t>Altura do cabo representante superior.</t>
  </si>
  <si>
    <t>Altura do cabo representante inferior.</t>
  </si>
  <si>
    <r>
      <t>Δσ</t>
    </r>
    <r>
      <rPr>
        <sz val="10"/>
        <color theme="1"/>
        <rFont val="Aptos Narrow"/>
        <family val="2"/>
      </rPr>
      <t>ancoragem</t>
    </r>
  </si>
  <si>
    <t>Np =</t>
  </si>
  <si>
    <t>Mp =</t>
  </si>
  <si>
    <t>22 . Características do concreto</t>
  </si>
  <si>
    <t>Viga t,inf</t>
  </si>
  <si>
    <t xml:space="preserve">fck = </t>
  </si>
  <si>
    <t xml:space="preserve">αE = </t>
  </si>
  <si>
    <t xml:space="preserve">αi = </t>
  </si>
  <si>
    <t xml:space="preserve">Eci = </t>
  </si>
  <si>
    <t>Modulo de elasticidade inicial do concreto.</t>
  </si>
  <si>
    <t xml:space="preserve">Ecs = </t>
  </si>
  <si>
    <t>Modulo de elasticidade secante do concreto.</t>
  </si>
  <si>
    <t xml:space="preserve">fct,m = </t>
  </si>
  <si>
    <t>Resistencia media a tração.</t>
  </si>
  <si>
    <t>Viga t,1</t>
  </si>
  <si>
    <t xml:space="preserve">fck,j = </t>
  </si>
  <si>
    <t>Laje t,inf</t>
  </si>
  <si>
    <t>23 . Alongamento da cordoalha</t>
  </si>
  <si>
    <t>Armadura ativa mínima.</t>
  </si>
  <si>
    <t>Redução da protensão em casos favoráveis ou não.</t>
  </si>
  <si>
    <t>Força de protensão.</t>
  </si>
  <si>
    <t>Pré-Alongamento do aço</t>
  </si>
  <si>
    <t>Força do concreto a tração média.</t>
  </si>
  <si>
    <t>Normal de protensão.</t>
  </si>
  <si>
    <t>Momento de protensão.</t>
  </si>
  <si>
    <t>Momento resistente.</t>
  </si>
  <si>
    <t>Momento atuante.</t>
  </si>
  <si>
    <t>tensão de aderência média de transferência</t>
  </si>
  <si>
    <t>coeficiente ligado ao tipo de cordoalha / condição de aderência</t>
  </si>
  <si>
    <t>coeficiente ligado às condições do concreto na transferência</t>
  </si>
  <si>
    <t>lbpt,inf</t>
  </si>
  <si>
    <t>Ø,inf</t>
  </si>
  <si>
    <t>Ø,sup</t>
  </si>
  <si>
    <t>Comprimento de transferência da cordoalha superior.</t>
  </si>
  <si>
    <t>Comprimento de transferência da cordoalha inferior.</t>
  </si>
  <si>
    <t>coeficiente de desprotensão - Parcial ou gradual.</t>
  </si>
  <si>
    <t>α₂</t>
  </si>
  <si>
    <t>condições de aderência da armadura ativa (cordoalha) ao concreto.</t>
  </si>
  <si>
    <t>Cordoalha inferior.</t>
  </si>
  <si>
    <t>Cordoalha superior.</t>
  </si>
  <si>
    <t>Ângulo de inc. Da fissura</t>
  </si>
  <si>
    <t>º</t>
  </si>
  <si>
    <t>resistência de cálculo do concreto à tração direta.</t>
  </si>
  <si>
    <t>x23 =</t>
  </si>
  <si>
    <t>x24 =</t>
  </si>
  <si>
    <t>bx =</t>
  </si>
  <si>
    <t>(x/d)lim =</t>
  </si>
  <si>
    <t>x/d limite para seção sem armadura de compressão.</t>
  </si>
  <si>
    <t>2 - Não Circular</t>
  </si>
  <si>
    <t>Para verificação de cisalhamento em lajes menores que 25cm, utiliza-se o método antigo</t>
  </si>
  <si>
    <t>Ac =</t>
  </si>
  <si>
    <t>fck =</t>
  </si>
  <si>
    <t>d =</t>
  </si>
  <si>
    <t>p1 =</t>
  </si>
  <si>
    <t>k =</t>
  </si>
  <si>
    <t>fctd =</t>
  </si>
  <si>
    <t>2. SEM PREENCHIMENTO DE ALVÉOLOS</t>
  </si>
  <si>
    <t>3. COM PREENCHIMENTO DE ALVÉOLOS (PREENCHIDO EM FÁBRICA Ec/Ep =1)</t>
  </si>
  <si>
    <t>Vc,1 =</t>
  </si>
  <si>
    <t>σcp,1 =</t>
  </si>
  <si>
    <t>Vp,1 =</t>
  </si>
  <si>
    <t>nº Álveolos =</t>
  </si>
  <si>
    <t>∑bw,2 =</t>
  </si>
  <si>
    <t>p2 =</t>
  </si>
  <si>
    <t>Vc,2 =</t>
  </si>
  <si>
    <t>Ac,2 =</t>
  </si>
  <si>
    <t>σcp,2 =</t>
  </si>
  <si>
    <t>Vp,2 =</t>
  </si>
  <si>
    <t>Cisalhamento método antigo</t>
  </si>
  <si>
    <t>fcj =</t>
  </si>
  <si>
    <t>nº cordoalhas =</t>
  </si>
  <si>
    <t>ø cordoalha =</t>
  </si>
  <si>
    <t>Vk =</t>
  </si>
  <si>
    <t>Vd =</t>
  </si>
  <si>
    <t>m²</t>
  </si>
  <si>
    <t>Número de alvéolos.</t>
  </si>
  <si>
    <t>Largura do alvéolo.</t>
  </si>
  <si>
    <t>Área do alvéolo.</t>
  </si>
  <si>
    <t>Peso dos alvéolos.</t>
  </si>
  <si>
    <t>Largura de concreto da laje.</t>
  </si>
  <si>
    <t>Área de concreto com adição dos alvéolos.</t>
  </si>
  <si>
    <t>Tensão no concreto.</t>
  </si>
  <si>
    <t>Altura útil.</t>
  </si>
  <si>
    <t>Área de concreto.</t>
  </si>
  <si>
    <t>%</t>
  </si>
  <si>
    <t>Capacidade resistente do concreto a compressão.</t>
  </si>
  <si>
    <t>Capacidade resistente do concreto a compressão t=1.</t>
  </si>
  <si>
    <t>número de cordoalhas.</t>
  </si>
  <si>
    <t>Espessura da cordoalha.</t>
  </si>
  <si>
    <t>Área da cordoalha.</t>
  </si>
  <si>
    <t>Cortante característica.</t>
  </si>
  <si>
    <t>Cortante de cálculo.</t>
  </si>
  <si>
    <r>
      <t>h</t>
    </r>
    <r>
      <rPr>
        <sz val="10"/>
        <color theme="1"/>
        <rFont val="Calibri"/>
        <family val="2"/>
      </rPr>
      <t>cp</t>
    </r>
    <r>
      <rPr>
        <sz val="11"/>
        <color theme="1"/>
        <rFont val="Calibri"/>
        <family val="2"/>
      </rPr>
      <t xml:space="preserve"> =</t>
    </r>
  </si>
  <si>
    <r>
      <t>h</t>
    </r>
    <r>
      <rPr>
        <sz val="10"/>
        <color theme="1"/>
        <rFont val="Calibri"/>
        <family val="2"/>
      </rPr>
      <t>laje</t>
    </r>
    <r>
      <rPr>
        <sz val="11"/>
        <color theme="1"/>
        <rFont val="Calibri"/>
        <family val="2"/>
      </rPr>
      <t xml:space="preserve"> =</t>
    </r>
  </si>
  <si>
    <t>As cordoalha  =</t>
  </si>
  <si>
    <r>
      <t>∑bw</t>
    </r>
    <r>
      <rPr>
        <sz val="10"/>
        <color theme="1"/>
        <rFont val="Calibri"/>
        <family val="2"/>
      </rPr>
      <t>,ext</t>
    </r>
    <r>
      <rPr>
        <sz val="11"/>
        <color theme="1"/>
        <rFont val="Calibri"/>
        <family val="2"/>
      </rPr>
      <t xml:space="preserve"> =</t>
    </r>
  </si>
  <si>
    <r>
      <t>∑bw</t>
    </r>
    <r>
      <rPr>
        <sz val="10"/>
        <color theme="1"/>
        <rFont val="Calibri"/>
        <family val="2"/>
      </rPr>
      <t>,int</t>
    </r>
    <r>
      <rPr>
        <sz val="11"/>
        <color theme="1"/>
        <rFont val="Calibri"/>
        <family val="2"/>
      </rPr>
      <t xml:space="preserve"> =</t>
    </r>
  </si>
  <si>
    <r>
      <t>∑bw</t>
    </r>
    <r>
      <rPr>
        <sz val="10"/>
        <color theme="1"/>
        <rFont val="Calibri"/>
        <family val="2"/>
      </rPr>
      <t>,1</t>
    </r>
    <r>
      <rPr>
        <sz val="11"/>
        <color theme="1"/>
        <rFont val="Calibri"/>
        <family val="2"/>
      </rPr>
      <t xml:space="preserve"> =</t>
    </r>
  </si>
  <si>
    <r>
      <t>Vrd</t>
    </r>
    <r>
      <rPr>
        <b/>
        <sz val="10"/>
        <rFont val="Calibri"/>
        <family val="2"/>
      </rPr>
      <t>,fl</t>
    </r>
    <r>
      <rPr>
        <b/>
        <sz val="11"/>
        <rFont val="Calibri"/>
        <family val="2"/>
      </rPr>
      <t xml:space="preserve"> =</t>
    </r>
  </si>
  <si>
    <t>bw alvéolo =</t>
  </si>
  <si>
    <t>As alvéolo =</t>
  </si>
  <si>
    <r>
      <t>y</t>
    </r>
    <r>
      <rPr>
        <sz val="10"/>
        <color theme="1"/>
        <rFont val="Calibri"/>
        <family val="2"/>
      </rPr>
      <t>,alv</t>
    </r>
    <r>
      <rPr>
        <sz val="11"/>
        <color theme="1"/>
        <rFont val="Calibri"/>
        <family val="2"/>
      </rPr>
      <t xml:space="preserve"> =</t>
    </r>
  </si>
  <si>
    <r>
      <t>Vrd</t>
    </r>
    <r>
      <rPr>
        <b/>
        <sz val="10"/>
        <rFont val="Calibri"/>
        <family val="2"/>
      </rPr>
      <t>,fl (a1)</t>
    </r>
    <r>
      <rPr>
        <b/>
        <sz val="11"/>
        <rFont val="Calibri"/>
        <family val="2"/>
      </rPr>
      <t xml:space="preserve"> =</t>
    </r>
  </si>
  <si>
    <t>Alv. Preenchidos</t>
  </si>
  <si>
    <t>S =</t>
  </si>
  <si>
    <t>lpt2 =</t>
  </si>
  <si>
    <t>αpc =</t>
  </si>
  <si>
    <t>σcp =</t>
  </si>
  <si>
    <t>Modelo 1</t>
  </si>
  <si>
    <t xml:space="preserve"> Alvéolo circular</t>
  </si>
  <si>
    <t>βpc =</t>
  </si>
  <si>
    <t>hpc =</t>
  </si>
  <si>
    <t>Área dos alvéolos</t>
  </si>
  <si>
    <t>Ic =</t>
  </si>
  <si>
    <t>inercia</t>
  </si>
  <si>
    <t xml:space="preserve">a = </t>
  </si>
  <si>
    <t xml:space="preserve">Considerando perda de 20% </t>
  </si>
  <si>
    <t>σp,t=1</t>
  </si>
  <si>
    <t>por norma não se utiliza mais 0,85 fptk</t>
  </si>
  <si>
    <t>inercia alvéolos</t>
  </si>
  <si>
    <t>cm4</t>
  </si>
  <si>
    <t>Obs: A inércia copia a célula "i34" (inércia da peça escolhida) - Se a laje está escolhida como LA30, a inércia da LA25 estará com base na LA30 + alvéolos</t>
  </si>
  <si>
    <t>Obs: Os valores de A e Y estão dados como valores manuais</t>
  </si>
  <si>
    <t>n de alveolos</t>
  </si>
  <si>
    <t>Alv. 1</t>
  </si>
  <si>
    <t>Alv. 2</t>
  </si>
  <si>
    <t>Alv. 3</t>
  </si>
  <si>
    <t>Alv. 4</t>
  </si>
  <si>
    <t>Alv. 5</t>
  </si>
  <si>
    <t>Alv. 6</t>
  </si>
  <si>
    <t>Alv. 7</t>
  </si>
  <si>
    <t>Preencher alvéolos? (Qtd)</t>
  </si>
  <si>
    <t>Deformações t=1</t>
  </si>
  <si>
    <t>Deformações diferidas - t=inf</t>
  </si>
  <si>
    <t>Comprimento de alongamento SUP.</t>
  </si>
  <si>
    <t>Comprimento de alongamento INF.</t>
  </si>
  <si>
    <t>Obra:</t>
  </si>
  <si>
    <t>Nº da peça</t>
  </si>
  <si>
    <t>L =</t>
  </si>
  <si>
    <t>bw =</t>
  </si>
  <si>
    <t>h =</t>
  </si>
  <si>
    <t>h,capa =</t>
  </si>
  <si>
    <t>Alvenaria?</t>
  </si>
  <si>
    <t>Fck</t>
  </si>
  <si>
    <t>Sc =</t>
  </si>
  <si>
    <t>kg/m²</t>
  </si>
  <si>
    <t xml:space="preserve">G = </t>
  </si>
  <si>
    <t>Método de cálculo</t>
  </si>
  <si>
    <t>N1</t>
  </si>
  <si>
    <t>N2</t>
  </si>
  <si>
    <t>Alongamento =</t>
  </si>
  <si>
    <t>Tensão inicial =</t>
  </si>
  <si>
    <t>Detalhamento</t>
  </si>
  <si>
    <t>Modelo 2 - Alvéolo não circular - Verificação de ruptura por tração diagonal</t>
  </si>
  <si>
    <t>Vrd,dc</t>
  </si>
  <si>
    <t>fcd =</t>
  </si>
  <si>
    <t>d,tot =</t>
  </si>
  <si>
    <t>é a resistência de cálculo à compressão do concreto</t>
  </si>
  <si>
    <t>é a altura útil da seção transversal da laje alveolar</t>
  </si>
  <si>
    <t>somatório das nervuras (internas e externas) da laje alveolar e da parcela da seção com alvéolos preenchidos</t>
  </si>
  <si>
    <t>bw1 =</t>
  </si>
  <si>
    <t>bw2 =</t>
  </si>
  <si>
    <t>v =</t>
  </si>
  <si>
    <t>Sobrecargas adicionais</t>
  </si>
  <si>
    <t>Sup</t>
  </si>
  <si>
    <t>inf</t>
  </si>
  <si>
    <t>ATO</t>
  </si>
  <si>
    <t>Tensão ajustada</t>
  </si>
  <si>
    <t>Tensão reduzida pelo comprimento de transferência</t>
  </si>
  <si>
    <t>Tensão calculada</t>
  </si>
  <si>
    <t>Tensão</t>
  </si>
  <si>
    <t>Tensão na cordoalha reduzida pelo comprimento de transferência</t>
  </si>
  <si>
    <t>σpinf,t=1</t>
  </si>
  <si>
    <t>a,pi,sup</t>
  </si>
  <si>
    <t>ELS-F, MÁXIMO</t>
  </si>
  <si>
    <t>1 - Sim</t>
  </si>
  <si>
    <t>Distribuição de momentos</t>
  </si>
  <si>
    <t>Momento fletor</t>
  </si>
  <si>
    <r>
      <rPr>
        <b/>
        <sz val="11"/>
        <rFont val="Times New Roman"/>
        <family val="1"/>
      </rPr>
      <t>α</t>
    </r>
    <r>
      <rPr>
        <b/>
        <vertAlign val="subscript"/>
        <sz val="11"/>
        <rFont val="Aptos Narrow"/>
        <family val="2"/>
        <scheme val="minor"/>
      </rPr>
      <t>R, esquerdo</t>
    </r>
  </si>
  <si>
    <r>
      <rPr>
        <b/>
        <sz val="11"/>
        <rFont val="Times New Roman"/>
        <family val="1"/>
      </rPr>
      <t>α</t>
    </r>
    <r>
      <rPr>
        <b/>
        <vertAlign val="subscript"/>
        <sz val="11"/>
        <rFont val="Aptos Narrow"/>
        <family val="2"/>
        <scheme val="minor"/>
      </rPr>
      <t>R, direiro</t>
    </r>
  </si>
  <si>
    <t>Punção</t>
  </si>
  <si>
    <t>Distância da extremidade da laje ao ponto de aplicação da ação</t>
  </si>
  <si>
    <t>Carga aplicada</t>
  </si>
  <si>
    <t>Pré</t>
  </si>
  <si>
    <t>Alongamento</t>
  </si>
  <si>
    <t>Tensão corrijida =</t>
  </si>
  <si>
    <t>Bw1</t>
  </si>
  <si>
    <t>Bw2</t>
  </si>
  <si>
    <t>Bw3</t>
  </si>
  <si>
    <t>lx =</t>
  </si>
  <si>
    <t>Ca =</t>
  </si>
  <si>
    <t>γc =</t>
  </si>
  <si>
    <t>γf =</t>
  </si>
  <si>
    <t>fctd  =</t>
  </si>
  <si>
    <t>Nervuras =</t>
  </si>
  <si>
    <t>Bef =</t>
  </si>
  <si>
    <t>Seção =</t>
  </si>
  <si>
    <t>VRd =</t>
  </si>
  <si>
    <t>Vsd  =</t>
  </si>
  <si>
    <t>capa</t>
  </si>
  <si>
    <t xml:space="preserve">Momento fletor  </t>
  </si>
  <si>
    <t>Para a consideração dos momentos fletores negativos, no campo de carregamentos deve ser adotada apenas a sobrecarga de utilização, uma vez que os momentos negativos são avaliados exclusivamente para esta condição de carregamento.
Para a determinação do momento fletor positivo equivalente, a carga distribuída considerada deve ser obtida pela divisão do momento positivo por 1,25, conforme critério adotado no dimensionamento.
Ressalta-se que a consideração dos momentos negativos implica aumento dos esforços cortantes, devendo esta condição ser devidamente verificada nas análises e no dimensionamento dos elementos estruturais.</t>
  </si>
  <si>
    <t>Homogeneizar seção?</t>
  </si>
  <si>
    <t>Cortante</t>
  </si>
  <si>
    <t>Vrd</t>
  </si>
  <si>
    <t>2 . Homogeneização da seção - Cordoalhas</t>
  </si>
  <si>
    <t>I =</t>
  </si>
  <si>
    <r>
      <t>y'</t>
    </r>
    <r>
      <rPr>
        <sz val="10"/>
        <color theme="1"/>
        <rFont val="Aptos Narrow"/>
        <family val="2"/>
      </rPr>
      <t>.1</t>
    </r>
    <r>
      <rPr>
        <sz val="11"/>
        <color theme="1"/>
        <rFont val="Aptos Narrow"/>
        <family val="2"/>
      </rPr>
      <t xml:space="preserve"> =</t>
    </r>
  </si>
  <si>
    <r>
      <t>y'</t>
    </r>
    <r>
      <rPr>
        <sz val="10"/>
        <color theme="1"/>
        <rFont val="Aptos Narrow"/>
        <family val="2"/>
      </rPr>
      <t>.2</t>
    </r>
    <r>
      <rPr>
        <sz val="11"/>
        <color theme="1"/>
        <rFont val="Aptos Narrow"/>
        <family val="2"/>
      </rPr>
      <t xml:space="preserve"> =</t>
    </r>
  </si>
  <si>
    <t>Ach =</t>
  </si>
  <si>
    <t>α  =</t>
  </si>
  <si>
    <t>yhs =</t>
  </si>
  <si>
    <t>yhi =</t>
  </si>
  <si>
    <t>Dy =</t>
  </si>
  <si>
    <t>Ih =</t>
  </si>
  <si>
    <t>cm^4</t>
  </si>
  <si>
    <t>Wh</t>
  </si>
  <si>
    <t>Whs =</t>
  </si>
  <si>
    <t>cm³</t>
  </si>
  <si>
    <t>Whi =</t>
  </si>
  <si>
    <t>2 . Homogeneização da seção composta</t>
  </si>
  <si>
    <t>PERDAS DE PROTENSÃO POR SEÇÃO (S1 a S21)</t>
  </si>
  <si>
    <t>Esta aba refaz o cálculo da seção "Perdas de protensão" da aba Geometria (linhas 127 a 243), porém calculando cada grandeza em cada uma das 21 seções ao longo do vão (S1 a S21, espaçadas em L/20), em vez de um único valor obtido só com o momento do meio do vão. Mesmo método já usado na planilha de viga protendida ("Perdas por Seção"): a perda é recalculada seção a seção, usando o momento fletor de cada carga (M,g0...M,q0) na seção em vez de sempre no meio do vão.</t>
  </si>
  <si>
    <t>Todas as fórmulas de perda (deformação imediata do concreto, fluência, retração, relaxação) são as MESMAS já usadas na aba Geometria — apenas passaram a usar o momento fletor de cada carga calculado NA SEÇÃO em vez de sempre no meio do vão.</t>
  </si>
  <si>
    <t>Legenda: verde = valor importado de outra aba (constante, igual em toda a viga) | preto = fórmula calculada nesta aba (varia por seção) | resultado final a ser usado em verificações por seção: Np,tot/Mp,tot (item 7, estado final t=∞) e Np,ATO/Mp,ATO (estado logo após a transferência t=1).</t>
  </si>
  <si>
    <t>1. Estações ao longo do vão (S1...S21, L/20)</t>
  </si>
  <si>
    <t>Estação</t>
  </si>
  <si>
    <t>x (m)</t>
  </si>
  <si>
    <t>x (cm)</t>
  </si>
  <si>
    <t>2. Momentos fletores isolados por carga, em cada seção  [M(x) = w · x · (L - x) / 2]</t>
  </si>
  <si>
    <t>M,g0 (peso próprio)  (kN·m)</t>
  </si>
  <si>
    <t>M,g1 (peso alvéolo)  (kN·m)</t>
  </si>
  <si>
    <t>M,g2 (capa)  (kN·m)</t>
  </si>
  <si>
    <t>M,g3 (revestimento)  (kN·m)</t>
  </si>
  <si>
    <t>M,g4 (alvenaria)  (kN·m)</t>
  </si>
  <si>
    <t>M,q0 (acidental)  (kN·m)</t>
  </si>
  <si>
    <t>3. Dados constantes ao longo da viga (importados da aba Geometria)</t>
  </si>
  <si>
    <t>A,p inferior (cm²)</t>
  </si>
  <si>
    <t>A'p superior (cm²)</t>
  </si>
  <si>
    <t>e,p inferior (cm)</t>
  </si>
  <si>
    <t>e'p superior (cm)</t>
  </si>
  <si>
    <t>Ac — seção precast (cm²)</t>
  </si>
  <si>
    <t>Ic — seção precast (cm⁴)</t>
  </si>
  <si>
    <t>Ic,comp — seção composta (cm⁴)</t>
  </si>
  <si>
    <t>σpi — tensão inicial corrigida (kN/cm²)</t>
  </si>
  <si>
    <t>Δσ ancoragem (kN/cm²)</t>
  </si>
  <si>
    <t>Δσpr — relaxação inicial (kN/cm²)</t>
  </si>
  <si>
    <t>Np antes da perda imediata (kN)</t>
  </si>
  <si>
    <t>Mp antes da perda imediata (kN·m)</t>
  </si>
  <si>
    <t>σp = Ep/Eci</t>
  </si>
  <si>
    <t>Δσ retração do concreto (kN/cm²)</t>
  </si>
  <si>
    <t>Q = Ep/Ecs</t>
  </si>
  <si>
    <t>φ médio (Protensão / PP viga)</t>
  </si>
  <si>
    <t>φ médio (PP Laje)</t>
  </si>
  <si>
    <t>φ médio (Capa)</t>
  </si>
  <si>
    <t>φ médio (Alvenaria)</t>
  </si>
  <si>
    <t>φ médio (Revestimento)</t>
  </si>
  <si>
    <t>φ médio (Acidental)</t>
  </si>
  <si>
    <t>Xc = 1+0,5·φ(protensão)</t>
  </si>
  <si>
    <t>termo N,inf [1+(e,p)²·Ac/Ic]</t>
  </si>
  <si>
    <t>termo N,sup [1+(e'p)²·Ac/Ic]</t>
  </si>
  <si>
    <t>P,p = (Ap+A'p)/Ac</t>
  </si>
  <si>
    <t>termo geom. inf. [(I24-H144)/100]</t>
  </si>
  <si>
    <t>4. Perda por deformação imediata do concreto (elástica) — por seção  [replica Geometria!H179:H189]</t>
  </si>
  <si>
    <t>Δσcg,inf (kN/cm²)</t>
  </si>
  <si>
    <t>Δσcg,sup (kN/cm²)</t>
  </si>
  <si>
    <t>σp,inf, t=1 (kN/cm²)   [Geometria: I194]</t>
  </si>
  <si>
    <t>% perda inf., t=1 (informativo)</t>
  </si>
  <si>
    <t>% perda sup., t=1 (informativo)</t>
  </si>
  <si>
    <t>5. Perdas progressivas — fluência + retração + relaxação, interação NBR 6118 Anexo A — por seção  [replica Geometria!M166:L222, com correção Xp,inf/Xp,sup — ver nota 6 acima]</t>
  </si>
  <si>
    <t>Np, t=1 (kN)   [Geometria: M166]</t>
  </si>
  <si>
    <t>Mp, t=1 (kN·m)   [Geometria: M167]</t>
  </si>
  <si>
    <t>A  (inf.)</t>
  </si>
  <si>
    <t>B  (inf.)</t>
  </si>
  <si>
    <t>C  (inf.)</t>
  </si>
  <si>
    <t>D  (inf.)</t>
  </si>
  <si>
    <t>Δσp,c,inf — fluência (kN/cm²)</t>
  </si>
  <si>
    <t>A' (sup.)</t>
  </si>
  <si>
    <t>B' (sup.)</t>
  </si>
  <si>
    <t>C' (sup.)</t>
  </si>
  <si>
    <t>D' (sup.)</t>
  </si>
  <si>
    <t>Δσp,c,sup — fluência (kN/cm²)</t>
  </si>
  <si>
    <t>R,inf = σp,inf,t1 / 190</t>
  </si>
  <si>
    <t>R,sup = σp,sup,t1 / 190</t>
  </si>
  <si>
    <t>Ψ(inf,1) = 2,5·Ψ1000,inf(interp.)</t>
  </si>
  <si>
    <t>Ψ(sup,1) = 2,5·Ψ1000,sup(interp.)</t>
  </si>
  <si>
    <t>Xp,sup (=1+X(inf,1)sup)</t>
  </si>
  <si>
    <t>Δσpr,inf — relaxação final (kN/cm²)</t>
  </si>
  <si>
    <t>Δσpr,sup — relaxação final (kN/cm²)</t>
  </si>
  <si>
    <t>Δσp(∞,1)inf — perda progressiva total, borda inf. (kN/cm²)</t>
  </si>
  <si>
    <t>Δσp(∞,1)sup — perda progressiva total, borda sup. (kN/cm²)</t>
  </si>
  <si>
    <t>6. Tensão final nos cabos e perda total — por seção  [replica Geometria!J237:K238]</t>
  </si>
  <si>
    <t>σp,inf,∞ (kN/cm²)   [Geometria: J237]</t>
  </si>
  <si>
    <t>σp,sup,∞ (kN/cm²)   [Geometria: J238]</t>
  </si>
  <si>
    <t>% perda total — inferior   [Geometria: K237]</t>
  </si>
  <si>
    <t>7. RESULTADO FINAL — Força e momento de protensão por seção</t>
  </si>
  <si>
    <t>Np,tot (kN)   [estado final t=∞ — usar nas verificações ELS-F/ELS-D; Geometria: J242]</t>
  </si>
  <si>
    <t>Mp,tot (kN·m)   [idem, t=∞; Geometria: J243]</t>
  </si>
  <si>
    <t>Np,ATO (kN)   [estado logo após a transferência, t=1; Geometria: M166]</t>
  </si>
  <si>
    <t>Mp,ATO (kN·m)   [idem, t=1; Geometria: M167]</t>
  </si>
  <si>
    <t>8. Conferência — Seção 11 (meio do vão) vs. cálculo (único) da aba Geometria [diferença esperada na perda inferior — ver correção do Xp,inf/Xp,sup, nota 6 acima]</t>
  </si>
  <si>
    <t>Grandeza</t>
  </si>
  <si>
    <t>Nesta aba (S11)</t>
  </si>
  <si>
    <t>Aba Geometria (meio do vão)</t>
  </si>
  <si>
    <t>Diferença</t>
  </si>
  <si>
    <t>σp,sup,∞</t>
  </si>
  <si>
    <t>Np,ATO</t>
  </si>
  <si>
    <t>Mp,ATO</t>
  </si>
  <si>
    <t>ISOLAMENTO DE CABOS</t>
  </si>
  <si>
    <t>Mesmo princípio da aba "Isolamento de cabos" da sua planilha de viga protendida (Geometria, tabela de "Qtde. isolada / Comprimento" por camada, por volta da linha 1380): você informa quantas cordoalhas de uma camada ficam sem aderência (isoladas) perto do apoio, e até que distância. Aqui simplificado para as duas camadas que existem na Laje: a 1ª camada inferior (Geometria!J124, mais próxima da face tracionada) e a camada superior (Geometria!linha 131-137 — hoje sem nenhuma cordoalha nesse cabo, A'p=0).</t>
  </si>
  <si>
    <t>Com quantidade 0 e/ou comprimento 0 (padrão), o isolamento daquela zona fica inativo e nada muda na verificação ATO da aba Tensões.</t>
  </si>
  <si>
    <t>Afeta só o bloco ATO (t=1) da aba Tensões, e só nas estações fora do comprimento de transferência (onde a verificação já dá "OK", não "Reduzir") — o ELS-F continua sem isolamento. Obs.: na sua planilha de viga protendida, o cálculo equivalente a este (Geometria!L1413/L1415, L373/L374 etc. e esta aba) não está conectado à aba Tensões de lá — fica como referência isolada. Aqui eu fiz essa conexão de fato, para o isolamento mudar o resultado da verificação.</t>
  </si>
  <si>
    <t>1. Isolamento (entrada)</t>
  </si>
  <si>
    <t>Zona A — 1ª camada inferior: quantidade isolada (un.; máx. Geometria!$J$124)</t>
  </si>
  <si>
    <t>Zona A — comprimento isolado, a partir de cada apoio (m)</t>
  </si>
  <si>
    <t>Zona B — camada superior: quantidade isolada (un.; hoje o total dessa camada é 0, então esta entrada não tem efeito)</t>
  </si>
  <si>
    <t>Zona B — comprimento isolado, a partir de cada apoio (m)</t>
  </si>
  <si>
    <t>Status (as DUAS entradas de cada zona — quantidade E comprimento — precisam ser &gt;0 para a zona ficar ativa)</t>
  </si>
  <si>
    <t>2. Recálculo da perda elástica imediata considerando a Zona A isolada (exclui a quantidade isolada da 1ª camada inferior do cálculo de excentricidade)</t>
  </si>
  <si>
    <t>y,cg,repr inferior (excluindo a quantidade isolada da 1ª camada)</t>
  </si>
  <si>
    <t>e,p — Zona A (cm)</t>
  </si>
  <si>
    <t>A,p — área ativa Zona A (cm²)  [exclui a área da quantidade isolada da 1ª camada]</t>
  </si>
  <si>
    <t>Mp antes da perda imediata — Zona A (kN·m)</t>
  </si>
  <si>
    <t>σc,po+g,inf — Zona A (kN/m²)</t>
  </si>
  <si>
    <t>σc,po+g,sup — Zona A (kN/m²)</t>
  </si>
  <si>
    <t>Δσcg,inf — Zona A (kN/cm²)</t>
  </si>
  <si>
    <t>Δσcg,sup — Zona A (kN/cm²)</t>
  </si>
  <si>
    <t>σp,inf,t=1 — Zona A (kN/cm²)</t>
  </si>
  <si>
    <t>3. Força e momento de protensão reduzidos — Zona A, estado t=1 (ATO) — usar na aba Tensões</t>
  </si>
  <si>
    <t>Np,isol Zona A (kN)   [1ª camada inf. parcialmente isolada, superior normal]</t>
  </si>
  <si>
    <t>Mp,isol Zona A (kN·m)</t>
  </si>
  <si>
    <t>Zona B (camada superior isolada, inferior normal): como o total dessa camada é 0 hoje (A'p=0), isolar a Zona B não altera nenhuma tensão — a aba Tensões usa direto os valores por seção (não-isolados) da aba "Perdas por Seção" nesse caso, sem precisar de uma célula própria aqui.</t>
  </si>
  <si>
    <t>4. Perdas progressivas (fluência + retração + relaxação) — Zona A, estado final t=∞ (ELS-F) — usar na aba Tensões. Mesmo método da aba "Perdas por Seção" (linhas 65-94), com A,p/e,p/Np,t1/Mp,t1 da Zona A.</t>
  </si>
  <si>
    <t>A (inf.) — Zona A</t>
  </si>
  <si>
    <t>B (inf.) — Zona A</t>
  </si>
  <si>
    <t>C (inf.)  [não depende da área/excentricidade isolada — igual ao valor global]</t>
  </si>
  <si>
    <t>D (inf.)  [idem — igual ao valor global]</t>
  </si>
  <si>
    <t>Δσp,c,inf — fluência — Zona A (kN/cm²)</t>
  </si>
  <si>
    <t>A' (sup.) — Zona A</t>
  </si>
  <si>
    <t>B' (sup.)  [não depende — igual ao valor global]</t>
  </si>
  <si>
    <t>C' (sup.)  [idem — igual ao valor global]</t>
  </si>
  <si>
    <t>D' (sup.)  [idem — igual ao valor global]</t>
  </si>
  <si>
    <t>Δσp,c,sup — fluência — Zona A (kN/cm²)</t>
  </si>
  <si>
    <t>R,inf = σp,inf,t=1,ZonaA / 190</t>
  </si>
  <si>
    <t>R,sup = σp,sup,t=1,ZonaA / 190</t>
  </si>
  <si>
    <t>Ψ(inf,1) — Zona A = 2,5·Ψ1000,inf(interp.)</t>
  </si>
  <si>
    <t>Ψ(sup,1) — Zona A = 2,5·Ψ1000,sup(interp.)</t>
  </si>
  <si>
    <t>X(inf,1)inf — Zona A</t>
  </si>
  <si>
    <t>X(inf,1)sup — Zona A</t>
  </si>
  <si>
    <t>Xp,inf — Zona A (=1+X(inf,1)inf)</t>
  </si>
  <si>
    <t>Xp,sup — Zona A (=1+X(inf,1)sup)</t>
  </si>
  <si>
    <t>Δσpr,inf — relaxação final — Zona A (kN/cm²)</t>
  </si>
  <si>
    <t>Δσpr,sup — relaxação final — Zona A (kN/cm²)</t>
  </si>
  <si>
    <t>termo N,inf — Zona A  [1+(e,p,ZonaA)²·Ac/Ic]</t>
  </si>
  <si>
    <t>Pp — Zona A  [(Ap,ZonaA+A'p)/Ac]</t>
  </si>
  <si>
    <t>Δσp(∞,1)inf — perda progressiva total — Zona A (kN/cm²)  [usa Xp,inf no denominador — correção do Anexo A/NBR 6118, mesma já aplicada na aba "Perdas por Seção", nota 6]</t>
  </si>
  <si>
    <t>Δσp(∞,1)sup — perda progressiva total — Zona A (kN/cm²)</t>
  </si>
  <si>
    <t>5. Tensão final nos cabos e Força/Momento de protensão — Zona A, estado t=∞ (ELS-F) — usar na aba Tensões</t>
  </si>
  <si>
    <t>σp,inf,∞ — Zona A (kN/cm²)</t>
  </si>
  <si>
    <t>σp,sup,∞ — Zona A (kN/cm²)</t>
  </si>
  <si>
    <t>Np,isol,∞ Zona A (kN)   [usar na aba Tensões, bloco ELS-F]</t>
  </si>
  <si>
    <t>Mp,isol,∞ Zona A (kN·m)</t>
  </si>
  <si>
    <t>Verificação de Flexo-Cortante - VRd,fl (NBR 14861:2022 §7.4.2.8.1)</t>
  </si>
  <si>
    <t>a) Seção Pré-moldada isolada  (NBR 14861:2022 §7.4.2.8.1)</t>
  </si>
  <si>
    <t>Fck =</t>
  </si>
  <si>
    <t>kPa</t>
  </si>
  <si>
    <t>Resistência característica do concreto na data de transferência (fcj).</t>
  </si>
  <si>
    <t>m2</t>
  </si>
  <si>
    <t>Área bruta da seção transversal de concreto da laje alveolar.</t>
  </si>
  <si>
    <t>Ap,inf =</t>
  </si>
  <si>
    <t>cm2</t>
  </si>
  <si>
    <t>Área total da armadura ativa inferior (Ap,inf).</t>
  </si>
  <si>
    <t>Ap,sup =</t>
  </si>
  <si>
    <t>Área total da armadura ativa superior (Ap,sup).</t>
  </si>
  <si>
    <t>sigpi =</t>
  </si>
  <si>
    <t>kN_cm2</t>
  </si>
  <si>
    <t>Tensão na armadura de protensão após perdas imediatas.</t>
  </si>
  <si>
    <t>Sbw1 =</t>
  </si>
  <si>
    <t>Somatório das larguras das nervuras internas e externas da laje.</t>
  </si>
  <si>
    <t>Fator de altura útil. k = 1,6 - d ≥ 1,0  (d em metros)</t>
  </si>
  <si>
    <t>Np,t=1 =</t>
  </si>
  <si>
    <t>scp =</t>
  </si>
  <si>
    <t>As,p =</t>
  </si>
  <si>
    <t>ro1 =</t>
  </si>
  <si>
    <t>Taxa de armadura. ρ1 = As / (Σbw · d)</t>
  </si>
  <si>
    <t>Resistência do concreto. Vc,1 = 0,25·fctd·k·(1,2+40·ρ1)·Σbw·d  (kN)</t>
  </si>
  <si>
    <t>Resistência da protensão. Vp,1 = 0,15·σcp·Σbw·d  (kN)</t>
  </si>
  <si>
    <t>VRd,fl =</t>
  </si>
  <si>
    <t>VRd,fl = Vc,1 + Vp,1  (kN)</t>
  </si>
  <si>
    <t>Vsd,pre =</t>
  </si>
  <si>
    <t>Força cortante solicitante. Vsd = (g1·γg + g2·γq)·L/2</t>
  </si>
  <si>
    <t>Situacao</t>
  </si>
  <si>
    <t>Resistência característica do concreto aos 28 dias (fck).</t>
  </si>
  <si>
    <t>Força de protensão após todas as perdas (longo prazo).</t>
  </si>
  <si>
    <t>Vsd,tot =</t>
  </si>
  <si>
    <t>Força cortante total. Vsd = (ΣG·γg + Q·γq)·L/2</t>
  </si>
  <si>
    <t>n alvéolos preench. =</t>
  </si>
  <si>
    <t>Número de alvéolos preenchidos com concreto (entrada do usuário).</t>
  </si>
  <si>
    <t>AeAlv =</t>
  </si>
  <si>
    <t>Área da seção transversal do alvéolo.</t>
  </si>
  <si>
    <t>bAlv =</t>
  </si>
  <si>
    <t>Largura horizontal do alvéolo.</t>
  </si>
  <si>
    <t>Ac2 =</t>
  </si>
  <si>
    <t>Área composta. Ac,2 = Ac + n·Aalv  (m²)</t>
  </si>
  <si>
    <t>Sbw2 =</t>
  </si>
  <si>
    <t>Largura efetiva nervuras + alvéolos. Σbw,2 = Σbw,1 + 0,5·n·b,alv·(Ec/Ep)  (m)</t>
  </si>
  <si>
    <t>Resistência do concreto seção com alvéolos. Vc,2 = 0,25·fctd·k·(1,2+40·ρ1)·Σbw,2·d</t>
  </si>
  <si>
    <t>NBR 14861/2022</t>
  </si>
  <si>
    <t>Flexão</t>
  </si>
  <si>
    <r>
      <t>M</t>
    </r>
    <r>
      <rPr>
        <vertAlign val="subscript"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=</t>
    </r>
  </si>
  <si>
    <t>kN.m</t>
  </si>
  <si>
    <r>
      <rPr>
        <sz val="11"/>
        <color theme="1"/>
        <rFont val="Calibri"/>
        <family val="2"/>
      </rPr>
      <t>Ф</t>
    </r>
    <r>
      <rPr>
        <sz val="11"/>
        <color theme="1"/>
        <rFont val="Aptos Narrow"/>
        <family val="2"/>
        <scheme val="minor"/>
      </rPr>
      <t xml:space="preserve"> L =</t>
    </r>
  </si>
  <si>
    <t>Caracteristicas dos materiais</t>
  </si>
  <si>
    <t>Concreto - fck =</t>
  </si>
  <si>
    <t>FLEXÃO</t>
  </si>
  <si>
    <t>TABELA DE AÇOS</t>
  </si>
  <si>
    <t>Aço CA-50 - fyk =</t>
  </si>
  <si>
    <t>fyd =</t>
  </si>
  <si>
    <t>As Mim.</t>
  </si>
  <si>
    <t>TIPO</t>
  </si>
  <si>
    <t>Bitola</t>
  </si>
  <si>
    <t>Área (cm²)</t>
  </si>
  <si>
    <t>tempo (t)</t>
  </si>
  <si>
    <t>ϒc =</t>
  </si>
  <si>
    <t>ϒs =</t>
  </si>
  <si>
    <t>ϒf =</t>
  </si>
  <si>
    <t>Taxa</t>
  </si>
  <si>
    <t>CA-50</t>
  </si>
  <si>
    <r>
      <t xml:space="preserve">Coeficiente </t>
    </r>
    <r>
      <rPr>
        <sz val="11"/>
        <color theme="1"/>
        <rFont val="Times New Roman"/>
        <family val="1"/>
      </rPr>
      <t>ξ</t>
    </r>
  </si>
  <si>
    <t>Armadura -</t>
  </si>
  <si>
    <t>Superior</t>
  </si>
  <si>
    <t>psw,min</t>
  </si>
  <si>
    <t>-Seção</t>
  </si>
  <si>
    <t>b=</t>
  </si>
  <si>
    <t>c =</t>
  </si>
  <si>
    <t>d' =</t>
  </si>
  <si>
    <t>-E.L.U.</t>
  </si>
  <si>
    <t>Md =</t>
  </si>
  <si>
    <t>LAJE</t>
  </si>
  <si>
    <t>PESO/M²</t>
  </si>
  <si>
    <t>CAPA</t>
  </si>
  <si>
    <t>x =</t>
  </si>
  <si>
    <r>
      <t>k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</si>
  <si>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t>Dominio -</t>
  </si>
  <si>
    <r>
      <t xml:space="preserve">As </t>
    </r>
    <r>
      <rPr>
        <vertAlign val="subscript"/>
        <sz val="11"/>
        <color theme="1"/>
        <rFont val="Aptos Narrow"/>
        <family val="2"/>
        <scheme val="minor"/>
      </rPr>
      <t xml:space="preserve">c </t>
    </r>
    <r>
      <rPr>
        <sz val="11"/>
        <color theme="1"/>
        <rFont val="Aptos Narrow"/>
        <family val="2"/>
        <scheme val="minor"/>
      </rPr>
      <t>/s =</t>
    </r>
  </si>
  <si>
    <t>cm² /m</t>
  </si>
  <si>
    <t>x 23 =</t>
  </si>
  <si>
    <t>x 34 =</t>
  </si>
  <si>
    <r>
      <t xml:space="preserve">ρ </t>
    </r>
    <r>
      <rPr>
        <vertAlign val="subscript"/>
        <sz val="11"/>
        <color theme="1"/>
        <rFont val="Calibri"/>
        <family val="2"/>
      </rPr>
      <t>mim</t>
    </r>
    <r>
      <rPr>
        <sz val="11"/>
        <color theme="1"/>
        <rFont val="Calibri"/>
        <family val="2"/>
      </rPr>
      <t xml:space="preserve"> =</t>
    </r>
  </si>
  <si>
    <t>PEÇA=</t>
  </si>
  <si>
    <r>
      <t xml:space="preserve">As </t>
    </r>
    <r>
      <rPr>
        <sz val="11"/>
        <color theme="1"/>
        <rFont val="Aptos Narrow"/>
        <family val="2"/>
        <scheme val="minor"/>
      </rPr>
      <t>/s =</t>
    </r>
  </si>
  <si>
    <t xml:space="preserve">cm² /m </t>
  </si>
  <si>
    <t>NEGATIVO LADO ESQUERDO</t>
  </si>
  <si>
    <t>Incêndio</t>
  </si>
  <si>
    <t>Não</t>
  </si>
  <si>
    <t>Considerado armadura minima de 5cm²/m para incêndio</t>
  </si>
  <si>
    <t>Apoio esquerdo</t>
  </si>
  <si>
    <t>Condição de contorno no apoio esquerdo</t>
  </si>
  <si>
    <t>Apoio direito</t>
  </si>
  <si>
    <t>Condição de contorno no apoio direito</t>
  </si>
  <si>
    <t>Coeficiente de engastamento do apoio esquerdo</t>
  </si>
  <si>
    <t>Armadura esq.</t>
  </si>
  <si>
    <t>Armadura de continuidade para capa lado esquerdo</t>
  </si>
  <si>
    <t>Espaçamento esq.</t>
  </si>
  <si>
    <t>Espaçamento das armaduras negativas lado esquerdo</t>
  </si>
  <si>
    <t>Unidade</t>
  </si>
  <si>
    <t>Quantidade de armadura por metro</t>
  </si>
  <si>
    <t>Área armadura</t>
  </si>
  <si>
    <t>Área armadura por metro</t>
  </si>
  <si>
    <t>Coeficiente de engastamento do apoio direito</t>
  </si>
  <si>
    <t>Armadura dir.</t>
  </si>
  <si>
    <t>Armadura de continuidade para capa lado direito</t>
  </si>
  <si>
    <t>Espaçamento dir.</t>
  </si>
  <si>
    <t>Espaçamento das armaduras negativas lado direito</t>
  </si>
  <si>
    <t>Frequência</t>
  </si>
  <si>
    <t>daf</t>
  </si>
  <si>
    <r>
      <t>ψ</t>
    </r>
    <r>
      <rPr>
        <i/>
        <vertAlign val="subscript"/>
        <sz val="11"/>
        <color theme="1"/>
        <rFont val="Calibri"/>
        <family val="2"/>
      </rPr>
      <t>1</t>
    </r>
  </si>
  <si>
    <t>Minorador de cargas para análise de frequência com o pano carregado</t>
  </si>
  <si>
    <r>
      <t>fn</t>
    </r>
    <r>
      <rPr>
        <i/>
        <vertAlign val="subscript"/>
        <sz val="11"/>
        <color theme="1"/>
        <rFont val="Calibri"/>
        <family val="2"/>
      </rPr>
      <t>pré</t>
    </r>
  </si>
  <si>
    <t>Frequência da seção pré-fabricada</t>
  </si>
  <si>
    <r>
      <t>K</t>
    </r>
    <r>
      <rPr>
        <i/>
        <vertAlign val="subscript"/>
        <sz val="11"/>
        <color theme="1"/>
        <rFont val="Calibri"/>
        <family val="2"/>
      </rPr>
      <t>pré</t>
    </r>
  </si>
  <si>
    <t>Rigidez Estática Central, correlaciona uma força aplicada no centro com o deslocamento no mesmo ponto (k=f/u)^3. Considerando bi-apoiada</t>
  </si>
  <si>
    <r>
      <t>fn</t>
    </r>
    <r>
      <rPr>
        <i/>
        <vertAlign val="subscript"/>
        <sz val="11"/>
        <color theme="1"/>
        <rFont val="Calibri"/>
        <family val="2"/>
      </rPr>
      <t>comp</t>
    </r>
  </si>
  <si>
    <t>Frequência da seção composta</t>
  </si>
  <si>
    <r>
      <t>K</t>
    </r>
    <r>
      <rPr>
        <i/>
        <vertAlign val="subscript"/>
        <sz val="11"/>
        <color theme="1"/>
        <rFont val="Calibri"/>
        <family val="2"/>
      </rPr>
      <t>comp</t>
    </r>
  </si>
  <si>
    <r>
      <t>fn</t>
    </r>
    <r>
      <rPr>
        <i/>
        <vertAlign val="subscript"/>
        <sz val="11"/>
        <color theme="1"/>
        <rFont val="Calibri"/>
        <family val="2"/>
      </rPr>
      <t>comp+cargas</t>
    </r>
  </si>
  <si>
    <t>1.1</t>
  </si>
  <si>
    <t>SEÇÃO PRÉ-FABRICADA</t>
  </si>
  <si>
    <r>
      <t>h</t>
    </r>
    <r>
      <rPr>
        <i/>
        <vertAlign val="subscript"/>
        <sz val="11"/>
        <color theme="1"/>
        <rFont val="Calibri"/>
        <family val="2"/>
      </rPr>
      <t>pré</t>
    </r>
  </si>
  <si>
    <t>*Altura da laje</t>
  </si>
  <si>
    <r>
      <t>h</t>
    </r>
    <r>
      <rPr>
        <i/>
        <vertAlign val="subscript"/>
        <sz val="11"/>
        <color theme="1"/>
        <rFont val="Calibri"/>
        <family val="2"/>
      </rPr>
      <t>capa</t>
    </r>
  </si>
  <si>
    <t>*Altura da capa</t>
  </si>
  <si>
    <r>
      <t>b</t>
    </r>
    <r>
      <rPr>
        <i/>
        <vertAlign val="subscript"/>
        <sz val="11"/>
        <color theme="1"/>
        <rFont val="Calibri"/>
        <family val="2"/>
      </rPr>
      <t>f</t>
    </r>
  </si>
  <si>
    <t>*Largura da laje</t>
  </si>
  <si>
    <r>
      <t>f</t>
    </r>
    <r>
      <rPr>
        <i/>
        <vertAlign val="subscript"/>
        <sz val="11"/>
        <color theme="1"/>
        <rFont val="Calibri"/>
        <family val="2"/>
      </rPr>
      <t>ck</t>
    </r>
  </si>
  <si>
    <t>*Fck da laje</t>
  </si>
  <si>
    <t>ecs</t>
  </si>
  <si>
    <r>
      <t>A</t>
    </r>
    <r>
      <rPr>
        <vertAlign val="subscript"/>
        <sz val="11"/>
        <color theme="1"/>
        <rFont val="Calibri"/>
        <family val="2"/>
      </rPr>
      <t>c,pré</t>
    </r>
  </si>
  <si>
    <t>*Área da laje</t>
  </si>
  <si>
    <t>I</t>
  </si>
  <si>
    <t>M^4</t>
  </si>
  <si>
    <t>*Inércia da laje</t>
  </si>
  <si>
    <t>Peso</t>
  </si>
  <si>
    <t>Kg/m</t>
  </si>
  <si>
    <t>*Peso de seção pré</t>
  </si>
  <si>
    <t>1.3</t>
  </si>
  <si>
    <t>SEÇÃO COMPOSTA</t>
  </si>
  <si>
    <r>
      <t>h</t>
    </r>
    <r>
      <rPr>
        <i/>
        <vertAlign val="subscript"/>
        <sz val="11"/>
        <color theme="1"/>
        <rFont val="Calibri"/>
        <family val="2"/>
      </rPr>
      <t>comp</t>
    </r>
  </si>
  <si>
    <t>*Altura da seção composta</t>
  </si>
  <si>
    <t>L</t>
  </si>
  <si>
    <t>*Comprimento da laje</t>
  </si>
  <si>
    <r>
      <t>b</t>
    </r>
    <r>
      <rPr>
        <i/>
        <vertAlign val="subscript"/>
        <sz val="11"/>
        <color theme="1"/>
        <rFont val="Calibri"/>
        <family val="2"/>
      </rPr>
      <t>sup</t>
    </r>
  </si>
  <si>
    <t>*Largura de seção composta</t>
  </si>
  <si>
    <r>
      <t>A</t>
    </r>
    <r>
      <rPr>
        <i/>
        <vertAlign val="subscript"/>
        <sz val="11"/>
        <color theme="1"/>
        <rFont val="Calibri"/>
        <family val="2"/>
      </rPr>
      <t>c,comp</t>
    </r>
  </si>
  <si>
    <t>2.1</t>
  </si>
  <si>
    <t>RIGIDEZ DO ELEMENTO ISOLADO PRÉ-FABRICADO</t>
  </si>
  <si>
    <t>fn</t>
  </si>
  <si>
    <t>Hz</t>
  </si>
  <si>
    <t>Ei</t>
  </si>
  <si>
    <t>kN.m²</t>
  </si>
  <si>
    <t>*Módulo de elasticidade pelo momento de inércia</t>
  </si>
  <si>
    <t>K</t>
  </si>
  <si>
    <t>K modal</t>
  </si>
  <si>
    <t>N/m</t>
  </si>
  <si>
    <t>*Rigidez utilizada em modelos dinâmicos de um grau de liberdade para representar o primeiro modo de vibração</t>
  </si>
  <si>
    <t>2.2</t>
  </si>
  <si>
    <t>RIGIDEZ DO ELEMENTO ISOLADO NO PANO</t>
  </si>
  <si>
    <t>K limite</t>
  </si>
  <si>
    <t>Situação:</t>
  </si>
  <si>
    <t>2.3</t>
  </si>
  <si>
    <t>RIGIDEZ TOTAL DO PANO</t>
  </si>
  <si>
    <t>Largura do Pano:</t>
  </si>
  <si>
    <t>*Largura do pano de laje</t>
  </si>
  <si>
    <t>Quantidade Laje:</t>
  </si>
  <si>
    <t>unidade</t>
  </si>
  <si>
    <t>*Quantidade de laje no pano</t>
  </si>
  <si>
    <t>*Obs: Por mais que o conjunto atende à limitação de rigidez, ficando acima do valor mínimo obrigatório. É importante notar que, embora a rigidez aumente, a frequência natural não mudaria significantemente em relação ao elemento isolado, pois a massa também aumenta na mesma proporção.</t>
  </si>
  <si>
    <t>3.</t>
  </si>
  <si>
    <t>CONSIDERAÇÃO DE CARGAS</t>
  </si>
  <si>
    <r>
      <t>g</t>
    </r>
    <r>
      <rPr>
        <i/>
        <vertAlign val="subscript"/>
        <sz val="11"/>
        <color theme="1"/>
        <rFont val="Calibri"/>
        <family val="2"/>
      </rPr>
      <t>5</t>
    </r>
  </si>
  <si>
    <t>*Sobrecarga permanente</t>
  </si>
  <si>
    <r>
      <t>q</t>
    </r>
    <r>
      <rPr>
        <i/>
        <vertAlign val="subscript"/>
        <sz val="11"/>
        <color theme="1"/>
        <rFont val="Calibri"/>
        <family val="2"/>
      </rPr>
      <t>1</t>
    </r>
  </si>
  <si>
    <t>*Sobrecarga acidental</t>
  </si>
  <si>
    <t>*Fator de redução para ações variáveis</t>
  </si>
  <si>
    <t>*Frequência do pano com todas as cargas</t>
  </si>
  <si>
    <t>4.</t>
  </si>
  <si>
    <t>GRÁFICO COMPARATIVO DE FREQUÊNCIAS</t>
  </si>
  <si>
    <t>Verificação</t>
  </si>
  <si>
    <t>fn (Hz)</t>
  </si>
  <si>
    <t>2.1 Elemento isolado pré-fab.</t>
  </si>
  <si>
    <t>2.2 Elemento isolado no pano</t>
  </si>
  <si>
    <t>5.</t>
  </si>
  <si>
    <t>SENSIBILIDADE DA FREQUÊNCIA NATURAL AO VÃO (L)</t>
  </si>
  <si>
    <t>5.1  Elemento isolado pré-fabricado (item 2.1)</t>
  </si>
  <si>
    <t>L (cm)</t>
  </si>
  <si>
    <t>L (m)</t>
  </si>
  <si>
    <t>5.2  Elemento isolado no pano (item 2.2)</t>
  </si>
  <si>
    <t>5.3  Painel com todas as cargas (item 3)</t>
  </si>
  <si>
    <t>6.</t>
  </si>
  <si>
    <t>ONDA SENOIDAL CONTÍNUA DAS FREQUÊNCIAS NATURAIS</t>
  </si>
  <si>
    <t>*y = sen(2*PI()*fn*t), amplitude unitária, 3 ciclos completos, 40 pontos por ciclo — ligado à fn calculada</t>
  </si>
  <si>
    <t>6.1  Elemento isolado pré-fabricado — fn = $C$23 (item 2.1)</t>
  </si>
  <si>
    <t>i</t>
  </si>
  <si>
    <t>t (s)</t>
  </si>
  <si>
    <t>6.2  Elemento isolado no pano — fn = $C$29 (item 2.2)</t>
  </si>
  <si>
    <t>6.3  Painel com todas as cargas — fn = $C$50 (item 3)</t>
  </si>
  <si>
    <t>bw composta</t>
  </si>
  <si>
    <t>M,eng</t>
  </si>
  <si>
    <t>Momento de engastamento perfeito da borda</t>
  </si>
  <si>
    <t>M,eq</t>
  </si>
  <si>
    <t>Carga distribuida equivalente</t>
  </si>
  <si>
    <t>Área de aço para momento de engastamento perfeito.</t>
  </si>
  <si>
    <t>Qtde</t>
  </si>
  <si>
    <t>Led</t>
  </si>
  <si>
    <t>r,sec</t>
  </si>
  <si>
    <t>k</t>
  </si>
  <si>
    <t>As,ef</t>
  </si>
  <si>
    <t>Es</t>
  </si>
  <si>
    <t xml:space="preserve">GPa </t>
  </si>
  <si>
    <t>a,r</t>
  </si>
  <si>
    <t>NLF</t>
  </si>
  <si>
    <t>y,p</t>
  </si>
  <si>
    <t>Coeficiente de engastamento parcial.</t>
  </si>
  <si>
    <t>Área de aço efetivo.</t>
  </si>
  <si>
    <t>Quantidade de barras para momento de engastamento perfeito.</t>
  </si>
  <si>
    <t>Armadura de continuidade para capa.</t>
  </si>
  <si>
    <t>Módulo de elasticidade do aço.</t>
  </si>
  <si>
    <t>Não linearidade física laje alveolar.</t>
  </si>
  <si>
    <t>Alfa r para momento de engastamento perfeito</t>
  </si>
  <si>
    <t>a,r,nec</t>
  </si>
  <si>
    <t xml:space="preserve">Alfa r necessário para 85% de engastamento </t>
  </si>
  <si>
    <t>2.2b</t>
  </si>
  <si>
    <t>ENGASTAMENTO SEMIRRÍGIDO NAS DUAS BORDAS (MODELO MODAL EXATO)</t>
  </si>
  <si>
    <t>αr, esquerdo</t>
  </si>
  <si>
    <t>αr, direito</t>
  </si>
  <si>
    <t>K1</t>
  </si>
  <si>
    <t>*Rigidez rotacional adimensional do apoio esquerdo = 3αr,esq/(1-αr,esq)</t>
  </si>
  <si>
    <t>K2</t>
  </si>
  <si>
    <t>*Rigidez rotacional adimensional do apoio direito = 3αr,dir/(1-αr,dir)</t>
  </si>
  <si>
    <t>u (raiz)</t>
  </si>
  <si>
    <t>g(u)</t>
  </si>
  <si>
    <t>*Erro da equação característica no valor atual de u (deve tender a zero na convergência)</t>
  </si>
  <si>
    <t>Δ (Hi-Lo)</t>
  </si>
  <si>
    <t>R</t>
  </si>
  <si>
    <t>-</t>
  </si>
  <si>
    <t>Lo</t>
  </si>
  <si>
    <t>Hi</t>
  </si>
  <si>
    <t>Mid</t>
  </si>
  <si>
    <t>g(Mid)</t>
  </si>
  <si>
    <r>
      <t>A</t>
    </r>
    <r>
      <rPr>
        <vertAlign val="subscript"/>
        <sz val="11"/>
        <color theme="1"/>
        <rFont val="Calibri"/>
        <family val="2"/>
      </rPr>
      <t>capa</t>
    </r>
  </si>
  <si>
    <t>fck médio</t>
  </si>
  <si>
    <t>Bisseção determinística</t>
  </si>
  <si>
    <t xml:space="preserve">*Raiz da equação característica = ponto médio final da bisseção determinística de 20 passos </t>
  </si>
  <si>
    <t>6.</t>
  </si>
  <si>
    <t>Uso</t>
  </si>
  <si>
    <t>fn mín. (Hz)</t>
  </si>
  <si>
    <t>Observação</t>
  </si>
  <si>
    <t>Residencial</t>
  </si>
  <si>
    <t>Escritório / sala de aula</t>
  </si>
  <si>
    <t>3,6 a 4,8</t>
  </si>
  <si>
    <t>1,2×fcrit (fcrit=3-4 Hz)</t>
  </si>
  <si>
    <t>Comercial (loja / shopping)</t>
  </si>
  <si>
    <t>Passarela / grande público</t>
  </si>
  <si>
    <t>4,8 a 6,0</t>
  </si>
  <si>
    <t>1,2×fcrit (fcrit=4-5 Hz)</t>
  </si>
  <si>
    <t>Quadra / ginásio / salão de dança</t>
  </si>
  <si>
    <t>Quadra - atividade muito repetitiva (ex. ginástica aeróbica)</t>
  </si>
  <si>
    <t>1. ABNT NBR 6118 - Projeto de estruturas de concreto - Item 23.3 e Tabela 23.1 (Frequência crítica para vibrações verticais pela ação de pessoas)</t>
  </si>
  <si>
    <t>2. Anais do 60º Congresso Brasileiro do Concreto (CBC2018), IBRACON - Frequência crítica para atividades rítmicas em ginásios, salões de dança e estádios</t>
  </si>
  <si>
    <t>3. Murray, T.M.; Allen, D.E.; Ungar, E.E.; Davis, D.B. - AISC Design Guide 11: Vibrations of Steel-Framed Structural Systems Due to Human Activity, 2nd Ed., 2016</t>
  </si>
  <si>
    <t>4. Murray, T.M.; Ungar, E.E.; Davis, D.B. - AISC Facts for Steel Buildings 5: Vibration, 2018</t>
  </si>
  <si>
    <t>1,2×fcrit (fcrit≈2 Hz)</t>
  </si>
  <si>
    <t>REFERÊNCIAS</t>
  </si>
  <si>
    <t>REFERÊNCIA - FREQUÊNCIAS MÍNIMAS RECOMENDADAS POR USO</t>
  </si>
  <si>
    <t>1,2×fcrit (fcrit=8 Hz)</t>
  </si>
  <si>
    <t>Mínimo para atividade rítmica - 1,2×fcrit (fcrit=6 Hz)</t>
  </si>
  <si>
    <t>Equivalente a escritório/grande público - 1,2×fcrit (fcrit=4,8 Hz)</t>
  </si>
  <si>
    <t>*Amplitude final do intervalo de busca (Hi-Lo, passo 20)</t>
  </si>
  <si>
    <t>5. Blevins, R.D. — Formulas for Natural Frequency and Mode Shape (Krieger Publishing, 1979/2001) - Deduções de 3,14 e 4,73</t>
  </si>
  <si>
    <t>φ(ξ)=C1​cos(uξ)+C2​sin(uξ)+C3​cosh(uξ)+C4​sinh(uξ) 
(ξ=x/L\xi = x/L ξ=x/L, vai de 0 a 1)</t>
  </si>
  <si>
    <t xml:space="preserve">
(ξ=x/L\xi = x/L ξ=x/L, vai de 0 a 1)</t>
  </si>
  <si>
    <t>Fórmula geral</t>
  </si>
  <si>
    <t>Valor de K1</t>
  </si>
  <si>
    <t>K1 = 0</t>
  </si>
  <si>
    <t>Biapoiada — gira livre, sem resistência</t>
  </si>
  <si>
    <t>K1 → ∞</t>
  </si>
  <si>
    <t>Engastada — travada, não gira</t>
  </si>
  <si>
    <t>0 &lt; K1 &lt; ∞</t>
  </si>
  <si>
    <t>fica no meio-termo</t>
  </si>
  <si>
    <t>Semirrígida — é o seu caso real</t>
  </si>
  <si>
    <t>φ(ξ)=C1​cos(uξ)+C2​sin(uξ)+C3​cosh(uξ)+C4​sinh(uξ)</t>
  </si>
  <si>
    <t>φ(0)=C1​+C3​=0⇒C3​=−C1​</t>
  </si>
  <si>
    <t>ξ (csi) é a posição ao longo da viga, normalizada de 0 a 1. ξ=0 é a ponta esquerda da viga. ξ=1 é a ponta direita. Qualquer valor no meio (ξ=0,5, por exemplo) é um ponto no meio do vão.</t>
  </si>
  <si>
    <t>φ(0)=C1​cos(0)+C2​sin(0)+C3​cosh(0)+C4​sinh(0)</t>
  </si>
  <si>
    <t>φ(0)=C1​(1)+C2​(0)+C3​(1)+C4​(0)=C1​+C3​</t>
  </si>
  <si>
    <t>φ(0)</t>
  </si>
  <si>
    <t>condição "não desloca"</t>
  </si>
  <si>
    <t>φ(0) = 0</t>
  </si>
  <si>
    <t>φ'(0)</t>
  </si>
  <si>
    <t>mede a rotação da borda</t>
  </si>
  <si>
    <t>lado direito da condição da mola</t>
  </si>
  <si>
    <t>φ''(0)</t>
  </si>
  <si>
    <t>mede o momento fletor na borda</t>
  </si>
  <si>
    <t>lado esquerdo da condição da mola</t>
  </si>
  <si>
    <t xml:space="preserve"> φ''(0) = K1·φ'(0) </t>
  </si>
  <si>
    <t xml:space="preserve">Significado </t>
  </si>
  <si>
    <t>Pra derivar, primeiro deriva a fórmula geral (isso não depende de ξ ainda, é regra de derivação: derivada de cos vira -sen, de sen vira cos, de cosh vira senh, de senh vira cosh, cada uma multiplicada por u por causa da regra da cadeia):</t>
  </si>
  <si>
    <t>φ′(ξ)=u[−C1​sin(uξ)+C2​cos(uξ)+C3​sinh(uξ)+C4​cosh(uξ)]</t>
  </si>
  <si>
    <t>φ′(0)=u[−C1​(0)+C2​(1)+C3​(0)+C4​(1)]=u(C2​+C4​)</t>
  </si>
  <si>
    <t>Só depois de derivar substitui ξ=0 de novo, usando a mesma tabela:</t>
  </si>
  <si>
    <t>φ′′(0)=u2[−C1​(1)−C2​(0)+C3​(1)+C4​(0)]=u2(−C1​+C3​)</t>
  </si>
  <si>
    <t>C1​=(−K1​(C2​+C4​)​)/2u</t>
  </si>
  <si>
    <t>C3​=(K1​(C2​+C4​)​)/2u</t>
  </si>
  <si>
    <t>φ(ξ) = (-K1*(C2+C4)/(2*u))*cos(u*ξ) + C2*sin(u*ξ) + (K1*(C2+C4)/(2*u))*cosh(u*ξ) + C4*sinh(u*ξ)</t>
  </si>
  <si>
    <t>(K1*(C2+C4)/(2*u))*(COSH(u)-COS(u)) + C2*SIN(u) + C4*SINH(u)</t>
  </si>
  <si>
    <t>Eq. A</t>
  </si>
  <si>
    <t>Eq. B</t>
  </si>
  <si>
    <t>(K1*(C2+C4)/2)*(K2*(SIN(u)+SINH(u)) + u*(COS(u)+COSH(u))) + u^2*(C4*SINH(u) - C2*SIN(u)) + u*K2*(C2*COS(u) + C4*COSH(u))</t>
  </si>
  <si>
    <t>2*u^2*SIN(u)*SINH(u) + u*(K1+K2)*(SIN(u)*COSH(u)-COS(u)*SINH(u)) - K1*K2*(COS(u)*COSH(u)-1)</t>
  </si>
  <si>
    <t>𝜑′′=𝐾⋅𝜑′</t>
  </si>
  <si>
    <t>A equação de vibração da laje alveolar com apoios semirrígidos (g(u), dependente dos coeficientes K1 e K2) não corresponde a um caso clássico tabelado na literatura técnica. Os livros de referência em dinâmica de estruturas apresentam formulações fechadas para os casos extremos — viga biapoiada, viga engastada nas duas extremidades, viga engastada-apoiada e viga em balanço —, mas não contemplam diretamente o caso intermediário, no qual as bordas possuem restrição rotacional parcial, situação que representa fisicamente o apoio real da laje sobre elementos com armadura negativa. Diante da necessidade de utilizar essa equação em cálculos de projeto, tornou-se necessário verificar sua correção matemática antes de sua aplicação prática.
A verificação foi realizada por meio de dedução simbólica, utilizando a biblioteca de álgebra computacional sympy (linguagem Python), em substituição à resolução manual, de modo a reduzir a possibilidade de erro algébrico ao longo do desenvolvimento. O processo partiu da equação diferencial governante da vibração livre de vigas de Euler-Bernoulli, à qual foram aplicadas as condições de contorno correspondentes a um apoio com restrição rotacional elástica em cada extremidade, representadas pela relação --------------------------------------------------------------------&gt;
 — em que o momento fletor na borda é proporcional à rotação, sendo K o coeficiente de rigidez rotacional adimensional daquele apoio. Essa formulação tende ao caso biapoiado quando K se aproxima de zero (ausência de restrição) e ao caso engastado quando K tende ao infinito (rotação nula).
A partir da aplicação dessas condições nas duas extremidades da viga, obteve-se um sistema de equações lineares homogêneo. A exigência de solução não trivial para esse sistema — condição necessária para que exista vibração livre real — foi imposta por meio da anulação do determinante da matriz de coeficientes, procedimento padrão na resolução de problemas de autovalor em vibrações mecânicas.
A confirmação final da correção da fórmula foi obtida por meio da verificação de seus dois casos-limite conhecidos: quando os coeficientes de rigidez rotacional tendem a zero, a equação se reduz à condição de viga biapoiada, cuja primeira raiz corresponde a u=π; quando tendem ao infinito, a equação se reduz à condição de viga engastada nas duas extremidades, cuja primeira raiz corresponde a u≈4,730. Ambos os valores constituem resultados clássicos e amplamente documentados na literatura de dinâmica de estruturas e vibrações mecânicas, estando presentes em obras de referência consolidadas na engenharia estrutural, como Formulas for Natural Frequency and Mode Shape (Blevins) e Roark's Formulas for Stress and Strain (Young; Budynas), que reúnem soluções fechadas para autovalores de vibração de vigas segundo diferentes condições de contorno.</t>
  </si>
  <si>
    <t>𝜑′′=K⋅𝜑′</t>
  </si>
  <si>
    <t>𝜑'(0) = 0 (rotação zero) - condição de mola</t>
  </si>
  <si>
    <t>𝜑''(0) = 0 (momento zero - n desloca)</t>
  </si>
  <si>
    <t>a11 = (u*SIN(u) - (K1/2)*(COS(u)-COSH(u))) / u</t>
  </si>
  <si>
    <t>a12 = (u*SINH(u) - (K1/2)*(COS(u)-COSH(u))) / u</t>
  </si>
  <si>
    <t>a21 = (K2/2)*(K1*(SIN(u)+SINH(u))+2*u*COS(u)) + (u/2)*(K1*(COS(u)+COSH(u))-2*u*SIN(u))</t>
  </si>
  <si>
    <t>a22 = (K2/2)*(K1*(SIN(u)+SINH(u))+2*u*COSH(u)) + (u/2)*(K1*(COS(u)+COSH(u))+2*u*SINH(u))</t>
  </si>
  <si>
    <t>( a11  - - - - - --  a12 )</t>
  </si>
  <si>
    <t>( a21  - - - - - --  a22 )</t>
  </si>
  <si>
    <r>
      <t xml:space="preserve">m </t>
    </r>
    <r>
      <rPr>
        <sz val="9"/>
        <color theme="1"/>
        <rFont val="Aptos Narrow"/>
        <family val="2"/>
        <scheme val="minor"/>
      </rPr>
      <t>(matriz)</t>
    </r>
    <r>
      <rPr>
        <sz val="11"/>
        <color theme="1"/>
        <rFont val="Aptos Narrow"/>
        <family val="2"/>
        <scheme val="minor"/>
      </rPr>
      <t xml:space="preserve"> = </t>
    </r>
  </si>
  <si>
    <t>g(u) = a11*a22 - a12*a21</t>
  </si>
  <si>
    <t>----------------------------------------------------------------------------------------------------</t>
  </si>
  <si>
    <t>a11​,a12​ (vêm da Eq. A) e a21,a22a(vêm da Eq. B)</t>
  </si>
  <si>
    <t>O método foi utilizado porque a equação da laje vibrando (EIφ''''=ω²ρAφ) é uma equação diferencial linear com coeficientes constantes (E, I, ρ, A não mudam ao longo da laje) — e pra toda equação desse tipo, existe sempre uma solução exponencial, o que garante que substituir 
φ=eλx
 funciona e captura todas as soluções possíveis.</t>
  </si>
  <si>
    <t>Existe um teorema (parte fundamental de Equações Diferenciais Lineares) que garante: toda equação diferencial linear de coeficientes constantes tem solução geral formada só por exponenciais (puras, ou multiplicadas por seno/cosseno quando a raiz é complexa, ou por potências de x quando a raiz se repete). Não é uma técnica que "às vezes funciona" — pra esse tipo específico de equação, é garantido que funciona e que captura toda a família de soluções possíveis, não deixa nenhuma solução escapando de fora.</t>
  </si>
  <si>
    <t>A equação é de 4ª ordem (φ'''') — isso significa que a solução geral precisa ter exatamente 4 constantes livres (C1, C2, C3, C4) pra estar completa. O método de eλxe^{\lambda x} eλx deu 4 raízes diferentes de λ (β, -β, iβ, -iβ) → 4 termos exponenciais → 4 constantes. Bateu exatamente com o que a equação de 4ª ordem exige. Se tivesse dado menos de 4 termos independentes, saberíamos que faltou alguma coisa — mas deu certinho, confirmando que a solução está completa, sem nenhum modo de vibração "escondido" fora dela.</t>
  </si>
  <si>
    <t>φ′′′′−β^4φ=0</t>
  </si>
  <si>
    <t>φ'''' aparece sozinha, φ aparece sozinha — nenhuma multiplicada por si mesma ou por outra derivada. Isso é o que garante uma propriedade chamada princípio da superposição: se φ1 e φ2 são soluções, então C1φ1+C2φ2 também é solução, pra qualquer C1,C2. É essa propriedade que permite somar os 4 termos (cos, sen, cosh, senh) no final e ainda ter uma solução válida — numa equação não-linear isso não funcionaria, a soma de duas soluções não seria automaticamente outra solução.</t>
  </si>
  <si>
    <t>Coeficientes constantes significa que E, I, ρ, A não variam ao longo de x (a laje é uniforme, mesma seção do início ao fim). Isso é o que permite a substituição φ = e^(λx) funcionar de forma tão limpa: como a derivada de ordem n de e^(λx) é λ^n vezes e^(λx), cada derivada só "traz pra baixo" uma potência de λ, sem misturar com x. Se E ou I variassem com x (seção variável), essa substituição não teria esse efeito simples — o λ teria que "brigar" com os coeficientes variando, e a equação toda em λ não sairia tão limpa (você precisaria de métodos numéricos bem mais complicados, tipo elementos finitos).</t>
  </si>
  <si>
    <t>Uma equação é linear quando φ e suas derivadas aparecem só "sozinhas" (na potência 1) — nunca φ², nunca φ×φ', nunca sen(φ). Equação:</t>
  </si>
  <si>
    <t xml:space="preserve">3. Por que "chutar" eλxe^{\lambda x} eλx funciona </t>
  </si>
  <si>
    <t>2. "Coeficientes constantes"</t>
  </si>
  <si>
    <t>4. Juntando tudo</t>
  </si>
  <si>
    <t>1. "Linear"</t>
  </si>
  <si>
    <t>(Peso alvéolo + chavet)</t>
  </si>
  <si>
    <t>*Peso de seção composta + chavet</t>
  </si>
  <si>
    <t>d) Interação Força Cortante e Flexão na Ruína (NBR 14861:2022 §7.4.2.8.1)</t>
  </si>
  <si>
    <t>w,total =</t>
  </si>
  <si>
    <t>MSd(x) =</t>
  </si>
  <si>
    <t>VSd(x) =</t>
  </si>
  <si>
    <t>MRd =</t>
  </si>
  <si>
    <t>ηMV,limite =</t>
  </si>
  <si>
    <t>Situação</t>
  </si>
  <si>
    <t>Resultado (conforme tipo de alvéolo selecionado em I17)</t>
  </si>
  <si>
    <t>Modelo utilizado =</t>
  </si>
  <si>
    <t>Vrd,c =</t>
  </si>
  <si>
    <t>Situação =</t>
  </si>
  <si>
    <t>n preench. =</t>
  </si>
  <si>
    <t>h,alv (cm) =</t>
  </si>
  <si>
    <t>Vrd,c,a (com preench.) =</t>
  </si>
  <si>
    <t>Carga distribuída total de cálculo (permanente×γg + demais×γq).</t>
  </si>
  <si>
    <t>Momento fletor de cálculo na seção crítica. MSd(x) = w·x·(L-x)/2</t>
  </si>
  <si>
    <t>Força cortante de cálculo na seção crítica. VSd(x) = w·(L/2-x)</t>
  </si>
  <si>
    <t>Altura útil total da seção.</t>
  </si>
  <si>
    <t>Limite normativo da interação.</t>
  </si>
  <si>
    <t>Reprova se ηMV &gt; 1,0 (só se aplica ao método NBR 14861/2022).</t>
  </si>
  <si>
    <t>CARREGAMENTOS LINEARES</t>
  </si>
  <si>
    <t>COEFICIENTES DE PONDERAÇÃO</t>
  </si>
  <si>
    <t>g1 - peso próprio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</si>
  <si>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f,g1</t>
    </r>
  </si>
  <si>
    <t>g2 - peso capa e chaveta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</si>
  <si>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f,g2</t>
    </r>
  </si>
  <si>
    <t>g3 - revestimento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</si>
  <si>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f,g3-g4-g5</t>
    </r>
  </si>
  <si>
    <t>g4 - alvenaria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</si>
  <si>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f,q</t>
    </r>
  </si>
  <si>
    <t>g5 - outras permanentes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</si>
  <si>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c,pré</t>
    </r>
  </si>
  <si>
    <t>q1 - acidental 1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</si>
  <si>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c,capa</t>
    </r>
  </si>
  <si>
    <t>q2 - acidental 2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</si>
  <si>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s</t>
    </r>
  </si>
  <si>
    <t>total</t>
  </si>
  <si>
    <r>
      <rPr>
        <sz val="11"/>
        <color theme="1"/>
        <rFont val="Times New Roman"/>
        <family val="1"/>
      </rPr>
      <t>γ</t>
    </r>
    <r>
      <rPr>
        <vertAlign val="subscript"/>
        <sz val="11"/>
        <color theme="1"/>
        <rFont val="Calibri"/>
        <family val="2"/>
      </rPr>
      <t>p, benéfico</t>
    </r>
  </si>
  <si>
    <t>1. Verificação da tensão de cisalhamento na interface entre capa e laje</t>
  </si>
  <si>
    <t>β</t>
  </si>
  <si>
    <r>
      <t>f</t>
    </r>
    <r>
      <rPr>
        <vertAlign val="subscript"/>
        <sz val="11"/>
        <color theme="1"/>
        <rFont val="Aptos Narrow"/>
        <family val="2"/>
        <scheme val="minor"/>
      </rPr>
      <t>ck,capa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</si>
  <si>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ct,m</t>
    </r>
    <r>
      <rPr>
        <sz val="11"/>
        <color theme="1"/>
        <rFont val="Aptos Narrow"/>
        <family val="2"/>
        <scheme val="minor"/>
      </rPr>
      <t xml:space="preserve"> (fck até 50 Mpa)</t>
    </r>
  </si>
  <si>
    <t>x (0,5.h)</t>
  </si>
  <si>
    <r>
      <t>f</t>
    </r>
    <r>
      <rPr>
        <vertAlign val="subscript"/>
        <sz val="11"/>
        <color theme="1"/>
        <rFont val="Aptos Narrow"/>
        <family val="2"/>
        <scheme val="minor"/>
      </rPr>
      <t>ct,m</t>
    </r>
    <r>
      <rPr>
        <sz val="11"/>
        <color theme="1"/>
        <rFont val="Aptos Narrow"/>
        <family val="2"/>
        <scheme val="minor"/>
      </rPr>
      <t xml:space="preserve"> (fck &gt; 50 MPa)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</si>
  <si>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sd(x)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</si>
  <si>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ct,m</t>
    </r>
    <r>
      <rPr>
        <sz val="11"/>
        <color theme="1"/>
        <rFont val="Aptos Narrow"/>
        <family val="2"/>
        <scheme val="minor"/>
      </rPr>
      <t xml:space="preserve"> adotado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</si>
  <si>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,comp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</si>
  <si>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ctk,inf</t>
    </r>
  </si>
  <si>
    <t>z</t>
  </si>
  <si>
    <r>
      <t>f</t>
    </r>
    <r>
      <rPr>
        <vertAlign val="subscript"/>
        <sz val="11"/>
        <color theme="1"/>
        <rFont val="Aptos Narrow"/>
        <family val="2"/>
        <scheme val="minor"/>
      </rPr>
      <t>ctd,capa</t>
    </r>
  </si>
  <si>
    <t>b</t>
  </si>
  <si>
    <r>
      <t>υ</t>
    </r>
    <r>
      <rPr>
        <b/>
        <vertAlign val="subscript"/>
        <sz val="11"/>
        <color theme="1"/>
        <rFont val="Calibri"/>
        <family val="2"/>
      </rPr>
      <t>Ed</t>
    </r>
  </si>
  <si>
    <r>
      <t>υ</t>
    </r>
    <r>
      <rPr>
        <b/>
        <vertAlign val="subscript"/>
        <sz val="11"/>
        <color theme="1"/>
        <rFont val="Calibri"/>
        <family val="2"/>
      </rPr>
      <t>Rd</t>
    </r>
  </si>
  <si>
    <t>Considerar seção composta?</t>
  </si>
  <si>
    <t>Sim</t>
  </si>
  <si>
    <r>
      <t xml:space="preserve">2. Verificação de cálculo da resistência à flexo-cortante em regiões fissuradas por flexão e lajes com h </t>
    </r>
    <r>
      <rPr>
        <b/>
        <sz val="11"/>
        <color theme="1"/>
        <rFont val="Calibri"/>
        <family val="2"/>
      </rPr>
      <t>≤</t>
    </r>
    <r>
      <rPr>
        <b/>
        <sz val="12.65"/>
        <color theme="1"/>
        <rFont val="Calibri"/>
        <family val="2"/>
      </rPr>
      <t xml:space="preserve"> 20 cm</t>
    </r>
  </si>
  <si>
    <t>2.1 Força Cortante de cálculo na seção crítica</t>
  </si>
  <si>
    <t>Vão total</t>
  </si>
  <si>
    <t>la</t>
  </si>
  <si>
    <t>Vão cálculo</t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</si>
  <si>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Sd</t>
    </r>
  </si>
  <si>
    <t>2.2 Verificação das diagonais comprimidas</t>
  </si>
  <si>
    <t>2.2.1 Sem capa e Sem alvéolos preenchidos</t>
  </si>
  <si>
    <t>d (pré)</t>
  </si>
  <si>
    <r>
      <t>f</t>
    </r>
    <r>
      <rPr>
        <vertAlign val="subscript"/>
        <sz val="11"/>
        <color theme="1"/>
        <rFont val="Aptos Narrow"/>
        <family val="2"/>
        <scheme val="minor"/>
      </rPr>
      <t>ck</t>
    </r>
  </si>
  <si>
    <t>ν</t>
  </si>
  <si>
    <r>
      <t>f</t>
    </r>
    <r>
      <rPr>
        <vertAlign val="subscript"/>
        <sz val="11"/>
        <color theme="1"/>
        <rFont val="Calibri"/>
        <family val="2"/>
      </rPr>
      <t>cd</t>
    </r>
  </si>
  <si>
    <r>
      <rPr>
        <sz val="11"/>
        <color theme="1"/>
        <rFont val="Calibri"/>
        <family val="2"/>
      </rPr>
      <t>∑b</t>
    </r>
    <r>
      <rPr>
        <vertAlign val="subscript"/>
        <sz val="11"/>
        <color theme="1"/>
        <rFont val="Calibri"/>
        <family val="2"/>
      </rPr>
      <t>w1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</si>
  <si>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Rd,dc</t>
    </r>
  </si>
  <si>
    <t>d</t>
  </si>
  <si>
    <r>
      <t>∑b</t>
    </r>
    <r>
      <rPr>
        <vertAlign val="subscript"/>
        <sz val="11"/>
        <color theme="1"/>
        <rFont val="Calibri"/>
        <family val="2"/>
      </rPr>
      <t>w,1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</si>
  <si>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Rd,dc</t>
    </r>
  </si>
  <si>
    <t>2.2.2 Com capa e Sem alvéolos preenchidos</t>
  </si>
  <si>
    <r>
      <t>d</t>
    </r>
    <r>
      <rPr>
        <vertAlign val="subscript"/>
        <sz val="11"/>
        <color theme="1"/>
        <rFont val="Aptos Narrow"/>
        <family val="2"/>
        <scheme val="minor"/>
      </rPr>
      <t>tot (composto)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</si>
  <si>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Rd,dc (capa)</t>
    </r>
  </si>
  <si>
    <t>2.2.3 Com capa e Com alvéolos preenchidos</t>
  </si>
  <si>
    <t>alvéolos preenchidos</t>
  </si>
  <si>
    <t>fck, alvéolo</t>
  </si>
  <si>
    <t>Agregado graúdo alvéolo</t>
  </si>
  <si>
    <t>Basalto</t>
  </si>
  <si>
    <r>
      <t>∑b</t>
    </r>
    <r>
      <rPr>
        <vertAlign val="subscript"/>
        <sz val="11"/>
        <color theme="1"/>
        <rFont val="Calibri"/>
        <family val="2"/>
      </rPr>
      <t>w</t>
    </r>
  </si>
  <si>
    <r>
      <t>∑b</t>
    </r>
    <r>
      <rPr>
        <vertAlign val="subscript"/>
        <sz val="11"/>
        <color theme="1"/>
        <rFont val="Calibri"/>
        <family val="2"/>
      </rPr>
      <t>w,alv</t>
    </r>
  </si>
  <si>
    <r>
      <t>α</t>
    </r>
    <r>
      <rPr>
        <vertAlign val="subscript"/>
        <sz val="11"/>
        <color theme="1"/>
        <rFont val="Times New Roman"/>
        <family val="1"/>
      </rPr>
      <t>E</t>
    </r>
  </si>
  <si>
    <r>
      <t>E</t>
    </r>
    <r>
      <rPr>
        <vertAlign val="subscript"/>
        <sz val="11"/>
        <color theme="1"/>
        <rFont val="Times New Roman"/>
        <family val="1"/>
      </rPr>
      <t>ci,20 a 50</t>
    </r>
  </si>
  <si>
    <r>
      <t>E</t>
    </r>
    <r>
      <rPr>
        <vertAlign val="subscript"/>
        <sz val="11"/>
        <color theme="1"/>
        <rFont val="Times New Roman"/>
        <family val="1"/>
      </rPr>
      <t>ci,55 a 90</t>
    </r>
  </si>
  <si>
    <r>
      <t>E</t>
    </r>
    <r>
      <rPr>
        <vertAlign val="subscript"/>
        <sz val="11"/>
        <color theme="1"/>
        <rFont val="Times New Roman"/>
        <family val="1"/>
      </rPr>
      <t>ci</t>
    </r>
  </si>
  <si>
    <r>
      <t>α</t>
    </r>
    <r>
      <rPr>
        <vertAlign val="subscript"/>
        <sz val="11"/>
        <color theme="1"/>
        <rFont val="Times New Roman"/>
        <family val="1"/>
      </rPr>
      <t>i</t>
    </r>
  </si>
  <si>
    <r>
      <t>E</t>
    </r>
    <r>
      <rPr>
        <vertAlign val="subscript"/>
        <sz val="11"/>
        <color theme="1"/>
        <rFont val="Calibri"/>
        <family val="2"/>
      </rPr>
      <t>c,alv</t>
    </r>
  </si>
  <si>
    <r>
      <t>E</t>
    </r>
    <r>
      <rPr>
        <vertAlign val="subscript"/>
        <sz val="11"/>
        <color theme="1"/>
        <rFont val="Calibri"/>
        <family val="2"/>
      </rPr>
      <t>c,laje</t>
    </r>
  </si>
  <si>
    <r>
      <t>∑b</t>
    </r>
    <r>
      <rPr>
        <vertAlign val="subscript"/>
        <sz val="11"/>
        <color theme="1"/>
        <rFont val="Calibri"/>
        <family val="2"/>
      </rPr>
      <t>w2</t>
    </r>
  </si>
  <si>
    <t>2.3 Verificação da força cortante resistente à flexo-cortante de cálculo na seção</t>
  </si>
  <si>
    <t>2.3.1 Com capa e Sem alvéolos preenchidos</t>
  </si>
  <si>
    <r>
      <t>f</t>
    </r>
    <r>
      <rPr>
        <vertAlign val="subscript"/>
        <sz val="11"/>
        <color theme="1"/>
        <rFont val="Aptos Narrow"/>
        <family val="2"/>
        <scheme val="minor"/>
      </rPr>
      <t>ctd</t>
    </r>
  </si>
  <si>
    <r>
      <t>ρ</t>
    </r>
    <r>
      <rPr>
        <vertAlign val="subscript"/>
        <sz val="11"/>
        <color theme="1"/>
        <rFont val="Calibri"/>
        <family val="2"/>
      </rPr>
      <t>1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</si>
  <si>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c,1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</si>
  <si>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p,inf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</si>
  <si>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p,sup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</si>
  <si>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pi,inf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</si>
  <si>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pi,sup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</si>
  <si>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p,inf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</si>
  <si>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p,sup</t>
    </r>
  </si>
  <si>
    <t>Perdas inferiores</t>
  </si>
  <si>
    <t>Perdas Superiores</t>
  </si>
  <si>
    <r>
      <t>N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</si>
  <si>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σ</t>
    </r>
    <r>
      <rPr>
        <vertAlign val="subscript"/>
        <sz val="11"/>
        <color theme="1"/>
        <rFont val="Calibri"/>
        <family val="2"/>
      </rPr>
      <t>cp,1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</si>
  <si>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p,1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</si>
  <si>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Rd,fl</t>
    </r>
  </si>
  <si>
    <t>2.3.2 Com capa e Com alvéolos preenchidos antes da liberação de protensão</t>
  </si>
  <si>
    <r>
      <t>f</t>
    </r>
    <r>
      <rPr>
        <vertAlign val="subscript"/>
        <sz val="11"/>
        <color theme="1"/>
        <rFont val="Aptos Narrow"/>
        <family val="2"/>
        <scheme val="minor"/>
      </rPr>
      <t>ck, alvéolo</t>
    </r>
  </si>
  <si>
    <t>Agregado graúdo</t>
  </si>
  <si>
    <r>
      <t>A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</si>
  <si>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</si>
  <si>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ρ</t>
    </r>
    <r>
      <rPr>
        <vertAlign val="subscript"/>
        <sz val="11"/>
        <color theme="1"/>
        <rFont val="Calibri"/>
        <family val="2"/>
      </rPr>
      <t>2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</si>
  <si>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c,2</t>
    </r>
  </si>
  <si>
    <r>
      <t>σ</t>
    </r>
    <r>
      <rPr>
        <vertAlign val="subscript"/>
        <sz val="11"/>
        <color theme="1"/>
        <rFont val="Calibri"/>
        <family val="2"/>
      </rPr>
      <t>cp,2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</si>
  <si>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p,2</t>
    </r>
  </si>
  <si>
    <t>2.3.3 Com capa e  Com alvéolos preenchidos após da liberação de protensão</t>
  </si>
  <si>
    <t>2.4 Verificação da interação Força cortante e flexão na ruína para flexo-cortante</t>
  </si>
  <si>
    <t>Vão teórico</t>
  </si>
  <si>
    <r>
      <t>M</t>
    </r>
    <r>
      <rPr>
        <vertAlign val="subscript"/>
        <sz val="11"/>
        <color theme="1"/>
        <rFont val="Aptos Narrow"/>
        <family val="2"/>
        <scheme val="minor"/>
      </rPr>
      <t>Sd(x)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</si>
  <si>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Ed(x)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</si>
  <si>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Rd,fl</t>
    </r>
  </si>
  <si>
    <r>
      <t>σ</t>
    </r>
    <r>
      <rPr>
        <vertAlign val="subscript"/>
        <sz val="11"/>
        <color theme="1"/>
        <rFont val="Calibri"/>
        <family val="2"/>
      </rPr>
      <t>p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</si>
  <si>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Rd</t>
    </r>
  </si>
  <si>
    <r>
      <rPr>
        <b/>
        <sz val="11"/>
        <color theme="1"/>
        <rFont val="Times New Roman"/>
        <family val="1"/>
      </rPr>
      <t>η</t>
    </r>
    <r>
      <rPr>
        <b/>
        <vertAlign val="subscript"/>
        <sz val="11"/>
        <color theme="1"/>
        <rFont val="Calibri"/>
        <family val="2"/>
      </rPr>
      <t>MV</t>
    </r>
  </si>
  <si>
    <r>
      <rPr>
        <b/>
        <sz val="11"/>
        <color theme="1"/>
        <rFont val="Times New Roman"/>
        <family val="1"/>
      </rPr>
      <t>η</t>
    </r>
    <r>
      <rPr>
        <b/>
        <vertAlign val="subscript"/>
        <sz val="11"/>
        <color theme="1"/>
        <rFont val="Calibri"/>
        <family val="2"/>
      </rPr>
      <t>MV, limite</t>
    </r>
  </si>
  <si>
    <t>3. Verificação resistência à força cortante por tração diagonal em região não fissurada por flexão</t>
  </si>
  <si>
    <t>3.1 Força Cortante de cálculo na seção crítica</t>
  </si>
  <si>
    <r>
      <t>h</t>
    </r>
    <r>
      <rPr>
        <vertAlign val="subscript"/>
        <sz val="11"/>
        <color theme="1"/>
        <rFont val="Aptos Narrow"/>
        <family val="2"/>
        <scheme val="minor"/>
      </rPr>
      <t>pc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</si>
  <si>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pc</t>
    </r>
  </si>
  <si>
    <t>3.2 Verificação da tensão de cisalhamento na interface entre capa e laje</t>
  </si>
  <si>
    <r>
      <t>V</t>
    </r>
    <r>
      <rPr>
        <vertAlign val="subscript"/>
        <sz val="11"/>
        <color theme="1"/>
        <rFont val="Aptos Narrow"/>
        <family val="2"/>
        <scheme val="minor"/>
      </rPr>
      <t>sd,(g1+g2)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</si>
  <si>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sd,(g3+q)</t>
    </r>
  </si>
  <si>
    <t>S</t>
  </si>
  <si>
    <t>y'</t>
  </si>
  <si>
    <t>S'</t>
  </si>
  <si>
    <t>I'</t>
  </si>
  <si>
    <r>
      <t>b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</si>
  <si>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τ</t>
    </r>
    <r>
      <rPr>
        <b/>
        <vertAlign val="subscript"/>
        <sz val="11"/>
        <color theme="1"/>
        <rFont val="Aptos Display"/>
        <family val="2"/>
        <scheme val="major"/>
      </rPr>
      <t>Sd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</si>
  <si>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</si>
  <si>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pt2,inf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</si>
  <si>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pt2,sup</t>
    </r>
  </si>
  <si>
    <r>
      <rPr>
        <sz val="11"/>
        <color theme="1"/>
        <rFont val="Aptos Narrow"/>
        <family val="2"/>
        <scheme val="minor"/>
      </rPr>
      <t>α</t>
    </r>
    <r>
      <rPr>
        <vertAlign val="subscript"/>
        <sz val="11"/>
        <color theme="1"/>
        <rFont val="Aptos Narrow"/>
        <family val="2"/>
        <scheme val="minor"/>
      </rPr>
      <t>pc,inf</t>
    </r>
  </si>
  <si>
    <r>
      <rPr>
        <sz val="11"/>
        <color theme="1"/>
        <rFont val="Aptos Narrow"/>
        <family val="2"/>
        <scheme val="minor"/>
      </rPr>
      <t>α</t>
    </r>
    <r>
      <rPr>
        <vertAlign val="subscript"/>
        <sz val="11"/>
        <color theme="1"/>
        <rFont val="Aptos Narrow"/>
        <family val="2"/>
        <scheme val="minor"/>
      </rPr>
      <t>pc,sup</t>
    </r>
  </si>
  <si>
    <t>Perdas superiores</t>
  </si>
  <si>
    <r>
      <t>σ</t>
    </r>
    <r>
      <rPr>
        <vertAlign val="subscript"/>
        <sz val="11"/>
        <color theme="1"/>
        <rFont val="Calibri"/>
        <family val="2"/>
      </rPr>
      <t>cp</t>
    </r>
  </si>
  <si>
    <t>3.2.1 Para alvéolos com seção circulares</t>
  </si>
  <si>
    <r>
      <t>τ</t>
    </r>
    <r>
      <rPr>
        <vertAlign val="subscript"/>
        <sz val="11"/>
        <color theme="1"/>
        <rFont val="Aptos Display"/>
        <family val="2"/>
        <scheme val="major"/>
      </rPr>
      <t>Rd</t>
    </r>
  </si>
  <si>
    <t>3.2.2 Para alvéolos com seção não circulares</t>
  </si>
  <si>
    <r>
      <t xml:space="preserve">3.3 Para lajes com alvéolos não circulares, com 250 </t>
    </r>
    <r>
      <rPr>
        <b/>
        <sz val="11"/>
        <color theme="1"/>
        <rFont val="Calibri"/>
        <family val="2"/>
      </rPr>
      <t>≤ h ≤ 400</t>
    </r>
  </si>
  <si>
    <r>
      <t>3.3.1 S</t>
    </r>
    <r>
      <rPr>
        <b/>
        <sz val="11"/>
        <color theme="1"/>
        <rFont val="Calibri"/>
        <family val="2"/>
      </rPr>
      <t>em capa</t>
    </r>
  </si>
  <si>
    <r>
      <rPr>
        <sz val="11"/>
        <color theme="1"/>
        <rFont val="Calibri"/>
        <family val="2"/>
      </rPr>
      <t>β</t>
    </r>
    <r>
      <rPr>
        <vertAlign val="subscript"/>
        <sz val="12.65"/>
        <color theme="1"/>
        <rFont val="Calibri"/>
        <family val="2"/>
      </rPr>
      <t>pc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</si>
  <si>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Rd,c</t>
    </r>
  </si>
  <si>
    <r>
      <t>3.3.2</t>
    </r>
    <r>
      <rPr>
        <b/>
        <sz val="11"/>
        <color theme="1"/>
        <rFont val="Calibri"/>
        <family val="2"/>
      </rPr>
      <t xml:space="preserve"> Sem capa, com preenchimento de alvéolos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</si>
  <si>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alv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</si>
  <si>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alv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</si>
  <si>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Rd,ca</t>
    </r>
  </si>
  <si>
    <r>
      <t>3.3.3 C</t>
    </r>
    <r>
      <rPr>
        <b/>
        <sz val="11"/>
        <color theme="1"/>
        <rFont val="Calibri"/>
        <family val="2"/>
      </rPr>
      <t>om capa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</si>
  <si>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Sd(g1+g2)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</si>
  <si>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Rd,cc</t>
    </r>
  </si>
  <si>
    <r>
      <t>3.3.4 C</t>
    </r>
    <r>
      <rPr>
        <b/>
        <sz val="11"/>
        <color theme="1"/>
        <rFont val="Calibri"/>
        <family val="2"/>
      </rPr>
      <t>om capa, com preenchimento de alvéolos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</si>
  <si>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Rd,cca</t>
    </r>
  </si>
  <si>
    <r>
      <t xml:space="preserve">3.4 Para lajes com alvéolos circulares, com 250 </t>
    </r>
    <r>
      <rPr>
        <b/>
        <sz val="11"/>
        <color theme="1"/>
        <rFont val="Calibri"/>
        <family val="2"/>
      </rPr>
      <t>≤ h ≤ 320, sem capa</t>
    </r>
  </si>
  <si>
    <r>
      <t>3.4.1 S</t>
    </r>
    <r>
      <rPr>
        <b/>
        <sz val="11"/>
        <color theme="1"/>
        <rFont val="Calibri"/>
        <family val="2"/>
      </rPr>
      <t>em capa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</si>
  <si>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cp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</si>
  <si>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Rd,c</t>
    </r>
  </si>
  <si>
    <r>
      <t>3.4.2</t>
    </r>
    <r>
      <rPr>
        <b/>
        <sz val="11"/>
        <color theme="1"/>
        <rFont val="Calibri"/>
        <family val="2"/>
      </rPr>
      <t xml:space="preserve"> Sem capa, com preenchimento de alvéolos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</si>
  <si>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Rd,ca</t>
    </r>
  </si>
  <si>
    <r>
      <t>3.4.3 C</t>
    </r>
    <r>
      <rPr>
        <b/>
        <sz val="11"/>
        <color theme="1"/>
        <rFont val="Calibri"/>
        <family val="2"/>
      </rPr>
      <t>om capa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</si>
  <si>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Rd,cc</t>
    </r>
  </si>
  <si>
    <r>
      <t>3.4.4 C</t>
    </r>
    <r>
      <rPr>
        <b/>
        <sz val="11"/>
        <color theme="1"/>
        <rFont val="Calibri"/>
        <family val="2"/>
      </rPr>
      <t>om capa, com preenchimento de alvéolos</t>
    </r>
  </si>
  <si>
    <t>Altura dos alveolos</t>
  </si>
  <si>
    <t>esquerdo</t>
  </si>
  <si>
    <t>alfa r</t>
  </si>
  <si>
    <t>K0</t>
  </si>
  <si>
    <t>Ecs</t>
  </si>
  <si>
    <t>Alfa r</t>
  </si>
  <si>
    <t>Inercia</t>
  </si>
  <si>
    <t>Modulo de elasticidade secante</t>
  </si>
  <si>
    <t>Comprimento da laje</t>
  </si>
  <si>
    <t xml:space="preserve">Coeficiente mola </t>
  </si>
  <si>
    <t>m^4</t>
  </si>
  <si>
    <t xml:space="preserve">m </t>
  </si>
  <si>
    <t>V,esq</t>
  </si>
  <si>
    <t>V,dir</t>
  </si>
  <si>
    <t>Vrd,mín</t>
  </si>
  <si>
    <t>Δσ,pr,sup (ato)</t>
  </si>
  <si>
    <t>σ,pi,sup (antes da perda elástica)</t>
  </si>
  <si>
    <t>Após ancoragem, relaxação e perda elástica</t>
  </si>
  <si>
    <t>Dados para fluência e retração (NBR 6118, Anexo A). Idades t₀ nas colunas I e K; perímetro em contato com o ar por etapa na coluna N (catálogo de fábrica da planilha de referência – LP30).</t>
  </si>
  <si>
    <t>uar (cm)</t>
  </si>
  <si>
    <t>U =</t>
  </si>
  <si>
    <t>T =</t>
  </si>
  <si>
    <t>°C</t>
  </si>
  <si>
    <t>Slump laje =</t>
  </si>
  <si>
    <t>Slump capa =</t>
  </si>
  <si>
    <t>Xp,sup</t>
  </si>
  <si>
    <t>Ecs (t=1)</t>
  </si>
  <si>
    <t>Ecs (t)</t>
  </si>
  <si>
    <t>Ecs (t capa)</t>
  </si>
  <si>
    <t>σp,0 (t=1)</t>
  </si>
  <si>
    <t>Estádio</t>
  </si>
  <si>
    <t>CNLF =</t>
  </si>
  <si>
    <t>Coef. de não linearidade física no Estádio II (planilha de referência de laje: 0,8).</t>
  </si>
  <si>
    <t>m³ (seção pré-fabricada)</t>
  </si>
  <si>
    <t>A,sup =</t>
  </si>
  <si>
    <t>y,sup =</t>
  </si>
  <si>
    <t>S = A,sup·y,sup – polígono da seção pré-fabricada bruta (aba 'Propriedades geométricas VI')</t>
  </si>
  <si>
    <t>m – lpt2 = 1,2·lbpt (inf | sup)</t>
  </si>
  <si>
    <t>αpc = lx/lpt2 ≤ 1 (inf | sup)</t>
  </si>
  <si>
    <t>cm⁴ (seção pré-fabricada)</t>
  </si>
  <si>
    <t>σp,∞ =</t>
  </si>
  <si>
    <t>kN/cm² – após todas as perdas (inf | sup)</t>
  </si>
  <si>
    <t>σcp = γp·Σ(Ap·σp∞·αpc)/Ac  (γp favorável, aba 'Cisalhamento 14861' C11)</t>
  </si>
  <si>
    <t>Tração diagonal – NBR 14861:2022 (VSd na seção crítica lx; ver aba 'Cisalhamento 14861')</t>
  </si>
  <si>
    <t>Bônus por preenchimento de alvéolos (NBR 14861:2022) - VRd,ca = VRd,c + (2/3)·n·A,alv·fctd</t>
  </si>
  <si>
    <t>Altura útil da seção em serviço (com capa se Geometria I15 = Sim).</t>
  </si>
  <si>
    <t>Σbw,2 = Σbw,1 + 0,5·n·b,alv·Ec,alv/Ec,laje (item c).</t>
  </si>
  <si>
    <t>Vrd,dc (preench.)</t>
  </si>
  <si>
    <t>Resistência de cálculo à tração. fctd = 0,21·fckj^(2/3)/γc,pré  (kPa)</t>
  </si>
  <si>
    <t>Np,∞ =</t>
  </si>
  <si>
    <t>Força de protensão após todas as perdas (a favor da segurança).</t>
  </si>
  <si>
    <t>Tensão de compressão devida à protensão. σcp = γp·Np/Ac  (kPa)</t>
  </si>
  <si>
    <t>Ap,inf (armadura tracionada). A cordoalha superior está na zona comprimida.</t>
  </si>
  <si>
    <t>ρ1 = Ap,inf/(Σbw·d) ≤ 0,02</t>
  </si>
  <si>
    <t>Resistência de cálculo à tração. fctd = 0,21·fck^(2/3)/γc,pré  (kPa)</t>
  </si>
  <si>
    <t>Força cortante de cálculo na seção crítica (a = la/2 + 0,5·h do eixo do apoio).</t>
  </si>
  <si>
    <t>Ec,alv/Ec,laje =</t>
  </si>
  <si>
    <t>Relação entre os módulos do concreto de preenchimento e da laje (aba 'Cisalhamento 14861').</t>
  </si>
  <si>
    <t>Antes da liberação: σcp,2 = γp·Np/Ac,2 · Após a liberação: σcp,1 = γp·Np/Ac</t>
  </si>
  <si>
    <t>Antes: Vp,2 = 0,15·σcp,2·Σbw,2·d · Após: Vp,1 = 0,15·σcp,1·Σbw,1·d</t>
  </si>
  <si>
    <t>a =</t>
  </si>
  <si>
    <t>Distância da seção crítica ao eixo do apoio: a = la/2 + 0,5·h (m)</t>
  </si>
  <si>
    <t>VRd,fl aplicável (com/sem preenchimento).</t>
  </si>
  <si>
    <t>Rpd = Ap·σpd =</t>
  </si>
  <si>
    <t>Força na armadura ativa inferior no ELU (σpd da verificação à flexão, K897).</t>
  </si>
  <si>
    <t>Momento fletor resistente aproximado. MRd ≈ Ap·σpd·0,9·d</t>
  </si>
  <si>
    <t>MEd = MSd + 1,35·d·VSd =</t>
  </si>
  <si>
    <t>Momento com decalagem do diagrama (conforme item 2.4 da planilha de apoio).</t>
  </si>
  <si>
    <t>ηMV = ((VSd/VRd,fl)^4+(MEd/MRd)^4)^(1/4) =</t>
  </si>
  <si>
    <t>Interação cortante-momento. ηMV = ((VSd/VRd,fl)⁴+(MEd/MRd)⁴)^(1/4)</t>
  </si>
  <si>
    <t>conferido no polígono da seção (≈254 cm²)</t>
  </si>
  <si>
    <t>VERIFICAÇÃO DA FORÇA CORTANTE – NBR 14861:2022 (complemento da aba Geometria)</t>
  </si>
  <si>
    <t>Células sombreadas = entrada. Demais valores vêm da aba Geometria. Unidades: kN, cm (salvo indicação). O resumo final alimenta a tabela Vd / VRd do topo da aba Geometria.</t>
  </si>
  <si>
    <t>0. Parâmetros complementares (entrada)</t>
  </si>
  <si>
    <t>γc,pré</t>
  </si>
  <si>
    <t>–</t>
  </si>
  <si>
    <t>Coeficiente de ponderação do concreto da laje pré-fabricada (NBR 9062 – produção com controle rigoroso). Mesmo valor da planilha de apoio.</t>
  </si>
  <si>
    <t>γc,capa</t>
  </si>
  <si>
    <t>Coeficiente de ponderação do concreto moldado no local (capa).</t>
  </si>
  <si>
    <t>Preenchimento dos alvéolos</t>
  </si>
  <si>
    <t>Antes da liberação</t>
  </si>
  <si>
    <t>Antes da liberação: σcp = Np/Ac,2 atua em Σbw,2 (preenchido fresco na pista). Após a liberação: o preenchimento não recebe protensão → Vp = 0,15·σcp,1·Σbw,1·d.</t>
  </si>
  <si>
    <t>fck,alv</t>
  </si>
  <si>
    <t>fck do concreto de preenchimento (padrão = concreto da laje). Se o preenchimento for feito na obra, informar o fck do graute/concreto usado.</t>
  </si>
  <si>
    <t>αE,alv</t>
  </si>
  <si>
    <t>Agregado do preenchimento: 1,2 basalto/diabásio · 1,0 granito/gnaisse · 0,9 calcário · 0,7 arenito.</t>
  </si>
  <si>
    <t>c (interface)</t>
  </si>
  <si>
    <t>Coeficiente da interface capa × laje: 0,45 superfície não lisa · 0,35 superfície lisa (fck ≥ 30 MPa).</t>
  </si>
  <si>
    <t>γp (favorável)</t>
  </si>
  <si>
    <t>Coeficiente de ponderação da protensão favorável no ELU (NBR 6118, 11.7.1), aplicado em σcp (tração diagonal e flexo-cortante). Usar 1,0 para reproduzir a planilha de apoio.</t>
  </si>
  <si>
    <t>1. Seção transversal (propriedades brutas, sem homogeneização)</t>
  </si>
  <si>
    <t>Altura da laje pré-fabricada.</t>
  </si>
  <si>
    <t>Capa estrutural</t>
  </si>
  <si>
    <t>Conforme 'Considerar solidarização' (Geometria I15).</t>
  </si>
  <si>
    <t>hcapa</t>
  </si>
  <si>
    <t>Espessura de capa considerada.</t>
  </si>
  <si>
    <t>d'p</t>
  </si>
  <si>
    <t>Posição do CG da armadura ativa inferior em relação à face inferior.</t>
  </si>
  <si>
    <t>Altura útil da seção pré-fabricada.</t>
  </si>
  <si>
    <t>d (serviço)</t>
  </si>
  <si>
    <t>Altura útil da seção em serviço (com capa, se houver).</t>
  </si>
  <si>
    <t>Σbw</t>
  </si>
  <si>
    <t>Soma das larguras das nervuras.</t>
  </si>
  <si>
    <t>Área bruta da seção pré-fabricada.</t>
  </si>
  <si>
    <t>ycg</t>
  </si>
  <si>
    <t>CG da seção pré-fabricada até a face inferior.</t>
  </si>
  <si>
    <t>cm⁴</t>
  </si>
  <si>
    <t>Inércia bruta da seção pré-fabricada.</t>
  </si>
  <si>
    <t>nº de nós</t>
  </si>
  <si>
    <t>Nós do polígono da seção (aba 'Propriedades geométricas VI').</t>
  </si>
  <si>
    <t>A,sup</t>
  </si>
  <si>
    <t>Área acima do CG (polígono recortado em y = ycg).</t>
  </si>
  <si>
    <t>Q,sup</t>
  </si>
  <si>
    <t>Momento estático da área acima do CG em relação à base.</t>
  </si>
  <si>
    <t>y,sup</t>
  </si>
  <si>
    <t>Distância do CG da área acima ao CG da seção.</t>
  </si>
  <si>
    <t>Momento estático no CG – seção pré-fabricada.</t>
  </si>
  <si>
    <t>Inércia da seção composta (capa com largura reduzida por Ecapa/Elaje).</t>
  </si>
  <si>
    <t>Momento estático no CG da seção composta.</t>
  </si>
  <si>
    <t>n,alv</t>
  </si>
  <si>
    <t>Número de alvéolos preenchidos (topo da aba Geometria).</t>
  </si>
  <si>
    <t>b,alv</t>
  </si>
  <si>
    <t>A,alv</t>
  </si>
  <si>
    <t>Área de um alvéolo (tabela Geometria L1204:M1206).</t>
  </si>
  <si>
    <t>Altura do ponto crítico na nervura (menor largura).</t>
  </si>
  <si>
    <t>2. Materiais</t>
  </si>
  <si>
    <t>Concreto da laje.</t>
  </si>
  <si>
    <t>fctk,inf</t>
  </si>
  <si>
    <t>NBR 6118, 8.2.5.</t>
  </si>
  <si>
    <t>fctk,inf/γc,pré</t>
  </si>
  <si>
    <t>fcd</t>
  </si>
  <si>
    <t>fck/γc,pré</t>
  </si>
  <si>
    <t>fck,capa</t>
  </si>
  <si>
    <t>Concreto da capa.</t>
  </si>
  <si>
    <t>fctd,capa</t>
  </si>
  <si>
    <t>fctk,inf,capa/γc,capa</t>
  </si>
  <si>
    <t>fcd,capa</t>
  </si>
  <si>
    <t>fck,capa/γc,capa</t>
  </si>
  <si>
    <t>Ecs,laje</t>
  </si>
  <si>
    <t>Módulo secante do concreto da laje.</t>
  </si>
  <si>
    <t>Ecs,alv</t>
  </si>
  <si>
    <t>Módulo secante do concreto de preenchimento.</t>
  </si>
  <si>
    <t>Ecs,alv/Ecs,laje</t>
  </si>
  <si>
    <t>Relação usada em Σbw,2.</t>
  </si>
  <si>
    <t>3. Protensão</t>
  </si>
  <si>
    <t>Ap,inf</t>
  </si>
  <si>
    <t>Ap,sup</t>
  </si>
  <si>
    <t>σp∞,inf</t>
  </si>
  <si>
    <t>Tensão após todas as perdas.</t>
  </si>
  <si>
    <t>σp∞,sup</t>
  </si>
  <si>
    <t>Np∞</t>
  </si>
  <si>
    <t>Comprimento de transferência (aba Geometria).</t>
  </si>
  <si>
    <t>lbpt,sup</t>
  </si>
  <si>
    <t>lpt2,inf</t>
  </si>
  <si>
    <t>Valor de cálculo: lpt2 = 1,2·lbpt</t>
  </si>
  <si>
    <t>lpt2,sup</t>
  </si>
  <si>
    <t>σpd</t>
  </si>
  <si>
    <t>Tensão na armadura ativa no ELU (verificação à flexão da aba Geometria).</t>
  </si>
  <si>
    <t>4. Solicitações de cálculo nas seções críticas</t>
  </si>
  <si>
    <t>Vão teórico (entre eixos de apoio).</t>
  </si>
  <si>
    <t>Comprimento de apoio.</t>
  </si>
  <si>
    <t>pd</t>
  </si>
  <si>
    <t>Carga de cálculo total.</t>
  </si>
  <si>
    <t>pd,(g1+g2)</t>
  </si>
  <si>
    <t>Cargas aplicadas antes da solidarização (peso próprio, preenchimento/chaveta, capa).</t>
  </si>
  <si>
    <t>Xpc</t>
  </si>
  <si>
    <t>hpc/tg θ (θ = Geometria H1036).</t>
  </si>
  <si>
    <t>lx</t>
  </si>
  <si>
    <t>Distância da seção crítica à extremidade da laje (la + Xpc).</t>
  </si>
  <si>
    <t>a,td</t>
  </si>
  <si>
    <t>Seção crítica da tração diagonal, medida do eixo do apoio.</t>
  </si>
  <si>
    <t>VSd,td</t>
  </si>
  <si>
    <t>Cortante de cálculo na seção crítica da tração diagonal.</t>
  </si>
  <si>
    <t>VSd,td,(g1+g2)</t>
  </si>
  <si>
    <t>Parcela atuante na seção pré-fabricada isolada.</t>
  </si>
  <si>
    <t>x,fl</t>
  </si>
  <si>
    <t>0,5·h da seção resistente, a partir da face do apoio.</t>
  </si>
  <si>
    <t>a,fl</t>
  </si>
  <si>
    <t>Seção crítica da flexo-cortante, medida do eixo do apoio.</t>
  </si>
  <si>
    <t>VSd,fl</t>
  </si>
  <si>
    <t>Cortante de cálculo na seção crítica da flexo-cortante.</t>
  </si>
  <si>
    <t>MSd,fl</t>
  </si>
  <si>
    <t>kN·m</t>
  </si>
  <si>
    <t>Momento de cálculo na mesma seção.</t>
  </si>
  <si>
    <t>VSd,apoio</t>
  </si>
  <si>
    <t>Reação de apoio (apenas referência).</t>
  </si>
  <si>
    <t>5. Tração diagonal – região não fissurada por flexão</t>
  </si>
  <si>
    <t>Tipo de alvéolo</t>
  </si>
  <si>
    <t>αpc,inf</t>
  </si>
  <si>
    <t>lx/lpt2,inf ≤ 1</t>
  </si>
  <si>
    <t>αpc,sup</t>
  </si>
  <si>
    <t>lx/lpt2,sup ≤ 1</t>
  </si>
  <si>
    <t>σcp</t>
  </si>
  <si>
    <t>γp·Σ(Ap·σp∞·αpc)/Ac na seção lx.</t>
  </si>
  <si>
    <t>βpc</t>
  </si>
  <si>
    <t>0,5 + hpc/h ≤ 1 (alvéolos não circulares).</t>
  </si>
  <si>
    <t>VRd,c</t>
  </si>
  <si>
    <t>Sem capa e sem preenchimento (modelo conforme tipo de alvéolo – Geometria H1082).</t>
  </si>
  <si>
    <t>ΔVRd,alv</t>
  </si>
  <si>
    <t>(2/3)·n·A,alv·fctd</t>
  </si>
  <si>
    <t>VRd,ca</t>
  </si>
  <si>
    <t>Sem capa, com alvéolos preenchidos.</t>
  </si>
  <si>
    <t>r = S·I'/(S'·I)</t>
  </si>
  <si>
    <t>Relação entre as capacidades à tensão de cisalhamento das seções composta e pré-fabricada.</t>
  </si>
  <si>
    <t>VRd,cc</t>
  </si>
  <si>
    <t>Com capa, sem preenchimento: VRd,c·r + VSd,(g1+g2)·(1 − r).</t>
  </si>
  <si>
    <t>VRd,cca</t>
  </si>
  <si>
    <t>Com capa e com alvéolos preenchidos.</t>
  </si>
  <si>
    <t>VRd,td</t>
  </si>
  <si>
    <t>Resistência aplicável à configuração da laje.</t>
  </si>
  <si>
    <t>6. Flexo-cortante – região fissurada por flexão</t>
  </si>
  <si>
    <t>VRd,fl (sem preench.)</t>
  </si>
  <si>
    <t>Geometria, item b).</t>
  </si>
  <si>
    <t>VRd,fl (com preench.)</t>
  </si>
  <si>
    <t>Geometria, item c) – conforme o momento do preenchimento (C7).</t>
  </si>
  <si>
    <t>VRd,fl</t>
  </si>
  <si>
    <t>VRd,fl (fase construtiva)</t>
  </si>
  <si>
    <t>Seção pré-fabricada isolada, fckj (Geometria item a).</t>
  </si>
  <si>
    <t>VSd (fase construtiva)</t>
  </si>
  <si>
    <t>g1 + g2 (peso próprio, preenchimento e capa fresca).</t>
  </si>
  <si>
    <t>7. Bielas comprimidas</t>
  </si>
  <si>
    <t>VRd,dc</t>
  </si>
  <si>
    <t>0,5·ν·fcd·0,9·d·Σbw (Σbw,2 se houver preenchimento).</t>
  </si>
  <si>
    <t>VSd</t>
  </si>
  <si>
    <t>Seção crítica mais próxima do apoio.</t>
  </si>
  <si>
    <t>8. Cisalhamento na interface capa × laje</t>
  </si>
  <si>
    <t>Rpd</t>
  </si>
  <si>
    <t>Resultante de tração no ELU = Ap,inf·σpd (= resultante de compressão).</t>
  </si>
  <si>
    <t>Rcc,capa,máx</t>
  </si>
  <si>
    <t>Compressão máxima absorvível pela capa (0,85·fcd,capa·b·hcapa).</t>
  </si>
  <si>
    <t>Fração da compressão resultante situada na capa.</t>
  </si>
  <si>
    <t>y (bloco comprimido)</t>
  </si>
  <si>
    <t>Altura do diagrama retangular de compressão.</t>
  </si>
  <si>
    <t>yc (CG da compressão)</t>
  </si>
  <si>
    <t>A partir da face superior.</t>
  </si>
  <si>
    <t>Braço de alavanca.</t>
  </si>
  <si>
    <t>Largura da interface.</t>
  </si>
  <si>
    <t>υEd</t>
  </si>
  <si>
    <t>β·VSd/(z·b), com VSd a 0,5·h da face do apoio.</t>
  </si>
  <si>
    <t>υRd</t>
  </si>
  <si>
    <t>c·fctd,capa</t>
  </si>
  <si>
    <t>9. Interação força cortante × momento fletor (flexo-cortante)</t>
  </si>
  <si>
    <t>ηMV</t>
  </si>
  <si>
    <t>((VSd/VRd,fl)⁴ + (MEd/MRd)⁴)^¼ – Geometria item d).</t>
  </si>
  <si>
    <t>ηMV,lim</t>
  </si>
  <si>
    <t>10. Resumo</t>
  </si>
  <si>
    <t>VSd / atuante</t>
  </si>
  <si>
    <t>VRd / limite</t>
  </si>
  <si>
    <t>Tração diagonal (kN)</t>
  </si>
  <si>
    <t>Flexo-cortante (kN)</t>
  </si>
  <si>
    <t>Flexo-cortante – fase construtiva (kN)</t>
  </si>
  <si>
    <t>Bielas comprimidas (kN)</t>
  </si>
  <si>
    <t>Interface capa × laje (MPa)</t>
  </si>
  <si>
    <t>Interação V × M (ηMV)</t>
  </si>
  <si>
    <t>Maior cortante de cálculo entre as seções críticas verificadas (→ Geometria M13).</t>
  </si>
  <si>
    <t>VRd,mín</t>
  </si>
  <si>
    <t>Menor resistência entre tração diagonal, flexo-cortante e bielas (→ Geometria M15).</t>
  </si>
  <si>
    <t>Mecanismo determinante</t>
  </si>
  <si>
    <t>Situação geral</t>
  </si>
  <si>
    <t>Todas as verificações acima (→ Geometria L17).</t>
  </si>
  <si>
    <t>Parâmetros da homogeneização (como na planilha de referência: α = Ep/Ecs(t) para cordoalhas e Es/Ecs(t) para vergalhões)</t>
  </si>
  <si>
    <t>Ep =</t>
  </si>
  <si>
    <t>Módulo de elasticidade das cordoalhas (NBR 6118, 8.4.4).</t>
  </si>
  <si>
    <t>Es =</t>
  </si>
  <si>
    <t>Módulo de elasticidade dos vergalhões (NBR 6118, 8.3.5).</t>
  </si>
  <si>
    <t>t,pré =</t>
  </si>
  <si>
    <t>Idade da seção pré-fabricada na homogeneização (ato da protensão).</t>
  </si>
  <si>
    <t>β1(t,pré) =</t>
  </si>
  <si>
    <t>Crescimento da resistência do concreto com a idade.</t>
  </si>
  <si>
    <t>Ecs(t,pré) =</t>
  </si>
  <si>
    <t>Módulo secante do concreto da viga nessa idade.</t>
  </si>
  <si>
    <t>αp,pré =</t>
  </si>
  <si>
    <t>Relação Ep/Ecs – cordoalhas na seção pré-fabricada.</t>
  </si>
  <si>
    <t>αe,pré =</t>
  </si>
  <si>
    <t>Relação Es/Ecs – vergalhões na seção pré-fabricada.</t>
  </si>
  <si>
    <t>t,comp =</t>
  </si>
  <si>
    <t>Idade na solidarização (seção composta).</t>
  </si>
  <si>
    <t>β1(t,comp) =</t>
  </si>
  <si>
    <t>Ecs(t,comp) =</t>
  </si>
  <si>
    <t>αp,comp =</t>
  </si>
  <si>
    <t>Relação Ep/Ecs – cordoalhas na seção composta.</t>
  </si>
  <si>
    <t>αe,comp =</t>
  </si>
  <si>
    <t>Relação Es/Ecs – vergalhões na seção composta.</t>
  </si>
  <si>
    <t>Conferência: a coluna da Seção 11 (x = L/2, meio do vão) reproduz os valores da aba Geometria (linhas 194-195, 221-222, 237-238).</t>
  </si>
  <si>
    <t>Correções aplicadas também na aba Geometria: Xp,inf no denominador da perda inferior; ψ1000 por interpolação linear da Tabela 8.4 (0 para σ/fptk ≤ 0,5); relaxação e tensão inicial próprias da cordoalha superior; distância correta do cabo superior ao CG da seção composta.</t>
  </si>
  <si>
    <t>A cordoalha superior usa sua própria tensão inicial (Geometria!L105) e sua própria relaxação (Geometria!H190); o antigo fator 0,8 foi removido.</t>
  </si>
  <si>
    <t>σpi,sup — tensão inicial da cordoalha superior (kN/cm²) [Geometria!L105]</t>
  </si>
  <si>
    <t>termo geom. sup. [(h − y cabo sup − ycg,comp)/100]</t>
  </si>
  <si>
    <t>σp,sup, t=1 (kN/cm²)   [Geometria: I195 = σpi,sup − anc. − relax. sup. − perda elástica]</t>
  </si>
  <si>
    <t>Xp,inf (=1+X(inf,1)inf)</t>
  </si>
  <si>
    <t>% perda total — superior (em relação a σpi,sup)</t>
  </si>
  <si>
    <t>σp,inf,∞</t>
  </si>
  <si>
    <t>Np,tot</t>
  </si>
  <si>
    <t>Mp,tot</t>
  </si>
  <si>
    <t>σp,sup,t=1 — Zona A (kN/cm²)</t>
  </si>
  <si>
    <t>VERIFICAÇÃO DO ESTÁDIO POR ETAPA PARA O CÁLCULO DAS FLECHAS – LAJE ALVEOLAR</t>
  </si>
  <si>
    <t>Mr = α·fct,m(t)·W + Wi·Np/A + Mp (fissuração na borda inferior, na idade t de cada etapa; fck,j(t) = β1(t)·fck, limitado entre fck,j do ato e fck). Mesmo critério da planilha de referência (aba ELS-Deformação).</t>
  </si>
  <si>
    <t>Ma = momento acumulado na combinação rara (permanentes + acidental integral). Se Ma &gt; Mr a etapa entra no Estádio II e permanece nele; a flecha imediata dessa etapa é dividida pelo CNLF (Geometria!H1008).</t>
  </si>
  <si>
    <t>Etapas 1 a 4 na seção pré-fabricada; 5 a 7 na seção composta quando há solidarização (Geometria!I15). Etapas 1 a 6 com σp após as perdas imediatas; etapa 7 com σp no tempo infinito.</t>
  </si>
  <si>
    <t>Etapa</t>
  </si>
  <si>
    <t>Seção resistente</t>
  </si>
  <si>
    <t>Idade t (dias)</t>
  </si>
  <si>
    <t>β1(t)</t>
  </si>
  <si>
    <t>fck,j(t) (MPa)</t>
  </si>
  <si>
    <t>fct,m(t) (MPa)</t>
  </si>
  <si>
    <t>σp,inf (kN/cm²)</t>
  </si>
  <si>
    <t>σp,sup (kN/cm²)</t>
  </si>
  <si>
    <t>Np (kN)</t>
  </si>
  <si>
    <t>Mp (kN·cm)</t>
  </si>
  <si>
    <t>A (cm²)</t>
  </si>
  <si>
    <t>Wi (cm³)</t>
  </si>
  <si>
    <t>W p/ fct (cm³)</t>
  </si>
  <si>
    <t>Mr (kN·cm)</t>
  </si>
  <si>
    <t>Ma,rara acumulado (kN·cm)</t>
  </si>
  <si>
    <t>Fator na flecha imediata</t>
  </si>
  <si>
    <t>Peso próprio da laje (g0)</t>
  </si>
  <si>
    <t>Alvéolos + chaveta (g1)</t>
  </si>
  <si>
    <t>Capa (g2)</t>
  </si>
  <si>
    <t>Alvenaria (g4)</t>
  </si>
  <si>
    <t>Revestimento (g3)</t>
  </si>
  <si>
    <t>Carga acidental (q – rara)</t>
  </si>
  <si>
    <t>Observações</t>
  </si>
  <si>
    <t>1) A linha "Perda de protensão" da tabela de flechas (Geometria, linha 997) usa o estádio da etapa 1, como na referência.</t>
  </si>
  <si>
    <t>2) α = Geometria!N51 (coeficiente da seção). A referência usa 1,2 nas etapas pré-fabricadas e 1,5 nas compostas (texto fixo por etapa).</t>
  </si>
  <si>
    <t>3) Seção composta: W composto só na parcela α·fct; Np/A e Mp atuam na seção pré-fabricada (mesma aproximação da referência).</t>
  </si>
  <si>
    <t>Majorador do módulo para avaliação de efeito dinâmico (calibrado em 1,0 com ensaios de campo - ver aba Frequência, item 9)</t>
  </si>
  <si>
    <t>*Módulo secante da laje × daf da laje isolada (item 8)</t>
  </si>
  <si>
    <t>*fck de referência: a seção composta é homogeneizada para o concreto da laje (item 8)</t>
  </si>
  <si>
    <t>*Módulo secante da laje × daf do pano pronto (item 8)</t>
  </si>
  <si>
    <t>*Área real de concreto: laje + capa na largura da laje (a chaveta é somada em C20)</t>
  </si>
  <si>
    <t>*Inércia da seção composta (laje + capa + chaveta) homogeneizada para o concreto da laje (item 8)</t>
  </si>
  <si>
    <t>*Rigidez estática para carga uniformemente distribuída (carga total / flecha no meio do vão = 384EI/5L³). Para força concentrada no centro seria 48EI/L³. Considerando bi-apoiada</t>
  </si>
  <si>
    <t>*Frequência natural do elemento, com o engastamento semirrígido dos apoios (×R, item 2.2b)</t>
  </si>
  <si>
    <t>*Valor limite adotado com base em obra anterior (piso de fábrica de papel) - critério de projeto, não normativo</t>
  </si>
  <si>
    <t>*Frequência natural do pano, com o engastamento semirrígido dos apoios (×R, item 2.2b)</t>
  </si>
  <si>
    <t>*Cada tabela varia o vão L mantendo fixas as demais propriedades (Ecs, I, cargas, R), para ajuste de fn = a*L^b. Tabelas 5.2 e 5.3 incluem o engastamento semirrígido (×R)</t>
  </si>
  <si>
    <t>*Coeficiente de engastamento do apoio esquerdo para a frequência (item 10, pela armadura da capa)</t>
  </si>
  <si>
    <t>*Coeficiente de engastamento do apoio direito para a frequência (item 10, pela armadura da capa)</t>
  </si>
  <si>
    <t>*Multiplicador sobre a frequência biapoiada = (u/π)². Sobre a rigidez modal equivaleria a (u/π)⁴</t>
  </si>
  <si>
    <t>7.</t>
  </si>
  <si>
    <t>VERIFICAÇÕES COMPLEMENTARES DE CONFORTO (AISC Design Guide 11, 2ª ed.)</t>
  </si>
  <si>
    <t>*A frequência natural sozinha não garante conforto. Estas verificações conferem a frequência por outro caminho (7.1), consideram a deformabilidade das vigas de apoio (7.2) e estimam a aceleração que uma pessoa caminhando provoca no piso (7.3), que é o que o usuário efetivamente sente. Entradas editáveis: δviga, q,uso, Cj, β, P0 e a0/g.</t>
  </si>
  <si>
    <t>7.1</t>
  </si>
  <si>
    <t>CONFERÊNCIA DA FREQUÊNCIA PELA FLECHA</t>
  </si>
  <si>
    <t>w</t>
  </si>
  <si>
    <t>*Carga por laje na mesma combinação do item 3: peso próprio + capa + chaveta + g5 + ψ1·q1</t>
  </si>
  <si>
    <t>δlaje</t>
  </si>
  <si>
    <t>*Flecha elástica imediata no meio do vão, laje biapoiada, com o Ecs dinâmico (5wL⁴/384EI)</t>
  </si>
  <si>
    <t>fn,flecha</t>
  </si>
  <si>
    <t>*fn = 0,18·√(g/δ) × R. Fórmula do AISC DG11 (eq. 3.3); para viga biapoiada é praticamente exata (o coeficiente teórico é 0,179)</t>
  </si>
  <si>
    <t>*Diferença para o item 3. Deve ser próxima de zero: é uma conferência independente das fórmulas e unidades</t>
  </si>
  <si>
    <t>7.2</t>
  </si>
  <si>
    <t>INFLUÊNCIA DA FLEXIBILIDADE DAS VIGAS DE APOIO</t>
  </si>
  <si>
    <t>δviga,esq</t>
  </si>
  <si>
    <t>*Deslocamento da viga de apoio esquerda sob a reação das lajes (vem da aba "Deslocamento viga"). 0 = apoio indeformável</t>
  </si>
  <si>
    <t>δviga,dir</t>
  </si>
  <si>
    <t>*Deslocamento da viga de apoio direita (vem da aba "Deslocamento viga")</t>
  </si>
  <si>
    <t>δviga</t>
  </si>
  <si>
    <t>*Deslocamento médio dos apoios: é o quanto o meio do vão da laje desce a mais por causa das vigas</t>
  </si>
  <si>
    <t>fviga</t>
  </si>
  <si>
    <t>*Frequência do modo em que as vigas vibram levando as lajes junto</t>
  </si>
  <si>
    <t>fn,sistema</t>
  </si>
  <si>
    <t>*Frequência do conjunto laje + vigas (Dunkerley: 1/f² = 1/flaje² + 1/fviga²). Sempre menor que as duas; é o valor a comparar com a tabela de usos</t>
  </si>
  <si>
    <t>7.3</t>
  </si>
  <si>
    <t>ACELERAÇÃO DE PICO POR CAMINHADA (AISC DG11, cap. 4)</t>
  </si>
  <si>
    <t>*Critério: ap/g = P0·e^(−0,35·fn) / (β·W) ≤ a0/g. Vale para fn &lt; 9 Hz; acima disso a caminhada não entra em ressonância e o critério passa a ser a rigidez a uma força concentrada (≥ 1 kN/mm).</t>
  </si>
  <si>
    <t>q,uso</t>
  </si>
  <si>
    <t>*Sobrecarga realmente presente no uso, e não a de projeto (AISC: ≈ 50 kgf/m² escritórios, ≈ 30 kgf/m² residências). Aqui mais massa reduz a aceleração, então usar a carga de projeto ficaria contra a segurança</t>
  </si>
  <si>
    <t>fn,ac</t>
  </si>
  <si>
    <t>*Frequência do pano com a carga de uso real (mesma fórmula do item 3, incluindo R e as vigas do item 7.2)</t>
  </si>
  <si>
    <t>Ds</t>
  </si>
  <si>
    <t>m⁴/m</t>
  </si>
  <si>
    <t>*Rigidez transversal por metro de largura: só a capa (conservador, as juntas entre lajes não transmitem flexão)</t>
  </si>
  <si>
    <t>Dj</t>
  </si>
  <si>
    <t>*Rigidez longitudinal por metro de largura: inércia da seção composta / largura da laje</t>
  </si>
  <si>
    <t>Cj</t>
  </si>
  <si>
    <t>*2,0 para painel no meio do piso; 1,0 para painel junto a uma borda livre (sem laje do outro lado)</t>
  </si>
  <si>
    <t>Bj</t>
  </si>
  <si>
    <t>*Largura efetiva do piso que vibra junto com o ponto excitado, limitada a 2/3 da largura do pano</t>
  </si>
  <si>
    <t>W</t>
  </si>
  <si>
    <t>*Peso efetivo que participa da vibração: carga por m² × Bj × L</t>
  </si>
  <si>
    <t>*Taxa de amortecimento: 0,02 laje sem acabamentos/divisórias; 0,03 com forro, instalações e mobiliário; 0,05 com divisórias até o teto</t>
  </si>
  <si>
    <t>P0</t>
  </si>
  <si>
    <t>*Amplitude da força de uma pessoa caminhando (AISC: 0,29 kN)</t>
  </si>
  <si>
    <t>ap/g</t>
  </si>
  <si>
    <t>%g</t>
  </si>
  <si>
    <t>*Aceleração de pico estimada, em % da gravidade</t>
  </si>
  <si>
    <t>a0/g</t>
  </si>
  <si>
    <t>*Limite (AISC Tab. 4.1): 0,5% escritórios, residências, escolas, igrejas; 1,5% shoppings e passarelas internas; 5% passarelas externas</t>
  </si>
  <si>
    <t>kpontual</t>
  </si>
  <si>
    <t>kN/mm</t>
  </si>
  <si>
    <t>*Rigidez a força concentrada no meio do vão de uma laje isolada (48EI/L³, conservador). Usada só quando fn ≥ 9 Hz: exige ≥ 1 kN/mm</t>
  </si>
  <si>
    <t>8.</t>
  </si>
  <si>
    <t>PARÂMETROS DOS MATERIAIS E SEÇÃO COMPOSTA HOMOGENEIZADA (usados nos itens 1 a 3)</t>
  </si>
  <si>
    <t>*A seção composta é homogeneizada para o concreto da laje: capa e chaveta entram com a razão entre módulos (n), cada material com seu αE. A massa usa a área real de concreto (capa na largura da laje). O daf é separado entre laje isolada (montagem) e pano pronto, conforme os ensaios do item 9.</t>
  </si>
  <si>
    <t>αE,laje</t>
  </si>
  <si>
    <t>*Agregado do concreto da laje (fabricante: 1,0). NBR 6118 8.2.8: basalto/diabásio 1,2; granito/gnaisse 1,0; calcário 0,9; arenito 0,7</t>
  </si>
  <si>
    <t>αE,capa</t>
  </si>
  <si>
    <t>*Agregado do concreto da capa (concreto de obra, pode diferir do da laje)</t>
  </si>
  <si>
    <t>fck,chav</t>
  </si>
  <si>
    <t>*fck do concreto/graute da chaveta (padrão = fck da capa)</t>
  </si>
  <si>
    <t>αE,chav</t>
  </si>
  <si>
    <t>*Agregado do concreto da chaveta (padrão = capa)</t>
  </si>
  <si>
    <t>daf,isol</t>
  </si>
  <si>
    <t>daf,pronto</t>
  </si>
  <si>
    <t>*Majorador dinâmico do módulo para o pano pronto (Geometria H1290). Calibrado em 1,0 com os ensaios do item 9</t>
  </si>
  <si>
    <t>*Módulo secante estático do concreto da laje</t>
  </si>
  <si>
    <t>Ecs,capa</t>
  </si>
  <si>
    <t>*Módulo secante estático do concreto da capa</t>
  </si>
  <si>
    <t>Ecs,chav</t>
  </si>
  <si>
    <t>*Módulo secante estático do concreto da chaveta</t>
  </si>
  <si>
    <t>n,capa</t>
  </si>
  <si>
    <t>*Razão de módulos capa / laje</t>
  </si>
  <si>
    <t>n,chav</t>
  </si>
  <si>
    <t>*Razão de módulos chaveta / laje</t>
  </si>
  <si>
    <t>A,pré</t>
  </si>
  <si>
    <t>*Área da laje pré-fabricada</t>
  </si>
  <si>
    <t>y,pré</t>
  </si>
  <si>
    <t>*Centro de gravidade da laje, a partir da face inferior</t>
  </si>
  <si>
    <t>I,pré</t>
  </si>
  <si>
    <t>m⁴</t>
  </si>
  <si>
    <t>*Inércia da laje pré-fabricada</t>
  </si>
  <si>
    <t>A,capa</t>
  </si>
  <si>
    <t>*Capa na largura da laje (bf × hcapa)</t>
  </si>
  <si>
    <t>y,capa</t>
  </si>
  <si>
    <t>*Centro de gravidade da capa</t>
  </si>
  <si>
    <t>I,capa</t>
  </si>
  <si>
    <t>*Inércia própria da capa</t>
  </si>
  <si>
    <t>A,chav</t>
  </si>
  <si>
    <t>*Área da chaveta (uma junta por laje)</t>
  </si>
  <si>
    <t>y,chav</t>
  </si>
  <si>
    <t>*Centro de gravidade da chaveta</t>
  </si>
  <si>
    <t>I,chav</t>
  </si>
  <si>
    <t>*Inércia própria da chaveta</t>
  </si>
  <si>
    <t>A,hom</t>
  </si>
  <si>
    <t>*Área homogeneizada</t>
  </si>
  <si>
    <t>y,hom</t>
  </si>
  <si>
    <t>*Centro de gravidade da seção homogeneizada</t>
  </si>
  <si>
    <t>I,hom</t>
  </si>
  <si>
    <t>*Inércia da seção composta (laje + capa + chaveta) homogeneizada para o concreto da laje</t>
  </si>
  <si>
    <t>A,real</t>
  </si>
  <si>
    <t>*Área real de concreto para a massa (a chaveta é somada em C20)</t>
  </si>
  <si>
    <t>9.</t>
  </si>
  <si>
    <t>9.1</t>
  </si>
  <si>
    <t>fn,calc</t>
  </si>
  <si>
    <t>fn,med</t>
  </si>
  <si>
    <t>9.2</t>
  </si>
  <si>
    <t>cm²/m</t>
  </si>
  <si>
    <t>kN.m/rad</t>
  </si>
  <si>
    <t>*1º pico medido</t>
  </si>
  <si>
    <t>*Em relação ao 1º pico</t>
  </si>
  <si>
    <t>fn,med2</t>
  </si>
  <si>
    <t>*Em relação ao 2º pico</t>
  </si>
  <si>
    <t>10.</t>
  </si>
  <si>
    <t>ENGASTAMENTO DOS APOIOS PARA A FREQUÊNCIA (armadura da capa sobre o apoio)</t>
  </si>
  <si>
    <t>*Para vibração, o αR de cada apoio é calculado com a armadura que efetivamente passa sobre ele: a maior entre a malha da capa e a armadura negativa de projeto. Mesmo critério da Geometria (NBR 9062: Rsec = k·As·Es·d²/Led, com NLF), calibrado com o ensaio 2 do item 9. O αR de dimensionamento (Geometria) não é alterado. Só vale se a malha for contínua sobre as vigas; caso contrário, zerar As,malha.</t>
  </si>
  <si>
    <t>As,malha</t>
  </si>
  <si>
    <t>*Armadura da malha da capa que passa sobre os apoios (padrão φ5 c/15 = 1,31 cm²/m). Ajustar para a malha do projeto</t>
  </si>
  <si>
    <t>φ,malha</t>
  </si>
  <si>
    <t>*Diâmetro da malha da capa</t>
  </si>
  <si>
    <t>As,esq</t>
  </si>
  <si>
    <t>*Apoio esquerdo: maior entre a malha e a armadura negativa de projeto</t>
  </si>
  <si>
    <t>φ,esq</t>
  </si>
  <si>
    <t>*Diâmetro correspondente</t>
  </si>
  <si>
    <t>As,dir</t>
  </si>
  <si>
    <t>*Apoio direito: maior entre a malha e a armadura negativa de projeto</t>
  </si>
  <si>
    <t>φ,dir</t>
  </si>
  <si>
    <t>*Altura útil da armadura da capa</t>
  </si>
  <si>
    <t>*Comprimento de apoio</t>
  </si>
  <si>
    <t>Rsec,esq</t>
  </si>
  <si>
    <t>*Rigidez da ligação esquerda por laje (k = 0,75; Led = 25φ + La)</t>
  </si>
  <si>
    <t>Rsec,dir</t>
  </si>
  <si>
    <t>*Rigidez da ligação direita por laje</t>
  </si>
  <si>
    <t>*Mesmo fator da Geometria. Com 0,25 o ensaio 2 foi reproduzido entre −6% e +8%</t>
  </si>
  <si>
    <t>αR,esq</t>
  </si>
  <si>
    <t>*Coeficiente de engastamento esquerdo usado na frequência (item 2.2b)</t>
  </si>
  <si>
    <t>αR,dir</t>
  </si>
  <si>
    <t>*Coeficiente de engastamento direito usado na frequência (item 2.2b)</t>
  </si>
  <si>
    <t>V.</t>
  </si>
  <si>
    <t>DESLOCAMENTO DAS VIGAS DE APOIO DAS LAJES (entrada do item 7.2 da aba Frequência)</t>
  </si>
  <si>
    <t>*A laje vibra junto com as vigas em que se apoia: o deslocamento da viga no ponto de apoio da laje soma-se à flecha da laje e reduz a frequência do conjunto (item 7.2). As cargas são as mesmas do item 3 da aba Frequência (peso próprio + g5 + ψ1·q1). Preencha os dados de cada viga ou force o deslocamento calculado externamente em "δ forçado". Enquanto "Considerar" estiver "Não", o deslocamento adotado é zero (apoio indeformável).</t>
  </si>
  <si>
    <t>Viga esquerda</t>
  </si>
  <si>
    <t>Viga direita</t>
  </si>
  <si>
    <t>Unid.</t>
  </si>
  <si>
    <t>Considerar?</t>
  </si>
  <si>
    <t>*"Sim" para somar o deslocamento desta viga no item 7.2; "Não" = apoio indeformável</t>
  </si>
  <si>
    <t>Lviga</t>
  </si>
  <si>
    <t>*Vão da viga (entre apoios)</t>
  </si>
  <si>
    <t>*Largura da viga</t>
  </si>
  <si>
    <t>*Altura da viga</t>
  </si>
  <si>
    <t>*Classe do concreto da viga</t>
  </si>
  <si>
    <t>αE</t>
  </si>
  <si>
    <t>*Coeficiente do agregado (NBR 6118 8.2.8)</t>
  </si>
  <si>
    <t>*Majorador dinâmico do módulo (mesmo da laje)</t>
  </si>
  <si>
    <t>*Módulo secante majorado</t>
  </si>
  <si>
    <t>*Inércia bruta retangular (substituir por I da seção composta, se houver, em "I forçado")</t>
  </si>
  <si>
    <t>I forçado</t>
  </si>
  <si>
    <t>*Opcional: inércia da viga calculada externamente (seção T, composta, protendida)</t>
  </si>
  <si>
    <t>I adotado</t>
  </si>
  <si>
    <t>*Inércia usada</t>
  </si>
  <si>
    <t>qpiso</t>
  </si>
  <si>
    <t>*Carga do piso na combinação do item 3 da aba Frequência</t>
  </si>
  <si>
    <t>Llaje,1</t>
  </si>
  <si>
    <t>*Vão da laje calculada, apoiada nesta viga</t>
  </si>
  <si>
    <t>Llaje,2</t>
  </si>
  <si>
    <t>*Vão da laje do outro lado da viga (0 = viga de borda)</t>
  </si>
  <si>
    <t>wlaje</t>
  </si>
  <si>
    <t>*Reação das lajes na viga (metade do vão de cada lado)</t>
  </si>
  <si>
    <t>wpp</t>
  </si>
  <si>
    <t>*Peso próprio da viga</t>
  </si>
  <si>
    <t>*Carga total na viga</t>
  </si>
  <si>
    <t>Coef.</t>
  </si>
  <si>
    <t>*Condição de apoio da viga: 1,0 biapoiada; ≈ 0,42 vão extremo contínuo; ≈ 0,2 vão interno contínuo ou biengastada</t>
  </si>
  <si>
    <t>δcalc</t>
  </si>
  <si>
    <t>*Deslocamento no meio do vão da viga (5wL⁴/384EI × coef.)</t>
  </si>
  <si>
    <t>δ forçado</t>
  </si>
  <si>
    <t>*Opcional: deslocamento calculado externamente (sobrepõe o calculado)</t>
  </si>
  <si>
    <t>δ adotado</t>
  </si>
  <si>
    <t>*Valor enviado ao item 7.2 da aba Frequência</t>
  </si>
  <si>
    <t>*Frequência própria da viga com as lajes (informativo)</t>
  </si>
  <si>
    <t>fncomp+cargas+vigas</t>
  </si>
  <si>
    <t>Frequência do pano com cargas e deformação das vigas de apoio (usada nos critérios)</t>
  </si>
  <si>
    <t>*Frequência natural da laje isolada (montagem). Atenção: no ensaio de Morandini a laje solta, sem graute nos apoios, mediu cerca de 13% abaixo deste cálculo</t>
  </si>
  <si>
    <t>fn,sist</t>
  </si>
  <si>
    <t>*Frequência do pano com todas as cargas + deformação das vigas de apoio (item 7.2 / aba Deslocamento viga). É o valor usado nos critérios</t>
  </si>
  <si>
    <t>3. Com todas as cargas e vigas</t>
  </si>
  <si>
    <t>Situação (fn,sist = C51)</t>
  </si>
  <si>
    <t>*Majorador dinâmico do módulo para a laje isolada (item 2.1). Calibrado em 1,0 com os ensaios de campo</t>
  </si>
  <si>
    <t>VALIDAÇÃO COM MEDIÇÃO DE CAMPO (usa o modelo preenchido na Geometria)</t>
  </si>
  <si>
    <t>*Compara as frequências desta aba com valores medidos. Preencha a Geometria com o piso ensaiado (vão, altura, capa, armaduras) e informe abaixo as frequências medidas. Referências de Morandini (2026): H250 + chaveta + capa 5 cm (φ5 c/15), L = 9,82 m, piso pronto: 8,13 Hz (1º pico) e 9,96 Hz (2º pico). H300 isolada na montagem, L = 10,88 m: 4,59 Hz.</t>
  </si>
  <si>
    <t>LAJE ISOLADA NA MONTAGEM (compara com o item 2.1)</t>
  </si>
  <si>
    <t>*Frequência medida da laje solta, antes da capa e da chaveta (deixar vazio se não houver ensaio deste modelo)</t>
  </si>
  <si>
    <t>*Item 2.1</t>
  </si>
  <si>
    <t>*Positivo = cálculo acima do medido. Na montagem os apoios sem graute cedem; o ensaio H300 mediu cerca de 13% abaixo do cálculo</t>
  </si>
  <si>
    <t>PISO PRONTO, SEM SOBRECARGA (compara com o item 2.2)</t>
  </si>
  <si>
    <t>*2º pico medido (a medição não separa qual é a flexão principal)</t>
  </si>
  <si>
    <t>*Item 2.2: pano com capa e chaveta, só peso próprio, apoios semirrígidos pela armadura da capa (item 10)</t>
  </si>
  <si>
    <t>Diferença 2</t>
  </si>
  <si>
    <t>fn,calc+vigas</t>
  </si>
  <si>
    <t>*Item 2.2 somando a deformação das vigas (item 7.2). Para comparar com o ensaio, o deslocamento da viga deve ser o da carga presente no dia (só peso próprio)</t>
  </si>
  <si>
    <t>*Calibração obtida com os dois ensaios: daf = 1,0 (Geometria H1290) e αR de cada apoio pela armadura da capa com NLF = 0,25 (item 10). Com o modelo H250 na Geometria, o item 2.2 ficou cerca de 6% acima do 1º pico medido.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</si>
</sst>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3" formatCode="_-* #,##0.00_-;\-* #,##0.00_-;_-* &quot;-&quot;??_-;_-@_-"/>
    <numFmt numFmtId="164" formatCode="0.0\ &quot;cm&quot;"/>
    <numFmt numFmtId="165" formatCode="0.0\ &quot;cm²&quot;"/>
    <numFmt numFmtId="166" formatCode="0\ &quot;cm4&quot;"/>
    <numFmt numFmtId="167" formatCode="0\ &quot;cm³&quot;"/>
    <numFmt numFmtId="168" formatCode="0.00\ &quot;cm&quot;"/>
    <numFmt numFmtId="169" formatCode="0.0"/>
    <numFmt numFmtId="170" formatCode="0.000"/>
    <numFmt numFmtId="171" formatCode="0\ &quot;cm&quot;"/>
    <numFmt numFmtId="172" formatCode="&quot;Ø&quot;0.0&quot;mm&quot;"/>
    <numFmt numFmtId="173" formatCode="0.0\ &quot;%&quot;"/>
    <numFmt numFmtId="174" formatCode="0\ &quot;%&quot;"/>
    <numFmt numFmtId="175" formatCode="0.0000"/>
    <numFmt numFmtId="176" formatCode="0.0\ &quot;%..&quot;"/>
    <numFmt numFmtId="177" formatCode="0.00\ &quot;%..&quot;"/>
    <numFmt numFmtId="178" formatCode="0\ &quot;cm²&quot;"/>
    <numFmt numFmtId="179" formatCode="0\ &quot;MPa&quot;"/>
    <numFmt numFmtId="180" formatCode="0\ &quot;dias&quot;"/>
    <numFmt numFmtId="181" formatCode="0\ &quot;°&quot;"/>
    <numFmt numFmtId="182" formatCode="0.00\ &quot;m&quot;"/>
    <numFmt numFmtId="183" formatCode="General_)"/>
    <numFmt numFmtId="184" formatCode="0.00\ &quot;MPa&quot;"/>
    <numFmt numFmtId="185" formatCode="&quot;Ø&quot;\ 0.0\ &quot;mm&quot;"/>
    <numFmt numFmtId="186" formatCode="\c\=\ 0.00\ &quot;m&quot;"/>
    <numFmt numFmtId="187" formatCode="0.0\ &quot;kN&quot;"/>
    <numFmt numFmtId="188" formatCode="0\ &quot;%..&quot;"/>
    <numFmt numFmtId="189" formatCode="0.000\ &quot;m²&quot;"/>
    <numFmt numFmtId="190" formatCode="0.000\ &quot;m&quot;"/>
    <numFmt numFmtId="191" formatCode="0.0\ &quot;kN/cm²&quot;"/>
    <numFmt numFmtId="192" formatCode="0.0000000"/>
    <numFmt numFmtId="193" formatCode="0.0000\ &quot;m²&quot;"/>
    <numFmt numFmtId="194" formatCode="0\ &quot;kN/m²&quot;"/>
    <numFmt numFmtId="195" formatCode="0.0000\ &quot;m&quot;"/>
    <numFmt numFmtId="196" formatCode="0.00000"/>
    <numFmt numFmtId="197" formatCode="0.0000\ &quot;kN/cm²&quot;"/>
    <numFmt numFmtId="198" formatCode="0.00\ &quot;kN&quot;"/>
    <numFmt numFmtId="199" formatCode="0.00\ &quot;kN/cm²&quot;"/>
    <numFmt numFmtId="200" formatCode="&quot;ɸ&quot;\ 0.0\ &quot; mm&quot;"/>
    <numFmt numFmtId="201" formatCode="0.000%"/>
    <numFmt numFmtId="202" formatCode="&quot;Ø&quot;0.0\ &quot;mm&quot;"/>
    <numFmt numFmtId="203" formatCode="0.00\ &quot;cm²/m&quot;"/>
    <numFmt numFmtId="204" formatCode="0.00\ &quot;Hz&quot;"/>
    <numFmt numFmtId="205" formatCode="0.00E+00\ &quot;N/m&quot;"/>
    <numFmt numFmtId="206" formatCode="0.000000"/>
    <numFmt numFmtId="207" formatCode="0.00\ &quot;kN/m&quot;"/>
    <numFmt numFmtId="208" formatCode="0.000\ &quot;kN/cm²&quot;"/>
    <numFmt numFmtId="209" formatCode="_(* #,##0.00_);_(* \(#,##0.00\);_(* &quot;-&quot;??_);_(@_)"/>
    <numFmt numFmtId="210" formatCode="0.0\ &quot;MPa&quot;"/>
    <numFmt numFmtId="211" formatCode="0.00\ &quot;cm²&quot;"/>
    <numFmt numFmtId="212" formatCode="0.0000%"/>
    <numFmt numFmtId="213" formatCode="0.00\ &quot;kN.m&quot;"/>
    <numFmt numFmtId="214" formatCode="0.0000\ &quot;cm&quot;"/>
    <numFmt numFmtId="215" formatCode="0.00\ &quot;cm³&quot;"/>
    <numFmt numFmtId="216" formatCode="0.00\ &quot;cm4&quot;"/>
    <numFmt numFmtId="217" formatCode="0.000\ &quot;cm&quot;"/>
  </numFmts>
  <fonts count="9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4.3"/>
      <color theme="1"/>
      <name val="Aptos Narrow"/>
      <family val="2"/>
    </font>
    <font>
      <b/>
      <sz val="13.5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vertAlign val="subscript"/>
      <sz val="11"/>
      <color theme="1"/>
      <name val="Calibri"/>
      <family val="2"/>
    </font>
    <font>
      <i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indexed="13"/>
      <name val="Arial Narrow"/>
      <family val="2"/>
    </font>
    <font>
      <b/>
      <sz val="9"/>
      <name val="Tahoma"/>
      <family val="2"/>
    </font>
    <font>
      <sz val="10"/>
      <name val="Courier"/>
    </font>
    <font>
      <b/>
      <sz val="11"/>
      <color indexed="12"/>
      <name val="Arial"/>
      <family val="2"/>
    </font>
    <font>
      <b/>
      <sz val="10"/>
      <color indexed="12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Symbol"/>
      <family val="1"/>
      <charset val="2"/>
    </font>
    <font>
      <sz val="10"/>
      <color indexed="22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indexed="22"/>
      <name val="Symbol"/>
      <family val="1"/>
      <charset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sz val="11"/>
      <color theme="1"/>
      <name val="Arial"/>
      <family val="2"/>
    </font>
    <font>
      <b/>
      <i/>
      <sz val="11"/>
      <color theme="9" tint="-0.499984740745262"/>
      <name val="Aptos Narrow"/>
      <family val="2"/>
      <scheme val="minor"/>
    </font>
    <font>
      <sz val="12"/>
      <name val="Aptos Narrow"/>
      <family val="2"/>
      <scheme val="minor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1"/>
      <scheme val="minor"/>
    </font>
    <font>
      <b/>
      <sz val="11"/>
      <name val="Times New Roman"/>
      <family val="1"/>
    </font>
    <font>
      <b/>
      <vertAlign val="subscript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color theme="1"/>
      <name val="Arial"/>
      <family val="2"/>
    </font>
    <font>
      <b/>
      <i/>
      <sz val="11"/>
      <color theme="9" tint="-0.249977111117893"/>
      <name val="Arial"/>
      <family val="2"/>
    </font>
    <font>
      <b/>
      <sz val="11"/>
      <color theme="4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4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  <font>
      <b/>
      <i/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sz val="11"/>
      <name val="Aptos Narrow"/>
      <family val="2"/>
    </font>
    <font>
      <sz val="11"/>
      <name val="Aptos Narrow"/>
      <family val="2"/>
    </font>
    <font>
      <i/>
      <sz val="9"/>
      <name val="Aptos Narrow"/>
      <family val="2"/>
    </font>
    <font>
      <sz val="10"/>
      <name val="Aptos Narrow"/>
      <family val="2"/>
    </font>
    <font>
      <b/>
      <i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Calibri"/>
      <family val="1"/>
    </font>
    <font>
      <b/>
      <sz val="12.65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b/>
      <sz val="11"/>
      <color theme="1"/>
      <name val="Aptos Display"/>
      <family val="2"/>
      <scheme val="major"/>
    </font>
    <font>
      <b/>
      <vertAlign val="subscript"/>
      <sz val="11"/>
      <color theme="1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vertAlign val="subscript"/>
      <sz val="12.65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3B3B3"/>
      </patternFill>
    </fill>
    <fill>
      <patternFill patternType="solid">
        <fgColor theme="5" tint="0.59987182226020086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183" fontId="22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209" fontId="40" fillId="0" borderId="0" applyFont="0" applyFill="0" applyBorder="0" applyAlignment="0" applyProtection="0"/>
  </cellStyleXfs>
  <cellXfs count="9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9" fillId="0" borderId="0" xfId="1" applyProtection="1">
      <protection hidden="1"/>
    </xf>
    <xf numFmtId="0" fontId="0" fillId="0" borderId="21" xfId="0" applyBorder="1" applyAlignment="1">
      <alignment horizontal="center"/>
    </xf>
    <xf numFmtId="178" fontId="0" fillId="7" borderId="22" xfId="0" applyNumberFormat="1" applyFill="1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179" fontId="0" fillId="7" borderId="23" xfId="0" applyNumberFormat="1" applyFill="1" applyBorder="1" applyAlignment="1" applyProtection="1">
      <alignment horizontal="center"/>
      <protection locked="0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4" fontId="0" fillId="7" borderId="4" xfId="0" applyNumberFormat="1" applyFill="1" applyBorder="1" applyAlignment="1" applyProtection="1">
      <alignment horizontal="center"/>
      <protection locked="0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6" fillId="0" borderId="8" xfId="0" applyFont="1" applyBorder="1" applyAlignment="1">
      <alignment horizontal="center"/>
    </xf>
    <xf numFmtId="174" fontId="0" fillId="7" borderId="4" xfId="0" applyNumberFormat="1" applyFill="1" applyBorder="1" applyAlignment="1" applyProtection="1">
      <alignment horizontal="center"/>
      <protection locked="0"/>
    </xf>
    <xf numFmtId="180" fontId="0" fillId="7" borderId="9" xfId="0" applyNumberFormat="1" applyFill="1" applyBorder="1" applyAlignment="1" applyProtection="1">
      <alignment horizontal="center"/>
      <protection locked="0"/>
    </xf>
    <xf numFmtId="181" fontId="0" fillId="7" borderId="4" xfId="0" applyNumberFormat="1" applyFill="1" applyBorder="1" applyAlignment="1" applyProtection="1">
      <alignment horizontal="center"/>
      <protection locked="0"/>
    </xf>
    <xf numFmtId="0" fontId="0" fillId="7" borderId="10" xfId="0" applyFill="1" applyBorder="1" applyAlignment="1" applyProtection="1">
      <alignment horizontal="center"/>
      <protection locked="0"/>
    </xf>
    <xf numFmtId="0" fontId="0" fillId="7" borderId="11" xfId="0" applyFill="1" applyBorder="1" applyAlignment="1" applyProtection="1">
      <alignment horizontal="center"/>
      <protection locked="0"/>
    </xf>
    <xf numFmtId="0" fontId="0" fillId="7" borderId="12" xfId="0" applyFill="1" applyBorder="1" applyAlignment="1" applyProtection="1">
      <alignment horizontal="center"/>
      <protection locked="0"/>
    </xf>
    <xf numFmtId="164" fontId="0" fillId="7" borderId="11" xfId="0" applyNumberFormat="1" applyFill="1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2" fillId="0" borderId="8" xfId="0" applyFont="1" applyBorder="1" applyAlignment="1">
      <alignment horizontal="center"/>
    </xf>
    <xf numFmtId="170" fontId="0" fillId="0" borderId="9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170" fontId="0" fillId="0" borderId="2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0" fillId="0" borderId="29" xfId="0" applyBorder="1" applyAlignment="1">
      <alignment horizontal="center"/>
    </xf>
    <xf numFmtId="170" fontId="0" fillId="0" borderId="9" xfId="0" applyNumberFormat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2" fontId="0" fillId="0" borderId="29" xfId="0" applyNumberFormat="1" applyBorder="1" applyAlignment="1">
      <alignment horizontal="center" vertical="center"/>
    </xf>
    <xf numFmtId="175" fontId="0" fillId="0" borderId="9" xfId="0" applyNumberFormat="1" applyBorder="1" applyAlignment="1">
      <alignment horizontal="center"/>
    </xf>
    <xf numFmtId="0" fontId="6" fillId="0" borderId="10" xfId="0" applyFont="1" applyBorder="1" applyAlignment="1">
      <alignment horizontal="center"/>
    </xf>
    <xf numFmtId="175" fontId="0" fillId="0" borderId="12" xfId="0" applyNumberFormat="1" applyBorder="1" applyAlignment="1">
      <alignment horizontal="center"/>
    </xf>
    <xf numFmtId="170" fontId="4" fillId="0" borderId="20" xfId="0" applyNumberFormat="1" applyFont="1" applyBorder="1" applyAlignment="1">
      <alignment horizontal="center"/>
    </xf>
    <xf numFmtId="0" fontId="20" fillId="8" borderId="0" xfId="2" applyFont="1" applyFill="1"/>
    <xf numFmtId="0" fontId="9" fillId="8" borderId="0" xfId="2" applyFill="1"/>
    <xf numFmtId="0" fontId="21" fillId="8" borderId="0" xfId="2" applyFont="1" applyFill="1"/>
    <xf numFmtId="0" fontId="9" fillId="0" borderId="0" xfId="2"/>
    <xf numFmtId="0" fontId="9" fillId="0" borderId="0" xfId="2" applyAlignment="1">
      <alignment horizontal="right"/>
    </xf>
    <xf numFmtId="183" fontId="23" fillId="7" borderId="4" xfId="3" applyFont="1" applyFill="1" applyBorder="1" applyAlignment="1" applyProtection="1">
      <alignment horizontal="center"/>
      <protection locked="0"/>
    </xf>
    <xf numFmtId="0" fontId="10" fillId="9" borderId="13" xfId="2" applyFont="1" applyFill="1" applyBorder="1" applyAlignment="1">
      <alignment vertical="center"/>
    </xf>
    <xf numFmtId="170" fontId="24" fillId="9" borderId="1" xfId="2" applyNumberFormat="1" applyFont="1" applyFill="1" applyBorder="1" applyAlignment="1">
      <alignment vertical="center"/>
    </xf>
    <xf numFmtId="0" fontId="10" fillId="9" borderId="43" xfId="2" applyFont="1" applyFill="1" applyBorder="1" applyAlignment="1">
      <alignment vertical="center"/>
    </xf>
    <xf numFmtId="0" fontId="25" fillId="0" borderId="0" xfId="2" applyFont="1"/>
    <xf numFmtId="0" fontId="26" fillId="0" borderId="0" xfId="2" applyFont="1"/>
    <xf numFmtId="0" fontId="9" fillId="0" borderId="4" xfId="2" applyBorder="1"/>
    <xf numFmtId="0" fontId="10" fillId="0" borderId="4" xfId="2" applyFont="1" applyBorder="1" applyAlignment="1">
      <alignment horizontal="center"/>
    </xf>
    <xf numFmtId="0" fontId="27" fillId="0" borderId="39" xfId="2" applyFont="1" applyBorder="1" applyAlignment="1">
      <alignment horizontal="right"/>
    </xf>
    <xf numFmtId="170" fontId="9" fillId="0" borderId="0" xfId="2" quotePrefix="1" applyNumberFormat="1"/>
    <xf numFmtId="0" fontId="9" fillId="0" borderId="37" xfId="2" applyBorder="1"/>
    <xf numFmtId="0" fontId="9" fillId="0" borderId="39" xfId="2" applyBorder="1" applyAlignment="1">
      <alignment horizontal="right"/>
    </xf>
    <xf numFmtId="183" fontId="9" fillId="0" borderId="37" xfId="2" applyNumberFormat="1" applyBorder="1"/>
    <xf numFmtId="0" fontId="25" fillId="0" borderId="0" xfId="2" applyFont="1" applyAlignment="1">
      <alignment horizontal="right"/>
    </xf>
    <xf numFmtId="0" fontId="10" fillId="11" borderId="21" xfId="2" applyFont="1" applyFill="1" applyBorder="1" applyAlignment="1">
      <alignment horizontal="center" vertical="center"/>
    </xf>
    <xf numFmtId="170" fontId="9" fillId="0" borderId="22" xfId="2" applyNumberFormat="1" applyBorder="1" applyAlignment="1">
      <alignment horizontal="center" vertical="center"/>
    </xf>
    <xf numFmtId="183" fontId="9" fillId="0" borderId="23" xfId="2" applyNumberFormat="1" applyBorder="1" applyAlignment="1">
      <alignment horizontal="center" vertical="center"/>
    </xf>
    <xf numFmtId="2" fontId="26" fillId="0" borderId="0" xfId="2" applyNumberFormat="1" applyFont="1"/>
    <xf numFmtId="169" fontId="26" fillId="0" borderId="0" xfId="2" quotePrefix="1" applyNumberFormat="1" applyFont="1"/>
    <xf numFmtId="0" fontId="9" fillId="0" borderId="4" xfId="2" applyBorder="1" applyAlignment="1">
      <alignment horizontal="center"/>
    </xf>
    <xf numFmtId="170" fontId="28" fillId="0" borderId="4" xfId="2" applyNumberFormat="1" applyFont="1" applyBorder="1"/>
    <xf numFmtId="2" fontId="9" fillId="0" borderId="0" xfId="2" applyNumberFormat="1"/>
    <xf numFmtId="0" fontId="10" fillId="11" borderId="8" xfId="2" applyFont="1" applyFill="1" applyBorder="1" applyAlignment="1">
      <alignment horizontal="center" vertical="center"/>
    </xf>
    <xf numFmtId="170" fontId="9" fillId="0" borderId="4" xfId="2" applyNumberFormat="1" applyBorder="1" applyAlignment="1">
      <alignment horizontal="center"/>
    </xf>
    <xf numFmtId="0" fontId="9" fillId="0" borderId="9" xfId="2" applyBorder="1" applyAlignment="1">
      <alignment horizontal="center"/>
    </xf>
    <xf numFmtId="170" fontId="29" fillId="7" borderId="4" xfId="2" applyNumberFormat="1" applyFont="1" applyFill="1" applyBorder="1" applyProtection="1">
      <protection locked="0"/>
    </xf>
    <xf numFmtId="170" fontId="9" fillId="0" borderId="0" xfId="2" applyNumberFormat="1"/>
    <xf numFmtId="169" fontId="9" fillId="0" borderId="0" xfId="2" applyNumberFormat="1"/>
    <xf numFmtId="1" fontId="10" fillId="11" borderId="8" xfId="2" applyNumberFormat="1" applyFont="1" applyFill="1" applyBorder="1" applyAlignment="1">
      <alignment horizontal="center" vertical="center"/>
    </xf>
    <xf numFmtId="170" fontId="9" fillId="0" borderId="4" xfId="2" applyNumberFormat="1" applyBorder="1" applyAlignment="1">
      <alignment horizontal="center" vertical="center"/>
    </xf>
    <xf numFmtId="183" fontId="9" fillId="0" borderId="9" xfId="2" applyNumberFormat="1" applyBorder="1" applyAlignment="1">
      <alignment horizontal="center" vertical="center"/>
    </xf>
    <xf numFmtId="3" fontId="10" fillId="11" borderId="8" xfId="2" applyNumberFormat="1" applyFont="1" applyFill="1" applyBorder="1" applyAlignment="1">
      <alignment horizontal="center" vertical="center"/>
    </xf>
    <xf numFmtId="0" fontId="26" fillId="0" borderId="0" xfId="2" applyFont="1" applyAlignment="1">
      <alignment horizontal="center"/>
    </xf>
    <xf numFmtId="3" fontId="9" fillId="0" borderId="9" xfId="2" applyNumberFormat="1" applyBorder="1" applyAlignment="1">
      <alignment horizontal="center" vertical="center"/>
    </xf>
    <xf numFmtId="170" fontId="26" fillId="0" borderId="0" xfId="2" applyNumberFormat="1" applyFont="1"/>
    <xf numFmtId="170" fontId="30" fillId="0" borderId="0" xfId="2" quotePrefix="1" applyNumberFormat="1" applyFont="1"/>
    <xf numFmtId="170" fontId="26" fillId="0" borderId="0" xfId="2" quotePrefix="1" applyNumberFormat="1" applyFont="1"/>
    <xf numFmtId="0" fontId="9" fillId="0" borderId="40" xfId="2" applyBorder="1" applyAlignment="1">
      <alignment horizontal="right"/>
    </xf>
    <xf numFmtId="169" fontId="9" fillId="0" borderId="2" xfId="2" applyNumberFormat="1" applyBorder="1"/>
    <xf numFmtId="0" fontId="9" fillId="0" borderId="38" xfId="2" applyBorder="1"/>
    <xf numFmtId="0" fontId="9" fillId="0" borderId="40" xfId="2" applyBorder="1"/>
    <xf numFmtId="2" fontId="9" fillId="0" borderId="2" xfId="2" applyNumberFormat="1" applyBorder="1"/>
    <xf numFmtId="3" fontId="10" fillId="11" borderId="10" xfId="2" applyNumberFormat="1" applyFont="1" applyFill="1" applyBorder="1" applyAlignment="1">
      <alignment horizontal="center" vertical="center"/>
    </xf>
    <xf numFmtId="170" fontId="9" fillId="0" borderId="11" xfId="2" applyNumberFormat="1" applyBorder="1" applyAlignment="1">
      <alignment horizontal="center" vertical="center"/>
    </xf>
    <xf numFmtId="3" fontId="9" fillId="0" borderId="12" xfId="2" applyNumberFormat="1" applyBorder="1" applyAlignment="1">
      <alignment horizontal="center" vertical="center"/>
    </xf>
    <xf numFmtId="170" fontId="25" fillId="0" borderId="0" xfId="2" applyNumberFormat="1" applyFont="1"/>
    <xf numFmtId="0" fontId="31" fillId="0" borderId="0" xfId="2" applyFont="1" applyAlignment="1">
      <alignment horizontal="center"/>
    </xf>
    <xf numFmtId="2" fontId="25" fillId="0" borderId="0" xfId="2" applyNumberFormat="1" applyFont="1"/>
    <xf numFmtId="1" fontId="25" fillId="0" borderId="0" xfId="2" applyNumberFormat="1" applyFont="1"/>
    <xf numFmtId="0" fontId="31" fillId="0" borderId="0" xfId="2" applyFont="1"/>
    <xf numFmtId="0" fontId="32" fillId="0" borderId="0" xfId="2" applyFont="1" applyAlignment="1">
      <alignment horizontal="right"/>
    </xf>
    <xf numFmtId="170" fontId="28" fillId="0" borderId="0" xfId="2" applyNumberFormat="1" applyFont="1"/>
    <xf numFmtId="1" fontId="9" fillId="0" borderId="0" xfId="2" applyNumberFormat="1"/>
    <xf numFmtId="169" fontId="9" fillId="0" borderId="0" xfId="2" quotePrefix="1" applyNumberFormat="1"/>
    <xf numFmtId="0" fontId="28" fillId="0" borderId="0" xfId="2" applyFont="1" applyAlignment="1">
      <alignment horizontal="right"/>
    </xf>
    <xf numFmtId="169" fontId="28" fillId="0" borderId="0" xfId="2" quotePrefix="1" applyNumberFormat="1" applyFont="1"/>
    <xf numFmtId="169" fontId="28" fillId="0" borderId="0" xfId="2" applyNumberFormat="1" applyFont="1"/>
    <xf numFmtId="0" fontId="28" fillId="0" borderId="0" xfId="2" applyFont="1"/>
    <xf numFmtId="0" fontId="9" fillId="0" borderId="2" xfId="2" applyBorder="1"/>
    <xf numFmtId="3" fontId="9" fillId="0" borderId="0" xfId="2" applyNumberFormat="1"/>
    <xf numFmtId="0" fontId="9" fillId="0" borderId="0" xfId="2" applyAlignment="1">
      <alignment horizontal="center" vertical="center"/>
    </xf>
    <xf numFmtId="0" fontId="0" fillId="0" borderId="0" xfId="0" applyProtection="1">
      <protection locked="0"/>
    </xf>
    <xf numFmtId="169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4" fontId="0" fillId="0" borderId="40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70" fontId="0" fillId="0" borderId="0" xfId="0" applyNumberFormat="1" applyProtection="1"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70" fontId="0" fillId="0" borderId="8" xfId="0" applyNumberFormat="1" applyBorder="1" applyAlignment="1" applyProtection="1">
      <alignment horizontal="center"/>
      <protection locked="0"/>
    </xf>
    <xf numFmtId="170" fontId="0" fillId="0" borderId="4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0" borderId="9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170" fontId="0" fillId="0" borderId="10" xfId="0" applyNumberFormat="1" applyBorder="1" applyAlignment="1" applyProtection="1">
      <alignment horizontal="center"/>
      <protection locked="0"/>
    </xf>
    <xf numFmtId="170" fontId="0" fillId="0" borderId="11" xfId="0" applyNumberFormat="1" applyBorder="1" applyAlignment="1" applyProtection="1">
      <alignment horizontal="center"/>
      <protection locked="0"/>
    </xf>
    <xf numFmtId="2" fontId="0" fillId="0" borderId="11" xfId="0" applyNumberFormat="1" applyBorder="1" applyAlignment="1" applyProtection="1">
      <alignment horizontal="center"/>
      <protection locked="0"/>
    </xf>
    <xf numFmtId="2" fontId="0" fillId="0" borderId="12" xfId="0" applyNumberForma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vertical="center" wrapText="1"/>
      <protection locked="0"/>
    </xf>
    <xf numFmtId="170" fontId="0" fillId="0" borderId="22" xfId="0" applyNumberFormat="1" applyBorder="1" applyAlignment="1" applyProtection="1">
      <alignment horizontal="center"/>
      <protection locked="0"/>
    </xf>
    <xf numFmtId="170" fontId="0" fillId="0" borderId="23" xfId="0" applyNumberForma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vertical="center" wrapText="1"/>
      <protection locked="0"/>
    </xf>
    <xf numFmtId="170" fontId="0" fillId="0" borderId="4" xfId="0" applyNumberFormat="1" applyBorder="1" applyAlignment="1" applyProtection="1">
      <alignment horizontal="center" vertical="center" wrapText="1"/>
      <protection locked="0"/>
    </xf>
    <xf numFmtId="170" fontId="0" fillId="0" borderId="9" xfId="0" applyNumberFormat="1" applyBorder="1" applyAlignment="1" applyProtection="1">
      <alignment horizontal="center" vertical="center" wrapText="1"/>
      <protection locked="0"/>
    </xf>
    <xf numFmtId="170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170" fontId="0" fillId="0" borderId="11" xfId="0" applyNumberFormat="1" applyBorder="1" applyAlignment="1" applyProtection="1">
      <alignment horizontal="center" vertical="center" wrapText="1"/>
      <protection locked="0"/>
    </xf>
    <xf numFmtId="170" fontId="0" fillId="0" borderId="12" xfId="0" applyNumberFormat="1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175" fontId="0" fillId="0" borderId="0" xfId="0" applyNumberForma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9" fontId="0" fillId="0" borderId="2" xfId="0" applyNumberFormat="1" applyBorder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left"/>
      <protection locked="0"/>
    </xf>
    <xf numFmtId="169" fontId="0" fillId="4" borderId="0" xfId="0" applyNumberForma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77" fontId="0" fillId="0" borderId="0" xfId="0" applyNumberFormat="1" applyAlignment="1" applyProtection="1">
      <alignment horizontal="center"/>
      <protection locked="0"/>
    </xf>
    <xf numFmtId="170" fontId="0" fillId="0" borderId="2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5" fillId="0" borderId="0" xfId="0" applyFont="1"/>
    <xf numFmtId="0" fontId="19" fillId="0" borderId="0" xfId="0" applyFont="1"/>
    <xf numFmtId="182" fontId="0" fillId="0" borderId="0" xfId="0" applyNumberFormat="1" applyAlignment="1" applyProtection="1">
      <alignment horizontal="center"/>
      <protection locked="0"/>
    </xf>
    <xf numFmtId="0" fontId="19" fillId="12" borderId="0" xfId="0" applyFont="1" applyFill="1"/>
    <xf numFmtId="169" fontId="19" fillId="0" borderId="0" xfId="0" applyNumberFormat="1" applyFont="1" applyProtection="1">
      <protection locked="0"/>
    </xf>
    <xf numFmtId="169" fontId="0" fillId="4" borderId="1" xfId="0" applyNumberForma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169" fontId="4" fillId="0" borderId="4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70" fontId="0" fillId="0" borderId="0" xfId="0" applyNumberFormat="1"/>
    <xf numFmtId="170" fontId="26" fillId="7" borderId="4" xfId="2" applyNumberFormat="1" applyFont="1" applyFill="1" applyBorder="1" applyProtection="1">
      <protection locked="0"/>
    </xf>
    <xf numFmtId="0" fontId="38" fillId="0" borderId="0" xfId="0" applyFont="1"/>
    <xf numFmtId="0" fontId="39" fillId="0" borderId="0" xfId="0" applyFont="1" applyProtection="1">
      <protection locked="0"/>
    </xf>
    <xf numFmtId="0" fontId="39" fillId="12" borderId="0" xfId="0" applyFont="1" applyFill="1"/>
    <xf numFmtId="0" fontId="39" fillId="0" borderId="0" xfId="0" applyFont="1"/>
    <xf numFmtId="1" fontId="39" fillId="0" borderId="0" xfId="0" applyNumberFormat="1" applyFont="1" applyProtection="1">
      <protection locked="0"/>
    </xf>
    <xf numFmtId="1" fontId="4" fillId="0" borderId="48" xfId="0" applyNumberFormat="1" applyFont="1" applyBorder="1" applyAlignment="1" applyProtection="1">
      <alignment horizontal="center"/>
      <protection locked="0"/>
    </xf>
    <xf numFmtId="0" fontId="39" fillId="0" borderId="32" xfId="0" applyFont="1" applyBorder="1" applyProtection="1">
      <protection locked="0"/>
    </xf>
    <xf numFmtId="0" fontId="39" fillId="0" borderId="33" xfId="0" applyFont="1" applyBorder="1" applyProtection="1">
      <protection locked="0"/>
    </xf>
    <xf numFmtId="0" fontId="39" fillId="0" borderId="34" xfId="0" applyFont="1" applyBorder="1" applyProtection="1">
      <protection locked="0"/>
    </xf>
    <xf numFmtId="0" fontId="39" fillId="0" borderId="42" xfId="0" applyFont="1" applyBorder="1" applyProtection="1">
      <protection locked="0"/>
    </xf>
    <xf numFmtId="0" fontId="39" fillId="0" borderId="35" xfId="0" applyFont="1" applyBorder="1" applyProtection="1">
      <protection locked="0"/>
    </xf>
    <xf numFmtId="169" fontId="39" fillId="0" borderId="32" xfId="0" applyNumberFormat="1" applyFont="1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36" fillId="0" borderId="0" xfId="0" applyFont="1" applyProtection="1">
      <protection locked="0"/>
    </xf>
    <xf numFmtId="2" fontId="36" fillId="0" borderId="0" xfId="0" applyNumberFormat="1" applyFont="1" applyProtection="1">
      <protection locked="0"/>
    </xf>
    <xf numFmtId="0" fontId="0" fillId="0" borderId="43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36" fillId="0" borderId="0" xfId="0" applyFont="1"/>
    <xf numFmtId="0" fontId="0" fillId="2" borderId="4" xfId="0" applyFill="1" applyBorder="1" applyAlignment="1" applyProtection="1">
      <alignment horizontal="center"/>
      <protection locked="0"/>
    </xf>
    <xf numFmtId="2" fontId="0" fillId="3" borderId="4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1" fontId="0" fillId="3" borderId="4" xfId="0" applyNumberFormat="1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43" fillId="0" borderId="27" xfId="0" applyFont="1" applyBorder="1" applyProtection="1">
      <protection locked="0"/>
    </xf>
    <xf numFmtId="2" fontId="0" fillId="4" borderId="48" xfId="0" applyNumberFormat="1" applyFill="1" applyBorder="1" applyAlignment="1" applyProtection="1">
      <alignment horizontal="center"/>
      <protection locked="0"/>
    </xf>
    <xf numFmtId="0" fontId="0" fillId="0" borderId="48" xfId="0" applyBorder="1" applyProtection="1">
      <protection locked="0"/>
    </xf>
    <xf numFmtId="0" fontId="0" fillId="0" borderId="27" xfId="0" applyBorder="1" applyProtection="1">
      <protection locked="0"/>
    </xf>
    <xf numFmtId="169" fontId="0" fillId="3" borderId="4" xfId="0" applyNumberFormat="1" applyFill="1" applyBorder="1" applyAlignment="1" applyProtection="1">
      <alignment horizontal="center"/>
      <protection locked="0"/>
    </xf>
    <xf numFmtId="170" fontId="0" fillId="3" borderId="4" xfId="0" applyNumberForma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165" fontId="0" fillId="3" borderId="4" xfId="0" applyNumberFormat="1" applyFill="1" applyBorder="1" applyAlignment="1" applyProtection="1">
      <alignment horizontal="center"/>
      <protection locked="0"/>
    </xf>
    <xf numFmtId="173" fontId="0" fillId="3" borderId="4" xfId="0" applyNumberFormat="1" applyFill="1" applyBorder="1" applyAlignment="1" applyProtection="1">
      <alignment horizontal="center"/>
      <protection locked="0"/>
    </xf>
    <xf numFmtId="170" fontId="0" fillId="3" borderId="4" xfId="0" applyNumberFormat="1" applyFill="1" applyBorder="1" applyAlignment="1" applyProtection="1">
      <alignment horizontal="center" vertical="center"/>
      <protection locked="0"/>
    </xf>
    <xf numFmtId="2" fontId="0" fillId="3" borderId="3" xfId="0" applyNumberFormat="1" applyFill="1" applyBorder="1" applyAlignment="1" applyProtection="1">
      <alignment horizontal="center"/>
      <protection locked="0"/>
    </xf>
    <xf numFmtId="2" fontId="0" fillId="3" borderId="2" xfId="0" applyNumberFormat="1" applyFill="1" applyBorder="1" applyAlignment="1" applyProtection="1">
      <alignment horizontal="center"/>
      <protection locked="0"/>
    </xf>
    <xf numFmtId="174" fontId="0" fillId="3" borderId="4" xfId="0" applyNumberFormat="1" applyFill="1" applyBorder="1" applyAlignment="1" applyProtection="1">
      <alignment horizontal="center"/>
      <protection locked="0"/>
    </xf>
    <xf numFmtId="2" fontId="0" fillId="3" borderId="4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right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" fontId="0" fillId="3" borderId="4" xfId="0" applyNumberFormat="1" applyFill="1" applyBorder="1" applyAlignment="1" applyProtection="1">
      <alignment horizontal="center" vertical="center"/>
      <protection locked="0"/>
    </xf>
    <xf numFmtId="175" fontId="0" fillId="3" borderId="4" xfId="0" applyNumberFormat="1" applyFill="1" applyBorder="1" applyAlignment="1" applyProtection="1">
      <alignment horizontal="center" vertical="center"/>
      <protection locked="0"/>
    </xf>
    <xf numFmtId="177" fontId="0" fillId="3" borderId="4" xfId="0" applyNumberFormat="1" applyFill="1" applyBorder="1" applyAlignment="1" applyProtection="1">
      <alignment horizontal="center" vertical="center"/>
      <protection locked="0"/>
    </xf>
    <xf numFmtId="176" fontId="0" fillId="3" borderId="4" xfId="0" applyNumberForma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right"/>
      <protection locked="0"/>
    </xf>
    <xf numFmtId="175" fontId="0" fillId="4" borderId="4" xfId="0" applyNumberFormat="1" applyFill="1" applyBorder="1" applyAlignment="1" applyProtection="1">
      <alignment horizontal="center"/>
      <protection locked="0"/>
    </xf>
    <xf numFmtId="170" fontId="0" fillId="4" borderId="4" xfId="0" applyNumberFormat="1" applyFill="1" applyBorder="1" applyAlignment="1" applyProtection="1">
      <alignment horizontal="center"/>
      <protection locked="0"/>
    </xf>
    <xf numFmtId="2" fontId="0" fillId="4" borderId="4" xfId="0" applyNumberFormat="1" applyFill="1" applyBorder="1" applyAlignment="1" applyProtection="1">
      <alignment horizontal="center"/>
      <protection locked="0"/>
    </xf>
    <xf numFmtId="172" fontId="0" fillId="3" borderId="4" xfId="0" applyNumberFormat="1" applyFill="1" applyBorder="1" applyAlignment="1" applyProtection="1">
      <alignment horizontal="center"/>
      <protection locked="0"/>
    </xf>
    <xf numFmtId="169" fontId="0" fillId="0" borderId="4" xfId="0" applyNumberFormat="1" applyBorder="1" applyAlignment="1" applyProtection="1">
      <alignment horizontal="center"/>
      <protection locked="0"/>
    </xf>
    <xf numFmtId="164" fontId="0" fillId="3" borderId="4" xfId="0" applyNumberFormat="1" applyFill="1" applyBorder="1" applyAlignment="1" applyProtection="1">
      <alignment horizontal="center"/>
      <protection locked="0"/>
    </xf>
    <xf numFmtId="0" fontId="0" fillId="3" borderId="43" xfId="0" applyFill="1" applyBorder="1" applyAlignment="1" applyProtection="1">
      <alignment horizontal="center"/>
      <protection locked="0"/>
    </xf>
    <xf numFmtId="175" fontId="0" fillId="3" borderId="4" xfId="0" applyNumberFormat="1" applyFill="1" applyBorder="1" applyAlignment="1" applyProtection="1">
      <alignment horizontal="center"/>
      <protection locked="0"/>
    </xf>
    <xf numFmtId="0" fontId="36" fillId="0" borderId="0" xfId="0" applyFont="1" applyAlignment="1" applyProtection="1">
      <alignment vertical="top"/>
      <protection locked="0"/>
    </xf>
    <xf numFmtId="0" fontId="36" fillId="0" borderId="0" xfId="0" applyFont="1" applyAlignment="1" applyProtection="1">
      <alignment horizontal="center"/>
      <protection locked="0"/>
    </xf>
    <xf numFmtId="0" fontId="36" fillId="0" borderId="2" xfId="0" applyFont="1" applyBorder="1" applyAlignment="1" applyProtection="1">
      <alignment horizontal="center"/>
      <protection locked="0"/>
    </xf>
    <xf numFmtId="0" fontId="36" fillId="0" borderId="2" xfId="0" applyFont="1" applyBorder="1" applyProtection="1"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174" fontId="36" fillId="0" borderId="0" xfId="0" applyNumberFormat="1" applyFont="1" applyAlignment="1" applyProtection="1">
      <alignment horizontal="left"/>
      <protection locked="0"/>
    </xf>
    <xf numFmtId="0" fontId="36" fillId="0" borderId="3" xfId="0" applyFont="1" applyBorder="1" applyProtection="1">
      <protection locked="0"/>
    </xf>
    <xf numFmtId="0" fontId="36" fillId="0" borderId="1" xfId="0" applyFont="1" applyBorder="1" applyAlignment="1" applyProtection="1">
      <alignment horizontal="center"/>
      <protection locked="0"/>
    </xf>
    <xf numFmtId="1" fontId="36" fillId="0" borderId="0" xfId="0" applyNumberFormat="1" applyFont="1" applyProtection="1">
      <protection locked="0"/>
    </xf>
    <xf numFmtId="0" fontId="36" fillId="0" borderId="1" xfId="0" applyFont="1" applyBorder="1" applyProtection="1">
      <protection locked="0"/>
    </xf>
    <xf numFmtId="170" fontId="36" fillId="0" borderId="0" xfId="0" applyNumberFormat="1" applyFont="1" applyProtection="1">
      <protection locked="0"/>
    </xf>
    <xf numFmtId="0" fontId="44" fillId="0" borderId="0" xfId="0" applyFont="1"/>
    <xf numFmtId="0" fontId="46" fillId="0" borderId="32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6" fillId="0" borderId="0" xfId="0" applyFont="1"/>
    <xf numFmtId="0" fontId="6" fillId="0" borderId="33" xfId="0" applyFont="1" applyBorder="1"/>
    <xf numFmtId="0" fontId="6" fillId="0" borderId="32" xfId="0" applyFont="1" applyBorder="1"/>
    <xf numFmtId="0" fontId="15" fillId="0" borderId="0" xfId="0" applyFont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191" fontId="6" fillId="0" borderId="0" xfId="0" applyNumberFormat="1" applyFont="1" applyAlignment="1">
      <alignment vertical="center"/>
    </xf>
    <xf numFmtId="187" fontId="48" fillId="0" borderId="0" xfId="0" applyNumberFormat="1" applyFont="1" applyAlignment="1">
      <alignment vertical="center"/>
    </xf>
    <xf numFmtId="193" fontId="48" fillId="0" borderId="0" xfId="0" applyNumberFormat="1" applyFont="1" applyAlignment="1">
      <alignment vertical="center"/>
    </xf>
    <xf numFmtId="194" fontId="48" fillId="0" borderId="0" xfId="0" applyNumberFormat="1" applyFont="1" applyAlignment="1">
      <alignment vertical="center"/>
    </xf>
    <xf numFmtId="190" fontId="48" fillId="0" borderId="0" xfId="0" applyNumberFormat="1" applyFont="1" applyAlignment="1">
      <alignment vertical="center"/>
    </xf>
    <xf numFmtId="189" fontId="48" fillId="0" borderId="0" xfId="0" applyNumberFormat="1" applyFont="1" applyAlignment="1">
      <alignment vertical="center"/>
    </xf>
    <xf numFmtId="195" fontId="48" fillId="0" borderId="0" xfId="0" applyNumberFormat="1" applyFont="1" applyAlignment="1">
      <alignment vertical="center"/>
    </xf>
    <xf numFmtId="192" fontId="48" fillId="0" borderId="0" xfId="0" applyNumberFormat="1" applyFont="1" applyAlignment="1">
      <alignment vertical="center"/>
    </xf>
    <xf numFmtId="187" fontId="6" fillId="0" borderId="32" xfId="0" applyNumberFormat="1" applyFont="1" applyBorder="1" applyAlignment="1">
      <alignment horizontal="right" vertical="center"/>
    </xf>
    <xf numFmtId="187" fontId="47" fillId="0" borderId="32" xfId="0" applyNumberFormat="1" applyFont="1" applyBorder="1" applyAlignment="1">
      <alignment horizontal="right" vertical="center"/>
    </xf>
    <xf numFmtId="2" fontId="6" fillId="3" borderId="4" xfId="0" applyNumberFormat="1" applyFont="1" applyFill="1" applyBorder="1" applyAlignment="1">
      <alignment horizontal="center" vertical="center"/>
    </xf>
    <xf numFmtId="190" fontId="48" fillId="3" borderId="4" xfId="0" applyNumberFormat="1" applyFont="1" applyFill="1" applyBorder="1" applyAlignment="1">
      <alignment horizontal="center" vertical="center"/>
    </xf>
    <xf numFmtId="189" fontId="48" fillId="3" borderId="4" xfId="0" applyNumberFormat="1" applyFont="1" applyFill="1" applyBorder="1" applyAlignment="1">
      <alignment horizontal="center" vertical="center"/>
    </xf>
    <xf numFmtId="195" fontId="48" fillId="3" borderId="4" xfId="0" applyNumberFormat="1" applyFont="1" applyFill="1" applyBorder="1" applyAlignment="1">
      <alignment horizontal="center" vertical="center"/>
    </xf>
    <xf numFmtId="192" fontId="48" fillId="3" borderId="4" xfId="0" applyNumberFormat="1" applyFont="1" applyFill="1" applyBorder="1" applyAlignment="1">
      <alignment horizontal="center" vertical="center"/>
    </xf>
    <xf numFmtId="187" fontId="48" fillId="3" borderId="4" xfId="0" applyNumberFormat="1" applyFont="1" applyFill="1" applyBorder="1" applyAlignment="1">
      <alignment horizontal="center" vertical="center"/>
    </xf>
    <xf numFmtId="193" fontId="48" fillId="3" borderId="4" xfId="0" applyNumberFormat="1" applyFont="1" applyFill="1" applyBorder="1" applyAlignment="1">
      <alignment horizontal="center" vertical="center"/>
    </xf>
    <xf numFmtId="194" fontId="48" fillId="3" borderId="4" xfId="0" applyNumberFormat="1" applyFont="1" applyFill="1" applyBorder="1" applyAlignment="1">
      <alignment horizontal="center" vertical="center"/>
    </xf>
    <xf numFmtId="170" fontId="48" fillId="0" borderId="0" xfId="0" applyNumberFormat="1" applyFont="1" applyAlignment="1">
      <alignment horizontal="center" vertical="center"/>
    </xf>
    <xf numFmtId="187" fontId="47" fillId="0" borderId="34" xfId="0" applyNumberFormat="1" applyFont="1" applyBorder="1" applyAlignment="1">
      <alignment horizontal="right" vertical="center"/>
    </xf>
    <xf numFmtId="187" fontId="47" fillId="0" borderId="48" xfId="0" applyNumberFormat="1" applyFont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170" fontId="48" fillId="3" borderId="4" xfId="0" applyNumberFormat="1" applyFont="1" applyFill="1" applyBorder="1" applyAlignment="1">
      <alignment horizontal="center" vertical="center"/>
    </xf>
    <xf numFmtId="169" fontId="48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9" fontId="6" fillId="3" borderId="4" xfId="0" applyNumberFormat="1" applyFont="1" applyFill="1" applyBorder="1" applyAlignment="1">
      <alignment horizontal="center" vertical="center"/>
    </xf>
    <xf numFmtId="169" fontId="6" fillId="3" borderId="4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96" fontId="0" fillId="0" borderId="0" xfId="0" applyNumberFormat="1" applyProtection="1">
      <protection locked="0"/>
    </xf>
    <xf numFmtId="2" fontId="0" fillId="0" borderId="3" xfId="0" applyNumberFormat="1" applyBorder="1" applyProtection="1">
      <protection locked="0"/>
    </xf>
    <xf numFmtId="171" fontId="0" fillId="0" borderId="0" xfId="0" applyNumberFormat="1" applyProtection="1">
      <protection locked="0"/>
    </xf>
    <xf numFmtId="0" fontId="0" fillId="3" borderId="4" xfId="0" applyFill="1" applyBorder="1" applyAlignment="1">
      <alignment horizontal="center"/>
    </xf>
    <xf numFmtId="1" fontId="9" fillId="0" borderId="0" xfId="2" applyNumberFormat="1" applyAlignment="1">
      <alignment horizontal="center" vertical="center"/>
    </xf>
    <xf numFmtId="0" fontId="9" fillId="0" borderId="0" xfId="2" applyAlignment="1">
      <alignment horizontal="center"/>
    </xf>
    <xf numFmtId="0" fontId="19" fillId="0" borderId="0" xfId="0" applyFont="1" applyAlignment="1">
      <alignment horizontal="center"/>
    </xf>
    <xf numFmtId="187" fontId="0" fillId="0" borderId="0" xfId="0" applyNumberFormat="1" applyProtection="1">
      <protection locked="0"/>
    </xf>
    <xf numFmtId="0" fontId="0" fillId="0" borderId="0" xfId="0" applyAlignment="1">
      <alignment vertical="center"/>
    </xf>
    <xf numFmtId="0" fontId="43" fillId="0" borderId="0" xfId="0" applyFont="1" applyAlignment="1">
      <alignment horizontal="center" vertical="center"/>
    </xf>
    <xf numFmtId="171" fontId="43" fillId="0" borderId="0" xfId="0" applyNumberFormat="1" applyFont="1" applyAlignment="1">
      <alignment horizontal="center" vertical="center"/>
    </xf>
    <xf numFmtId="0" fontId="0" fillId="4" borderId="4" xfId="0" applyFill="1" applyBorder="1" applyAlignment="1" applyProtection="1">
      <alignment horizontal="center"/>
      <protection locked="0"/>
    </xf>
    <xf numFmtId="0" fontId="0" fillId="3" borderId="22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164" fontId="0" fillId="4" borderId="4" xfId="0" applyNumberFormat="1" applyFill="1" applyBorder="1" applyAlignment="1" applyProtection="1">
      <alignment horizontal="center"/>
      <protection locked="0"/>
    </xf>
    <xf numFmtId="164" fontId="0" fillId="4" borderId="44" xfId="0" applyNumberFormat="1" applyFill="1" applyBorder="1" applyAlignment="1" applyProtection="1">
      <alignment horizontal="center"/>
      <protection locked="0"/>
    </xf>
    <xf numFmtId="164" fontId="0" fillId="4" borderId="22" xfId="0" applyNumberFormat="1" applyFill="1" applyBorder="1" applyAlignment="1" applyProtection="1">
      <alignment horizontal="center"/>
      <protection locked="0"/>
    </xf>
    <xf numFmtId="168" fontId="0" fillId="3" borderId="4" xfId="0" applyNumberFormat="1" applyFill="1" applyBorder="1" applyAlignment="1" applyProtection="1">
      <alignment horizontal="center"/>
      <protection locked="0"/>
    </xf>
    <xf numFmtId="171" fontId="0" fillId="3" borderId="4" xfId="0" applyNumberFormat="1" applyFill="1" applyBorder="1" applyAlignment="1" applyProtection="1">
      <alignment horizontal="center"/>
      <protection locked="0"/>
    </xf>
    <xf numFmtId="166" fontId="0" fillId="3" borderId="4" xfId="0" applyNumberFormat="1" applyFill="1" applyBorder="1" applyAlignment="1" applyProtection="1">
      <alignment horizontal="center"/>
      <protection locked="0"/>
    </xf>
    <xf numFmtId="182" fontId="0" fillId="3" borderId="4" xfId="0" applyNumberFormat="1" applyFill="1" applyBorder="1" applyAlignment="1" applyProtection="1">
      <alignment horizontal="center"/>
      <protection locked="0"/>
    </xf>
    <xf numFmtId="167" fontId="0" fillId="3" borderId="4" xfId="0" applyNumberFormat="1" applyFill="1" applyBorder="1" applyAlignment="1" applyProtection="1">
      <alignment horizontal="center"/>
      <protection locked="0"/>
    </xf>
    <xf numFmtId="9" fontId="0" fillId="3" borderId="4" xfId="0" applyNumberFormat="1" applyFill="1" applyBorder="1" applyAlignment="1" applyProtection="1">
      <alignment horizontal="center"/>
      <protection locked="0"/>
    </xf>
    <xf numFmtId="0" fontId="0" fillId="3" borderId="4" xfId="0" quotePrefix="1" applyFill="1" applyBorder="1" applyAlignment="1" applyProtection="1">
      <alignment horizontal="center"/>
      <protection locked="0"/>
    </xf>
    <xf numFmtId="188" fontId="0" fillId="4" borderId="4" xfId="0" applyNumberFormat="1" applyFill="1" applyBorder="1" applyAlignment="1" applyProtection="1">
      <alignment horizontal="center"/>
      <protection locked="0"/>
    </xf>
    <xf numFmtId="172" fontId="0" fillId="4" borderId="4" xfId="0" applyNumberFormat="1" applyFill="1" applyBorder="1" applyAlignment="1" applyProtection="1">
      <alignment horizontal="center"/>
      <protection locked="0"/>
    </xf>
    <xf numFmtId="2" fontId="0" fillId="4" borderId="50" xfId="0" applyNumberFormat="1" applyFill="1" applyBorder="1" applyAlignment="1" applyProtection="1">
      <alignment horizontal="center"/>
      <protection locked="0"/>
    </xf>
    <xf numFmtId="1" fontId="43" fillId="4" borderId="48" xfId="4" applyNumberFormat="1" applyFont="1" applyFill="1" applyBorder="1" applyAlignment="1" applyProtection="1">
      <alignment horizontal="center" vertical="center"/>
      <protection locked="0"/>
    </xf>
    <xf numFmtId="1" fontId="0" fillId="0" borderId="49" xfId="0" applyNumberFormat="1" applyBorder="1" applyAlignment="1" applyProtection="1">
      <alignment horizontal="center"/>
      <protection locked="0"/>
    </xf>
    <xf numFmtId="1" fontId="0" fillId="0" borderId="51" xfId="0" applyNumberFormat="1" applyBorder="1" applyAlignment="1" applyProtection="1">
      <alignment horizontal="center"/>
      <protection locked="0"/>
    </xf>
    <xf numFmtId="1" fontId="0" fillId="0" borderId="50" xfId="0" applyNumberFormat="1" applyBorder="1" applyAlignment="1" applyProtection="1">
      <alignment horizontal="center"/>
      <protection locked="0"/>
    </xf>
    <xf numFmtId="169" fontId="0" fillId="0" borderId="49" xfId="0" applyNumberFormat="1" applyBorder="1" applyAlignment="1" applyProtection="1">
      <alignment horizontal="center"/>
      <protection locked="0"/>
    </xf>
    <xf numFmtId="169" fontId="0" fillId="0" borderId="51" xfId="0" applyNumberFormat="1" applyBorder="1" applyAlignment="1" applyProtection="1">
      <alignment horizontal="center"/>
      <protection locked="0"/>
    </xf>
    <xf numFmtId="169" fontId="0" fillId="0" borderId="50" xfId="0" applyNumberFormat="1" applyBorder="1" applyAlignment="1" applyProtection="1">
      <alignment horizontal="center"/>
      <protection locked="0"/>
    </xf>
    <xf numFmtId="1" fontId="48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1" fontId="0" fillId="4" borderId="4" xfId="0" applyNumberFormat="1" applyFill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173" fontId="0" fillId="4" borderId="44" xfId="0" applyNumberFormat="1" applyFill="1" applyBorder="1" applyAlignment="1" applyProtection="1">
      <alignment horizontal="center"/>
      <protection locked="0"/>
    </xf>
    <xf numFmtId="184" fontId="0" fillId="3" borderId="4" xfId="0" applyNumberFormat="1" applyFill="1" applyBorder="1" applyAlignment="1" applyProtection="1">
      <alignment horizontal="center"/>
      <protection locked="0"/>
    </xf>
    <xf numFmtId="0" fontId="0" fillId="0" borderId="32" xfId="0" applyBorder="1"/>
    <xf numFmtId="0" fontId="0" fillId="0" borderId="33" xfId="0" applyBorder="1"/>
    <xf numFmtId="0" fontId="0" fillId="0" borderId="51" xfId="0" applyBorder="1"/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2" fontId="0" fillId="0" borderId="9" xfId="0" applyNumberFormat="1" applyBorder="1" applyProtection="1">
      <protection locked="0"/>
    </xf>
    <xf numFmtId="169" fontId="0" fillId="0" borderId="0" xfId="0" applyNumberFormat="1"/>
    <xf numFmtId="0" fontId="0" fillId="0" borderId="50" xfId="0" applyBorder="1"/>
    <xf numFmtId="0" fontId="0" fillId="0" borderId="10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34" xfId="0" applyBorder="1"/>
    <xf numFmtId="0" fontId="0" fillId="0" borderId="42" xfId="0" applyBorder="1"/>
    <xf numFmtId="0" fontId="0" fillId="0" borderId="35" xfId="0" applyBorder="1"/>
    <xf numFmtId="1" fontId="36" fillId="3" borderId="4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horizontal="right" vertical="center"/>
    </xf>
    <xf numFmtId="0" fontId="36" fillId="0" borderId="0" xfId="0" applyFont="1" applyAlignment="1">
      <alignment horizontal="left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37" xfId="0" applyFont="1" applyBorder="1" applyAlignment="1" applyProtection="1">
      <alignment vertical="center"/>
      <protection locked="0"/>
    </xf>
    <xf numFmtId="167" fontId="0" fillId="0" borderId="0" xfId="0" applyNumberFormat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198" fontId="0" fillId="4" borderId="4" xfId="0" applyNumberFormat="1" applyFill="1" applyBorder="1" applyAlignment="1">
      <alignment horizontal="center" vertical="center"/>
    </xf>
    <xf numFmtId="199" fontId="0" fillId="4" borderId="4" xfId="0" applyNumberFormat="1" applyFill="1" applyBorder="1" applyAlignment="1">
      <alignment horizontal="center" vertical="center"/>
    </xf>
    <xf numFmtId="197" fontId="19" fillId="4" borderId="4" xfId="0" applyNumberFormat="1" applyFont="1" applyFill="1" applyBorder="1" applyAlignment="1" applyProtection="1">
      <alignment horizontal="center" vertical="center"/>
      <protection locked="0"/>
    </xf>
    <xf numFmtId="168" fontId="0" fillId="4" borderId="4" xfId="0" applyNumberForma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36" fillId="0" borderId="32" xfId="0" applyFont="1" applyBorder="1" applyAlignment="1">
      <alignment horizontal="right"/>
    </xf>
    <xf numFmtId="0" fontId="36" fillId="0" borderId="32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right" vertical="center"/>
    </xf>
    <xf numFmtId="198" fontId="57" fillId="4" borderId="50" xfId="0" applyNumberFormat="1" applyFont="1" applyFill="1" applyBorder="1" applyAlignment="1">
      <alignment horizontal="center" vertical="center"/>
    </xf>
    <xf numFmtId="198" fontId="4" fillId="4" borderId="48" xfId="0" applyNumberFormat="1" applyFont="1" applyFill="1" applyBorder="1" applyAlignment="1">
      <alignment horizontal="center" vertical="center"/>
    </xf>
    <xf numFmtId="170" fontId="59" fillId="7" borderId="4" xfId="2" applyNumberFormat="1" applyFont="1" applyFill="1" applyBorder="1" applyProtection="1">
      <protection locked="0"/>
    </xf>
    <xf numFmtId="170" fontId="40" fillId="7" borderId="4" xfId="0" applyNumberFormat="1" applyFont="1" applyFill="1" applyBorder="1"/>
    <xf numFmtId="0" fontId="40" fillId="7" borderId="4" xfId="0" applyFont="1" applyFill="1" applyBorder="1"/>
    <xf numFmtId="170" fontId="0" fillId="7" borderId="4" xfId="0" applyNumberFormat="1" applyFill="1" applyBorder="1"/>
    <xf numFmtId="0" fontId="0" fillId="7" borderId="4" xfId="0" applyFill="1" applyBorder="1"/>
    <xf numFmtId="0" fontId="19" fillId="7" borderId="4" xfId="0" applyFont="1" applyFill="1" applyBorder="1"/>
    <xf numFmtId="170" fontId="9" fillId="7" borderId="4" xfId="2" applyNumberFormat="1" applyFill="1" applyBorder="1" applyProtection="1">
      <protection locked="0"/>
    </xf>
    <xf numFmtId="170" fontId="19" fillId="7" borderId="4" xfId="0" applyNumberFormat="1" applyFont="1" applyFill="1" applyBorder="1"/>
    <xf numFmtId="0" fontId="0" fillId="3" borderId="8" xfId="0" applyFill="1" applyBorder="1" applyAlignment="1" applyProtection="1">
      <alignment horizontal="center"/>
      <protection locked="0"/>
    </xf>
    <xf numFmtId="2" fontId="0" fillId="0" borderId="33" xfId="0" applyNumberFormat="1" applyBorder="1" applyProtection="1">
      <protection locked="0"/>
    </xf>
    <xf numFmtId="168" fontId="60" fillId="0" borderId="33" xfId="0" applyNumberFormat="1" applyFont="1" applyBorder="1" applyAlignment="1" applyProtection="1">
      <alignment horizontal="center"/>
      <protection locked="0"/>
    </xf>
    <xf numFmtId="0" fontId="52" fillId="0" borderId="32" xfId="0" applyFont="1" applyBorder="1" applyAlignment="1" applyProtection="1">
      <alignment horizontal="center" vertical="center"/>
      <protection locked="0"/>
    </xf>
    <xf numFmtId="0" fontId="52" fillId="0" borderId="34" xfId="0" applyFont="1" applyBorder="1" applyAlignment="1" applyProtection="1">
      <alignment horizontal="center" vertical="center"/>
      <protection locked="0"/>
    </xf>
    <xf numFmtId="0" fontId="60" fillId="0" borderId="42" xfId="0" applyFont="1" applyBorder="1" applyAlignment="1" applyProtection="1">
      <alignment horizontal="center"/>
      <protection locked="0"/>
    </xf>
    <xf numFmtId="2" fontId="0" fillId="0" borderId="0" xfId="0" applyNumberFormat="1"/>
    <xf numFmtId="196" fontId="0" fillId="0" borderId="0" xfId="0" applyNumberFormat="1"/>
    <xf numFmtId="0" fontId="4" fillId="2" borderId="1" xfId="0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175" fontId="0" fillId="0" borderId="0" xfId="0" applyNumberFormat="1" applyProtection="1"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2" fontId="4" fillId="2" borderId="1" xfId="0" applyNumberFormat="1" applyFont="1" applyFill="1" applyBorder="1" applyAlignment="1" applyProtection="1">
      <alignment horizontal="center"/>
      <protection locked="0"/>
    </xf>
    <xf numFmtId="0" fontId="52" fillId="0" borderId="30" xfId="0" applyFont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vertical="center"/>
    </xf>
    <xf numFmtId="0" fontId="0" fillId="0" borderId="37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61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2" fontId="63" fillId="0" borderId="0" xfId="0" applyNumberFormat="1" applyFont="1" applyAlignment="1">
      <alignment horizontal="center" vertical="center"/>
    </xf>
    <xf numFmtId="2" fontId="57" fillId="0" borderId="0" xfId="0" applyNumberFormat="1" applyFont="1" applyAlignment="1">
      <alignment horizontal="center" vertical="center"/>
    </xf>
    <xf numFmtId="0" fontId="64" fillId="0" borderId="30" xfId="0" applyFont="1" applyBorder="1"/>
    <xf numFmtId="0" fontId="64" fillId="0" borderId="41" xfId="0" applyFont="1" applyBorder="1"/>
    <xf numFmtId="0" fontId="64" fillId="0" borderId="31" xfId="0" applyFon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4" fillId="0" borderId="8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0" fontId="64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5" fillId="0" borderId="37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200" fontId="64" fillId="0" borderId="4" xfId="0" applyNumberFormat="1" applyFont="1" applyBorder="1" applyAlignment="1">
      <alignment horizontal="center"/>
    </xf>
    <xf numFmtId="2" fontId="64" fillId="0" borderId="9" xfId="0" applyNumberFormat="1" applyFont="1" applyBorder="1" applyAlignment="1">
      <alignment horizontal="center"/>
    </xf>
    <xf numFmtId="0" fontId="65" fillId="0" borderId="0" xfId="0" applyFont="1" applyAlignment="1">
      <alignment horizontal="center" vertical="center"/>
    </xf>
    <xf numFmtId="201" fontId="64" fillId="0" borderId="9" xfId="5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65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4" fillId="0" borderId="10" xfId="0" applyFont="1" applyBorder="1" applyAlignment="1">
      <alignment horizontal="center"/>
    </xf>
    <xf numFmtId="201" fontId="64" fillId="0" borderId="12" xfId="5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00" fontId="64" fillId="0" borderId="11" xfId="0" applyNumberFormat="1" applyFont="1" applyBorder="1" applyAlignment="1">
      <alignment horizontal="center"/>
    </xf>
    <xf numFmtId="2" fontId="64" fillId="0" borderId="12" xfId="0" applyNumberFormat="1" applyFont="1" applyBorder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0" fontId="0" fillId="0" borderId="30" xfId="0" applyBorder="1" applyAlignment="1">
      <alignment horizontal="right" vertical="center"/>
    </xf>
    <xf numFmtId="0" fontId="0" fillId="0" borderId="4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vertical="center"/>
    </xf>
    <xf numFmtId="201" fontId="0" fillId="0" borderId="0" xfId="5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0" fontId="0" fillId="0" borderId="42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2" xfId="0" applyBorder="1"/>
    <xf numFmtId="0" fontId="0" fillId="0" borderId="38" xfId="0" applyBorder="1"/>
    <xf numFmtId="0" fontId="0" fillId="0" borderId="32" xfId="0" applyBorder="1" applyAlignment="1">
      <alignment horizontal="center" vertical="center"/>
    </xf>
    <xf numFmtId="0" fontId="67" fillId="0" borderId="0" xfId="0" applyFont="1" applyAlignment="1" applyProtection="1">
      <alignment horizontal="center"/>
      <protection locked="0"/>
    </xf>
    <xf numFmtId="2" fontId="67" fillId="0" borderId="0" xfId="0" applyNumberFormat="1" applyFont="1" applyAlignment="1" applyProtection="1">
      <alignment horizontal="center"/>
      <protection locked="0"/>
    </xf>
    <xf numFmtId="1" fontId="48" fillId="3" borderId="4" xfId="0" applyNumberFormat="1" applyFont="1" applyFill="1" applyBorder="1" applyAlignment="1">
      <alignment horizontal="center" vertical="center"/>
    </xf>
    <xf numFmtId="0" fontId="67" fillId="3" borderId="4" xfId="0" applyFont="1" applyFill="1" applyBorder="1" applyAlignment="1" applyProtection="1">
      <alignment horizontal="center"/>
      <protection locked="0"/>
    </xf>
    <xf numFmtId="168" fontId="4" fillId="3" borderId="4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203" fontId="4" fillId="3" borderId="4" xfId="0" applyNumberFormat="1" applyFont="1" applyFill="1" applyBorder="1" applyAlignment="1">
      <alignment horizontal="center" vertical="center"/>
    </xf>
    <xf numFmtId="0" fontId="66" fillId="4" borderId="4" xfId="0" applyFont="1" applyFill="1" applyBorder="1" applyAlignment="1" applyProtection="1">
      <alignment horizontal="center" vertical="center"/>
      <protection locked="0"/>
    </xf>
    <xf numFmtId="2" fontId="67" fillId="4" borderId="4" xfId="0" applyNumberFormat="1" applyFont="1" applyFill="1" applyBorder="1" applyAlignment="1" applyProtection="1">
      <alignment horizontal="center"/>
      <protection locked="0"/>
    </xf>
    <xf numFmtId="202" fontId="66" fillId="4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center"/>
    </xf>
    <xf numFmtId="0" fontId="68" fillId="0" borderId="32" xfId="0" applyFont="1" applyBorder="1" applyAlignment="1">
      <alignment horizontal="center" vertical="center"/>
    </xf>
    <xf numFmtId="0" fontId="68" fillId="0" borderId="32" xfId="0" applyFont="1" applyBorder="1" applyAlignment="1">
      <alignment horizontal="center"/>
    </xf>
    <xf numFmtId="204" fontId="4" fillId="0" borderId="0" xfId="0" applyNumberFormat="1" applyFont="1" applyAlignment="1">
      <alignment horizontal="center"/>
    </xf>
    <xf numFmtId="205" fontId="0" fillId="0" borderId="0" xfId="0" applyNumberFormat="1" applyAlignment="1">
      <alignment horizontal="center"/>
    </xf>
    <xf numFmtId="0" fontId="70" fillId="13" borderId="26" xfId="0" applyFont="1" applyFill="1" applyBorder="1"/>
    <xf numFmtId="1" fontId="71" fillId="14" borderId="22" xfId="0" applyNumberFormat="1" applyFont="1" applyFill="1" applyBorder="1" applyAlignment="1" applyProtection="1">
      <alignment horizontal="center" vertical="center"/>
      <protection locked="0"/>
    </xf>
    <xf numFmtId="0" fontId="72" fillId="0" borderId="0" xfId="0" applyFont="1" applyAlignment="1">
      <alignment horizontal="left"/>
    </xf>
    <xf numFmtId="0" fontId="0" fillId="0" borderId="33" xfId="0" applyBorder="1" applyAlignment="1">
      <alignment horizontal="center"/>
    </xf>
    <xf numFmtId="1" fontId="71" fillId="14" borderId="4" xfId="0" applyNumberFormat="1" applyFont="1" applyFill="1" applyBorder="1" applyAlignment="1" applyProtection="1">
      <alignment horizontal="center" vertical="center"/>
      <protection locked="0"/>
    </xf>
    <xf numFmtId="169" fontId="71" fillId="14" borderId="4" xfId="0" applyNumberFormat="1" applyFont="1" applyFill="1" applyBorder="1" applyAlignment="1" applyProtection="1">
      <alignment horizontal="center" vertical="center"/>
      <protection locked="0"/>
    </xf>
    <xf numFmtId="0" fontId="69" fillId="0" borderId="32" xfId="0" applyFont="1" applyBorder="1" applyAlignment="1">
      <alignment horizontal="center"/>
    </xf>
    <xf numFmtId="2" fontId="73" fillId="0" borderId="0" xfId="0" applyNumberFormat="1" applyFont="1" applyAlignment="1" applyProtection="1">
      <alignment horizontal="center" vertical="center"/>
      <protection locked="0"/>
    </xf>
    <xf numFmtId="0" fontId="6" fillId="0" borderId="32" xfId="0" applyFont="1" applyBorder="1" applyAlignment="1">
      <alignment horizontal="center"/>
    </xf>
    <xf numFmtId="206" fontId="71" fillId="14" borderId="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/>
    </xf>
    <xf numFmtId="0" fontId="72" fillId="0" borderId="32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1" fontId="74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2" fontId="70" fillId="0" borderId="0" xfId="0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0" fillId="0" borderId="33" xfId="0" applyFont="1" applyBorder="1" applyAlignment="1">
      <alignment horizontal="center"/>
    </xf>
    <xf numFmtId="11" fontId="71" fillId="14" borderId="4" xfId="0" applyNumberFormat="1" applyFont="1" applyFill="1" applyBorder="1" applyAlignment="1">
      <alignment horizontal="center"/>
    </xf>
    <xf numFmtId="0" fontId="46" fillId="0" borderId="32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13" borderId="26" xfId="0" applyFont="1" applyFill="1" applyBorder="1"/>
    <xf numFmtId="0" fontId="0" fillId="0" borderId="3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5" xfId="0" applyBorder="1" applyAlignment="1">
      <alignment horizontal="center"/>
    </xf>
    <xf numFmtId="0" fontId="74" fillId="0" borderId="42" xfId="0" applyFon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11" fontId="0" fillId="0" borderId="42" xfId="0" applyNumberFormat="1" applyBorder="1" applyAlignment="1">
      <alignment horizontal="center"/>
    </xf>
    <xf numFmtId="0" fontId="76" fillId="0" borderId="0" xfId="0" applyFont="1"/>
    <xf numFmtId="0" fontId="77" fillId="0" borderId="0" xfId="0" applyFont="1"/>
    <xf numFmtId="2" fontId="77" fillId="0" borderId="0" xfId="0" applyNumberFormat="1" applyFont="1"/>
    <xf numFmtId="0" fontId="78" fillId="0" borderId="0" xfId="0" applyFont="1"/>
    <xf numFmtId="170" fontId="77" fillId="0" borderId="0" xfId="0" applyNumberFormat="1" applyFont="1"/>
    <xf numFmtId="0" fontId="79" fillId="0" borderId="0" xfId="0" applyFont="1"/>
    <xf numFmtId="175" fontId="79" fillId="0" borderId="0" xfId="0" applyNumberFormat="1" applyFont="1"/>
    <xf numFmtId="170" fontId="79" fillId="0" borderId="0" xfId="0" applyNumberFormat="1" applyFont="1"/>
    <xf numFmtId="168" fontId="60" fillId="0" borderId="31" xfId="0" applyNumberFormat="1" applyFont="1" applyBorder="1" applyAlignment="1" applyProtection="1">
      <alignment horizontal="center" vertical="center"/>
      <protection locked="0"/>
    </xf>
    <xf numFmtId="2" fontId="4" fillId="3" borderId="4" xfId="0" applyNumberFormat="1" applyFont="1" applyFill="1" applyBorder="1" applyAlignment="1">
      <alignment horizontal="center" vertical="center"/>
    </xf>
    <xf numFmtId="0" fontId="53" fillId="0" borderId="0" xfId="0" applyFont="1" applyProtection="1">
      <protection locked="0"/>
    </xf>
    <xf numFmtId="2" fontId="7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6" fontId="0" fillId="0" borderId="0" xfId="0" applyNumberFormat="1" applyAlignment="1">
      <alignment horizontal="center"/>
    </xf>
    <xf numFmtId="1" fontId="7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left" vertical="center"/>
    </xf>
    <xf numFmtId="0" fontId="0" fillId="4" borderId="4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68" fillId="0" borderId="0" xfId="0" applyFont="1" applyAlignment="1">
      <alignment horizontal="center" vertical="center"/>
    </xf>
    <xf numFmtId="0" fontId="68" fillId="0" borderId="49" xfId="0" applyFont="1" applyBorder="1" applyAlignment="1">
      <alignment horizontal="center" vertical="center"/>
    </xf>
    <xf numFmtId="2" fontId="74" fillId="0" borderId="51" xfId="0" applyNumberFormat="1" applyFont="1" applyBorder="1" applyAlignment="1">
      <alignment horizontal="center"/>
    </xf>
    <xf numFmtId="2" fontId="74" fillId="0" borderId="50" xfId="0" applyNumberFormat="1" applyFont="1" applyBorder="1" applyAlignment="1">
      <alignment horizontal="center"/>
    </xf>
    <xf numFmtId="2" fontId="74" fillId="0" borderId="49" xfId="0" applyNumberFormat="1" applyFont="1" applyBorder="1" applyAlignment="1">
      <alignment horizontal="center"/>
    </xf>
    <xf numFmtId="0" fontId="68" fillId="0" borderId="4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48" xfId="0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50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0" fontId="0" fillId="15" borderId="48" xfId="0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53" fillId="0" borderId="0" xfId="0" applyFont="1"/>
    <xf numFmtId="0" fontId="53" fillId="0" borderId="0" xfId="0" applyFont="1" applyAlignment="1">
      <alignment horizontal="left"/>
    </xf>
    <xf numFmtId="0" fontId="80" fillId="15" borderId="2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/>
    </xf>
    <xf numFmtId="207" fontId="0" fillId="0" borderId="9" xfId="0" applyNumberFormat="1" applyBorder="1" applyAlignment="1" applyProtection="1">
      <alignment horizontal="center"/>
      <protection locked="0"/>
    </xf>
    <xf numFmtId="0" fontId="82" fillId="0" borderId="5" xfId="0" applyFont="1" applyBorder="1" applyAlignment="1">
      <alignment horizontal="center"/>
    </xf>
    <xf numFmtId="2" fontId="0" fillId="0" borderId="7" xfId="0" applyNumberFormat="1" applyBorder="1" applyAlignment="1" applyProtection="1">
      <alignment horizontal="center"/>
      <protection locked="0"/>
    </xf>
    <xf numFmtId="198" fontId="0" fillId="0" borderId="0" xfId="0" applyNumberFormat="1" applyAlignment="1">
      <alignment horizontal="center"/>
    </xf>
    <xf numFmtId="0" fontId="82" fillId="0" borderId="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207" fontId="0" fillId="0" borderId="20" xfId="0" applyNumberFormat="1" applyBorder="1" applyAlignment="1">
      <alignment horizontal="center"/>
    </xf>
    <xf numFmtId="0" fontId="82" fillId="0" borderId="10" xfId="0" applyFont="1" applyBorder="1" applyAlignment="1">
      <alignment horizontal="center"/>
    </xf>
    <xf numFmtId="0" fontId="0" fillId="16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0" fontId="0" fillId="17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/>
    </xf>
    <xf numFmtId="198" fontId="0" fillId="0" borderId="0" xfId="0" applyNumberFormat="1" applyAlignment="1">
      <alignment horizontal="center" vertical="center"/>
    </xf>
    <xf numFmtId="199" fontId="0" fillId="0" borderId="0" xfId="0" applyNumberFormat="1" applyAlignment="1">
      <alignment horizontal="center"/>
    </xf>
    <xf numFmtId="0" fontId="15" fillId="0" borderId="0" xfId="0" applyFont="1" applyAlignment="1">
      <alignment horizontal="center" vertical="center"/>
    </xf>
    <xf numFmtId="208" fontId="4" fillId="0" borderId="0" xfId="0" applyNumberFormat="1" applyFont="1" applyAlignment="1">
      <alignment horizontal="center"/>
    </xf>
    <xf numFmtId="209" fontId="4" fillId="0" borderId="0" xfId="6" applyFont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187" fontId="4" fillId="0" borderId="48" xfId="0" applyNumberFormat="1" applyFont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85" fillId="0" borderId="0" xfId="0" applyFont="1" applyAlignment="1">
      <alignment horizontal="center"/>
    </xf>
    <xf numFmtId="21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87" fontId="4" fillId="0" borderId="0" xfId="0" applyNumberFormat="1" applyFont="1" applyAlignment="1">
      <alignment horizontal="center" vertical="center"/>
    </xf>
    <xf numFmtId="210" fontId="0" fillId="16" borderId="0" xfId="0" applyNumberFormat="1" applyFill="1" applyAlignment="1">
      <alignment horizontal="center" vertical="center"/>
    </xf>
    <xf numFmtId="0" fontId="0" fillId="16" borderId="0" xfId="0" applyFill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211" fontId="0" fillId="16" borderId="0" xfId="0" applyNumberFormat="1" applyFill="1" applyAlignment="1">
      <alignment horizontal="center" vertical="center"/>
    </xf>
    <xf numFmtId="211" fontId="0" fillId="0" borderId="0" xfId="0" applyNumberFormat="1" applyAlignment="1">
      <alignment horizontal="center" vertical="center"/>
    </xf>
    <xf numFmtId="208" fontId="0" fillId="0" borderId="0" xfId="0" applyNumberFormat="1" applyAlignment="1">
      <alignment horizontal="center" vertical="center"/>
    </xf>
    <xf numFmtId="212" fontId="0" fillId="0" borderId="0" xfId="5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98" fontId="4" fillId="0" borderId="0" xfId="0" applyNumberFormat="1" applyFont="1" applyAlignment="1">
      <alignment horizontal="center" vertical="center"/>
    </xf>
    <xf numFmtId="201" fontId="0" fillId="0" borderId="0" xfId="5" applyNumberFormat="1" applyFont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213" fontId="0" fillId="0" borderId="0" xfId="0" applyNumberFormat="1" applyAlignment="1">
      <alignment horizontal="center" vertical="center"/>
    </xf>
    <xf numFmtId="198" fontId="0" fillId="16" borderId="0" xfId="0" applyNumberFormat="1" applyFill="1" applyAlignment="1">
      <alignment horizontal="center" vertical="center"/>
    </xf>
    <xf numFmtId="199" fontId="0" fillId="16" borderId="0" xfId="0" applyNumberFormat="1" applyFill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214" fontId="0" fillId="0" borderId="0" xfId="0" applyNumberFormat="1" applyAlignment="1">
      <alignment horizontal="center" vertical="center"/>
    </xf>
    <xf numFmtId="215" fontId="0" fillId="0" borderId="0" xfId="0" applyNumberFormat="1" applyAlignment="1">
      <alignment horizontal="center" vertical="center"/>
    </xf>
    <xf numFmtId="216" fontId="0" fillId="0" borderId="0" xfId="0" applyNumberFormat="1" applyAlignment="1">
      <alignment horizontal="center" vertical="center"/>
    </xf>
    <xf numFmtId="217" fontId="0" fillId="16" borderId="0" xfId="0" applyNumberFormat="1" applyFill="1" applyAlignment="1">
      <alignment horizontal="center" vertical="center"/>
    </xf>
    <xf numFmtId="216" fontId="0" fillId="16" borderId="0" xfId="0" applyNumberForma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208" fontId="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203" fontId="0" fillId="0" borderId="0" xfId="0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/>
    <xf numFmtId="0" fontId="4" fillId="2" borderId="0" xfId="0" applyFont="1" applyFill="1" applyAlignment="1" applyProtection="1">
      <alignment horizontal="center"/>
      <protection locked="0"/>
    </xf>
    <xf numFmtId="0" fontId="4" fillId="0" borderId="56" xfId="0" applyFont="1" applyBorder="1" applyAlignment="1">
      <alignment horizontal="center" vertical="center" wrapText="1"/>
    </xf>
    <xf numFmtId="4" fontId="0" fillId="0" borderId="56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8" fillId="0" borderId="0" xfId="0" applyFont="1"/>
    <xf numFmtId="0" fontId="4" fillId="0" borderId="56" xfId="0" applyFont="1" applyBorder="1" applyAlignment="1">
      <alignment horizontal="center" vertical="center"/>
    </xf>
    <xf numFmtId="2" fontId="0" fillId="0" borderId="56" xfId="0" applyNumberFormat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43" fillId="0" borderId="4" xfId="0" applyFont="1" applyBorder="1" applyAlignment="1">
      <alignment horizontal="center"/>
    </xf>
    <xf numFmtId="168" fontId="43" fillId="0" borderId="4" xfId="0" applyNumberFormat="1" applyFont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36" fillId="0" borderId="49" xfId="0" applyFont="1" applyBorder="1" applyAlignment="1" applyProtection="1">
      <alignment horizontal="center" wrapText="1"/>
      <protection locked="0"/>
    </xf>
    <xf numFmtId="0" fontId="36" fillId="0" borderId="50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36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15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center"/>
    </xf>
    <xf numFmtId="0" fontId="0" fillId="0" borderId="4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31" xfId="0" applyNumberFormat="1" applyBorder="1" applyAlignment="1" applyProtection="1">
      <alignment horizontal="center" vertical="center"/>
      <protection locked="0"/>
    </xf>
    <xf numFmtId="2" fontId="0" fillId="0" borderId="35" xfId="0" applyNumberFormat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36" fillId="0" borderId="0" xfId="0" applyFont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76" fontId="0" fillId="0" borderId="4" xfId="0" applyNumberFormat="1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68" fontId="43" fillId="0" borderId="49" xfId="0" applyNumberFormat="1" applyFont="1" applyBorder="1" applyAlignment="1" applyProtection="1">
      <alignment horizontal="center" vertical="center"/>
      <protection locked="0"/>
    </xf>
    <xf numFmtId="168" fontId="43" fillId="0" borderId="50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45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3" fillId="0" borderId="46" xfId="0" applyFont="1" applyBorder="1" applyAlignment="1">
      <alignment horizontal="center" vertical="center"/>
    </xf>
    <xf numFmtId="0" fontId="43" fillId="0" borderId="36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0" fillId="0" borderId="44" xfId="0" applyBorder="1" applyAlignment="1" applyProtection="1">
      <alignment horizontal="left" vertical="center" wrapText="1"/>
      <protection locked="0"/>
    </xf>
    <xf numFmtId="0" fontId="0" fillId="0" borderId="22" xfId="0" applyBorder="1" applyAlignment="1" applyProtection="1">
      <alignment horizontal="left" vertical="center" wrapText="1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43" xfId="0" applyFont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/>
    </xf>
    <xf numFmtId="0" fontId="43" fillId="0" borderId="43" xfId="0" applyFont="1" applyBorder="1" applyAlignment="1">
      <alignment horizontal="center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/>
      <protection locked="0"/>
    </xf>
    <xf numFmtId="0" fontId="4" fillId="0" borderId="47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172" fontId="0" fillId="0" borderId="34" xfId="0" applyNumberFormat="1" applyBorder="1" applyAlignment="1" applyProtection="1">
      <alignment horizontal="center"/>
      <protection locked="0"/>
    </xf>
    <xf numFmtId="172" fontId="0" fillId="0" borderId="35" xfId="0" applyNumberFormat="1" applyBorder="1" applyAlignment="1" applyProtection="1">
      <alignment horizontal="center"/>
      <protection locked="0"/>
    </xf>
    <xf numFmtId="0" fontId="43" fillId="0" borderId="26" xfId="0" applyFont="1" applyBorder="1" applyAlignment="1" applyProtection="1">
      <alignment horizontal="center"/>
      <protection locked="0"/>
    </xf>
    <xf numFmtId="0" fontId="43" fillId="0" borderId="47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0" fillId="0" borderId="44" xfId="0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45" fillId="0" borderId="41" xfId="0" applyFont="1" applyBorder="1" applyAlignment="1" applyProtection="1">
      <alignment horizontal="center" vertical="center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9" fillId="0" borderId="26" xfId="0" applyFont="1" applyBorder="1" applyAlignment="1" applyProtection="1">
      <alignment horizontal="center"/>
      <protection locked="0"/>
    </xf>
    <xf numFmtId="0" fontId="39" fillId="0" borderId="47" xfId="0" applyFont="1" applyBorder="1" applyAlignment="1" applyProtection="1">
      <alignment horizontal="center"/>
      <protection locked="0"/>
    </xf>
    <xf numFmtId="0" fontId="39" fillId="0" borderId="27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15" fillId="5" borderId="32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36" fillId="0" borderId="30" xfId="0" applyFont="1" applyBorder="1" applyAlignment="1" applyProtection="1">
      <alignment horizontal="center" vertical="center" wrapText="1"/>
      <protection locked="0"/>
    </xf>
    <xf numFmtId="0" fontId="36" fillId="0" borderId="41" xfId="0" applyFont="1" applyBorder="1" applyAlignment="1" applyProtection="1">
      <alignment horizontal="center" vertical="center" wrapText="1"/>
      <protection locked="0"/>
    </xf>
    <xf numFmtId="0" fontId="36" fillId="0" borderId="31" xfId="0" applyFont="1" applyBorder="1" applyAlignment="1" applyProtection="1">
      <alignment horizontal="center" vertical="center" wrapText="1"/>
      <protection locked="0"/>
    </xf>
    <xf numFmtId="0" fontId="36" fillId="0" borderId="32" xfId="0" applyFont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6" fillId="0" borderId="33" xfId="0" applyFont="1" applyBorder="1" applyAlignment="1" applyProtection="1">
      <alignment horizontal="center" vertical="center" wrapText="1"/>
      <protection locked="0"/>
    </xf>
    <xf numFmtId="0" fontId="36" fillId="0" borderId="34" xfId="0" applyFont="1" applyBorder="1" applyAlignment="1" applyProtection="1">
      <alignment horizontal="center" vertical="center" wrapText="1"/>
      <protection locked="0"/>
    </xf>
    <xf numFmtId="0" fontId="36" fillId="0" borderId="42" xfId="0" applyFont="1" applyBorder="1" applyAlignment="1" applyProtection="1">
      <alignment horizontal="center" vertical="center" wrapText="1"/>
      <protection locked="0"/>
    </xf>
    <xf numFmtId="0" fontId="36" fillId="0" borderId="35" xfId="0" applyFont="1" applyBorder="1" applyAlignment="1" applyProtection="1">
      <alignment horizontal="center" vertical="center" wrapText="1"/>
      <protection locked="0"/>
    </xf>
    <xf numFmtId="0" fontId="52" fillId="0" borderId="49" xfId="0" applyFont="1" applyBorder="1" applyAlignment="1" applyProtection="1">
      <alignment horizontal="center" vertical="center" wrapText="1"/>
      <protection locked="0"/>
    </xf>
    <xf numFmtId="0" fontId="52" fillId="0" borderId="51" xfId="0" applyFont="1" applyBorder="1" applyAlignment="1" applyProtection="1">
      <alignment horizontal="center" vertical="center" wrapText="1"/>
      <protection locked="0"/>
    </xf>
    <xf numFmtId="0" fontId="52" fillId="0" borderId="50" xfId="0" applyFont="1" applyBorder="1" applyAlignment="1" applyProtection="1">
      <alignment horizontal="center" vertical="center" wrapText="1"/>
      <protection locked="0"/>
    </xf>
    <xf numFmtId="0" fontId="0" fillId="0" borderId="4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2" fillId="0" borderId="30" xfId="0" applyFont="1" applyBorder="1" applyAlignment="1" applyProtection="1">
      <alignment horizontal="center" vertical="center"/>
      <protection locked="0"/>
    </xf>
    <xf numFmtId="0" fontId="52" fillId="0" borderId="41" xfId="0" applyFont="1" applyBorder="1" applyAlignment="1" applyProtection="1">
      <alignment horizontal="center" vertical="center"/>
      <protection locked="0"/>
    </xf>
    <xf numFmtId="0" fontId="60" fillId="0" borderId="41" xfId="0" applyFont="1" applyBorder="1" applyAlignment="1" applyProtection="1">
      <alignment horizontal="center" vertical="center"/>
      <protection locked="0"/>
    </xf>
    <xf numFmtId="0" fontId="60" fillId="0" borderId="31" xfId="0" applyFont="1" applyBorder="1" applyAlignment="1" applyProtection="1">
      <alignment horizontal="center" vertical="center"/>
      <protection locked="0"/>
    </xf>
    <xf numFmtId="0" fontId="52" fillId="0" borderId="32" xfId="0" applyFont="1" applyBorder="1" applyAlignment="1" applyProtection="1">
      <alignment horizontal="center"/>
      <protection locked="0"/>
    </xf>
    <xf numFmtId="0" fontId="52" fillId="0" borderId="0" xfId="0" applyFont="1" applyAlignment="1" applyProtection="1">
      <alignment horizontal="center"/>
      <protection locked="0"/>
    </xf>
    <xf numFmtId="198" fontId="60" fillId="0" borderId="0" xfId="0" applyNumberFormat="1" applyFont="1" applyAlignment="1">
      <alignment horizontal="center" vertical="center"/>
    </xf>
    <xf numFmtId="198" fontId="60" fillId="0" borderId="33" xfId="0" applyNumberFormat="1" applyFont="1" applyBorder="1" applyAlignment="1">
      <alignment horizontal="center" vertical="center"/>
    </xf>
    <xf numFmtId="0" fontId="52" fillId="0" borderId="34" xfId="0" applyFont="1" applyBorder="1" applyAlignment="1" applyProtection="1">
      <alignment horizontal="center"/>
      <protection locked="0"/>
    </xf>
    <xf numFmtId="0" fontId="52" fillId="0" borderId="42" xfId="0" applyFont="1" applyBorder="1" applyAlignment="1" applyProtection="1">
      <alignment horizontal="center"/>
      <protection locked="0"/>
    </xf>
    <xf numFmtId="198" fontId="60" fillId="0" borderId="42" xfId="0" applyNumberFormat="1" applyFont="1" applyBorder="1" applyAlignment="1">
      <alignment horizontal="center" vertical="center"/>
    </xf>
    <xf numFmtId="198" fontId="60" fillId="0" borderId="35" xfId="0" applyNumberFormat="1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36" fillId="0" borderId="49" xfId="0" applyFont="1" applyBorder="1" applyAlignment="1" applyProtection="1">
      <alignment horizontal="center" vertical="center"/>
      <protection locked="0"/>
    </xf>
    <xf numFmtId="0" fontId="36" fillId="0" borderId="50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87" fontId="0" fillId="0" borderId="31" xfId="0" applyNumberFormat="1" applyBorder="1" applyAlignment="1" applyProtection="1">
      <alignment horizontal="center" vertical="center"/>
      <protection locked="0"/>
    </xf>
    <xf numFmtId="187" fontId="0" fillId="0" borderId="35" xfId="0" applyNumberFormat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0" fontId="53" fillId="0" borderId="26" xfId="0" applyFont="1" applyBorder="1" applyAlignment="1">
      <alignment horizontal="center"/>
    </xf>
    <xf numFmtId="0" fontId="53" fillId="0" borderId="47" xfId="0" applyFont="1" applyBorder="1" applyAlignment="1">
      <alignment horizontal="center"/>
    </xf>
    <xf numFmtId="0" fontId="53" fillId="0" borderId="27" xfId="0" applyFont="1" applyBorder="1" applyAlignment="1">
      <alignment horizontal="center"/>
    </xf>
    <xf numFmtId="0" fontId="0" fillId="0" borderId="4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52" xfId="0" applyBorder="1" applyAlignment="1" applyProtection="1">
      <alignment horizontal="center" vertical="center" wrapText="1"/>
      <protection locked="0"/>
    </xf>
    <xf numFmtId="0" fontId="0" fillId="0" borderId="5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1" fontId="0" fillId="0" borderId="32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72" fillId="0" borderId="3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0" fillId="13" borderId="47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80" fillId="15" borderId="26" xfId="0" applyFont="1" applyFill="1" applyBorder="1" applyAlignment="1">
      <alignment horizontal="center"/>
    </xf>
    <xf numFmtId="0" fontId="80" fillId="15" borderId="47" xfId="0" applyFont="1" applyFill="1" applyBorder="1" applyAlignment="1">
      <alignment horizontal="center"/>
    </xf>
    <xf numFmtId="0" fontId="80" fillId="15" borderId="27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0" fillId="13" borderId="26" xfId="0" applyFont="1" applyFill="1" applyBorder="1" applyAlignment="1">
      <alignment horizontal="center"/>
    </xf>
    <xf numFmtId="0" fontId="70" fillId="13" borderId="47" xfId="0" applyFont="1" applyFill="1" applyBorder="1" applyAlignment="1">
      <alignment horizontal="center"/>
    </xf>
    <xf numFmtId="0" fontId="70" fillId="13" borderId="27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70" fillId="13" borderId="27" xfId="0" applyFont="1" applyFill="1" applyBorder="1" applyAlignment="1">
      <alignment horizontal="left"/>
    </xf>
    <xf numFmtId="0" fontId="70" fillId="13" borderId="47" xfId="0" applyFont="1" applyFill="1" applyBorder="1"/>
    <xf numFmtId="0" fontId="70" fillId="13" borderId="27" xfId="0" applyFont="1" applyFill="1" applyBorder="1"/>
    <xf numFmtId="0" fontId="72" fillId="0" borderId="0" xfId="0" applyFont="1" applyAlignment="1">
      <alignment horizontal="center" wrapText="1"/>
    </xf>
    <xf numFmtId="0" fontId="72" fillId="0" borderId="33" xfId="0" applyFont="1" applyBorder="1" applyAlignment="1">
      <alignment horizontal="center" wrapText="1"/>
    </xf>
    <xf numFmtId="0" fontId="0" fillId="0" borderId="0" xfId="0"/>
    <xf numFmtId="0" fontId="0" fillId="0" borderId="4" xfId="0" applyBorder="1" applyAlignment="1">
      <alignment horizontal="center" vertical="center"/>
    </xf>
    <xf numFmtId="179" fontId="43" fillId="0" borderId="4" xfId="0" applyNumberFormat="1" applyFont="1" applyBorder="1" applyAlignment="1">
      <alignment horizontal="center" vertical="center"/>
    </xf>
    <xf numFmtId="171" fontId="43" fillId="0" borderId="4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/>
    </xf>
    <xf numFmtId="185" fontId="52" fillId="0" borderId="4" xfId="0" applyNumberFormat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185" fontId="52" fillId="0" borderId="44" xfId="0" applyNumberFormat="1" applyFont="1" applyBorder="1" applyAlignment="1">
      <alignment horizontal="center" vertical="center"/>
    </xf>
    <xf numFmtId="186" fontId="52" fillId="0" borderId="4" xfId="0" applyNumberFormat="1" applyFont="1" applyBorder="1" applyAlignment="1">
      <alignment horizontal="center" vertical="center"/>
    </xf>
    <xf numFmtId="186" fontId="52" fillId="0" borderId="44" xfId="0" applyNumberFormat="1" applyFont="1" applyBorder="1" applyAlignment="1">
      <alignment horizontal="center" vertical="center"/>
    </xf>
    <xf numFmtId="0" fontId="36" fillId="0" borderId="30" xfId="0" applyFont="1" applyBorder="1" applyAlignment="1" applyProtection="1">
      <alignment horizontal="center" wrapText="1"/>
      <protection locked="0"/>
    </xf>
    <xf numFmtId="0" fontId="36" fillId="0" borderId="31" xfId="0" applyFont="1" applyBorder="1" applyAlignment="1" applyProtection="1">
      <alignment horizontal="center" wrapText="1"/>
      <protection locked="0"/>
    </xf>
    <xf numFmtId="0" fontId="36" fillId="0" borderId="32" xfId="0" applyFont="1" applyBorder="1" applyAlignment="1" applyProtection="1">
      <alignment horizontal="center" wrapText="1"/>
      <protection locked="0"/>
    </xf>
    <xf numFmtId="0" fontId="36" fillId="0" borderId="33" xfId="0" applyFont="1" applyBorder="1" applyAlignment="1" applyProtection="1">
      <alignment horizontal="center" wrapText="1"/>
      <protection locked="0"/>
    </xf>
    <xf numFmtId="0" fontId="36" fillId="0" borderId="32" xfId="0" applyFont="1" applyBorder="1" applyAlignment="1" applyProtection="1">
      <alignment horizontal="center" vertical="center"/>
      <protection locked="0"/>
    </xf>
    <xf numFmtId="0" fontId="36" fillId="0" borderId="33" xfId="0" applyFont="1" applyBorder="1" applyAlignment="1" applyProtection="1">
      <alignment horizontal="center" vertical="center"/>
      <protection locked="0"/>
    </xf>
    <xf numFmtId="0" fontId="36" fillId="0" borderId="34" xfId="0" applyFont="1" applyBorder="1" applyAlignment="1" applyProtection="1">
      <alignment horizontal="center" vertical="center"/>
      <protection locked="0"/>
    </xf>
    <xf numFmtId="0" fontId="36" fillId="0" borderId="35" xfId="0" applyFont="1" applyBorder="1" applyAlignment="1" applyProtection="1">
      <alignment horizontal="center" vertical="center"/>
      <protection locked="0"/>
    </xf>
    <xf numFmtId="171" fontId="43" fillId="0" borderId="21" xfId="0" applyNumberFormat="1" applyFont="1" applyBorder="1" applyAlignment="1">
      <alignment horizontal="center" vertical="center"/>
    </xf>
    <xf numFmtId="171" fontId="43" fillId="0" borderId="22" xfId="0" applyNumberFormat="1" applyFont="1" applyBorder="1" applyAlignment="1">
      <alignment horizontal="center" vertical="center"/>
    </xf>
    <xf numFmtId="171" fontId="43" fillId="0" borderId="23" xfId="0" applyNumberFormat="1" applyFont="1" applyBorder="1" applyAlignment="1">
      <alignment horizontal="center" vertical="center"/>
    </xf>
    <xf numFmtId="171" fontId="43" fillId="0" borderId="10" xfId="0" applyNumberFormat="1" applyFont="1" applyBorder="1" applyAlignment="1">
      <alignment horizontal="center" vertical="center"/>
    </xf>
    <xf numFmtId="171" fontId="43" fillId="0" borderId="11" xfId="0" applyNumberFormat="1" applyFont="1" applyBorder="1" applyAlignment="1">
      <alignment horizontal="center" vertical="center"/>
    </xf>
    <xf numFmtId="171" fontId="43" fillId="0" borderId="12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horizontal="center"/>
    </xf>
    <xf numFmtId="0" fontId="51" fillId="0" borderId="19" xfId="0" applyFont="1" applyBorder="1" applyAlignment="1">
      <alignment horizontal="center"/>
    </xf>
    <xf numFmtId="0" fontId="51" fillId="0" borderId="20" xfId="0" applyFont="1" applyBorder="1" applyAlignment="1">
      <alignment horizontal="center"/>
    </xf>
    <xf numFmtId="168" fontId="43" fillId="0" borderId="21" xfId="0" applyNumberFormat="1" applyFont="1" applyBorder="1" applyAlignment="1">
      <alignment horizontal="center" vertical="center"/>
    </xf>
    <xf numFmtId="168" fontId="43" fillId="0" borderId="22" xfId="0" applyNumberFormat="1" applyFont="1" applyBorder="1" applyAlignment="1">
      <alignment horizontal="center" vertical="center"/>
    </xf>
    <xf numFmtId="168" fontId="43" fillId="0" borderId="23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12" xfId="0" applyNumberFormat="1" applyFont="1" applyBorder="1" applyAlignment="1">
      <alignment horizontal="center" vertical="center"/>
    </xf>
    <xf numFmtId="0" fontId="43" fillId="0" borderId="3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168" fontId="43" fillId="0" borderId="30" xfId="0" applyNumberFormat="1" applyFont="1" applyBorder="1" applyAlignment="1">
      <alignment horizontal="center" vertical="center"/>
    </xf>
    <xf numFmtId="168" fontId="43" fillId="0" borderId="41" xfId="0" applyNumberFormat="1" applyFont="1" applyBorder="1" applyAlignment="1">
      <alignment horizontal="center" vertical="center"/>
    </xf>
    <xf numFmtId="168" fontId="43" fillId="0" borderId="31" xfId="0" applyNumberFormat="1" applyFont="1" applyBorder="1" applyAlignment="1">
      <alignment horizontal="center" vertical="center"/>
    </xf>
    <xf numFmtId="168" fontId="43" fillId="0" borderId="34" xfId="0" applyNumberFormat="1" applyFont="1" applyBorder="1" applyAlignment="1">
      <alignment horizontal="center" vertical="center"/>
    </xf>
    <xf numFmtId="168" fontId="43" fillId="0" borderId="42" xfId="0" applyNumberFormat="1" applyFont="1" applyBorder="1" applyAlignment="1">
      <alignment horizontal="center" vertical="center"/>
    </xf>
    <xf numFmtId="168" fontId="43" fillId="0" borderId="35" xfId="0" applyNumberFormat="1" applyFont="1" applyBorder="1" applyAlignment="1">
      <alignment horizontal="center" vertical="center"/>
    </xf>
    <xf numFmtId="0" fontId="36" fillId="0" borderId="30" xfId="0" applyFont="1" applyBorder="1" applyAlignment="1" applyProtection="1">
      <alignment horizontal="center" vertical="center"/>
      <protection locked="0"/>
    </xf>
    <xf numFmtId="0" fontId="36" fillId="0" borderId="3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" xfId="0" applyBorder="1" applyAlignment="1">
      <alignment horizontal="center"/>
    </xf>
    <xf numFmtId="0" fontId="43" fillId="0" borderId="21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168" fontId="51" fillId="0" borderId="5" xfId="0" applyNumberFormat="1" applyFont="1" applyBorder="1" applyAlignment="1">
      <alignment horizontal="center" vertical="center"/>
    </xf>
    <xf numFmtId="168" fontId="51" fillId="0" borderId="6" xfId="0" applyNumberFormat="1" applyFont="1" applyBorder="1" applyAlignment="1">
      <alignment horizontal="center" vertical="center"/>
    </xf>
    <xf numFmtId="168" fontId="51" fillId="0" borderId="7" xfId="0" applyNumberFormat="1" applyFont="1" applyBorder="1" applyAlignment="1">
      <alignment horizontal="center" vertical="center"/>
    </xf>
    <xf numFmtId="168" fontId="51" fillId="0" borderId="10" xfId="0" applyNumberFormat="1" applyFont="1" applyBorder="1" applyAlignment="1">
      <alignment horizontal="center" vertical="center"/>
    </xf>
    <xf numFmtId="168" fontId="51" fillId="0" borderId="11" xfId="0" applyNumberFormat="1" applyFont="1" applyBorder="1" applyAlignment="1">
      <alignment horizontal="center" vertical="center"/>
    </xf>
    <xf numFmtId="168" fontId="51" fillId="0" borderId="12" xfId="0" applyNumberFormat="1" applyFont="1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187" fontId="0" fillId="0" borderId="30" xfId="0" applyNumberFormat="1" applyBorder="1" applyAlignment="1" applyProtection="1">
      <alignment horizontal="center" vertical="center"/>
      <protection locked="0"/>
    </xf>
    <xf numFmtId="187" fontId="0" fillId="0" borderId="34" xfId="0" applyNumberFormat="1" applyBorder="1" applyAlignment="1" applyProtection="1">
      <alignment horizontal="center" vertical="center"/>
      <protection locked="0"/>
    </xf>
    <xf numFmtId="187" fontId="0" fillId="0" borderId="32" xfId="0" applyNumberFormat="1" applyBorder="1" applyAlignment="1" applyProtection="1">
      <alignment horizontal="center" vertical="center"/>
      <protection locked="0"/>
    </xf>
    <xf numFmtId="187" fontId="0" fillId="0" borderId="33" xfId="0" applyNumberFormat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10" fillId="6" borderId="18" xfId="1" applyFont="1" applyFill="1" applyBorder="1" applyAlignment="1" applyProtection="1">
      <alignment horizontal="center"/>
      <protection hidden="1"/>
    </xf>
    <xf numFmtId="0" fontId="10" fillId="6" borderId="19" xfId="1" applyFont="1" applyFill="1" applyBorder="1" applyAlignment="1" applyProtection="1">
      <alignment horizontal="center"/>
      <protection hidden="1"/>
    </xf>
    <xf numFmtId="0" fontId="10" fillId="6" borderId="20" xfId="1" applyFont="1" applyFill="1" applyBorder="1" applyAlignment="1" applyProtection="1">
      <alignment horizontal="center"/>
      <protection hidden="1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10" fillId="9" borderId="13" xfId="2" applyFont="1" applyFill="1" applyBorder="1" applyAlignment="1">
      <alignment horizontal="center" wrapText="1"/>
    </xf>
    <xf numFmtId="0" fontId="10" fillId="9" borderId="1" xfId="2" applyFont="1" applyFill="1" applyBorder="1" applyAlignment="1">
      <alignment horizontal="center"/>
    </xf>
    <xf numFmtId="0" fontId="10" fillId="9" borderId="43" xfId="2" applyFont="1" applyFill="1" applyBorder="1" applyAlignment="1">
      <alignment horizontal="center"/>
    </xf>
    <xf numFmtId="0" fontId="10" fillId="10" borderId="18" xfId="2" applyFont="1" applyFill="1" applyBorder="1" applyAlignment="1">
      <alignment horizontal="center" vertical="center" wrapText="1"/>
    </xf>
    <xf numFmtId="0" fontId="10" fillId="10" borderId="19" xfId="2" applyFont="1" applyFill="1" applyBorder="1" applyAlignment="1">
      <alignment horizontal="center" vertical="center" wrapText="1"/>
    </xf>
    <xf numFmtId="0" fontId="10" fillId="10" borderId="20" xfId="2" applyFont="1" applyFill="1" applyBorder="1" applyAlignment="1">
      <alignment horizontal="center" vertical="center" wrapText="1"/>
    </xf>
    <xf numFmtId="0" fontId="10" fillId="9" borderId="13" xfId="2" applyFont="1" applyFill="1" applyBorder="1" applyAlignment="1">
      <alignment horizontal="center"/>
    </xf>
    <xf numFmtId="0" fontId="0" fillId="0" borderId="46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36" xfId="0" applyBorder="1" applyAlignment="1">
      <alignment horizontal="left" vertical="center" indent="2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7">
    <cellStyle name="Normal" xfId="0" builtinId="0"/>
    <cellStyle name="Normal 2" xfId="1" xr:uid="{4E05769A-F07B-43D9-B5EA-BE37CE087148}"/>
    <cellStyle name="Normal 3" xfId="2" xr:uid="{2C1CCD05-DA6C-446A-9357-9B96122643F2}"/>
    <cellStyle name="Normal_SECTION" xfId="3" xr:uid="{8905D998-1FB6-41D5-830F-B45B74C408EB}"/>
    <cellStyle name="Porcentagem" xfId="5" builtinId="5"/>
    <cellStyle name="Vírgula" xfId="4" builtinId="3"/>
    <cellStyle name="Vírgula 2" xfId="6" xr:uid="{DF2B4319-9926-4D1E-8DD5-A4CE0716CD3C}"/>
  </cellStyles>
  <dxfs count="6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lor rgb="FFFF0000"/>
      </font>
      <numFmt numFmtId="0" formatCode="General"/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lor rgb="FFFF0000"/>
      </font>
      <numFmt numFmtId="0" formatCode="General"/>
      <fill>
        <patternFill patternType="none">
          <bgColor auto="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42551346276159E-2"/>
          <c:y val="5.496371819146089E-2"/>
          <c:w val="0.9427240907604838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Geometria!$AB$98:$AB$267</c:f>
              <c:numCache>
                <c:formatCode>General</c:formatCode>
                <c:ptCount val="62"/>
                <c:pt idx="0">
                  <c:v>3</c:v>
                </c:pt>
                <c:pt idx="1">
                  <c:v>1.65</c:v>
                </c:pt>
                <c:pt idx="2">
                  <c:v>1.65</c:v>
                </c:pt>
                <c:pt idx="3">
                  <c:v>122.85</c:v>
                </c:pt>
                <c:pt idx="4">
                  <c:v>122.85</c:v>
                </c:pt>
                <c:pt idx="5">
                  <c:v>121.5</c:v>
                </c:pt>
                <c:pt idx="6">
                  <c:v>121.5</c:v>
                </c:pt>
                <c:pt idx="7">
                  <c:v>124.5</c:v>
                </c:pt>
                <c:pt idx="8">
                  <c:v>124.31</c:v>
                </c:pt>
                <c:pt idx="9">
                  <c:v>123.55</c:v>
                </c:pt>
                <c:pt idx="10">
                  <c:v>111.05</c:v>
                </c:pt>
                <c:pt idx="11">
                  <c:v>111.05</c:v>
                </c:pt>
                <c:pt idx="12">
                  <c:v>114.1</c:v>
                </c:pt>
                <c:pt idx="13">
                  <c:v>117.25</c:v>
                </c:pt>
                <c:pt idx="14">
                  <c:v>117.25</c:v>
                </c:pt>
                <c:pt idx="15">
                  <c:v>117.18</c:v>
                </c:pt>
                <c:pt idx="16">
                  <c:v>116.92</c:v>
                </c:pt>
                <c:pt idx="17">
                  <c:v>116.43</c:v>
                </c:pt>
                <c:pt idx="18">
                  <c:v>115.87</c:v>
                </c:pt>
                <c:pt idx="19">
                  <c:v>115.23</c:v>
                </c:pt>
                <c:pt idx="20">
                  <c:v>114.55</c:v>
                </c:pt>
                <c:pt idx="21">
                  <c:v>113.9</c:v>
                </c:pt>
                <c:pt idx="22">
                  <c:v>113.18</c:v>
                </c:pt>
                <c:pt idx="23">
                  <c:v>112.59</c:v>
                </c:pt>
                <c:pt idx="24">
                  <c:v>111.97</c:v>
                </c:pt>
                <c:pt idx="25">
                  <c:v>111.3</c:v>
                </c:pt>
                <c:pt idx="26">
                  <c:v>110.7</c:v>
                </c:pt>
                <c:pt idx="27">
                  <c:v>110.03</c:v>
                </c:pt>
                <c:pt idx="28">
                  <c:v>109.41</c:v>
                </c:pt>
                <c:pt idx="29">
                  <c:v>108.82</c:v>
                </c:pt>
                <c:pt idx="30">
                  <c:v>108.1</c:v>
                </c:pt>
                <c:pt idx="31">
                  <c:v>107.45</c:v>
                </c:pt>
                <c:pt idx="32">
                  <c:v>106.77</c:v>
                </c:pt>
                <c:pt idx="33">
                  <c:v>106.13</c:v>
                </c:pt>
                <c:pt idx="34">
                  <c:v>105.57</c:v>
                </c:pt>
                <c:pt idx="35">
                  <c:v>105.08</c:v>
                </c:pt>
                <c:pt idx="36">
                  <c:v>104.82</c:v>
                </c:pt>
                <c:pt idx="37">
                  <c:v>104.75</c:v>
                </c:pt>
                <c:pt idx="38">
                  <c:v>104.75</c:v>
                </c:pt>
                <c:pt idx="39">
                  <c:v>107.9</c:v>
                </c:pt>
                <c:pt idx="40">
                  <c:v>111</c:v>
                </c:pt>
                <c:pt idx="41">
                  <c:v>111</c:v>
                </c:pt>
                <c:pt idx="42">
                  <c:v>94.8</c:v>
                </c:pt>
                <c:pt idx="43">
                  <c:v>73.069999999999993</c:v>
                </c:pt>
                <c:pt idx="44">
                  <c:v>72.58</c:v>
                </c:pt>
                <c:pt idx="45">
                  <c:v>72.319999999999993</c:v>
                </c:pt>
                <c:pt idx="46">
                  <c:v>72.25</c:v>
                </c:pt>
                <c:pt idx="47">
                  <c:v>72.25</c:v>
                </c:pt>
                <c:pt idx="48">
                  <c:v>75.400000000000006</c:v>
                </c:pt>
                <c:pt idx="49">
                  <c:v>78.5</c:v>
                </c:pt>
                <c:pt idx="50">
                  <c:v>78.5</c:v>
                </c:pt>
                <c:pt idx="51">
                  <c:v>62.3</c:v>
                </c:pt>
                <c:pt idx="52">
                  <c:v>62.3</c:v>
                </c:pt>
                <c:pt idx="53">
                  <c:v>65.349999999999994</c:v>
                </c:pt>
                <c:pt idx="54">
                  <c:v>68.5</c:v>
                </c:pt>
                <c:pt idx="55">
                  <c:v>68.5</c:v>
                </c:pt>
                <c:pt idx="56">
                  <c:v>56</c:v>
                </c:pt>
                <c:pt idx="57">
                  <c:v>56</c:v>
                </c:pt>
                <c:pt idx="58">
                  <c:v>59.150000000000006</c:v>
                </c:pt>
                <c:pt idx="59">
                  <c:v>62.25</c:v>
                </c:pt>
                <c:pt idx="60">
                  <c:v>50.870000000000005</c:v>
                </c:pt>
                <c:pt idx="61">
                  <c:v>50.230000000000004</c:v>
                </c:pt>
              </c:numCache>
            </c:numRef>
          </c:xVal>
          <c:yVal>
            <c:numRef>
              <c:f>Geometria!$AC$98:$AC$267</c:f>
              <c:numCache>
                <c:formatCode>General</c:formatCode>
                <c:ptCount val="62"/>
                <c:pt idx="0">
                  <c:v>19</c:v>
                </c:pt>
                <c:pt idx="1">
                  <c:v>21.5</c:v>
                </c:pt>
                <c:pt idx="2">
                  <c:v>25</c:v>
                </c:pt>
                <c:pt idx="3">
                  <c:v>25</c:v>
                </c:pt>
                <c:pt idx="4">
                  <c:v>21.5</c:v>
                </c:pt>
                <c:pt idx="5">
                  <c:v>19</c:v>
                </c:pt>
                <c:pt idx="6">
                  <c:v>5</c:v>
                </c:pt>
                <c:pt idx="7">
                  <c:v>2.2000000000000002</c:v>
                </c:pt>
                <c:pt idx="8">
                  <c:v>0.76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5.8</c:v>
                </c:pt>
                <c:pt idx="14">
                  <c:v>15.75</c:v>
                </c:pt>
                <c:pt idx="15">
                  <c:v>16.66</c:v>
                </c:pt>
                <c:pt idx="16">
                  <c:v>17.760000000000002</c:v>
                </c:pt>
                <c:pt idx="17">
                  <c:v>18.84</c:v>
                </c:pt>
                <c:pt idx="18">
                  <c:v>19.66</c:v>
                </c:pt>
                <c:pt idx="19">
                  <c:v>20.350000000000001</c:v>
                </c:pt>
                <c:pt idx="20">
                  <c:v>20.89</c:v>
                </c:pt>
                <c:pt idx="21">
                  <c:v>21.29</c:v>
                </c:pt>
                <c:pt idx="22">
                  <c:v>21.61</c:v>
                </c:pt>
                <c:pt idx="23">
                  <c:v>21.79</c:v>
                </c:pt>
                <c:pt idx="24">
                  <c:v>21.92</c:v>
                </c:pt>
                <c:pt idx="25">
                  <c:v>21.99</c:v>
                </c:pt>
                <c:pt idx="26">
                  <c:v>21.99</c:v>
                </c:pt>
                <c:pt idx="27">
                  <c:v>21.92</c:v>
                </c:pt>
                <c:pt idx="28">
                  <c:v>21.79</c:v>
                </c:pt>
                <c:pt idx="29">
                  <c:v>21.61</c:v>
                </c:pt>
                <c:pt idx="30">
                  <c:v>21.29</c:v>
                </c:pt>
                <c:pt idx="31">
                  <c:v>20.89</c:v>
                </c:pt>
                <c:pt idx="32">
                  <c:v>20.350000000000001</c:v>
                </c:pt>
                <c:pt idx="33">
                  <c:v>19.66</c:v>
                </c:pt>
                <c:pt idx="34">
                  <c:v>18.84</c:v>
                </c:pt>
                <c:pt idx="35">
                  <c:v>17.760000000000002</c:v>
                </c:pt>
                <c:pt idx="36">
                  <c:v>16.66</c:v>
                </c:pt>
                <c:pt idx="37">
                  <c:v>15.75</c:v>
                </c:pt>
                <c:pt idx="38">
                  <c:v>5.8</c:v>
                </c:pt>
                <c:pt idx="39">
                  <c:v>3</c:v>
                </c:pt>
                <c:pt idx="40">
                  <c:v>3</c:v>
                </c:pt>
                <c:pt idx="41">
                  <c:v>0</c:v>
                </c:pt>
                <c:pt idx="42">
                  <c:v>0</c:v>
                </c:pt>
                <c:pt idx="43">
                  <c:v>18.84</c:v>
                </c:pt>
                <c:pt idx="44">
                  <c:v>17.760000000000002</c:v>
                </c:pt>
                <c:pt idx="45">
                  <c:v>16.66</c:v>
                </c:pt>
                <c:pt idx="46">
                  <c:v>15.75</c:v>
                </c:pt>
                <c:pt idx="47">
                  <c:v>5.8</c:v>
                </c:pt>
                <c:pt idx="48">
                  <c:v>3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3</c:v>
                </c:pt>
                <c:pt idx="53">
                  <c:v>3</c:v>
                </c:pt>
                <c:pt idx="54">
                  <c:v>5.8</c:v>
                </c:pt>
                <c:pt idx="55">
                  <c:v>15.75</c:v>
                </c:pt>
                <c:pt idx="56">
                  <c:v>15.75</c:v>
                </c:pt>
                <c:pt idx="57">
                  <c:v>5.8</c:v>
                </c:pt>
                <c:pt idx="58">
                  <c:v>3</c:v>
                </c:pt>
                <c:pt idx="59">
                  <c:v>3</c:v>
                </c:pt>
                <c:pt idx="60">
                  <c:v>19.66</c:v>
                </c:pt>
                <c:pt idx="61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3-4116-9D8C-22418868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41136"/>
        <c:axId val="79240656"/>
      </c:scatterChart>
      <c:valAx>
        <c:axId val="79241136"/>
        <c:scaling>
          <c:orientation val="minMax"/>
          <c:max val="12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0656"/>
        <c:crosses val="autoZero"/>
        <c:crossBetween val="midCat"/>
      </c:valAx>
      <c:valAx>
        <c:axId val="7924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113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Momento mínimo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Geometria!$K$416:$K$436</c:f>
              <c:numCache>
                <c:formatCode>0.0</c:formatCode>
                <c:ptCount val="21"/>
                <c:pt idx="0">
                  <c:v>0</c:v>
                </c:pt>
                <c:pt idx="1">
                  <c:v>-6.4382962298767854</c:v>
                </c:pt>
                <c:pt idx="2">
                  <c:v>-7.4353117382077274</c:v>
                </c:pt>
                <c:pt idx="3">
                  <c:v>-5.946868310171463</c:v>
                </c:pt>
                <c:pt idx="4">
                  <c:v>-4.6567392798445102</c:v>
                </c:pt>
                <c:pt idx="5">
                  <c:v>-3.5649867309781627</c:v>
                </c:pt>
                <c:pt idx="6">
                  <c:v>-2.6716631510863498</c:v>
                </c:pt>
                <c:pt idx="7">
                  <c:v>-1.9768114539342077</c:v>
                </c:pt>
                <c:pt idx="8">
                  <c:v>-1.4804649978986095</c:v>
                </c:pt>
                <c:pt idx="9">
                  <c:v>-1.1826476002243249</c:v>
                </c:pt>
                <c:pt idx="10">
                  <c:v>-1.0833735471938803</c:v>
                </c:pt>
                <c:pt idx="11">
                  <c:v>-1.1826476002243249</c:v>
                </c:pt>
                <c:pt idx="12">
                  <c:v>-1.4804649978986113</c:v>
                </c:pt>
                <c:pt idx="13">
                  <c:v>-1.9768114539342072</c:v>
                </c:pt>
                <c:pt idx="14">
                  <c:v>-2.6716631510863453</c:v>
                </c:pt>
                <c:pt idx="15">
                  <c:v>-3.5649867309781529</c:v>
                </c:pt>
                <c:pt idx="16">
                  <c:v>-4.6567392798445022</c:v>
                </c:pt>
                <c:pt idx="17">
                  <c:v>-5.9468683101714523</c:v>
                </c:pt>
                <c:pt idx="18">
                  <c:v>-7.4353117382077141</c:v>
                </c:pt>
                <c:pt idx="19">
                  <c:v>-6.4382962298767685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9E-406F-85CD-D253AF83D1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Geometria!$K$393:$K$413</c:f>
              <c:numCache>
                <c:formatCode>0.0</c:formatCode>
                <c:ptCount val="21"/>
                <c:pt idx="0">
                  <c:v>0</c:v>
                </c:pt>
                <c:pt idx="1">
                  <c:v>0.37864047107290194</c:v>
                </c:pt>
                <c:pt idx="2">
                  <c:v>-1.2167262404466208</c:v>
                </c:pt>
                <c:pt idx="3">
                  <c:v>-2.6244402553742452</c:v>
                </c:pt>
                <c:pt idx="4">
                  <c:v>-3.8444874911819098</c:v>
                </c:pt>
                <c:pt idx="5">
                  <c:v>-4.876855755187826</c:v>
                </c:pt>
                <c:pt idx="6">
                  <c:v>-5.7215347393235882</c:v>
                </c:pt>
                <c:pt idx="7">
                  <c:v>-6.3785160157176213</c:v>
                </c:pt>
                <c:pt idx="8">
                  <c:v>-6.8477930330893519</c:v>
                </c:pt>
                <c:pt idx="9">
                  <c:v>-7.1293611139494057</c:v>
                </c:pt>
                <c:pt idx="10">
                  <c:v>-7.2232174526023663</c:v>
                </c:pt>
                <c:pt idx="11">
                  <c:v>-7.1293611139494057</c:v>
                </c:pt>
                <c:pt idx="12">
                  <c:v>-6.8477930330893519</c:v>
                </c:pt>
                <c:pt idx="13">
                  <c:v>-6.3785160157176222</c:v>
                </c:pt>
                <c:pt idx="14">
                  <c:v>-5.7215347393235918</c:v>
                </c:pt>
                <c:pt idx="15">
                  <c:v>-4.876855755187834</c:v>
                </c:pt>
                <c:pt idx="16">
                  <c:v>-3.844487491181916</c:v>
                </c:pt>
                <c:pt idx="17">
                  <c:v>-2.6244402553742558</c:v>
                </c:pt>
                <c:pt idx="18">
                  <c:v>-1.2167262404466324</c:v>
                </c:pt>
                <c:pt idx="19">
                  <c:v>0.37864047107288934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9E-406F-85CD-D253AF83D14B}"/>
            </c:ext>
          </c:extLst>
        </c:ser>
        <c:ser>
          <c:idx val="3"/>
          <c:order val="2"/>
          <c:tx>
            <c:v>Série4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2D-47DA-8501-691A3123FA1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2D-47DA-8501-691A3123FA1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2D-47DA-8501-691A3123FA1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2D-47DA-8501-691A3123FA1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2D-47DA-8501-691A3123FA1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2D-47DA-8501-691A3123FA1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2D-47DA-8501-691A3123FA1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2D-47DA-8501-691A3123FA1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2D-47DA-8501-691A3123FA1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2D-47DA-8501-691A3123FA1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343-41FB-8324-5431A2D32ED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343-41FB-8324-5431A2D32E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343-41FB-8324-5431A2D32ED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343-41FB-8324-5431A2D32E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343-41FB-8324-5431A2D32ED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343-41FB-8324-5431A2D32E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343-41FB-8324-5431A2D32ED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343-41FB-8324-5431A2D32E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343-41FB-8324-5431A2D32ED0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Geometria!$M$335:$M$355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1FB-8324-5431A2D32ED0}"/>
            </c:ext>
          </c:extLst>
        </c:ser>
        <c:ser>
          <c:idx val="2"/>
          <c:order val="3"/>
          <c:tx>
            <c:v>Série3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43-41FB-8324-5431A2D32E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43-41FB-8324-5431A2D32E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43-41FB-8324-5431A2D32E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43-41FB-8324-5431A2D32E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343-41FB-8324-5431A2D32E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43-41FB-8324-5431A2D32E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343-41FB-8324-5431A2D32E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43-41FB-8324-5431A2D32E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343-41FB-8324-5431A2D32E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343-41FB-8324-5431A2D32E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343-41FB-8324-5431A2D32ED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343-41FB-8324-5431A2D32E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343-41FB-8324-5431A2D32ED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343-41FB-8324-5431A2D32E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343-41FB-8324-5431A2D32ED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343-41FB-8324-5431A2D32E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343-41FB-8324-5431A2D32ED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343-41FB-8324-5431A2D32E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343-41FB-8324-5431A2D32ED0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E9713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Geometria!$M$312:$M$332</c:f>
              <c:numCache>
                <c:formatCode>0.0</c:formatCode>
                <c:ptCount val="21"/>
                <c:pt idx="0">
                  <c:v>3.4201661969095816</c:v>
                </c:pt>
                <c:pt idx="1">
                  <c:v>3.4201661969095816</c:v>
                </c:pt>
                <c:pt idx="2">
                  <c:v>3.4201661969095816</c:v>
                </c:pt>
                <c:pt idx="3">
                  <c:v>3.4201661969095816</c:v>
                </c:pt>
                <c:pt idx="4">
                  <c:v>3.4201661969095816</c:v>
                </c:pt>
                <c:pt idx="5">
                  <c:v>3.4201661969095816</c:v>
                </c:pt>
                <c:pt idx="6">
                  <c:v>3.4201661969095816</c:v>
                </c:pt>
                <c:pt idx="7">
                  <c:v>3.4201661969095816</c:v>
                </c:pt>
                <c:pt idx="8">
                  <c:v>3.4201661969095816</c:v>
                </c:pt>
                <c:pt idx="9">
                  <c:v>3.4201661969095816</c:v>
                </c:pt>
                <c:pt idx="10">
                  <c:v>3.4201661969095816</c:v>
                </c:pt>
                <c:pt idx="11">
                  <c:v>3.4201661969095816</c:v>
                </c:pt>
                <c:pt idx="12">
                  <c:v>3.4201661969095816</c:v>
                </c:pt>
                <c:pt idx="13">
                  <c:v>3.4201661969095816</c:v>
                </c:pt>
                <c:pt idx="14">
                  <c:v>3.4201661969095816</c:v>
                </c:pt>
                <c:pt idx="15">
                  <c:v>3.4201661969095816</c:v>
                </c:pt>
                <c:pt idx="16">
                  <c:v>3.4201661969095816</c:v>
                </c:pt>
                <c:pt idx="17">
                  <c:v>3.4201661969095816</c:v>
                </c:pt>
                <c:pt idx="18">
                  <c:v>3.4201661969095816</c:v>
                </c:pt>
                <c:pt idx="19">
                  <c:v>3.4201661969095816</c:v>
                </c:pt>
                <c:pt idx="20">
                  <c:v>3.4201661969095816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3-41FB-8324-5431A2D32E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</a:t>
            </a:r>
            <a:r>
              <a:rPr lang="pt-BR" baseline="0"/>
              <a:t> máximo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23807700009774E-2"/>
          <c:y val="0.21595342066957787"/>
          <c:w val="0.96361041945438553"/>
          <c:h val="0.72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Geometria!$K$335:$K$355</c:f>
              <c:numCache>
                <c:formatCode>0.0</c:formatCode>
                <c:ptCount val="21"/>
                <c:pt idx="0">
                  <c:v>0</c:v>
                </c:pt>
                <c:pt idx="1">
                  <c:v>-5.9295940158766172</c:v>
                </c:pt>
                <c:pt idx="2">
                  <c:v>-6.4714549116810929</c:v>
                </c:pt>
                <c:pt idx="3">
                  <c:v>-4.5814044725920651</c:v>
                </c:pt>
                <c:pt idx="4">
                  <c:v>-2.943216032686049</c:v>
                </c:pt>
                <c:pt idx="5">
                  <c:v>-1.5569516757143411</c:v>
                </c:pt>
                <c:pt idx="6">
                  <c:v>-0.42266388919086922</c:v>
                </c:pt>
                <c:pt idx="7">
                  <c:v>0.45960441311922934</c:v>
                </c:pt>
                <c:pt idx="8">
                  <c:v>1.0898198728390827</c:v>
                </c:pt>
                <c:pt idx="9">
                  <c:v>1.4679586727239193</c:v>
                </c:pt>
                <c:pt idx="10">
                  <c:v>1.5940065264912155</c:v>
                </c:pt>
                <c:pt idx="11">
                  <c:v>1.4679586727239198</c:v>
                </c:pt>
                <c:pt idx="12">
                  <c:v>1.0898198728390807</c:v>
                </c:pt>
                <c:pt idx="13">
                  <c:v>0.45960441311922978</c:v>
                </c:pt>
                <c:pt idx="14">
                  <c:v>-0.42266388919086328</c:v>
                </c:pt>
                <c:pt idx="15">
                  <c:v>-1.5569516757143294</c:v>
                </c:pt>
                <c:pt idx="16">
                  <c:v>-2.943216032686041</c:v>
                </c:pt>
                <c:pt idx="17">
                  <c:v>-4.5814044725920509</c:v>
                </c:pt>
                <c:pt idx="18">
                  <c:v>-6.4714549116810778</c:v>
                </c:pt>
                <c:pt idx="19">
                  <c:v>-5.9295940158765967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ED-4F37-892B-45092FFFC7E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Geometria!$K$312:$K$332</c:f>
              <c:numCache>
                <c:formatCode>0.0</c:formatCode>
                <c:ptCount val="21"/>
                <c:pt idx="0">
                  <c:v>0</c:v>
                </c:pt>
                <c:pt idx="1">
                  <c:v>-0.27551425162078441</c:v>
                </c:pt>
                <c:pt idx="2">
                  <c:v>-2.4561772939715003</c:v>
                </c:pt>
                <c:pt idx="3">
                  <c:v>-4.3803292478678237</c:v>
                </c:pt>
                <c:pt idx="4">
                  <c:v>-6.0479560307816955</c:v>
                </c:pt>
                <c:pt idx="5">
                  <c:v>-7.4590454500313239</c:v>
                </c:pt>
                <c:pt idx="6">
                  <c:v>-8.6135871975483074</c:v>
                </c:pt>
                <c:pt idx="7">
                  <c:v>-9.5115728454610675</c:v>
                </c:pt>
                <c:pt idx="8">
                  <c:v>-10.152995842489032</c:v>
                </c:pt>
                <c:pt idx="9">
                  <c:v>-10.537851511142824</c:v>
                </c:pt>
                <c:pt idx="10">
                  <c:v>-10.666137045727032</c:v>
                </c:pt>
                <c:pt idx="11">
                  <c:v>-10.537851511142826</c:v>
                </c:pt>
                <c:pt idx="12">
                  <c:v>-10.15299584248903</c:v>
                </c:pt>
                <c:pt idx="13">
                  <c:v>-9.5115728454610675</c:v>
                </c:pt>
                <c:pt idx="14">
                  <c:v>-8.6135871975483127</c:v>
                </c:pt>
                <c:pt idx="15">
                  <c:v>-7.4590454500313346</c:v>
                </c:pt>
                <c:pt idx="16">
                  <c:v>-6.0479560307817026</c:v>
                </c:pt>
                <c:pt idx="17">
                  <c:v>-4.3803292478678379</c:v>
                </c:pt>
                <c:pt idx="18">
                  <c:v>-2.456177293971515</c:v>
                </c:pt>
                <c:pt idx="19">
                  <c:v>-0.2755142516208014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ED-4F37-892B-45092FFFC7E2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AC-427D-A877-E835E65E7A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AC-427D-A877-E835E65E7A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AC-427D-A877-E835E65E7AA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AC-427D-A877-E835E65E7AA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AC-427D-A877-E835E65E7AA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AC-427D-A877-E835E65E7AA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AC-427D-A877-E835E65E7AA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AC-427D-A877-E835E65E7AA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AC-427D-A877-E835E65E7AA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AC-427D-A877-E835E65E7AA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AC-427D-A877-E835E65E7AA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AAC-427D-A877-E835E65E7AA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AAC-427D-A877-E835E65E7AA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AC-427D-A877-E835E65E7AA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AAC-427D-A877-E835E65E7AA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AAC-427D-A877-E835E65E7AA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AAC-427D-A877-E835E65E7AA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AAC-427D-A877-E835E65E7AA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AAC-427D-A877-E835E65E7AAF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Geometria!$M$312:$M$332</c:f>
              <c:numCache>
                <c:formatCode>0.0</c:formatCode>
                <c:ptCount val="21"/>
                <c:pt idx="0">
                  <c:v>3.4201661969095816</c:v>
                </c:pt>
                <c:pt idx="1">
                  <c:v>3.4201661969095816</c:v>
                </c:pt>
                <c:pt idx="2">
                  <c:v>3.4201661969095816</c:v>
                </c:pt>
                <c:pt idx="3">
                  <c:v>3.4201661969095816</c:v>
                </c:pt>
                <c:pt idx="4">
                  <c:v>3.4201661969095816</c:v>
                </c:pt>
                <c:pt idx="5">
                  <c:v>3.4201661969095816</c:v>
                </c:pt>
                <c:pt idx="6">
                  <c:v>3.4201661969095816</c:v>
                </c:pt>
                <c:pt idx="7">
                  <c:v>3.4201661969095816</c:v>
                </c:pt>
                <c:pt idx="8">
                  <c:v>3.4201661969095816</c:v>
                </c:pt>
                <c:pt idx="9">
                  <c:v>3.4201661969095816</c:v>
                </c:pt>
                <c:pt idx="10">
                  <c:v>3.4201661969095816</c:v>
                </c:pt>
                <c:pt idx="11">
                  <c:v>3.4201661969095816</c:v>
                </c:pt>
                <c:pt idx="12">
                  <c:v>3.4201661969095816</c:v>
                </c:pt>
                <c:pt idx="13">
                  <c:v>3.4201661969095816</c:v>
                </c:pt>
                <c:pt idx="14">
                  <c:v>3.4201661969095816</c:v>
                </c:pt>
                <c:pt idx="15">
                  <c:v>3.4201661969095816</c:v>
                </c:pt>
                <c:pt idx="16">
                  <c:v>3.4201661969095816</c:v>
                </c:pt>
                <c:pt idx="17">
                  <c:v>3.4201661969095816</c:v>
                </c:pt>
                <c:pt idx="18">
                  <c:v>3.4201661969095816</c:v>
                </c:pt>
                <c:pt idx="19">
                  <c:v>3.4201661969095816</c:v>
                </c:pt>
                <c:pt idx="20">
                  <c:v>3.4201661969095816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C-427D-A877-E835E65E7AAF}"/>
            </c:ext>
          </c:extLst>
        </c:ser>
        <c:ser>
          <c:idx val="3"/>
          <c:order val="3"/>
          <c:tx>
            <c:v>Série4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AC-427D-A877-E835E65E7A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AC-427D-A877-E835E65E7A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AC-427D-A877-E835E65E7AA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AC-427D-A877-E835E65E7AA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AAC-427D-A877-E835E65E7AA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AAC-427D-A877-E835E65E7AA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AAC-427D-A877-E835E65E7AA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AC-427D-A877-E835E65E7AA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AAC-427D-A877-E835E65E7AA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AAC-427D-A877-E835E65E7AA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AAC-427D-A877-E835E65E7AA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AAC-427D-A877-E835E65E7AA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AAC-427D-A877-E835E65E7AA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AAC-427D-A877-E835E65E7AA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AAC-427D-A877-E835E65E7AA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AAC-427D-A877-E835E65E7AA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AAC-427D-A877-E835E65E7AA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AAC-427D-A877-E835E65E7AA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AAC-427D-A877-E835E65E7AAF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Geometria!$M$416:$M$436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AC-427D-A877-E835E65E7A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9097488"/>
        <c:axId val="759091728"/>
      </c:lineChart>
      <c:catAx>
        <c:axId val="759097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091728"/>
        <c:crosses val="autoZero"/>
        <c:auto val="1"/>
        <c:lblAlgn val="ctr"/>
        <c:lblOffset val="100"/>
        <c:noMultiLvlLbl val="0"/>
      </c:catAx>
      <c:valAx>
        <c:axId val="75909172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7590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</a:t>
            </a:r>
            <a:r>
              <a:rPr lang="pt-BR" baseline="0"/>
              <a:t> mínimo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7669402090054326E-2"/>
          <c:y val="0.10699308647225125"/>
          <c:w val="0.96855821877920589"/>
          <c:h val="0.8544966956795392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Geometria!$K$665:$K$685</c:f>
              <c:numCache>
                <c:formatCode>0.0</c:formatCode>
                <c:ptCount val="21"/>
                <c:pt idx="0">
                  <c:v>0</c:v>
                </c:pt>
                <c:pt idx="1">
                  <c:v>-6.4382962298767854</c:v>
                </c:pt>
                <c:pt idx="2">
                  <c:v>-7.4353117382077274</c:v>
                </c:pt>
                <c:pt idx="3">
                  <c:v>-5.946868310171463</c:v>
                </c:pt>
                <c:pt idx="4">
                  <c:v>-4.6567392798445102</c:v>
                </c:pt>
                <c:pt idx="5">
                  <c:v>-3.5649867309781627</c:v>
                </c:pt>
                <c:pt idx="6">
                  <c:v>-2.6716631510863498</c:v>
                </c:pt>
                <c:pt idx="7">
                  <c:v>-1.9768114539342077</c:v>
                </c:pt>
                <c:pt idx="8">
                  <c:v>-1.4804649978986095</c:v>
                </c:pt>
                <c:pt idx="9">
                  <c:v>-1.1826476002243249</c:v>
                </c:pt>
                <c:pt idx="10">
                  <c:v>-1.0833735471938803</c:v>
                </c:pt>
                <c:pt idx="11">
                  <c:v>-1.1826476002243249</c:v>
                </c:pt>
                <c:pt idx="12">
                  <c:v>-1.4804649978986113</c:v>
                </c:pt>
                <c:pt idx="13">
                  <c:v>-1.9768114539342072</c:v>
                </c:pt>
                <c:pt idx="14">
                  <c:v>-2.6716631510863453</c:v>
                </c:pt>
                <c:pt idx="15">
                  <c:v>-3.5649867309781529</c:v>
                </c:pt>
                <c:pt idx="16">
                  <c:v>-4.6567392798445022</c:v>
                </c:pt>
                <c:pt idx="17">
                  <c:v>-5.9468683101714523</c:v>
                </c:pt>
                <c:pt idx="18">
                  <c:v>-7.4353117382077141</c:v>
                </c:pt>
                <c:pt idx="19">
                  <c:v>-6.4382962298767685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79-4023-812E-00ED867D7D7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Geometria!$K$641:$K$661</c:f>
              <c:numCache>
                <c:formatCode>0.0</c:formatCode>
                <c:ptCount val="21"/>
                <c:pt idx="0">
                  <c:v>0</c:v>
                </c:pt>
                <c:pt idx="1">
                  <c:v>0.37864047107290194</c:v>
                </c:pt>
                <c:pt idx="2">
                  <c:v>-1.2167262404466208</c:v>
                </c:pt>
                <c:pt idx="3">
                  <c:v>-2.6244402553742452</c:v>
                </c:pt>
                <c:pt idx="4">
                  <c:v>-3.8444874911819098</c:v>
                </c:pt>
                <c:pt idx="5">
                  <c:v>-4.876855755187826</c:v>
                </c:pt>
                <c:pt idx="6">
                  <c:v>-5.7215347393235882</c:v>
                </c:pt>
                <c:pt idx="7">
                  <c:v>-6.3785160157176213</c:v>
                </c:pt>
                <c:pt idx="8">
                  <c:v>-6.8477930330893519</c:v>
                </c:pt>
                <c:pt idx="9">
                  <c:v>-7.1293611139494057</c:v>
                </c:pt>
                <c:pt idx="10">
                  <c:v>-7.2232174526023663</c:v>
                </c:pt>
                <c:pt idx="11">
                  <c:v>-7.1293611139494057</c:v>
                </c:pt>
                <c:pt idx="12">
                  <c:v>-6.8477930330893519</c:v>
                </c:pt>
                <c:pt idx="13">
                  <c:v>-6.3785160157176222</c:v>
                </c:pt>
                <c:pt idx="14">
                  <c:v>-5.7215347393235918</c:v>
                </c:pt>
                <c:pt idx="15">
                  <c:v>-4.876855755187834</c:v>
                </c:pt>
                <c:pt idx="16">
                  <c:v>-3.844487491181916</c:v>
                </c:pt>
                <c:pt idx="17">
                  <c:v>-2.6244402553742558</c:v>
                </c:pt>
                <c:pt idx="18">
                  <c:v>-1.2167262404466324</c:v>
                </c:pt>
                <c:pt idx="19">
                  <c:v>0.37864047107288934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79-4023-812E-00ED867D7D7E}"/>
            </c:ext>
          </c:extLst>
        </c:ser>
        <c:ser>
          <c:idx val="2"/>
          <c:order val="2"/>
          <c:tx>
            <c:v>Série3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7E-4567-ACCF-194FD178D5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7E-4567-ACCF-194FD178D5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7E-4567-ACCF-194FD178D5A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7E-4567-ACCF-194FD178D5A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7E-4567-ACCF-194FD178D5A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7E-4567-ACCF-194FD178D5A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7E-4567-ACCF-194FD178D5A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7E-4567-ACCF-194FD178D5A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7E-4567-ACCF-194FD178D5A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7E-4567-ACCF-194FD178D5A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7E-4567-ACCF-194FD178D5A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87E-4567-ACCF-194FD178D5A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7E-4567-ACCF-194FD178D5A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7E-4567-ACCF-194FD178D5A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7E-4567-ACCF-194FD178D5A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7E-4567-ACCF-194FD178D5A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7E-4567-ACCF-194FD178D5A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7E-4567-ACCF-194FD178D5A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7E-4567-ACCF-194FD178D5AF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Geometria!$M$591:$M$611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E-4567-ACCF-194FD178D5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9097488"/>
        <c:axId val="759091728"/>
      </c:lineChart>
      <c:catAx>
        <c:axId val="759097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091728"/>
        <c:crosses val="autoZero"/>
        <c:auto val="1"/>
        <c:lblAlgn val="ctr"/>
        <c:lblOffset val="100"/>
        <c:noMultiLvlLbl val="0"/>
      </c:catAx>
      <c:valAx>
        <c:axId val="75909172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7590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Momento máximo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6381954473880106E-2"/>
          <c:y val="0.10726026502024666"/>
          <c:w val="0.96723609105223984"/>
          <c:h val="0.8811721679783788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Geometria!$K$591:$K$611</c:f>
              <c:numCache>
                <c:formatCode>0.0</c:formatCode>
                <c:ptCount val="21"/>
                <c:pt idx="0">
                  <c:v>0</c:v>
                </c:pt>
                <c:pt idx="1">
                  <c:v>-6.0991614205433402</c:v>
                </c:pt>
                <c:pt idx="2">
                  <c:v>-6.7927405205233047</c:v>
                </c:pt>
                <c:pt idx="3">
                  <c:v>-5.0365590851185305</c:v>
                </c:pt>
                <c:pt idx="4">
                  <c:v>-3.5143904484055355</c:v>
                </c:pt>
                <c:pt idx="5">
                  <c:v>-2.2262966941356144</c:v>
                </c:pt>
                <c:pt idx="6">
                  <c:v>-1.172330309822696</c:v>
                </c:pt>
                <c:pt idx="7">
                  <c:v>-0.35253420923191608</c:v>
                </c:pt>
                <c:pt idx="8">
                  <c:v>0.23305824925985211</c:v>
                </c:pt>
                <c:pt idx="9">
                  <c:v>0.58442324840783844</c:v>
                </c:pt>
                <c:pt idx="10">
                  <c:v>0.70154650192951729</c:v>
                </c:pt>
                <c:pt idx="11">
                  <c:v>0.58442324840783844</c:v>
                </c:pt>
                <c:pt idx="12">
                  <c:v>0.23305824925984983</c:v>
                </c:pt>
                <c:pt idx="13">
                  <c:v>-0.35253420923191559</c:v>
                </c:pt>
                <c:pt idx="14">
                  <c:v>-1.1723303098226907</c:v>
                </c:pt>
                <c:pt idx="15">
                  <c:v>-2.2262966941356037</c:v>
                </c:pt>
                <c:pt idx="16">
                  <c:v>-3.5143904484055284</c:v>
                </c:pt>
                <c:pt idx="17">
                  <c:v>-5.036559085118518</c:v>
                </c:pt>
                <c:pt idx="18">
                  <c:v>-6.7927405205232896</c:v>
                </c:pt>
                <c:pt idx="19">
                  <c:v>-6.0991614205433207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9E-406F-85CD-D253AF83D1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Geometria!$K$568:$K$588</c:f>
              <c:numCache>
                <c:formatCode>0.0</c:formatCode>
                <c:ptCount val="21"/>
                <c:pt idx="0">
                  <c:v>0</c:v>
                </c:pt>
                <c:pt idx="1">
                  <c:v>6.166498966093991E-2</c:v>
                </c:pt>
                <c:pt idx="2">
                  <c:v>-1.8173113631219171</c:v>
                </c:pt>
                <c:pt idx="3">
                  <c:v>-3.4752691791642483</c:v>
                </c:pt>
                <c:pt idx="4">
                  <c:v>-4.9121943759379922</c:v>
                </c:pt>
                <c:pt idx="5">
                  <c:v>-6.1280747607613604</c:v>
                </c:pt>
                <c:pt idx="6">
                  <c:v>-7.1229000255659471</c:v>
                </c:pt>
                <c:pt idx="7">
                  <c:v>-7.8966617424801759</c:v>
                </c:pt>
                <c:pt idx="8">
                  <c:v>-8.4493533602234763</c:v>
                </c:pt>
                <c:pt idx="9">
                  <c:v>-8.7809702013064701</c:v>
                </c:pt>
                <c:pt idx="10">
                  <c:v>-8.8915094600337472</c:v>
                </c:pt>
                <c:pt idx="11">
                  <c:v>-8.7809702013064701</c:v>
                </c:pt>
                <c:pt idx="12">
                  <c:v>-8.4493533602234763</c:v>
                </c:pt>
                <c:pt idx="13">
                  <c:v>-7.8966617424801768</c:v>
                </c:pt>
                <c:pt idx="14">
                  <c:v>-7.1229000255659516</c:v>
                </c:pt>
                <c:pt idx="15">
                  <c:v>-6.1280747607613693</c:v>
                </c:pt>
                <c:pt idx="16">
                  <c:v>-4.9121943759379993</c:v>
                </c:pt>
                <c:pt idx="17">
                  <c:v>-3.4752691791642607</c:v>
                </c:pt>
                <c:pt idx="18">
                  <c:v>-1.8173113631219304</c:v>
                </c:pt>
                <c:pt idx="19">
                  <c:v>6.1664989660925131E-2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9E-406F-85CD-D253AF83D14B}"/>
            </c:ext>
          </c:extLst>
        </c:ser>
        <c:ser>
          <c:idx val="2"/>
          <c:order val="2"/>
          <c:tx>
            <c:v>Série3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F-4430-9D62-34D22E7F8EC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F-4430-9D62-34D22E7F8EC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8F-4430-9D62-34D22E7F8EC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F-4430-9D62-34D22E7F8E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F-4430-9D62-34D22E7F8EC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F-4430-9D62-34D22E7F8E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F-4430-9D62-34D22E7F8EC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8F-4430-9D62-34D22E7F8EC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F8F-4430-9D62-34D22E7F8EC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F8F-4430-9D62-34D22E7F8EC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F8F-4430-9D62-34D22E7F8EC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F8F-4430-9D62-34D22E7F8EC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8F-4430-9D62-34D22E7F8EC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F8F-4430-9D62-34D22E7F8EC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F8F-4430-9D62-34D22E7F8EC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F8F-4430-9D62-34D22E7F8EC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F8F-4430-9D62-34D22E7F8EC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F8F-4430-9D62-34D22E7F8EC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F8F-4430-9D62-34D22E7F8EC6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Geometria!$M$591:$M$611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F-4430-9D62-34D22E7F8E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634811768458217E-2"/>
          <c:y val="3.7514923240895191E-2"/>
          <c:w val="0.9427240907604838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v>sèrie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Geometria!$AE$94:$AE$267</c:f>
              <c:numCache>
                <c:formatCode>General</c:formatCode>
                <c:ptCount val="66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15.309441843966107</c:v>
                </c:pt>
                <c:pt idx="8">
                  <c:v>15.309441843966107</c:v>
                </c:pt>
                <c:pt idx="9">
                  <c:v>109.19055815603389</c:v>
                </c:pt>
                <c:pt idx="10">
                  <c:v>109.19055815603389</c:v>
                </c:pt>
                <c:pt idx="11">
                  <c:v>122.85</c:v>
                </c:pt>
                <c:pt idx="12">
                  <c:v>122.85</c:v>
                </c:pt>
                <c:pt idx="13">
                  <c:v>121.5</c:v>
                </c:pt>
                <c:pt idx="14">
                  <c:v>121.5</c:v>
                </c:pt>
                <c:pt idx="15">
                  <c:v>124.5</c:v>
                </c:pt>
                <c:pt idx="16">
                  <c:v>124.31</c:v>
                </c:pt>
                <c:pt idx="17">
                  <c:v>123.55</c:v>
                </c:pt>
                <c:pt idx="18">
                  <c:v>111.05</c:v>
                </c:pt>
                <c:pt idx="19">
                  <c:v>111.05</c:v>
                </c:pt>
                <c:pt idx="20">
                  <c:v>114.1</c:v>
                </c:pt>
                <c:pt idx="21">
                  <c:v>117.25</c:v>
                </c:pt>
                <c:pt idx="22">
                  <c:v>117.25</c:v>
                </c:pt>
                <c:pt idx="23">
                  <c:v>117.18</c:v>
                </c:pt>
                <c:pt idx="24">
                  <c:v>116.92</c:v>
                </c:pt>
                <c:pt idx="25">
                  <c:v>116.43</c:v>
                </c:pt>
                <c:pt idx="26">
                  <c:v>115.87</c:v>
                </c:pt>
                <c:pt idx="27">
                  <c:v>115.23</c:v>
                </c:pt>
                <c:pt idx="28">
                  <c:v>114.55</c:v>
                </c:pt>
                <c:pt idx="29">
                  <c:v>113.9</c:v>
                </c:pt>
                <c:pt idx="30">
                  <c:v>113.18</c:v>
                </c:pt>
                <c:pt idx="31">
                  <c:v>112.59</c:v>
                </c:pt>
                <c:pt idx="32">
                  <c:v>111.97</c:v>
                </c:pt>
                <c:pt idx="33">
                  <c:v>111.3</c:v>
                </c:pt>
                <c:pt idx="34">
                  <c:v>110.7</c:v>
                </c:pt>
                <c:pt idx="35">
                  <c:v>110.03</c:v>
                </c:pt>
                <c:pt idx="36">
                  <c:v>109.41</c:v>
                </c:pt>
                <c:pt idx="37">
                  <c:v>108.82</c:v>
                </c:pt>
                <c:pt idx="38">
                  <c:v>108.1</c:v>
                </c:pt>
                <c:pt idx="39">
                  <c:v>107.45</c:v>
                </c:pt>
                <c:pt idx="40">
                  <c:v>106.77</c:v>
                </c:pt>
                <c:pt idx="41">
                  <c:v>106.13</c:v>
                </c:pt>
                <c:pt idx="42">
                  <c:v>105.57</c:v>
                </c:pt>
                <c:pt idx="43">
                  <c:v>105.08</c:v>
                </c:pt>
                <c:pt idx="44">
                  <c:v>104.82</c:v>
                </c:pt>
                <c:pt idx="45">
                  <c:v>104.75</c:v>
                </c:pt>
                <c:pt idx="46">
                  <c:v>104.75</c:v>
                </c:pt>
                <c:pt idx="47">
                  <c:v>75.599999999999994</c:v>
                </c:pt>
                <c:pt idx="48">
                  <c:v>74.95</c:v>
                </c:pt>
                <c:pt idx="49">
                  <c:v>74.27</c:v>
                </c:pt>
                <c:pt idx="50">
                  <c:v>73.63</c:v>
                </c:pt>
                <c:pt idx="51">
                  <c:v>73.069999999999993</c:v>
                </c:pt>
                <c:pt idx="52">
                  <c:v>72.58</c:v>
                </c:pt>
                <c:pt idx="53">
                  <c:v>72.319999999999993</c:v>
                </c:pt>
                <c:pt idx="54">
                  <c:v>72.25</c:v>
                </c:pt>
                <c:pt idx="55">
                  <c:v>72.25</c:v>
                </c:pt>
                <c:pt idx="56">
                  <c:v>75.400000000000006</c:v>
                </c:pt>
                <c:pt idx="57">
                  <c:v>78.5</c:v>
                </c:pt>
                <c:pt idx="58">
                  <c:v>78.5</c:v>
                </c:pt>
                <c:pt idx="59">
                  <c:v>62.3</c:v>
                </c:pt>
                <c:pt idx="60">
                  <c:v>57.379999999999995</c:v>
                </c:pt>
                <c:pt idx="61">
                  <c:v>56.819999999999993</c:v>
                </c:pt>
                <c:pt idx="62">
                  <c:v>56.33</c:v>
                </c:pt>
                <c:pt idx="63">
                  <c:v>56.069999999999993</c:v>
                </c:pt>
                <c:pt idx="64">
                  <c:v>52.25</c:v>
                </c:pt>
                <c:pt idx="65">
                  <c:v>52.180000000000007</c:v>
                </c:pt>
              </c:numCache>
            </c:numRef>
          </c:xVal>
          <c:yVal>
            <c:numRef>
              <c:f>Geometria!$AF$94:$AF$267</c:f>
              <c:numCache>
                <c:formatCode>General</c:formatCode>
                <c:ptCount val="66"/>
                <c:pt idx="0">
                  <c:v>0</c:v>
                </c:pt>
                <c:pt idx="1">
                  <c:v>0.76</c:v>
                </c:pt>
                <c:pt idx="2">
                  <c:v>2.2000000000000002</c:v>
                </c:pt>
                <c:pt idx="3">
                  <c:v>5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21.5</c:v>
                </c:pt>
                <c:pt idx="13">
                  <c:v>19</c:v>
                </c:pt>
                <c:pt idx="14">
                  <c:v>5</c:v>
                </c:pt>
                <c:pt idx="15">
                  <c:v>2.2000000000000002</c:v>
                </c:pt>
                <c:pt idx="16">
                  <c:v>0.76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5.8</c:v>
                </c:pt>
                <c:pt idx="22">
                  <c:v>15.75</c:v>
                </c:pt>
                <c:pt idx="23">
                  <c:v>16.66</c:v>
                </c:pt>
                <c:pt idx="24">
                  <c:v>17.760000000000002</c:v>
                </c:pt>
                <c:pt idx="25">
                  <c:v>18.84</c:v>
                </c:pt>
                <c:pt idx="26">
                  <c:v>19.66</c:v>
                </c:pt>
                <c:pt idx="27">
                  <c:v>20.350000000000001</c:v>
                </c:pt>
                <c:pt idx="28">
                  <c:v>20.89</c:v>
                </c:pt>
                <c:pt idx="29">
                  <c:v>21.29</c:v>
                </c:pt>
                <c:pt idx="30">
                  <c:v>21.61</c:v>
                </c:pt>
                <c:pt idx="31">
                  <c:v>21.79</c:v>
                </c:pt>
                <c:pt idx="32">
                  <c:v>21.92</c:v>
                </c:pt>
                <c:pt idx="33">
                  <c:v>21.99</c:v>
                </c:pt>
                <c:pt idx="34">
                  <c:v>21.99</c:v>
                </c:pt>
                <c:pt idx="35">
                  <c:v>21.92</c:v>
                </c:pt>
                <c:pt idx="36">
                  <c:v>21.79</c:v>
                </c:pt>
                <c:pt idx="37">
                  <c:v>21.61</c:v>
                </c:pt>
                <c:pt idx="38">
                  <c:v>21.29</c:v>
                </c:pt>
                <c:pt idx="39">
                  <c:v>20.89</c:v>
                </c:pt>
                <c:pt idx="40">
                  <c:v>20.350000000000001</c:v>
                </c:pt>
                <c:pt idx="41">
                  <c:v>19.66</c:v>
                </c:pt>
                <c:pt idx="42">
                  <c:v>18.84</c:v>
                </c:pt>
                <c:pt idx="43">
                  <c:v>17.760000000000002</c:v>
                </c:pt>
                <c:pt idx="44">
                  <c:v>16.66</c:v>
                </c:pt>
                <c:pt idx="45">
                  <c:v>15.75</c:v>
                </c:pt>
                <c:pt idx="46">
                  <c:v>5.8</c:v>
                </c:pt>
                <c:pt idx="47">
                  <c:v>21.29</c:v>
                </c:pt>
                <c:pt idx="48">
                  <c:v>20.89</c:v>
                </c:pt>
                <c:pt idx="49">
                  <c:v>20.350000000000001</c:v>
                </c:pt>
                <c:pt idx="50">
                  <c:v>19.66</c:v>
                </c:pt>
                <c:pt idx="51">
                  <c:v>18.84</c:v>
                </c:pt>
                <c:pt idx="52">
                  <c:v>17.760000000000002</c:v>
                </c:pt>
                <c:pt idx="53">
                  <c:v>16.66</c:v>
                </c:pt>
                <c:pt idx="54">
                  <c:v>15.75</c:v>
                </c:pt>
                <c:pt idx="55">
                  <c:v>5.8</c:v>
                </c:pt>
                <c:pt idx="56">
                  <c:v>3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  <c:pt idx="60">
                  <c:v>19.66</c:v>
                </c:pt>
                <c:pt idx="61">
                  <c:v>18.84</c:v>
                </c:pt>
                <c:pt idx="62">
                  <c:v>17.760000000000002</c:v>
                </c:pt>
                <c:pt idx="63">
                  <c:v>16.66</c:v>
                </c:pt>
                <c:pt idx="64">
                  <c:v>15.75</c:v>
                </c:pt>
                <c:pt idx="65">
                  <c:v>16.66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8-4246-BBFA-572E7BB1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41136"/>
        <c:axId val="79240656"/>
      </c:scatterChart>
      <c:valAx>
        <c:axId val="79241136"/>
        <c:scaling>
          <c:orientation val="minMax"/>
          <c:max val="12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0656"/>
        <c:crosses val="autoZero"/>
        <c:crossBetween val="midCat"/>
      </c:valAx>
      <c:valAx>
        <c:axId val="7924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ELU-ATO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82200948694065E-3"/>
          <c:y val="6.677378051543531E-2"/>
          <c:w val="0.9908580390099162"/>
          <c:h val="0.87624800443564954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Geometria!$K$777:$K$797</c:f>
              <c:numCache>
                <c:formatCode>0.0</c:formatCode>
                <c:ptCount val="21"/>
                <c:pt idx="0">
                  <c:v>0</c:v>
                </c:pt>
                <c:pt idx="1">
                  <c:v>-9.4186990683655303</c:v>
                </c:pt>
                <c:pt idx="2">
                  <c:v>-11.903323270456392</c:v>
                </c:pt>
                <c:pt idx="3">
                  <c:v>-11.238662176962398</c:v>
                </c:pt>
                <c:pt idx="4">
                  <c:v>-10.662622562600943</c:v>
                </c:pt>
                <c:pt idx="5">
                  <c:v>-10.175204427372012</c:v>
                </c:pt>
                <c:pt idx="6">
                  <c:v>-9.7764077712756166</c:v>
                </c:pt>
                <c:pt idx="7">
                  <c:v>-9.4662325943117551</c:v>
                </c:pt>
                <c:pt idx="8">
                  <c:v>-9.2446788964804245</c:v>
                </c:pt>
                <c:pt idx="9">
                  <c:v>-9.1117466777816265</c:v>
                </c:pt>
                <c:pt idx="10">
                  <c:v>-9.0674359382153593</c:v>
                </c:pt>
                <c:pt idx="11">
                  <c:v>-9.1117466777816229</c:v>
                </c:pt>
                <c:pt idx="12">
                  <c:v>-9.2446788964804245</c:v>
                </c:pt>
                <c:pt idx="13">
                  <c:v>-9.4662325943117533</c:v>
                </c:pt>
                <c:pt idx="14">
                  <c:v>-9.7764077712756148</c:v>
                </c:pt>
                <c:pt idx="15">
                  <c:v>-10.175204427372009</c:v>
                </c:pt>
                <c:pt idx="16">
                  <c:v>-10.662622562600941</c:v>
                </c:pt>
                <c:pt idx="17">
                  <c:v>-11.238662176962395</c:v>
                </c:pt>
                <c:pt idx="18">
                  <c:v>-11.903323270456385</c:v>
                </c:pt>
                <c:pt idx="19">
                  <c:v>-9.4186990683655196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9E-406F-85CD-D253AF83D1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Geometria!$K$754:$K$774</c:f>
              <c:numCache>
                <c:formatCode>0.0</c:formatCode>
                <c:ptCount val="21"/>
                <c:pt idx="0">
                  <c:v>0</c:v>
                </c:pt>
                <c:pt idx="1">
                  <c:v>1.7608450514978127</c:v>
                </c:pt>
                <c:pt idx="2">
                  <c:v>0.96440487597263591</c:v>
                </c:pt>
                <c:pt idx="3">
                  <c:v>0.26166354462689106</c:v>
                </c:pt>
                <c:pt idx="4">
                  <c:v>-0.3473789425394202</c:v>
                </c:pt>
                <c:pt idx="5">
                  <c:v>-0.86272258552630088</c:v>
                </c:pt>
                <c:pt idx="6">
                  <c:v>-1.2843673843337469</c:v>
                </c:pt>
                <c:pt idx="7">
                  <c:v>-1.6123133389617605</c:v>
                </c:pt>
                <c:pt idx="8">
                  <c:v>-1.8465604494103409</c:v>
                </c:pt>
                <c:pt idx="9">
                  <c:v>-1.9871087156794902</c:v>
                </c:pt>
                <c:pt idx="10">
                  <c:v>-2.0339581377692082</c:v>
                </c:pt>
                <c:pt idx="11">
                  <c:v>-1.987108715679492</c:v>
                </c:pt>
                <c:pt idx="12">
                  <c:v>-1.8465604494103409</c:v>
                </c:pt>
                <c:pt idx="13">
                  <c:v>-1.6123133389617623</c:v>
                </c:pt>
                <c:pt idx="14">
                  <c:v>-1.2843673843337482</c:v>
                </c:pt>
                <c:pt idx="15">
                  <c:v>-0.86272258552630365</c:v>
                </c:pt>
                <c:pt idx="16">
                  <c:v>-0.34737894253942203</c:v>
                </c:pt>
                <c:pt idx="17">
                  <c:v>0.26166354462688785</c:v>
                </c:pt>
                <c:pt idx="18">
                  <c:v>0.96440487597263058</c:v>
                </c:pt>
                <c:pt idx="19">
                  <c:v>1.760845051497804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9E-406F-85CD-D253AF83D14B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9E-406F-85CD-D253AF83D14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9E-406F-85CD-D253AF83D14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9E-406F-85CD-D253AF83D14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9E-406F-85CD-D253AF83D14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9E-406F-85CD-D253AF83D14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9E-406F-85CD-D253AF83D14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9E-406F-85CD-D253AF83D1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9E-406F-85CD-D253AF83D14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9E-406F-85CD-D253AF83D14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9E-406F-85CD-D253AF83D14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9E-406F-85CD-D253AF83D14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9E-406F-85CD-D253AF83D14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9E-406F-85CD-D253AF83D14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9E-406F-85CD-D253AF83D14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9E-406F-85CD-D253AF83D14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9E-406F-85CD-D253AF83D14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9E-406F-85CD-D253AF83D14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9E-406F-85CD-D253AF83D1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9E-406F-85CD-D253AF83D14B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Geometria!$M$754:$M$774</c:f>
              <c:numCache>
                <c:formatCode>0.0</c:formatCode>
                <c:ptCount val="21"/>
                <c:pt idx="0">
                  <c:v>3.8519549300342844</c:v>
                </c:pt>
                <c:pt idx="1">
                  <c:v>3.8519549300342844</c:v>
                </c:pt>
                <c:pt idx="2">
                  <c:v>3.8519549300342844</c:v>
                </c:pt>
                <c:pt idx="3">
                  <c:v>3.8519549300342844</c:v>
                </c:pt>
                <c:pt idx="4">
                  <c:v>3.8519549300342844</c:v>
                </c:pt>
                <c:pt idx="5">
                  <c:v>3.8519549300342844</c:v>
                </c:pt>
                <c:pt idx="6">
                  <c:v>3.8519549300342844</c:v>
                </c:pt>
                <c:pt idx="7">
                  <c:v>3.8519549300342844</c:v>
                </c:pt>
                <c:pt idx="8">
                  <c:v>3.8519549300342844</c:v>
                </c:pt>
                <c:pt idx="9">
                  <c:v>3.8519549300342844</c:v>
                </c:pt>
                <c:pt idx="10">
                  <c:v>3.8519549300342844</c:v>
                </c:pt>
                <c:pt idx="11">
                  <c:v>3.8519549300342844</c:v>
                </c:pt>
                <c:pt idx="12">
                  <c:v>3.8519549300342844</c:v>
                </c:pt>
                <c:pt idx="13">
                  <c:v>3.8519549300342844</c:v>
                </c:pt>
                <c:pt idx="14">
                  <c:v>3.8519549300342844</c:v>
                </c:pt>
                <c:pt idx="15">
                  <c:v>3.8519549300342844</c:v>
                </c:pt>
                <c:pt idx="16">
                  <c:v>3.8519549300342844</c:v>
                </c:pt>
                <c:pt idx="17">
                  <c:v>3.8519549300342844</c:v>
                </c:pt>
                <c:pt idx="18">
                  <c:v>3.8519549300342844</c:v>
                </c:pt>
                <c:pt idx="19">
                  <c:v>3.8519549300342844</c:v>
                </c:pt>
                <c:pt idx="20">
                  <c:v>3.8519549300342844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E-406F-85CD-D253AF83D14B}"/>
            </c:ext>
          </c:extLst>
        </c:ser>
        <c:ser>
          <c:idx val="3"/>
          <c:order val="3"/>
          <c:tx>
            <c:v>série 4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C5-4EFC-A21B-8A315D412A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C5-4EFC-A21B-8A315D412A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C5-4EFC-A21B-8A315D412A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C5-4EFC-A21B-8A315D412A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C5-4EFC-A21B-8A315D412A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C5-4EFC-A21B-8A315D412A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C5-4EFC-A21B-8A315D412A6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C5-4EFC-A21B-8A315D412A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C5-4EFC-A21B-8A315D412A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C5-4EFC-A21B-8A315D412A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C5-4EFC-A21B-8A315D412A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C5-4EFC-A21B-8A315D412A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C5-4EFC-A21B-8A315D412A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C5-4EFC-A21B-8A315D412A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C5-4EFC-A21B-8A315D412A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C5-4EFC-A21B-8A315D412A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2C5-4EFC-A21B-8A315D412A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2C5-4EFC-A21B-8A315D412A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2C5-4EFC-A21B-8A315D412A64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Geometria!$M$777:$M$797</c:f>
              <c:numCache>
                <c:formatCode>0.0</c:formatCode>
                <c:ptCount val="21"/>
                <c:pt idx="0">
                  <c:v>-24.5</c:v>
                </c:pt>
                <c:pt idx="1">
                  <c:v>-24.5</c:v>
                </c:pt>
                <c:pt idx="2">
                  <c:v>-24.5</c:v>
                </c:pt>
                <c:pt idx="3">
                  <c:v>-24.5</c:v>
                </c:pt>
                <c:pt idx="4">
                  <c:v>-24.5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5-4EFC-A21B-8A315D412A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057171101688535E-2"/>
          <c:y val="5.7935959603987133E-2"/>
          <c:w val="0.94861145677122904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Geometria!$AB$94:$AB$263</c:f>
              <c:numCache>
                <c:formatCode>General</c:formatCode>
                <c:ptCount val="66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122.85</c:v>
                </c:pt>
                <c:pt idx="8">
                  <c:v>122.85</c:v>
                </c:pt>
                <c:pt idx="9">
                  <c:v>121.5</c:v>
                </c:pt>
                <c:pt idx="10">
                  <c:v>121.5</c:v>
                </c:pt>
                <c:pt idx="11">
                  <c:v>124.5</c:v>
                </c:pt>
                <c:pt idx="12">
                  <c:v>124.31</c:v>
                </c:pt>
                <c:pt idx="13">
                  <c:v>123.55</c:v>
                </c:pt>
                <c:pt idx="14">
                  <c:v>111.05</c:v>
                </c:pt>
                <c:pt idx="15">
                  <c:v>111.05</c:v>
                </c:pt>
                <c:pt idx="16">
                  <c:v>114.1</c:v>
                </c:pt>
                <c:pt idx="17">
                  <c:v>117.25</c:v>
                </c:pt>
                <c:pt idx="18">
                  <c:v>117.25</c:v>
                </c:pt>
                <c:pt idx="19">
                  <c:v>117.18</c:v>
                </c:pt>
                <c:pt idx="20">
                  <c:v>116.92</c:v>
                </c:pt>
                <c:pt idx="21">
                  <c:v>116.43</c:v>
                </c:pt>
                <c:pt idx="22">
                  <c:v>115.87</c:v>
                </c:pt>
                <c:pt idx="23">
                  <c:v>115.23</c:v>
                </c:pt>
                <c:pt idx="24">
                  <c:v>114.55</c:v>
                </c:pt>
                <c:pt idx="25">
                  <c:v>113.9</c:v>
                </c:pt>
                <c:pt idx="26">
                  <c:v>113.18</c:v>
                </c:pt>
                <c:pt idx="27">
                  <c:v>112.59</c:v>
                </c:pt>
                <c:pt idx="28">
                  <c:v>111.97</c:v>
                </c:pt>
                <c:pt idx="29">
                  <c:v>111.3</c:v>
                </c:pt>
                <c:pt idx="30">
                  <c:v>110.7</c:v>
                </c:pt>
                <c:pt idx="31">
                  <c:v>110.03</c:v>
                </c:pt>
                <c:pt idx="32">
                  <c:v>109.41</c:v>
                </c:pt>
                <c:pt idx="33">
                  <c:v>108.82</c:v>
                </c:pt>
                <c:pt idx="34">
                  <c:v>108.1</c:v>
                </c:pt>
                <c:pt idx="35">
                  <c:v>107.45</c:v>
                </c:pt>
                <c:pt idx="36">
                  <c:v>106.77</c:v>
                </c:pt>
                <c:pt idx="37">
                  <c:v>106.13</c:v>
                </c:pt>
                <c:pt idx="38">
                  <c:v>105.57</c:v>
                </c:pt>
                <c:pt idx="39">
                  <c:v>105.08</c:v>
                </c:pt>
                <c:pt idx="40">
                  <c:v>104.82</c:v>
                </c:pt>
                <c:pt idx="41">
                  <c:v>104.75</c:v>
                </c:pt>
                <c:pt idx="42">
                  <c:v>104.75</c:v>
                </c:pt>
                <c:pt idx="43">
                  <c:v>107.9</c:v>
                </c:pt>
                <c:pt idx="44">
                  <c:v>111</c:v>
                </c:pt>
                <c:pt idx="45">
                  <c:v>111</c:v>
                </c:pt>
                <c:pt idx="46">
                  <c:v>94.8</c:v>
                </c:pt>
                <c:pt idx="47">
                  <c:v>73.069999999999993</c:v>
                </c:pt>
                <c:pt idx="48">
                  <c:v>72.58</c:v>
                </c:pt>
                <c:pt idx="49">
                  <c:v>72.319999999999993</c:v>
                </c:pt>
                <c:pt idx="50">
                  <c:v>72.25</c:v>
                </c:pt>
                <c:pt idx="51">
                  <c:v>72.25</c:v>
                </c:pt>
                <c:pt idx="52">
                  <c:v>75.400000000000006</c:v>
                </c:pt>
                <c:pt idx="53">
                  <c:v>78.5</c:v>
                </c:pt>
                <c:pt idx="54">
                  <c:v>78.5</c:v>
                </c:pt>
                <c:pt idx="55">
                  <c:v>62.3</c:v>
                </c:pt>
                <c:pt idx="56">
                  <c:v>62.3</c:v>
                </c:pt>
                <c:pt idx="57">
                  <c:v>65.349999999999994</c:v>
                </c:pt>
                <c:pt idx="58">
                  <c:v>68.5</c:v>
                </c:pt>
                <c:pt idx="59">
                  <c:v>68.5</c:v>
                </c:pt>
                <c:pt idx="60">
                  <c:v>56</c:v>
                </c:pt>
                <c:pt idx="61">
                  <c:v>56</c:v>
                </c:pt>
                <c:pt idx="62">
                  <c:v>59.150000000000006</c:v>
                </c:pt>
                <c:pt idx="63">
                  <c:v>62.25</c:v>
                </c:pt>
                <c:pt idx="64">
                  <c:v>50.870000000000005</c:v>
                </c:pt>
                <c:pt idx="65">
                  <c:v>50.230000000000004</c:v>
                </c:pt>
              </c:numCache>
            </c:numRef>
          </c:xVal>
          <c:yVal>
            <c:numRef>
              <c:f>Geometria!$AC$94:$AC$263</c:f>
              <c:numCache>
                <c:formatCode>General</c:formatCode>
                <c:ptCount val="66"/>
                <c:pt idx="0">
                  <c:v>0</c:v>
                </c:pt>
                <c:pt idx="1">
                  <c:v>0.76</c:v>
                </c:pt>
                <c:pt idx="2">
                  <c:v>2.2000000000000002</c:v>
                </c:pt>
                <c:pt idx="3">
                  <c:v>5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21.5</c:v>
                </c:pt>
                <c:pt idx="9">
                  <c:v>19</c:v>
                </c:pt>
                <c:pt idx="10">
                  <c:v>5</c:v>
                </c:pt>
                <c:pt idx="11">
                  <c:v>2.2000000000000002</c:v>
                </c:pt>
                <c:pt idx="12">
                  <c:v>0.76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5.8</c:v>
                </c:pt>
                <c:pt idx="18">
                  <c:v>15.75</c:v>
                </c:pt>
                <c:pt idx="19">
                  <c:v>16.66</c:v>
                </c:pt>
                <c:pt idx="20">
                  <c:v>17.760000000000002</c:v>
                </c:pt>
                <c:pt idx="21">
                  <c:v>18.84</c:v>
                </c:pt>
                <c:pt idx="22">
                  <c:v>19.66</c:v>
                </c:pt>
                <c:pt idx="23">
                  <c:v>20.350000000000001</c:v>
                </c:pt>
                <c:pt idx="24">
                  <c:v>20.89</c:v>
                </c:pt>
                <c:pt idx="25">
                  <c:v>21.29</c:v>
                </c:pt>
                <c:pt idx="26">
                  <c:v>21.61</c:v>
                </c:pt>
                <c:pt idx="27">
                  <c:v>21.79</c:v>
                </c:pt>
                <c:pt idx="28">
                  <c:v>21.92</c:v>
                </c:pt>
                <c:pt idx="29">
                  <c:v>21.99</c:v>
                </c:pt>
                <c:pt idx="30">
                  <c:v>21.99</c:v>
                </c:pt>
                <c:pt idx="31">
                  <c:v>21.92</c:v>
                </c:pt>
                <c:pt idx="32">
                  <c:v>21.79</c:v>
                </c:pt>
                <c:pt idx="33">
                  <c:v>21.61</c:v>
                </c:pt>
                <c:pt idx="34">
                  <c:v>21.29</c:v>
                </c:pt>
                <c:pt idx="35">
                  <c:v>20.89</c:v>
                </c:pt>
                <c:pt idx="36">
                  <c:v>20.350000000000001</c:v>
                </c:pt>
                <c:pt idx="37">
                  <c:v>19.66</c:v>
                </c:pt>
                <c:pt idx="38">
                  <c:v>18.84</c:v>
                </c:pt>
                <c:pt idx="39">
                  <c:v>17.760000000000002</c:v>
                </c:pt>
                <c:pt idx="40">
                  <c:v>16.66</c:v>
                </c:pt>
                <c:pt idx="41">
                  <c:v>15.75</c:v>
                </c:pt>
                <c:pt idx="42">
                  <c:v>5.8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18.84</c:v>
                </c:pt>
                <c:pt idx="48">
                  <c:v>17.760000000000002</c:v>
                </c:pt>
                <c:pt idx="49">
                  <c:v>16.66</c:v>
                </c:pt>
                <c:pt idx="50">
                  <c:v>15.75</c:v>
                </c:pt>
                <c:pt idx="51">
                  <c:v>5.8</c:v>
                </c:pt>
                <c:pt idx="52">
                  <c:v>3</c:v>
                </c:pt>
                <c:pt idx="53">
                  <c:v>3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5.8</c:v>
                </c:pt>
                <c:pt idx="59">
                  <c:v>15.75</c:v>
                </c:pt>
                <c:pt idx="60">
                  <c:v>15.75</c:v>
                </c:pt>
                <c:pt idx="61">
                  <c:v>5.8</c:v>
                </c:pt>
                <c:pt idx="62">
                  <c:v>3</c:v>
                </c:pt>
                <c:pt idx="63">
                  <c:v>3</c:v>
                </c:pt>
                <c:pt idx="64">
                  <c:v>19.66</c:v>
                </c:pt>
                <c:pt idx="65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B-417B-8867-7436B4038411}"/>
            </c:ext>
          </c:extLst>
        </c:ser>
        <c:ser>
          <c:idx val="1"/>
          <c:order val="1"/>
          <c:tx>
            <c:v>Cordoalhas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98-4780-A046-5396EBD38BEC}"/>
              </c:ext>
            </c:extLst>
          </c:dPt>
          <c:xVal>
            <c:numRef>
              <c:f>Geometria!$AT$98:$AT$107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54.125</c:v>
                </c:pt>
                <c:pt idx="4">
                  <c:v>54.125</c:v>
                </c:pt>
                <c:pt idx="5">
                  <c:v>70.375</c:v>
                </c:pt>
                <c:pt idx="6">
                  <c:v>70.375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Geometria!$AS$98:$AS$107</c:f>
              <c:numCache>
                <c:formatCode>General</c:formatCode>
                <c:ptCount val="1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BB-417B-8867-7436B4038411}"/>
            </c:ext>
          </c:extLst>
        </c:ser>
        <c:ser>
          <c:idx val="2"/>
          <c:order val="2"/>
          <c:tx>
            <c:v>cordoalha superior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5875">
                <a:solidFill>
                  <a:srgbClr val="FF0000"/>
                </a:solidFill>
              </a:ln>
              <a:effectLst/>
            </c:spPr>
          </c:marker>
          <c:xVal>
            <c:numRef>
              <c:f>Geometria!$AX$98:$AX$107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Geometria!$AW$98:$AW$107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BB-417B-8867-7436B403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41136"/>
        <c:axId val="79240656"/>
      </c:scatterChart>
      <c:valAx>
        <c:axId val="79241136"/>
        <c:scaling>
          <c:orientation val="minMax"/>
          <c:max val="12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0656"/>
        <c:crosses val="autoZero"/>
        <c:crossBetween val="midCat"/>
      </c:valAx>
      <c:valAx>
        <c:axId val="7924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4113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VI'!$B$6:$B$362</c:f>
              <c:numCache>
                <c:formatCode>0.000</c:formatCode>
                <c:ptCount val="357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122.85</c:v>
                </c:pt>
                <c:pt idx="9">
                  <c:v>122.85</c:v>
                </c:pt>
                <c:pt idx="10">
                  <c:v>121.5</c:v>
                </c:pt>
                <c:pt idx="11">
                  <c:v>121.5</c:v>
                </c:pt>
                <c:pt idx="12">
                  <c:v>124.5</c:v>
                </c:pt>
                <c:pt idx="13">
                  <c:v>124.31</c:v>
                </c:pt>
                <c:pt idx="14">
                  <c:v>123.55</c:v>
                </c:pt>
                <c:pt idx="15">
                  <c:v>111.05</c:v>
                </c:pt>
                <c:pt idx="16">
                  <c:v>111.05</c:v>
                </c:pt>
                <c:pt idx="17">
                  <c:v>114.1</c:v>
                </c:pt>
                <c:pt idx="18">
                  <c:v>117.25</c:v>
                </c:pt>
                <c:pt idx="19">
                  <c:v>117.25</c:v>
                </c:pt>
                <c:pt idx="20">
                  <c:v>117.18</c:v>
                </c:pt>
                <c:pt idx="21">
                  <c:v>116.92</c:v>
                </c:pt>
                <c:pt idx="22">
                  <c:v>116.43</c:v>
                </c:pt>
                <c:pt idx="23">
                  <c:v>115.87</c:v>
                </c:pt>
                <c:pt idx="24">
                  <c:v>115.23</c:v>
                </c:pt>
                <c:pt idx="25">
                  <c:v>114.55</c:v>
                </c:pt>
                <c:pt idx="26">
                  <c:v>113.9</c:v>
                </c:pt>
                <c:pt idx="27">
                  <c:v>113.18</c:v>
                </c:pt>
                <c:pt idx="28">
                  <c:v>112.59</c:v>
                </c:pt>
                <c:pt idx="29">
                  <c:v>111.97</c:v>
                </c:pt>
                <c:pt idx="30">
                  <c:v>111.3</c:v>
                </c:pt>
                <c:pt idx="31">
                  <c:v>110.7</c:v>
                </c:pt>
                <c:pt idx="32">
                  <c:v>110.03</c:v>
                </c:pt>
                <c:pt idx="33">
                  <c:v>109.41</c:v>
                </c:pt>
                <c:pt idx="34">
                  <c:v>108.82</c:v>
                </c:pt>
                <c:pt idx="35">
                  <c:v>108.1</c:v>
                </c:pt>
                <c:pt idx="36">
                  <c:v>107.45</c:v>
                </c:pt>
                <c:pt idx="37">
                  <c:v>106.77</c:v>
                </c:pt>
                <c:pt idx="38">
                  <c:v>106.13</c:v>
                </c:pt>
                <c:pt idx="39">
                  <c:v>105.57</c:v>
                </c:pt>
                <c:pt idx="40">
                  <c:v>105.08</c:v>
                </c:pt>
                <c:pt idx="41">
                  <c:v>104.82</c:v>
                </c:pt>
                <c:pt idx="42">
                  <c:v>104.75</c:v>
                </c:pt>
                <c:pt idx="43">
                  <c:v>104.75</c:v>
                </c:pt>
                <c:pt idx="44">
                  <c:v>107.9</c:v>
                </c:pt>
                <c:pt idx="45">
                  <c:v>111</c:v>
                </c:pt>
                <c:pt idx="46">
                  <c:v>111</c:v>
                </c:pt>
                <c:pt idx="47">
                  <c:v>94.8</c:v>
                </c:pt>
                <c:pt idx="48">
                  <c:v>94.8</c:v>
                </c:pt>
                <c:pt idx="49">
                  <c:v>97.85</c:v>
                </c:pt>
                <c:pt idx="50">
                  <c:v>101</c:v>
                </c:pt>
                <c:pt idx="51">
                  <c:v>101</c:v>
                </c:pt>
                <c:pt idx="52">
                  <c:v>100.93</c:v>
                </c:pt>
                <c:pt idx="53">
                  <c:v>100.67</c:v>
                </c:pt>
                <c:pt idx="54">
                  <c:v>100.18</c:v>
                </c:pt>
                <c:pt idx="55">
                  <c:v>99.62</c:v>
                </c:pt>
                <c:pt idx="56">
                  <c:v>98.98</c:v>
                </c:pt>
                <c:pt idx="57">
                  <c:v>98.3</c:v>
                </c:pt>
                <c:pt idx="58">
                  <c:v>97.65</c:v>
                </c:pt>
                <c:pt idx="59">
                  <c:v>96.93</c:v>
                </c:pt>
                <c:pt idx="60">
                  <c:v>96.34</c:v>
                </c:pt>
                <c:pt idx="61">
                  <c:v>95.72</c:v>
                </c:pt>
                <c:pt idx="62">
                  <c:v>95.05</c:v>
                </c:pt>
                <c:pt idx="63">
                  <c:v>94.45</c:v>
                </c:pt>
                <c:pt idx="64">
                  <c:v>93.78</c:v>
                </c:pt>
                <c:pt idx="65">
                  <c:v>93.16</c:v>
                </c:pt>
                <c:pt idx="66">
                  <c:v>92.57</c:v>
                </c:pt>
                <c:pt idx="67">
                  <c:v>91.85</c:v>
                </c:pt>
                <c:pt idx="68">
                  <c:v>91.2</c:v>
                </c:pt>
                <c:pt idx="69">
                  <c:v>90.52</c:v>
                </c:pt>
                <c:pt idx="70">
                  <c:v>89.88</c:v>
                </c:pt>
                <c:pt idx="71">
                  <c:v>89.32</c:v>
                </c:pt>
                <c:pt idx="72">
                  <c:v>88.83</c:v>
                </c:pt>
                <c:pt idx="73">
                  <c:v>88.57</c:v>
                </c:pt>
                <c:pt idx="74">
                  <c:v>88.5</c:v>
                </c:pt>
                <c:pt idx="75">
                  <c:v>88.5</c:v>
                </c:pt>
                <c:pt idx="76">
                  <c:v>91.65</c:v>
                </c:pt>
                <c:pt idx="77">
                  <c:v>94.75</c:v>
                </c:pt>
                <c:pt idx="78">
                  <c:v>94.75</c:v>
                </c:pt>
                <c:pt idx="79">
                  <c:v>78.55</c:v>
                </c:pt>
                <c:pt idx="80">
                  <c:v>78.55</c:v>
                </c:pt>
                <c:pt idx="81">
                  <c:v>81.599999999999994</c:v>
                </c:pt>
                <c:pt idx="82">
                  <c:v>84.75</c:v>
                </c:pt>
                <c:pt idx="83">
                  <c:v>84.75</c:v>
                </c:pt>
                <c:pt idx="84">
                  <c:v>84.68</c:v>
                </c:pt>
                <c:pt idx="85">
                  <c:v>84.42</c:v>
                </c:pt>
                <c:pt idx="86">
                  <c:v>83.93</c:v>
                </c:pt>
                <c:pt idx="87">
                  <c:v>83.37</c:v>
                </c:pt>
                <c:pt idx="88">
                  <c:v>82.73</c:v>
                </c:pt>
                <c:pt idx="89">
                  <c:v>82.05</c:v>
                </c:pt>
                <c:pt idx="90">
                  <c:v>81.400000000000006</c:v>
                </c:pt>
                <c:pt idx="91">
                  <c:v>80.680000000000007</c:v>
                </c:pt>
                <c:pt idx="92">
                  <c:v>80.09</c:v>
                </c:pt>
                <c:pt idx="93">
                  <c:v>79.47</c:v>
                </c:pt>
                <c:pt idx="94">
                  <c:v>78.8</c:v>
                </c:pt>
                <c:pt idx="95">
                  <c:v>78.2</c:v>
                </c:pt>
                <c:pt idx="96">
                  <c:v>77.53</c:v>
                </c:pt>
                <c:pt idx="97">
                  <c:v>76.91</c:v>
                </c:pt>
                <c:pt idx="98">
                  <c:v>76.319999999999993</c:v>
                </c:pt>
                <c:pt idx="99">
                  <c:v>75.599999999999994</c:v>
                </c:pt>
                <c:pt idx="100">
                  <c:v>74.95</c:v>
                </c:pt>
                <c:pt idx="101">
                  <c:v>74.27</c:v>
                </c:pt>
                <c:pt idx="102">
                  <c:v>73.63</c:v>
                </c:pt>
                <c:pt idx="103">
                  <c:v>73.069999999999993</c:v>
                </c:pt>
                <c:pt idx="104">
                  <c:v>72.58</c:v>
                </c:pt>
                <c:pt idx="105">
                  <c:v>72.319999999999993</c:v>
                </c:pt>
                <c:pt idx="106">
                  <c:v>72.25</c:v>
                </c:pt>
                <c:pt idx="107">
                  <c:v>72.25</c:v>
                </c:pt>
                <c:pt idx="108">
                  <c:v>75.400000000000006</c:v>
                </c:pt>
                <c:pt idx="109">
                  <c:v>78.5</c:v>
                </c:pt>
                <c:pt idx="110">
                  <c:v>78.5</c:v>
                </c:pt>
                <c:pt idx="111">
                  <c:v>62.3</c:v>
                </c:pt>
                <c:pt idx="112">
                  <c:v>62.3</c:v>
                </c:pt>
                <c:pt idx="113">
                  <c:v>65.349999999999994</c:v>
                </c:pt>
                <c:pt idx="114">
                  <c:v>68.5</c:v>
                </c:pt>
                <c:pt idx="115">
                  <c:v>68.5</c:v>
                </c:pt>
                <c:pt idx="116">
                  <c:v>68.430000000000007</c:v>
                </c:pt>
                <c:pt idx="117">
                  <c:v>68.17</c:v>
                </c:pt>
                <c:pt idx="118">
                  <c:v>67.680000000000007</c:v>
                </c:pt>
                <c:pt idx="119">
                  <c:v>67.12</c:v>
                </c:pt>
                <c:pt idx="120">
                  <c:v>66.48</c:v>
                </c:pt>
                <c:pt idx="121">
                  <c:v>65.8</c:v>
                </c:pt>
                <c:pt idx="122">
                  <c:v>65.150000000000006</c:v>
                </c:pt>
                <c:pt idx="123">
                  <c:v>64.430000000000007</c:v>
                </c:pt>
                <c:pt idx="124">
                  <c:v>63.84</c:v>
                </c:pt>
                <c:pt idx="125">
                  <c:v>63.22</c:v>
                </c:pt>
                <c:pt idx="126">
                  <c:v>62.55</c:v>
                </c:pt>
                <c:pt idx="127">
                  <c:v>61.95</c:v>
                </c:pt>
                <c:pt idx="128">
                  <c:v>61.28</c:v>
                </c:pt>
                <c:pt idx="129">
                  <c:v>60.66</c:v>
                </c:pt>
                <c:pt idx="130">
                  <c:v>60.069999999999993</c:v>
                </c:pt>
                <c:pt idx="131">
                  <c:v>59.349999999999994</c:v>
                </c:pt>
                <c:pt idx="132">
                  <c:v>58.7</c:v>
                </c:pt>
                <c:pt idx="133">
                  <c:v>58.019999999999996</c:v>
                </c:pt>
                <c:pt idx="134">
                  <c:v>57.379999999999995</c:v>
                </c:pt>
                <c:pt idx="135">
                  <c:v>56.819999999999993</c:v>
                </c:pt>
                <c:pt idx="136">
                  <c:v>56.33</c:v>
                </c:pt>
                <c:pt idx="137">
                  <c:v>56.069999999999993</c:v>
                </c:pt>
                <c:pt idx="138">
                  <c:v>56</c:v>
                </c:pt>
                <c:pt idx="139">
                  <c:v>56</c:v>
                </c:pt>
                <c:pt idx="140">
                  <c:v>59.150000000000006</c:v>
                </c:pt>
                <c:pt idx="141">
                  <c:v>62.25</c:v>
                </c:pt>
                <c:pt idx="142">
                  <c:v>62.25</c:v>
                </c:pt>
                <c:pt idx="143">
                  <c:v>46.05</c:v>
                </c:pt>
                <c:pt idx="144">
                  <c:v>46.05</c:v>
                </c:pt>
                <c:pt idx="145">
                  <c:v>49.099999999999994</c:v>
                </c:pt>
                <c:pt idx="146">
                  <c:v>52.25</c:v>
                </c:pt>
                <c:pt idx="147">
                  <c:v>52.25</c:v>
                </c:pt>
                <c:pt idx="148">
                  <c:v>52.180000000000007</c:v>
                </c:pt>
                <c:pt idx="149">
                  <c:v>51.92</c:v>
                </c:pt>
                <c:pt idx="150">
                  <c:v>51.430000000000007</c:v>
                </c:pt>
                <c:pt idx="151">
                  <c:v>50.870000000000005</c:v>
                </c:pt>
                <c:pt idx="152">
                  <c:v>50.230000000000004</c:v>
                </c:pt>
                <c:pt idx="153">
                  <c:v>49.55</c:v>
                </c:pt>
                <c:pt idx="154">
                  <c:v>48.900000000000006</c:v>
                </c:pt>
                <c:pt idx="155">
                  <c:v>48.180000000000007</c:v>
                </c:pt>
                <c:pt idx="156">
                  <c:v>47.59</c:v>
                </c:pt>
                <c:pt idx="157">
                  <c:v>46.97</c:v>
                </c:pt>
                <c:pt idx="158">
                  <c:v>46.3</c:v>
                </c:pt>
                <c:pt idx="159">
                  <c:v>45.7</c:v>
                </c:pt>
                <c:pt idx="160">
                  <c:v>45.03</c:v>
                </c:pt>
                <c:pt idx="161">
                  <c:v>44.41</c:v>
                </c:pt>
                <c:pt idx="162">
                  <c:v>43.819999999999993</c:v>
                </c:pt>
                <c:pt idx="163">
                  <c:v>43.099999999999994</c:v>
                </c:pt>
                <c:pt idx="164">
                  <c:v>42.45</c:v>
                </c:pt>
                <c:pt idx="165">
                  <c:v>41.769999999999996</c:v>
                </c:pt>
                <c:pt idx="166">
                  <c:v>41.129999999999995</c:v>
                </c:pt>
                <c:pt idx="167">
                  <c:v>40.569999999999993</c:v>
                </c:pt>
                <c:pt idx="168">
                  <c:v>40.08</c:v>
                </c:pt>
                <c:pt idx="169">
                  <c:v>39.819999999999993</c:v>
                </c:pt>
                <c:pt idx="170">
                  <c:v>39.75</c:v>
                </c:pt>
                <c:pt idx="171">
                  <c:v>39.75</c:v>
                </c:pt>
                <c:pt idx="172">
                  <c:v>42.900000000000006</c:v>
                </c:pt>
                <c:pt idx="173">
                  <c:v>46</c:v>
                </c:pt>
                <c:pt idx="174">
                  <c:v>46</c:v>
                </c:pt>
                <c:pt idx="175">
                  <c:v>29.799999999999997</c:v>
                </c:pt>
                <c:pt idx="176">
                  <c:v>29.799999999999997</c:v>
                </c:pt>
                <c:pt idx="177">
                  <c:v>32.849999999999994</c:v>
                </c:pt>
                <c:pt idx="178">
                  <c:v>36</c:v>
                </c:pt>
                <c:pt idx="179">
                  <c:v>36</c:v>
                </c:pt>
                <c:pt idx="180">
                  <c:v>35.930000000000007</c:v>
                </c:pt>
                <c:pt idx="181">
                  <c:v>35.67</c:v>
                </c:pt>
                <c:pt idx="182">
                  <c:v>35.180000000000007</c:v>
                </c:pt>
                <c:pt idx="183">
                  <c:v>34.620000000000005</c:v>
                </c:pt>
                <c:pt idx="184">
                  <c:v>33.980000000000004</c:v>
                </c:pt>
                <c:pt idx="185">
                  <c:v>33.299999999999997</c:v>
                </c:pt>
                <c:pt idx="186">
                  <c:v>32.650000000000006</c:v>
                </c:pt>
                <c:pt idx="187">
                  <c:v>31.930000000000007</c:v>
                </c:pt>
                <c:pt idx="188">
                  <c:v>31.340000000000003</c:v>
                </c:pt>
                <c:pt idx="189">
                  <c:v>30.72</c:v>
                </c:pt>
                <c:pt idx="190">
                  <c:v>30.049999999999997</c:v>
                </c:pt>
                <c:pt idx="191">
                  <c:v>29.450000000000003</c:v>
                </c:pt>
                <c:pt idx="192">
                  <c:v>28.78</c:v>
                </c:pt>
                <c:pt idx="193">
                  <c:v>28.159999999999997</c:v>
                </c:pt>
                <c:pt idx="194">
                  <c:v>27.569999999999993</c:v>
                </c:pt>
                <c:pt idx="195">
                  <c:v>26.849999999999994</c:v>
                </c:pt>
                <c:pt idx="196">
                  <c:v>26.200000000000003</c:v>
                </c:pt>
                <c:pt idx="197">
                  <c:v>25.519999999999996</c:v>
                </c:pt>
                <c:pt idx="198">
                  <c:v>24.879999999999995</c:v>
                </c:pt>
                <c:pt idx="199">
                  <c:v>24.319999999999993</c:v>
                </c:pt>
                <c:pt idx="200">
                  <c:v>23.83</c:v>
                </c:pt>
                <c:pt idx="201">
                  <c:v>23.569999999999993</c:v>
                </c:pt>
                <c:pt idx="202">
                  <c:v>23.5</c:v>
                </c:pt>
                <c:pt idx="203">
                  <c:v>23.5</c:v>
                </c:pt>
                <c:pt idx="204">
                  <c:v>26.650000000000006</c:v>
                </c:pt>
                <c:pt idx="205">
                  <c:v>29.75</c:v>
                </c:pt>
                <c:pt idx="206">
                  <c:v>29.75</c:v>
                </c:pt>
                <c:pt idx="207">
                  <c:v>13.549999999999997</c:v>
                </c:pt>
                <c:pt idx="208">
                  <c:v>13.549999999999997</c:v>
                </c:pt>
                <c:pt idx="209">
                  <c:v>16.599999999999994</c:v>
                </c:pt>
                <c:pt idx="210">
                  <c:v>19.75</c:v>
                </c:pt>
                <c:pt idx="211">
                  <c:v>19.75</c:v>
                </c:pt>
                <c:pt idx="212">
                  <c:v>19.680000000000007</c:v>
                </c:pt>
                <c:pt idx="213">
                  <c:v>19.420000000000002</c:v>
                </c:pt>
                <c:pt idx="214">
                  <c:v>18.930000000000007</c:v>
                </c:pt>
                <c:pt idx="215">
                  <c:v>18.370000000000005</c:v>
                </c:pt>
                <c:pt idx="216">
                  <c:v>17.730000000000004</c:v>
                </c:pt>
                <c:pt idx="217">
                  <c:v>17.049999999999997</c:v>
                </c:pt>
                <c:pt idx="218">
                  <c:v>16.400000000000006</c:v>
                </c:pt>
                <c:pt idx="219">
                  <c:v>15.680000000000007</c:v>
                </c:pt>
                <c:pt idx="220">
                  <c:v>15.090000000000003</c:v>
                </c:pt>
                <c:pt idx="221">
                  <c:v>14.469999999999999</c:v>
                </c:pt>
                <c:pt idx="222">
                  <c:v>13.799999999999997</c:v>
                </c:pt>
                <c:pt idx="223">
                  <c:v>13.200000000000003</c:v>
                </c:pt>
                <c:pt idx="224">
                  <c:v>12.530000000000001</c:v>
                </c:pt>
                <c:pt idx="225">
                  <c:v>11.909999999999997</c:v>
                </c:pt>
                <c:pt idx="226">
                  <c:v>11.319999999999993</c:v>
                </c:pt>
                <c:pt idx="227">
                  <c:v>10.599999999999994</c:v>
                </c:pt>
                <c:pt idx="228">
                  <c:v>9.9500000000000028</c:v>
                </c:pt>
                <c:pt idx="229">
                  <c:v>9.269999999999996</c:v>
                </c:pt>
                <c:pt idx="230">
                  <c:v>8.6299999999999955</c:v>
                </c:pt>
                <c:pt idx="231">
                  <c:v>8.0699999999999932</c:v>
                </c:pt>
                <c:pt idx="232">
                  <c:v>7.5799999999999983</c:v>
                </c:pt>
                <c:pt idx="233">
                  <c:v>7.3199999999999932</c:v>
                </c:pt>
                <c:pt idx="234">
                  <c:v>7.25</c:v>
                </c:pt>
                <c:pt idx="235">
                  <c:v>7.25</c:v>
                </c:pt>
                <c:pt idx="236">
                  <c:v>10.4</c:v>
                </c:pt>
                <c:pt idx="237">
                  <c:v>13.5</c:v>
                </c:pt>
                <c:pt idx="238">
                  <c:v>13.5</c:v>
                </c:pt>
                <c:pt idx="239">
                  <c:v>0.95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xVal>
          <c:yVal>
            <c:numRef>
              <c:f>'Propriedades geométricas VI'!$C$6:$C$362</c:f>
              <c:numCache>
                <c:formatCode>0.000</c:formatCode>
                <c:ptCount val="357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19</c:v>
                </c:pt>
                <c:pt idx="6">
                  <c:v>21.5</c:v>
                </c:pt>
                <c:pt idx="7">
                  <c:v>25</c:v>
                </c:pt>
                <c:pt idx="8">
                  <c:v>25</c:v>
                </c:pt>
                <c:pt idx="9">
                  <c:v>21.5</c:v>
                </c:pt>
                <c:pt idx="10">
                  <c:v>19</c:v>
                </c:pt>
                <c:pt idx="11">
                  <c:v>5</c:v>
                </c:pt>
                <c:pt idx="12">
                  <c:v>2.2000000000000002</c:v>
                </c:pt>
                <c:pt idx="13">
                  <c:v>0.76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5.8</c:v>
                </c:pt>
                <c:pt idx="19">
                  <c:v>15.75</c:v>
                </c:pt>
                <c:pt idx="20">
                  <c:v>16.66</c:v>
                </c:pt>
                <c:pt idx="21">
                  <c:v>17.760000000000002</c:v>
                </c:pt>
                <c:pt idx="22">
                  <c:v>18.84</c:v>
                </c:pt>
                <c:pt idx="23">
                  <c:v>19.66</c:v>
                </c:pt>
                <c:pt idx="24">
                  <c:v>20.350000000000001</c:v>
                </c:pt>
                <c:pt idx="25">
                  <c:v>20.89</c:v>
                </c:pt>
                <c:pt idx="26">
                  <c:v>21.29</c:v>
                </c:pt>
                <c:pt idx="27">
                  <c:v>21.61</c:v>
                </c:pt>
                <c:pt idx="28">
                  <c:v>21.79</c:v>
                </c:pt>
                <c:pt idx="29">
                  <c:v>21.92</c:v>
                </c:pt>
                <c:pt idx="30">
                  <c:v>21.99</c:v>
                </c:pt>
                <c:pt idx="31">
                  <c:v>21.99</c:v>
                </c:pt>
                <c:pt idx="32">
                  <c:v>21.92</c:v>
                </c:pt>
                <c:pt idx="33">
                  <c:v>21.79</c:v>
                </c:pt>
                <c:pt idx="34">
                  <c:v>21.61</c:v>
                </c:pt>
                <c:pt idx="35">
                  <c:v>21.29</c:v>
                </c:pt>
                <c:pt idx="36">
                  <c:v>20.89</c:v>
                </c:pt>
                <c:pt idx="37">
                  <c:v>20.350000000000001</c:v>
                </c:pt>
                <c:pt idx="38">
                  <c:v>19.66</c:v>
                </c:pt>
                <c:pt idx="39">
                  <c:v>18.84</c:v>
                </c:pt>
                <c:pt idx="40">
                  <c:v>17.760000000000002</c:v>
                </c:pt>
                <c:pt idx="41">
                  <c:v>16.66</c:v>
                </c:pt>
                <c:pt idx="42">
                  <c:v>15.75</c:v>
                </c:pt>
                <c:pt idx="43">
                  <c:v>5.8</c:v>
                </c:pt>
                <c:pt idx="44">
                  <c:v>3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5.8</c:v>
                </c:pt>
                <c:pt idx="51">
                  <c:v>15.75</c:v>
                </c:pt>
                <c:pt idx="52">
                  <c:v>16.66</c:v>
                </c:pt>
                <c:pt idx="53">
                  <c:v>17.760000000000002</c:v>
                </c:pt>
                <c:pt idx="54">
                  <c:v>18.84</c:v>
                </c:pt>
                <c:pt idx="55">
                  <c:v>19.66</c:v>
                </c:pt>
                <c:pt idx="56">
                  <c:v>20.350000000000001</c:v>
                </c:pt>
                <c:pt idx="57">
                  <c:v>20.89</c:v>
                </c:pt>
                <c:pt idx="58">
                  <c:v>21.29</c:v>
                </c:pt>
                <c:pt idx="59">
                  <c:v>21.61</c:v>
                </c:pt>
                <c:pt idx="60">
                  <c:v>21.79</c:v>
                </c:pt>
                <c:pt idx="61">
                  <c:v>21.92</c:v>
                </c:pt>
                <c:pt idx="62">
                  <c:v>21.99</c:v>
                </c:pt>
                <c:pt idx="63">
                  <c:v>21.99</c:v>
                </c:pt>
                <c:pt idx="64">
                  <c:v>21.92</c:v>
                </c:pt>
                <c:pt idx="65">
                  <c:v>21.79</c:v>
                </c:pt>
                <c:pt idx="66">
                  <c:v>21.61</c:v>
                </c:pt>
                <c:pt idx="67">
                  <c:v>21.29</c:v>
                </c:pt>
                <c:pt idx="68">
                  <c:v>20.89</c:v>
                </c:pt>
                <c:pt idx="69">
                  <c:v>20.350000000000001</c:v>
                </c:pt>
                <c:pt idx="70">
                  <c:v>19.66</c:v>
                </c:pt>
                <c:pt idx="71">
                  <c:v>18.84</c:v>
                </c:pt>
                <c:pt idx="72">
                  <c:v>17.760000000000002</c:v>
                </c:pt>
                <c:pt idx="73">
                  <c:v>16.66</c:v>
                </c:pt>
                <c:pt idx="74">
                  <c:v>15.75</c:v>
                </c:pt>
                <c:pt idx="75">
                  <c:v>5.8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3</c:v>
                </c:pt>
                <c:pt idx="82">
                  <c:v>5.8</c:v>
                </c:pt>
                <c:pt idx="83">
                  <c:v>15.75</c:v>
                </c:pt>
                <c:pt idx="84">
                  <c:v>16.66</c:v>
                </c:pt>
                <c:pt idx="85">
                  <c:v>17.760000000000002</c:v>
                </c:pt>
                <c:pt idx="86">
                  <c:v>18.84</c:v>
                </c:pt>
                <c:pt idx="87">
                  <c:v>19.66</c:v>
                </c:pt>
                <c:pt idx="88">
                  <c:v>20.350000000000001</c:v>
                </c:pt>
                <c:pt idx="89">
                  <c:v>20.89</c:v>
                </c:pt>
                <c:pt idx="90">
                  <c:v>21.29</c:v>
                </c:pt>
                <c:pt idx="91">
                  <c:v>21.61</c:v>
                </c:pt>
                <c:pt idx="92">
                  <c:v>21.79</c:v>
                </c:pt>
                <c:pt idx="93">
                  <c:v>21.92</c:v>
                </c:pt>
                <c:pt idx="94">
                  <c:v>21.99</c:v>
                </c:pt>
                <c:pt idx="95">
                  <c:v>21.99</c:v>
                </c:pt>
                <c:pt idx="96">
                  <c:v>21.92</c:v>
                </c:pt>
                <c:pt idx="97">
                  <c:v>21.79</c:v>
                </c:pt>
                <c:pt idx="98">
                  <c:v>21.61</c:v>
                </c:pt>
                <c:pt idx="99">
                  <c:v>21.29</c:v>
                </c:pt>
                <c:pt idx="100">
                  <c:v>20.89</c:v>
                </c:pt>
                <c:pt idx="101">
                  <c:v>20.350000000000001</c:v>
                </c:pt>
                <c:pt idx="102">
                  <c:v>19.66</c:v>
                </c:pt>
                <c:pt idx="103">
                  <c:v>18.84</c:v>
                </c:pt>
                <c:pt idx="104">
                  <c:v>17.760000000000002</c:v>
                </c:pt>
                <c:pt idx="105">
                  <c:v>16.66</c:v>
                </c:pt>
                <c:pt idx="106">
                  <c:v>15.75</c:v>
                </c:pt>
                <c:pt idx="107">
                  <c:v>5.8</c:v>
                </c:pt>
                <c:pt idx="108">
                  <c:v>3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3</c:v>
                </c:pt>
                <c:pt idx="113">
                  <c:v>3</c:v>
                </c:pt>
                <c:pt idx="114">
                  <c:v>5.8</c:v>
                </c:pt>
                <c:pt idx="115">
                  <c:v>15.75</c:v>
                </c:pt>
                <c:pt idx="116">
                  <c:v>16.66</c:v>
                </c:pt>
                <c:pt idx="117">
                  <c:v>17.760000000000002</c:v>
                </c:pt>
                <c:pt idx="118">
                  <c:v>18.84</c:v>
                </c:pt>
                <c:pt idx="119">
                  <c:v>19.66</c:v>
                </c:pt>
                <c:pt idx="120">
                  <c:v>20.350000000000001</c:v>
                </c:pt>
                <c:pt idx="121">
                  <c:v>20.89</c:v>
                </c:pt>
                <c:pt idx="122">
                  <c:v>21.29</c:v>
                </c:pt>
                <c:pt idx="123">
                  <c:v>21.61</c:v>
                </c:pt>
                <c:pt idx="124">
                  <c:v>21.79</c:v>
                </c:pt>
                <c:pt idx="125">
                  <c:v>21.92</c:v>
                </c:pt>
                <c:pt idx="126">
                  <c:v>21.99</c:v>
                </c:pt>
                <c:pt idx="127">
                  <c:v>21.99</c:v>
                </c:pt>
                <c:pt idx="128">
                  <c:v>21.92</c:v>
                </c:pt>
                <c:pt idx="129">
                  <c:v>21.79</c:v>
                </c:pt>
                <c:pt idx="130">
                  <c:v>21.61</c:v>
                </c:pt>
                <c:pt idx="131">
                  <c:v>21.29</c:v>
                </c:pt>
                <c:pt idx="132">
                  <c:v>20.89</c:v>
                </c:pt>
                <c:pt idx="133">
                  <c:v>20.350000000000001</c:v>
                </c:pt>
                <c:pt idx="134">
                  <c:v>19.66</c:v>
                </c:pt>
                <c:pt idx="135">
                  <c:v>18.84</c:v>
                </c:pt>
                <c:pt idx="136">
                  <c:v>17.760000000000002</c:v>
                </c:pt>
                <c:pt idx="137">
                  <c:v>16.66</c:v>
                </c:pt>
                <c:pt idx="138">
                  <c:v>15.75</c:v>
                </c:pt>
                <c:pt idx="139">
                  <c:v>5.8</c:v>
                </c:pt>
                <c:pt idx="140">
                  <c:v>3</c:v>
                </c:pt>
                <c:pt idx="141">
                  <c:v>3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3</c:v>
                </c:pt>
                <c:pt idx="146">
                  <c:v>5.8</c:v>
                </c:pt>
                <c:pt idx="147">
                  <c:v>15.75</c:v>
                </c:pt>
                <c:pt idx="148">
                  <c:v>16.66</c:v>
                </c:pt>
                <c:pt idx="149">
                  <c:v>17.760000000000002</c:v>
                </c:pt>
                <c:pt idx="150">
                  <c:v>18.84</c:v>
                </c:pt>
                <c:pt idx="151">
                  <c:v>19.66</c:v>
                </c:pt>
                <c:pt idx="152">
                  <c:v>20.350000000000001</c:v>
                </c:pt>
                <c:pt idx="153">
                  <c:v>20.89</c:v>
                </c:pt>
                <c:pt idx="154">
                  <c:v>21.29</c:v>
                </c:pt>
                <c:pt idx="155">
                  <c:v>21.61</c:v>
                </c:pt>
                <c:pt idx="156">
                  <c:v>21.79</c:v>
                </c:pt>
                <c:pt idx="157">
                  <c:v>21.92</c:v>
                </c:pt>
                <c:pt idx="158">
                  <c:v>21.99</c:v>
                </c:pt>
                <c:pt idx="159">
                  <c:v>21.99</c:v>
                </c:pt>
                <c:pt idx="160">
                  <c:v>21.92</c:v>
                </c:pt>
                <c:pt idx="161">
                  <c:v>21.79</c:v>
                </c:pt>
                <c:pt idx="162">
                  <c:v>21.61</c:v>
                </c:pt>
                <c:pt idx="163">
                  <c:v>21.29</c:v>
                </c:pt>
                <c:pt idx="164">
                  <c:v>20.89</c:v>
                </c:pt>
                <c:pt idx="165">
                  <c:v>20.350000000000001</c:v>
                </c:pt>
                <c:pt idx="166">
                  <c:v>19.66</c:v>
                </c:pt>
                <c:pt idx="167">
                  <c:v>18.84</c:v>
                </c:pt>
                <c:pt idx="168">
                  <c:v>17.760000000000002</c:v>
                </c:pt>
                <c:pt idx="169">
                  <c:v>16.66</c:v>
                </c:pt>
                <c:pt idx="170">
                  <c:v>15.75</c:v>
                </c:pt>
                <c:pt idx="171">
                  <c:v>5.8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3</c:v>
                </c:pt>
                <c:pt idx="178">
                  <c:v>5.8</c:v>
                </c:pt>
                <c:pt idx="179">
                  <c:v>15.75</c:v>
                </c:pt>
                <c:pt idx="180">
                  <c:v>16.66</c:v>
                </c:pt>
                <c:pt idx="181">
                  <c:v>17.760000000000002</c:v>
                </c:pt>
                <c:pt idx="182">
                  <c:v>18.84</c:v>
                </c:pt>
                <c:pt idx="183">
                  <c:v>19.66</c:v>
                </c:pt>
                <c:pt idx="184">
                  <c:v>20.350000000000001</c:v>
                </c:pt>
                <c:pt idx="185">
                  <c:v>20.89</c:v>
                </c:pt>
                <c:pt idx="186">
                  <c:v>21.29</c:v>
                </c:pt>
                <c:pt idx="187">
                  <c:v>21.61</c:v>
                </c:pt>
                <c:pt idx="188">
                  <c:v>21.79</c:v>
                </c:pt>
                <c:pt idx="189">
                  <c:v>21.92</c:v>
                </c:pt>
                <c:pt idx="190">
                  <c:v>21.99</c:v>
                </c:pt>
                <c:pt idx="191">
                  <c:v>21.99</c:v>
                </c:pt>
                <c:pt idx="192">
                  <c:v>21.92</c:v>
                </c:pt>
                <c:pt idx="193">
                  <c:v>21.79</c:v>
                </c:pt>
                <c:pt idx="194">
                  <c:v>21.61</c:v>
                </c:pt>
                <c:pt idx="195">
                  <c:v>21.29</c:v>
                </c:pt>
                <c:pt idx="196">
                  <c:v>20.89</c:v>
                </c:pt>
                <c:pt idx="197">
                  <c:v>20.350000000000001</c:v>
                </c:pt>
                <c:pt idx="198">
                  <c:v>19.66</c:v>
                </c:pt>
                <c:pt idx="199">
                  <c:v>18.84</c:v>
                </c:pt>
                <c:pt idx="200">
                  <c:v>17.760000000000002</c:v>
                </c:pt>
                <c:pt idx="201">
                  <c:v>16.66</c:v>
                </c:pt>
                <c:pt idx="202">
                  <c:v>15.75</c:v>
                </c:pt>
                <c:pt idx="203">
                  <c:v>5.8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3</c:v>
                </c:pt>
                <c:pt idx="209">
                  <c:v>3</c:v>
                </c:pt>
                <c:pt idx="210">
                  <c:v>5.8</c:v>
                </c:pt>
                <c:pt idx="211">
                  <c:v>15.75</c:v>
                </c:pt>
                <c:pt idx="212">
                  <c:v>16.66</c:v>
                </c:pt>
                <c:pt idx="213">
                  <c:v>17.760000000000002</c:v>
                </c:pt>
                <c:pt idx="214">
                  <c:v>18.84</c:v>
                </c:pt>
                <c:pt idx="215">
                  <c:v>19.66</c:v>
                </c:pt>
                <c:pt idx="216">
                  <c:v>20.350000000000001</c:v>
                </c:pt>
                <c:pt idx="217">
                  <c:v>20.89</c:v>
                </c:pt>
                <c:pt idx="218">
                  <c:v>21.29</c:v>
                </c:pt>
                <c:pt idx="219">
                  <c:v>21.61</c:v>
                </c:pt>
                <c:pt idx="220">
                  <c:v>21.79</c:v>
                </c:pt>
                <c:pt idx="221">
                  <c:v>21.92</c:v>
                </c:pt>
                <c:pt idx="222">
                  <c:v>21.99</c:v>
                </c:pt>
                <c:pt idx="223">
                  <c:v>21.99</c:v>
                </c:pt>
                <c:pt idx="224">
                  <c:v>21.92</c:v>
                </c:pt>
                <c:pt idx="225">
                  <c:v>21.79</c:v>
                </c:pt>
                <c:pt idx="226">
                  <c:v>21.61</c:v>
                </c:pt>
                <c:pt idx="227">
                  <c:v>21.29</c:v>
                </c:pt>
                <c:pt idx="228">
                  <c:v>20.89</c:v>
                </c:pt>
                <c:pt idx="229">
                  <c:v>20.350000000000001</c:v>
                </c:pt>
                <c:pt idx="230">
                  <c:v>19.66</c:v>
                </c:pt>
                <c:pt idx="231">
                  <c:v>18.84</c:v>
                </c:pt>
                <c:pt idx="232">
                  <c:v>17.760000000000002</c:v>
                </c:pt>
                <c:pt idx="233">
                  <c:v>16.66</c:v>
                </c:pt>
                <c:pt idx="234">
                  <c:v>15.75</c:v>
                </c:pt>
                <c:pt idx="235">
                  <c:v>5.8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2-494E-B7ED-C69FE7F237C1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VI'!$L$13:$L$14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'Propriedades geométricas VI'!$M$13:$M$14</c:f>
              <c:numCache>
                <c:formatCode>0.000</c:formatCode>
                <c:ptCount val="2"/>
                <c:pt idx="0">
                  <c:v>12.737286216682715</c:v>
                </c:pt>
                <c:pt idx="1">
                  <c:v>12.737286216682715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F2-494E-B7ED-C69FE7F237C1}"/>
            </c:ext>
          </c:extLst>
        </c:ser>
        <c:ser>
          <c:idx val="2"/>
          <c:order val="2"/>
          <c:tx>
            <c:v>CORD INF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Geometria!$AT$98:$AT$107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54.125</c:v>
                </c:pt>
                <c:pt idx="4">
                  <c:v>54.125</c:v>
                </c:pt>
                <c:pt idx="5">
                  <c:v>70.375</c:v>
                </c:pt>
                <c:pt idx="6">
                  <c:v>70.375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Geometria!$AS$98:$AS$107</c:f>
              <c:numCache>
                <c:formatCode>General</c:formatCode>
                <c:ptCount val="1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F2-494E-B7ED-C69FE7F237C1}"/>
            </c:ext>
          </c:extLst>
        </c:ser>
        <c:ser>
          <c:idx val="3"/>
          <c:order val="3"/>
          <c:tx>
            <c:v>CORD SUP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Geometria!$AX$98:$AX$107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Geometria!$AW$98:$AW$107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F2-494E-B7ED-C69FE7F2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60032"/>
        <c:axId val="1666960512"/>
      </c:scatterChart>
      <c:valAx>
        <c:axId val="166696003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512"/>
        <c:crosses val="autoZero"/>
        <c:crossBetween val="midCat"/>
      </c:valAx>
      <c:valAx>
        <c:axId val="166696051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Fletor corrigido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" sourceLinked="0"/>
            <c:spPr>
              <a:noFill/>
              <a:ln w="9525"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(Geometria!$G$1255:$N$1255,Geometria!$G$1258)</c:f>
              <c:numCache>
                <c:formatCode>0</c:formatCode>
                <c:ptCount val="9"/>
                <c:pt idx="0">
                  <c:v>22.768761111111107</c:v>
                </c:pt>
                <c:pt idx="1">
                  <c:v>-22.05723732638889</c:v>
                </c:pt>
                <c:pt idx="2">
                  <c:v>-54.07580763888889</c:v>
                </c:pt>
                <c:pt idx="3">
                  <c:v>-73.286949826388906</c:v>
                </c:pt>
                <c:pt idx="4">
                  <c:v>-79.690663888888892</c:v>
                </c:pt>
                <c:pt idx="5">
                  <c:v>-73.286949826388934</c:v>
                </c:pt>
                <c:pt idx="6">
                  <c:v>-54.075807638888875</c:v>
                </c:pt>
                <c:pt idx="7">
                  <c:v>-22.057237326388815</c:v>
                </c:pt>
                <c:pt idx="8">
                  <c:v>22.768761111111132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Geometria!#REF!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33D-47F2-8328-29CD68D7BBDC}"/>
            </c:ext>
          </c:extLst>
        </c:ser>
        <c:ser>
          <c:idx val="1"/>
          <c:order val="1"/>
          <c:tx>
            <c:v>0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(Geometria!$G$1261:$N$1261,Geometria!$G$1262)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D-47F2-8328-29CD68D7BB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6461184"/>
        <c:axId val="1096461664"/>
      </c:lineChart>
      <c:catAx>
        <c:axId val="109646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6461664"/>
        <c:crosses val="autoZero"/>
        <c:auto val="1"/>
        <c:lblAlgn val="ctr"/>
        <c:lblOffset val="100"/>
        <c:noMultiLvlLbl val="0"/>
      </c:catAx>
      <c:valAx>
        <c:axId val="10964616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46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 Light (Títulos)"/>
              </a:rPr>
              <a:t>z</a:t>
            </a:r>
          </a:p>
        </c:rich>
      </c:tx>
      <c:layout>
        <c:manualLayout>
          <c:xMode val="edge"/>
          <c:yMode val="edge"/>
          <c:x val="0.10302001050892823"/>
          <c:y val="0.176421968007890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89564288631293"/>
          <c:y val="0.260939203878505"/>
          <c:w val="0.70984172609137264"/>
          <c:h val="0.5354253922610489"/>
        </c:manualLayout>
      </c:layout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5619194965392308"/>
                  <c:y val="-0.14620553853847595"/>
                </c:manualLayout>
              </c:layout>
              <c:numFmt formatCode="General" sourceLinked="0"/>
            </c:trendlineLbl>
          </c:trendline>
          <c:xVal>
            <c:numRef>
              <c:f>Frequência!$C$65:$C$81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Frequência!$D$65:$D$81</c:f>
              <c:numCache>
                <c:formatCode>0.000</c:formatCode>
                <c:ptCount val="17"/>
                <c:pt idx="0">
                  <c:v>33.572237933107175</c:v>
                </c:pt>
                <c:pt idx="1">
                  <c:v>26.526212687887146</c:v>
                </c:pt>
                <c:pt idx="2">
                  <c:v>21.486232277188584</c:v>
                </c:pt>
                <c:pt idx="3">
                  <c:v>17.757216758007097</c:v>
                </c:pt>
                <c:pt idx="4">
                  <c:v>14.920994636936522</c:v>
                </c:pt>
                <c:pt idx="5">
                  <c:v>12.713746909579045</c:v>
                </c:pt>
                <c:pt idx="6">
                  <c:v>10.962363406728871</c:v>
                </c:pt>
                <c:pt idx="7">
                  <c:v>9.549436567639372</c:v>
                </c:pt>
                <c:pt idx="8">
                  <c:v>8.3930594832767937</c:v>
                </c:pt>
                <c:pt idx="9">
                  <c:v>7.4346824488541827</c:v>
                </c:pt>
                <c:pt idx="10">
                  <c:v>6.6315531719717864</c:v>
                </c:pt>
                <c:pt idx="11">
                  <c:v>5.951864896728142</c:v>
                </c:pt>
                <c:pt idx="12">
                  <c:v>5.3715580692971461</c:v>
                </c:pt>
                <c:pt idx="13">
                  <c:v>4.8721615141017205</c:v>
                </c:pt>
                <c:pt idx="14">
                  <c:v>4.4393041895017742</c:v>
                </c:pt>
                <c:pt idx="15">
                  <c:v>4.0616696176159905</c:v>
                </c:pt>
                <c:pt idx="16">
                  <c:v>3.7302486592341304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A-4536-97F0-A39382661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2861"/>
        <c:axId val="35638615"/>
      </c:scatterChart>
      <c:valAx>
        <c:axId val="262428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35638615"/>
        <c:crosses val="autoZero"/>
        <c:crossBetween val="midCat"/>
      </c:valAx>
      <c:valAx>
        <c:axId val="35638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624286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Calibri Light (Títulos)"/>
              </a:rPr>
              <a:t>fn x Vão — Elemento isolado no pano </a:t>
            </a:r>
          </a:p>
        </c:rich>
      </c:tx>
      <c:layout>
        <c:manualLayout>
          <c:xMode val="edge"/>
          <c:yMode val="edge"/>
          <c:x val="0.16121058859255072"/>
          <c:y val="1.764440276475287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7100074346332"/>
          <c:y val="0.26097183147511377"/>
          <c:w val="0.70984172609137264"/>
          <c:h val="0.53536730228196316"/>
        </c:manualLayout>
      </c:layout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4954266536822375"/>
                  <c:y val="-0.14609878086902156"/>
                </c:manualLayout>
              </c:layout>
              <c:numFmt formatCode="General" sourceLinked="0"/>
            </c:trendlineLbl>
          </c:trendline>
          <c:xVal>
            <c:numRef>
              <c:f>Frequência!$C$86:$C$102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Frequência!$D$86:$D$102</c:f>
              <c:numCache>
                <c:formatCode>0.000</c:formatCode>
                <c:ptCount val="17"/>
                <c:pt idx="0">
                  <c:v>57.684078270317144</c:v>
                </c:pt>
                <c:pt idx="1">
                  <c:v>45.577543324695029</c:v>
                </c:pt>
                <c:pt idx="2">
                  <c:v>36.917810093002977</c:v>
                </c:pt>
                <c:pt idx="3">
                  <c:v>30.510586853721467</c:v>
                </c:pt>
                <c:pt idx="4">
                  <c:v>25.637368120140955</c:v>
                </c:pt>
                <c:pt idx="5">
                  <c:v>21.844858043197029</c:v>
                </c:pt>
                <c:pt idx="6">
                  <c:v>18.835617394389274</c:v>
                </c:pt>
                <c:pt idx="7">
                  <c:v>16.407915596890209</c:v>
                </c:pt>
                <c:pt idx="8">
                  <c:v>14.421019567579286</c:v>
                </c:pt>
                <c:pt idx="9">
                  <c:v>12.774328751904143</c:v>
                </c:pt>
                <c:pt idx="10">
                  <c:v>11.394385831173757</c:v>
                </c:pt>
                <c:pt idx="11">
                  <c:v>10.226540191967583</c:v>
                </c:pt>
                <c:pt idx="12">
                  <c:v>9.2294525232507443</c:v>
                </c:pt>
                <c:pt idx="13">
                  <c:v>8.371385508617454</c:v>
                </c:pt>
                <c:pt idx="14">
                  <c:v>7.6276467134303667</c:v>
                </c:pt>
                <c:pt idx="15">
                  <c:v>6.978792078072396</c:v>
                </c:pt>
                <c:pt idx="16">
                  <c:v>6.4093420300352388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31-46E8-9FA4-0F9C9641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46572"/>
        <c:axId val="57757206"/>
      </c:scatterChart>
      <c:valAx>
        <c:axId val="6954657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7757206"/>
        <c:crosses val="autoZero"/>
        <c:crossBetween val="midCat"/>
      </c:valAx>
      <c:valAx>
        <c:axId val="577572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95465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Calibri Light (Títulos)"/>
              </a:rPr>
              <a:t>fn x Vão — Painel com todas as cargas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4954266536822375"/>
                  <c:y val="-0.14620553853847595"/>
                </c:manualLayout>
              </c:layout>
              <c:numFmt formatCode="General" sourceLinked="0"/>
            </c:trendlineLbl>
          </c:trendline>
          <c:xVal>
            <c:numRef>
              <c:f>Frequência!$C$107:$C$123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Frequência!$D$107:$D$123</c:f>
              <c:numCache>
                <c:formatCode>0.000</c:formatCode>
                <c:ptCount val="17"/>
                <c:pt idx="0">
                  <c:v>41.538900555067016</c:v>
                </c:pt>
                <c:pt idx="1">
                  <c:v>32.820859697830727</c:v>
                </c:pt>
                <c:pt idx="2">
                  <c:v>26.584896355242893</c:v>
                </c:pt>
                <c:pt idx="3">
                  <c:v>21.970988723341236</c:v>
                </c:pt>
                <c:pt idx="4">
                  <c:v>18.461733580029787</c:v>
                </c:pt>
                <c:pt idx="5">
                  <c:v>15.73070790251059</c:v>
                </c:pt>
                <c:pt idx="6">
                  <c:v>13.563722630225964</c:v>
                </c:pt>
                <c:pt idx="7">
                  <c:v>11.815509491219064</c:v>
                </c:pt>
                <c:pt idx="8">
                  <c:v>10.384725138766754</c:v>
                </c:pt>
                <c:pt idx="9">
                  <c:v>9.1989260744785089</c:v>
                </c:pt>
                <c:pt idx="10">
                  <c:v>8.2052149244576817</c:v>
                </c:pt>
                <c:pt idx="11">
                  <c:v>7.3642372175188058</c:v>
                </c:pt>
                <c:pt idx="12">
                  <c:v>6.6462240888107234</c:v>
                </c:pt>
                <c:pt idx="13">
                  <c:v>6.0283211689893177</c:v>
                </c:pt>
                <c:pt idx="14">
                  <c:v>5.492747180835309</c:v>
                </c:pt>
                <c:pt idx="15">
                  <c:v>5.0255002561895825</c:v>
                </c:pt>
                <c:pt idx="16">
                  <c:v>4.6154333950074466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13-44CF-B169-D1CFCEA8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7761"/>
        <c:axId val="11311825"/>
      </c:scatterChart>
      <c:valAx>
        <c:axId val="681377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1311825"/>
        <c:crosses val="autoZero"/>
        <c:crossBetween val="midCat"/>
      </c:valAx>
      <c:valAx>
        <c:axId val="11311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81377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Elemento isolado pré-fabricado</a:t>
            </a:r>
            <a:endParaRPr lang="pt-BR">
              <a:solidFill>
                <a:sysClr val="windowText" lastClr="000000"/>
              </a:solidFill>
              <a:latin typeface="Calibri Light (Títulos)"/>
            </a:endParaRPr>
          </a:p>
        </c:rich>
      </c:tx>
      <c:layout>
        <c:manualLayout>
          <c:xMode val="edge"/>
          <c:yMode val="edge"/>
          <c:x val="0.21912205468713977"/>
          <c:y val="4.8509976317964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94591229768986"/>
          <c:y val="0.15894743421463839"/>
          <c:w val="0.74291949093927234"/>
          <c:h val="0.75194838566299282"/>
        </c:manualLayout>
      </c:layout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Frequência!$C$131:$C$251</c:f>
              <c:numCache>
                <c:formatCode>0.0000</c:formatCode>
                <c:ptCount val="121"/>
                <c:pt idx="0">
                  <c:v>0</c:v>
                </c:pt>
                <c:pt idx="1">
                  <c:v>4.4881019043240978E-3</c:v>
                </c:pt>
                <c:pt idx="2">
                  <c:v>8.9762038086481956E-3</c:v>
                </c:pt>
                <c:pt idx="3">
                  <c:v>1.3464305712972293E-2</c:v>
                </c:pt>
                <c:pt idx="4">
                  <c:v>1.7952407617296391E-2</c:v>
                </c:pt>
                <c:pt idx="5">
                  <c:v>2.2440509521620491E-2</c:v>
                </c:pt>
                <c:pt idx="6">
                  <c:v>2.6928611425944587E-2</c:v>
                </c:pt>
                <c:pt idx="7">
                  <c:v>3.1416713330268686E-2</c:v>
                </c:pt>
                <c:pt idx="8">
                  <c:v>3.5904815234592782E-2</c:v>
                </c:pt>
                <c:pt idx="9">
                  <c:v>4.0392917138916885E-2</c:v>
                </c:pt>
                <c:pt idx="10">
                  <c:v>4.4881019043240981E-2</c:v>
                </c:pt>
                <c:pt idx="11">
                  <c:v>4.9369120947565084E-2</c:v>
                </c:pt>
                <c:pt idx="12">
                  <c:v>5.3857222851889174E-2</c:v>
                </c:pt>
                <c:pt idx="13">
                  <c:v>5.8345324756213277E-2</c:v>
                </c:pt>
                <c:pt idx="14">
                  <c:v>6.2833426660537373E-2</c:v>
                </c:pt>
                <c:pt idx="15">
                  <c:v>6.7321528564861469E-2</c:v>
                </c:pt>
                <c:pt idx="16">
                  <c:v>7.1809630469185565E-2</c:v>
                </c:pt>
                <c:pt idx="17">
                  <c:v>7.6297732373509661E-2</c:v>
                </c:pt>
                <c:pt idx="18">
                  <c:v>8.0785834277833771E-2</c:v>
                </c:pt>
                <c:pt idx="19">
                  <c:v>8.5273936182157853E-2</c:v>
                </c:pt>
                <c:pt idx="20">
                  <c:v>8.9762038086481963E-2</c:v>
                </c:pt>
                <c:pt idx="21">
                  <c:v>9.4250139990806059E-2</c:v>
                </c:pt>
                <c:pt idx="22">
                  <c:v>9.8738241895130169E-2</c:v>
                </c:pt>
                <c:pt idx="23">
                  <c:v>0.10322634379945425</c:v>
                </c:pt>
                <c:pt idx="24">
                  <c:v>0.10771444570377835</c:v>
                </c:pt>
                <c:pt idx="25">
                  <c:v>0.11220254760810244</c:v>
                </c:pt>
                <c:pt idx="26">
                  <c:v>0.11669064951242655</c:v>
                </c:pt>
                <c:pt idx="27">
                  <c:v>0.12117875141675065</c:v>
                </c:pt>
                <c:pt idx="28">
                  <c:v>0.12566685332107475</c:v>
                </c:pt>
                <c:pt idx="29">
                  <c:v>0.13015495522539883</c:v>
                </c:pt>
                <c:pt idx="30">
                  <c:v>0.13464305712972294</c:v>
                </c:pt>
                <c:pt idx="31">
                  <c:v>0.13913115903404705</c:v>
                </c:pt>
                <c:pt idx="32">
                  <c:v>0.14361926093837113</c:v>
                </c:pt>
                <c:pt idx="33">
                  <c:v>0.14810736284269521</c:v>
                </c:pt>
                <c:pt idx="34">
                  <c:v>0.15259546474701932</c:v>
                </c:pt>
                <c:pt idx="35">
                  <c:v>0.15708356665134343</c:v>
                </c:pt>
                <c:pt idx="36">
                  <c:v>0.16157166855566754</c:v>
                </c:pt>
                <c:pt idx="37">
                  <c:v>0.16605977045999162</c:v>
                </c:pt>
                <c:pt idx="38">
                  <c:v>0.17054787236431571</c:v>
                </c:pt>
                <c:pt idx="39">
                  <c:v>0.17503597426863982</c:v>
                </c:pt>
                <c:pt idx="40">
                  <c:v>0.17952407617296393</c:v>
                </c:pt>
                <c:pt idx="41">
                  <c:v>0.18401217807728801</c:v>
                </c:pt>
                <c:pt idx="42">
                  <c:v>0.18850027998161212</c:v>
                </c:pt>
                <c:pt idx="43">
                  <c:v>0.1929883818859362</c:v>
                </c:pt>
                <c:pt idx="44">
                  <c:v>0.19747648379026034</c:v>
                </c:pt>
                <c:pt idx="45">
                  <c:v>0.20196458569458442</c:v>
                </c:pt>
                <c:pt idx="46">
                  <c:v>0.2064526875989085</c:v>
                </c:pt>
                <c:pt idx="47">
                  <c:v>0.21094078950323261</c:v>
                </c:pt>
                <c:pt idx="48">
                  <c:v>0.21542889140755669</c:v>
                </c:pt>
                <c:pt idx="49">
                  <c:v>0.2199169933118808</c:v>
                </c:pt>
                <c:pt idx="50">
                  <c:v>0.22440509521620489</c:v>
                </c:pt>
                <c:pt idx="51">
                  <c:v>0.22889319712052897</c:v>
                </c:pt>
                <c:pt idx="52">
                  <c:v>0.23338129902485311</c:v>
                </c:pt>
                <c:pt idx="53">
                  <c:v>0.23786940092917719</c:v>
                </c:pt>
                <c:pt idx="54">
                  <c:v>0.2423575028335013</c:v>
                </c:pt>
                <c:pt idx="55">
                  <c:v>0.24684560473782538</c:v>
                </c:pt>
                <c:pt idx="56">
                  <c:v>0.25133370664214949</c:v>
                </c:pt>
                <c:pt idx="57">
                  <c:v>0.25582180854647357</c:v>
                </c:pt>
                <c:pt idx="58">
                  <c:v>0.26030991045079765</c:v>
                </c:pt>
                <c:pt idx="59">
                  <c:v>0.26479801235512179</c:v>
                </c:pt>
                <c:pt idx="60">
                  <c:v>0.26928611425944587</c:v>
                </c:pt>
                <c:pt idx="61">
                  <c:v>0.27377421616376996</c:v>
                </c:pt>
                <c:pt idx="62">
                  <c:v>0.27826231806809409</c:v>
                </c:pt>
                <c:pt idx="63">
                  <c:v>0.28275041997241818</c:v>
                </c:pt>
                <c:pt idx="64">
                  <c:v>0.28723852187674226</c:v>
                </c:pt>
                <c:pt idx="65">
                  <c:v>0.29172662378106634</c:v>
                </c:pt>
                <c:pt idx="66">
                  <c:v>0.29621472568539042</c:v>
                </c:pt>
                <c:pt idx="67">
                  <c:v>0.30070282758971456</c:v>
                </c:pt>
                <c:pt idx="68">
                  <c:v>0.30519092949403864</c:v>
                </c:pt>
                <c:pt idx="69">
                  <c:v>0.30967903139836278</c:v>
                </c:pt>
                <c:pt idx="70">
                  <c:v>0.31416713330268686</c:v>
                </c:pt>
                <c:pt idx="71">
                  <c:v>0.31865523520701095</c:v>
                </c:pt>
                <c:pt idx="72">
                  <c:v>0.32314333711133508</c:v>
                </c:pt>
                <c:pt idx="73">
                  <c:v>0.32763143901565916</c:v>
                </c:pt>
                <c:pt idx="74">
                  <c:v>0.33211954091998325</c:v>
                </c:pt>
                <c:pt idx="75">
                  <c:v>0.33660764282430733</c:v>
                </c:pt>
                <c:pt idx="76">
                  <c:v>0.34109574472863141</c:v>
                </c:pt>
                <c:pt idx="77">
                  <c:v>0.34558384663295555</c:v>
                </c:pt>
                <c:pt idx="78">
                  <c:v>0.35007194853727963</c:v>
                </c:pt>
                <c:pt idx="79">
                  <c:v>0.35456005044160377</c:v>
                </c:pt>
                <c:pt idx="80">
                  <c:v>0.35904815234592785</c:v>
                </c:pt>
                <c:pt idx="81">
                  <c:v>0.36353625425025193</c:v>
                </c:pt>
                <c:pt idx="82">
                  <c:v>0.36802435615457602</c:v>
                </c:pt>
                <c:pt idx="83">
                  <c:v>0.37251245805890015</c:v>
                </c:pt>
                <c:pt idx="84">
                  <c:v>0.37700055996322424</c:v>
                </c:pt>
                <c:pt idx="85">
                  <c:v>0.38148866186754832</c:v>
                </c:pt>
                <c:pt idx="86">
                  <c:v>0.3859767637718724</c:v>
                </c:pt>
                <c:pt idx="87">
                  <c:v>0.39046486567619648</c:v>
                </c:pt>
                <c:pt idx="88">
                  <c:v>0.39495296758052068</c:v>
                </c:pt>
                <c:pt idx="89">
                  <c:v>0.39944106948484476</c:v>
                </c:pt>
                <c:pt idx="90">
                  <c:v>0.40392917138916884</c:v>
                </c:pt>
                <c:pt idx="91">
                  <c:v>0.40841727329349292</c:v>
                </c:pt>
                <c:pt idx="92">
                  <c:v>0.412905375197817</c:v>
                </c:pt>
                <c:pt idx="93">
                  <c:v>0.41739347710214114</c:v>
                </c:pt>
                <c:pt idx="94">
                  <c:v>0.42188157900646522</c:v>
                </c:pt>
                <c:pt idx="95">
                  <c:v>0.42636968091078931</c:v>
                </c:pt>
                <c:pt idx="96">
                  <c:v>0.43085778281511339</c:v>
                </c:pt>
                <c:pt idx="97">
                  <c:v>0.43534588471943747</c:v>
                </c:pt>
                <c:pt idx="98">
                  <c:v>0.43983398662376161</c:v>
                </c:pt>
                <c:pt idx="99">
                  <c:v>0.44432208852808569</c:v>
                </c:pt>
                <c:pt idx="100">
                  <c:v>0.44881019043240977</c:v>
                </c:pt>
                <c:pt idx="101">
                  <c:v>0.45329829233673385</c:v>
                </c:pt>
                <c:pt idx="102">
                  <c:v>0.45778639424105794</c:v>
                </c:pt>
                <c:pt idx="103">
                  <c:v>0.46227449614538213</c:v>
                </c:pt>
                <c:pt idx="104">
                  <c:v>0.46676259804970621</c:v>
                </c:pt>
                <c:pt idx="105">
                  <c:v>0.47125069995403029</c:v>
                </c:pt>
                <c:pt idx="106">
                  <c:v>0.47573880185835438</c:v>
                </c:pt>
                <c:pt idx="107">
                  <c:v>0.48022690376267846</c:v>
                </c:pt>
                <c:pt idx="108">
                  <c:v>0.4847150056670026</c:v>
                </c:pt>
                <c:pt idx="109">
                  <c:v>0.48920310757132668</c:v>
                </c:pt>
                <c:pt idx="110">
                  <c:v>0.49369120947565076</c:v>
                </c:pt>
                <c:pt idx="111">
                  <c:v>0.49817931137997484</c:v>
                </c:pt>
                <c:pt idx="112">
                  <c:v>0.50266741328429898</c:v>
                </c:pt>
                <c:pt idx="113">
                  <c:v>0.50715551518862312</c:v>
                </c:pt>
                <c:pt idx="114">
                  <c:v>0.51164361709294714</c:v>
                </c:pt>
                <c:pt idx="115">
                  <c:v>0.51613171899727128</c:v>
                </c:pt>
                <c:pt idx="116">
                  <c:v>0.52061982090159531</c:v>
                </c:pt>
                <c:pt idx="117">
                  <c:v>0.52510792280591945</c:v>
                </c:pt>
                <c:pt idx="118">
                  <c:v>0.52959602471024358</c:v>
                </c:pt>
                <c:pt idx="119">
                  <c:v>0.53408412661456772</c:v>
                </c:pt>
                <c:pt idx="120">
                  <c:v>0.53857222851889175</c:v>
                </c:pt>
              </c:numCache>
            </c:numRef>
          </c:xVal>
          <c:yVal>
            <c:numRef>
              <c:f>Frequência!$D$131:$D$251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0.15643446504023084</c:v>
                </c:pt>
                <c:pt idx="2">
                  <c:v>0.30901699437494734</c:v>
                </c:pt>
                <c:pt idx="3">
                  <c:v>0.45399049973954675</c:v>
                </c:pt>
                <c:pt idx="4">
                  <c:v>0.58778525229247303</c:v>
                </c:pt>
                <c:pt idx="5">
                  <c:v>0.70710678118654746</c:v>
                </c:pt>
                <c:pt idx="6">
                  <c:v>0.80901699437494734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0.98768834059513766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0.58778525229247358</c:v>
                </c:pt>
                <c:pt idx="17">
                  <c:v>0.4539904997395473</c:v>
                </c:pt>
                <c:pt idx="18">
                  <c:v>0.30901699437494751</c:v>
                </c:pt>
                <c:pt idx="19">
                  <c:v>0.15643446504023142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-0.30901699437494773</c:v>
                </c:pt>
                <c:pt idx="23">
                  <c:v>-0.45399049973954625</c:v>
                </c:pt>
                <c:pt idx="24">
                  <c:v>-0.58778525229247269</c:v>
                </c:pt>
                <c:pt idx="25">
                  <c:v>-0.70710678118654713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-0.95105651629515353</c:v>
                </c:pt>
                <c:pt idx="29">
                  <c:v>-0.98768834059513755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-0.95105651629515386</c:v>
                </c:pt>
                <c:pt idx="33">
                  <c:v>-0.89100652418836834</c:v>
                </c:pt>
                <c:pt idx="34">
                  <c:v>-0.80901699437494812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-0.30901699437494851</c:v>
                </c:pt>
                <c:pt idx="39">
                  <c:v>-0.15643446504023198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0.30901699437494717</c:v>
                </c:pt>
                <c:pt idx="43">
                  <c:v>0.45399049973954575</c:v>
                </c:pt>
                <c:pt idx="44">
                  <c:v>0.58778525229247358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0.89100652418836768</c:v>
                </c:pt>
                <c:pt idx="48">
                  <c:v>0.9510565162951532</c:v>
                </c:pt>
                <c:pt idx="49">
                  <c:v>0.98768834059513766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0.80901699437494767</c:v>
                </c:pt>
                <c:pt idx="55">
                  <c:v>0.70710678118654835</c:v>
                </c:pt>
                <c:pt idx="56">
                  <c:v>0.58778525229247336</c:v>
                </c:pt>
                <c:pt idx="57">
                  <c:v>0.45399049973954791</c:v>
                </c:pt>
                <c:pt idx="58">
                  <c:v>0.30901699437494945</c:v>
                </c:pt>
                <c:pt idx="59">
                  <c:v>0.15643446504023209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-0.30901699437494706</c:v>
                </c:pt>
                <c:pt idx="63">
                  <c:v>-0.45399049973954564</c:v>
                </c:pt>
                <c:pt idx="64">
                  <c:v>-0.58778525229247136</c:v>
                </c:pt>
                <c:pt idx="65">
                  <c:v>-0.70710678118654657</c:v>
                </c:pt>
                <c:pt idx="66">
                  <c:v>-0.80901699437494612</c:v>
                </c:pt>
                <c:pt idx="67">
                  <c:v>-0.89100652418836723</c:v>
                </c:pt>
                <c:pt idx="68">
                  <c:v>-0.95105651629515287</c:v>
                </c:pt>
                <c:pt idx="69">
                  <c:v>-0.98768834059513777</c:v>
                </c:pt>
                <c:pt idx="70">
                  <c:v>-1</c:v>
                </c:pt>
                <c:pt idx="71">
                  <c:v>-0.98768834059513788</c:v>
                </c:pt>
                <c:pt idx="72">
                  <c:v>-0.95105651629515375</c:v>
                </c:pt>
                <c:pt idx="73">
                  <c:v>-0.89100652418836845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-0.58778525229247491</c:v>
                </c:pt>
                <c:pt idx="77">
                  <c:v>-0.45399049973954803</c:v>
                </c:pt>
                <c:pt idx="78">
                  <c:v>-0.30901699437494956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0.45399049973954553</c:v>
                </c:pt>
                <c:pt idx="84">
                  <c:v>0.58778525229247269</c:v>
                </c:pt>
                <c:pt idx="85">
                  <c:v>0.70710678118654657</c:v>
                </c:pt>
                <c:pt idx="86">
                  <c:v>0.80901699437494612</c:v>
                </c:pt>
                <c:pt idx="87">
                  <c:v>0.89100652418836646</c:v>
                </c:pt>
                <c:pt idx="88">
                  <c:v>0.95105651629515398</c:v>
                </c:pt>
                <c:pt idx="89">
                  <c:v>0.98768834059513777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0.89100652418836768</c:v>
                </c:pt>
                <c:pt idx="94">
                  <c:v>0.80901699437494778</c:v>
                </c:pt>
                <c:pt idx="95">
                  <c:v>0.70710678118654857</c:v>
                </c:pt>
                <c:pt idx="96">
                  <c:v>0.58778525229247502</c:v>
                </c:pt>
                <c:pt idx="97">
                  <c:v>0.45399049973954969</c:v>
                </c:pt>
                <c:pt idx="98">
                  <c:v>0.30901699437494801</c:v>
                </c:pt>
                <c:pt idx="99">
                  <c:v>0.15643446504023234</c:v>
                </c:pt>
                <c:pt idx="100">
                  <c:v>2.3889310668545605E-15</c:v>
                </c:pt>
                <c:pt idx="101">
                  <c:v>-0.15643446504022762</c:v>
                </c:pt>
                <c:pt idx="102">
                  <c:v>-0.30901699437494512</c:v>
                </c:pt>
                <c:pt idx="103">
                  <c:v>-0.45399049973954542</c:v>
                </c:pt>
                <c:pt idx="104">
                  <c:v>-0.58778525229247258</c:v>
                </c:pt>
                <c:pt idx="105">
                  <c:v>-0.70710678118654768</c:v>
                </c:pt>
                <c:pt idx="106">
                  <c:v>-0.80901699437494601</c:v>
                </c:pt>
                <c:pt idx="107">
                  <c:v>-0.89100652418836712</c:v>
                </c:pt>
                <c:pt idx="108">
                  <c:v>-0.95105651629515342</c:v>
                </c:pt>
                <c:pt idx="109">
                  <c:v>-0.98768834059513722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-0.95105651629515375</c:v>
                </c:pt>
                <c:pt idx="113">
                  <c:v>-0.89100652418836779</c:v>
                </c:pt>
                <c:pt idx="114">
                  <c:v>-0.80901699437494889</c:v>
                </c:pt>
                <c:pt idx="115">
                  <c:v>-0.70710678118654868</c:v>
                </c:pt>
                <c:pt idx="116">
                  <c:v>-0.58778525229247658</c:v>
                </c:pt>
                <c:pt idx="117">
                  <c:v>-0.4539904997395498</c:v>
                </c:pt>
                <c:pt idx="118">
                  <c:v>-0.30901699437494978</c:v>
                </c:pt>
                <c:pt idx="119">
                  <c:v>-0.15643446504022895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A-44FD-843F-307866A8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8061"/>
        <c:axId val="95655815"/>
      </c:scatterChart>
      <c:valAx>
        <c:axId val="694080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55815"/>
        <c:crosses val="autoZero"/>
        <c:crossBetween val="midCat"/>
      </c:valAx>
      <c:valAx>
        <c:axId val="95655815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080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Elemento isolado no pano</a:t>
            </a:r>
            <a:endParaRPr lang="pt-BR" sz="1600" b="1" strike="noStrike" spc="-1">
              <a:solidFill>
                <a:sysClr val="windowText" lastClr="000000"/>
              </a:solidFill>
              <a:latin typeface="Calibri Light (Títulos)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16184811177202"/>
          <c:y val="0.17219895397053611"/>
          <c:w val="0.74291949093927234"/>
          <c:h val="0.72545407819521723"/>
        </c:manualLayout>
      </c:layout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Frequência!$C$256:$C$376</c:f>
              <c:numCache>
                <c:formatCode>0.0000</c:formatCode>
                <c:ptCount val="121"/>
                <c:pt idx="0">
                  <c:v>0</c:v>
                </c:pt>
                <c:pt idx="1">
                  <c:v>2.6120834295714854E-3</c:v>
                </c:pt>
                <c:pt idx="2">
                  <c:v>5.2241668591429709E-3</c:v>
                </c:pt>
                <c:pt idx="3">
                  <c:v>7.8362502887144563E-3</c:v>
                </c:pt>
                <c:pt idx="4">
                  <c:v>1.0448333718285942E-2</c:v>
                </c:pt>
                <c:pt idx="5">
                  <c:v>1.3060417147857427E-2</c:v>
                </c:pt>
                <c:pt idx="6">
                  <c:v>1.5672500577428913E-2</c:v>
                </c:pt>
                <c:pt idx="7">
                  <c:v>1.8284584007000396E-2</c:v>
                </c:pt>
                <c:pt idx="8">
                  <c:v>2.0896667436571884E-2</c:v>
                </c:pt>
                <c:pt idx="9">
                  <c:v>2.3508750866143371E-2</c:v>
                </c:pt>
                <c:pt idx="10">
                  <c:v>2.6120834295714854E-2</c:v>
                </c:pt>
                <c:pt idx="11">
                  <c:v>2.8732917725286342E-2</c:v>
                </c:pt>
                <c:pt idx="12">
                  <c:v>3.1345001154857825E-2</c:v>
                </c:pt>
                <c:pt idx="13">
                  <c:v>3.3957084584429309E-2</c:v>
                </c:pt>
                <c:pt idx="14">
                  <c:v>3.6569168014000793E-2</c:v>
                </c:pt>
                <c:pt idx="15">
                  <c:v>3.9181251443572283E-2</c:v>
                </c:pt>
                <c:pt idx="16">
                  <c:v>4.1793334873143767E-2</c:v>
                </c:pt>
                <c:pt idx="17">
                  <c:v>4.4405418302715251E-2</c:v>
                </c:pt>
                <c:pt idx="18">
                  <c:v>4.7017501732286741E-2</c:v>
                </c:pt>
                <c:pt idx="19">
                  <c:v>4.9629585161858218E-2</c:v>
                </c:pt>
                <c:pt idx="20">
                  <c:v>5.2241668591429709E-2</c:v>
                </c:pt>
                <c:pt idx="21">
                  <c:v>5.4853752021001199E-2</c:v>
                </c:pt>
                <c:pt idx="22">
                  <c:v>5.7465835450572683E-2</c:v>
                </c:pt>
                <c:pt idx="23">
                  <c:v>6.007791888014416E-2</c:v>
                </c:pt>
                <c:pt idx="24">
                  <c:v>6.2690002309715651E-2</c:v>
                </c:pt>
                <c:pt idx="25">
                  <c:v>6.5302085739287141E-2</c:v>
                </c:pt>
                <c:pt idx="26">
                  <c:v>6.7914169168858618E-2</c:v>
                </c:pt>
                <c:pt idx="27">
                  <c:v>7.0526252598430109E-2</c:v>
                </c:pt>
                <c:pt idx="28">
                  <c:v>7.3138336028001585E-2</c:v>
                </c:pt>
                <c:pt idx="29">
                  <c:v>7.5750419457573076E-2</c:v>
                </c:pt>
                <c:pt idx="30">
                  <c:v>7.8362502887144567E-2</c:v>
                </c:pt>
                <c:pt idx="31">
                  <c:v>8.0974586316716057E-2</c:v>
                </c:pt>
                <c:pt idx="32">
                  <c:v>8.3586669746287534E-2</c:v>
                </c:pt>
                <c:pt idx="33">
                  <c:v>8.6198753175859011E-2</c:v>
                </c:pt>
                <c:pt idx="34">
                  <c:v>8.8810836605430502E-2</c:v>
                </c:pt>
                <c:pt idx="35">
                  <c:v>9.1422920035001992E-2</c:v>
                </c:pt>
                <c:pt idx="36">
                  <c:v>9.4035003464573483E-2</c:v>
                </c:pt>
                <c:pt idx="37">
                  <c:v>9.664708689414496E-2</c:v>
                </c:pt>
                <c:pt idx="38">
                  <c:v>9.9259170323716436E-2</c:v>
                </c:pt>
                <c:pt idx="39">
                  <c:v>0.10187125375328793</c:v>
                </c:pt>
                <c:pt idx="40">
                  <c:v>0.10448333718285942</c:v>
                </c:pt>
                <c:pt idx="41">
                  <c:v>0.10709542061243089</c:v>
                </c:pt>
                <c:pt idx="42">
                  <c:v>0.1097075040420024</c:v>
                </c:pt>
                <c:pt idx="43">
                  <c:v>0.11231958747157388</c:v>
                </c:pt>
                <c:pt idx="44">
                  <c:v>0.11493167090114537</c:v>
                </c:pt>
                <c:pt idx="45">
                  <c:v>0.11754375433071684</c:v>
                </c:pt>
                <c:pt idx="46">
                  <c:v>0.12015583776028832</c:v>
                </c:pt>
                <c:pt idx="47">
                  <c:v>0.12276792118985982</c:v>
                </c:pt>
                <c:pt idx="48">
                  <c:v>0.1253800046194313</c:v>
                </c:pt>
                <c:pt idx="49">
                  <c:v>0.12799208804900281</c:v>
                </c:pt>
                <c:pt idx="50">
                  <c:v>0.13060417147857428</c:v>
                </c:pt>
                <c:pt idx="51">
                  <c:v>0.13321625490814576</c:v>
                </c:pt>
                <c:pt idx="52">
                  <c:v>0.13582833833771724</c:v>
                </c:pt>
                <c:pt idx="53">
                  <c:v>0.13844042176728871</c:v>
                </c:pt>
                <c:pt idx="54">
                  <c:v>0.14105250519686022</c:v>
                </c:pt>
                <c:pt idx="55">
                  <c:v>0.14366458862643169</c:v>
                </c:pt>
                <c:pt idx="56">
                  <c:v>0.14627667205600317</c:v>
                </c:pt>
                <c:pt idx="57">
                  <c:v>0.14888875548557468</c:v>
                </c:pt>
                <c:pt idx="58">
                  <c:v>0.15150083891514615</c:v>
                </c:pt>
                <c:pt idx="59">
                  <c:v>0.15411292234471766</c:v>
                </c:pt>
                <c:pt idx="60">
                  <c:v>0.15672500577428913</c:v>
                </c:pt>
                <c:pt idx="61">
                  <c:v>0.15933708920386061</c:v>
                </c:pt>
                <c:pt idx="62">
                  <c:v>0.16194917263343211</c:v>
                </c:pt>
                <c:pt idx="63">
                  <c:v>0.16456125606300359</c:v>
                </c:pt>
                <c:pt idx="64">
                  <c:v>0.16717333949257507</c:v>
                </c:pt>
                <c:pt idx="65">
                  <c:v>0.16978542292214654</c:v>
                </c:pt>
                <c:pt idx="66">
                  <c:v>0.17239750635171802</c:v>
                </c:pt>
                <c:pt idx="67">
                  <c:v>0.17500958978128953</c:v>
                </c:pt>
                <c:pt idx="68">
                  <c:v>0.177621673210861</c:v>
                </c:pt>
                <c:pt idx="69">
                  <c:v>0.18023375664043251</c:v>
                </c:pt>
                <c:pt idx="70">
                  <c:v>0.18284584007000398</c:v>
                </c:pt>
                <c:pt idx="71">
                  <c:v>0.18545792349957546</c:v>
                </c:pt>
                <c:pt idx="72">
                  <c:v>0.18807000692914697</c:v>
                </c:pt>
                <c:pt idx="73">
                  <c:v>0.19068209035871844</c:v>
                </c:pt>
                <c:pt idx="74">
                  <c:v>0.19329417378828992</c:v>
                </c:pt>
                <c:pt idx="75">
                  <c:v>0.1959062572178614</c:v>
                </c:pt>
                <c:pt idx="76">
                  <c:v>0.19851834064743287</c:v>
                </c:pt>
                <c:pt idx="77">
                  <c:v>0.20113042407700438</c:v>
                </c:pt>
                <c:pt idx="78">
                  <c:v>0.20374250750657585</c:v>
                </c:pt>
                <c:pt idx="79">
                  <c:v>0.20635459093614736</c:v>
                </c:pt>
                <c:pt idx="80">
                  <c:v>0.20896667436571884</c:v>
                </c:pt>
                <c:pt idx="81">
                  <c:v>0.21157875779529031</c:v>
                </c:pt>
                <c:pt idx="82">
                  <c:v>0.21419084122486179</c:v>
                </c:pt>
                <c:pt idx="83">
                  <c:v>0.21680292465443332</c:v>
                </c:pt>
                <c:pt idx="84">
                  <c:v>0.2194150080840048</c:v>
                </c:pt>
                <c:pt idx="85">
                  <c:v>0.22202709151357627</c:v>
                </c:pt>
                <c:pt idx="86">
                  <c:v>0.22463917494314775</c:v>
                </c:pt>
                <c:pt idx="87">
                  <c:v>0.2272512583727192</c:v>
                </c:pt>
                <c:pt idx="88">
                  <c:v>0.22986334180229073</c:v>
                </c:pt>
                <c:pt idx="89">
                  <c:v>0.23247542523186221</c:v>
                </c:pt>
                <c:pt idx="90">
                  <c:v>0.23508750866143369</c:v>
                </c:pt>
                <c:pt idx="91">
                  <c:v>0.23769959209100516</c:v>
                </c:pt>
                <c:pt idx="92">
                  <c:v>0.24031167552057664</c:v>
                </c:pt>
                <c:pt idx="93">
                  <c:v>0.24292375895014817</c:v>
                </c:pt>
                <c:pt idx="94">
                  <c:v>0.24553584237971965</c:v>
                </c:pt>
                <c:pt idx="95">
                  <c:v>0.24814792580929113</c:v>
                </c:pt>
                <c:pt idx="96">
                  <c:v>0.2507600092388626</c:v>
                </c:pt>
                <c:pt idx="97">
                  <c:v>0.25337209266843408</c:v>
                </c:pt>
                <c:pt idx="98">
                  <c:v>0.25598417609800561</c:v>
                </c:pt>
                <c:pt idx="99">
                  <c:v>0.25859625952757709</c:v>
                </c:pt>
                <c:pt idx="100">
                  <c:v>0.26120834295714856</c:v>
                </c:pt>
                <c:pt idx="101">
                  <c:v>0.26382042638672004</c:v>
                </c:pt>
                <c:pt idx="102">
                  <c:v>0.26643250981629152</c:v>
                </c:pt>
                <c:pt idx="103">
                  <c:v>0.269044593245863</c:v>
                </c:pt>
                <c:pt idx="104">
                  <c:v>0.27165667667543447</c:v>
                </c:pt>
                <c:pt idx="105">
                  <c:v>0.27426876010500595</c:v>
                </c:pt>
                <c:pt idx="106">
                  <c:v>0.27688084353457743</c:v>
                </c:pt>
                <c:pt idx="107">
                  <c:v>0.2794929269641489</c:v>
                </c:pt>
                <c:pt idx="108">
                  <c:v>0.28210501039372043</c:v>
                </c:pt>
                <c:pt idx="109">
                  <c:v>0.28471709382329191</c:v>
                </c:pt>
                <c:pt idx="110">
                  <c:v>0.28732917725286339</c:v>
                </c:pt>
                <c:pt idx="111">
                  <c:v>0.28994126068243486</c:v>
                </c:pt>
                <c:pt idx="112">
                  <c:v>0.29255334411200634</c:v>
                </c:pt>
                <c:pt idx="113">
                  <c:v>0.29516542754157787</c:v>
                </c:pt>
                <c:pt idx="114">
                  <c:v>0.29777751097114935</c:v>
                </c:pt>
                <c:pt idx="115">
                  <c:v>0.30038959440072083</c:v>
                </c:pt>
                <c:pt idx="116">
                  <c:v>0.3030016778302923</c:v>
                </c:pt>
                <c:pt idx="117">
                  <c:v>0.30561376125986378</c:v>
                </c:pt>
                <c:pt idx="118">
                  <c:v>0.30822584468943531</c:v>
                </c:pt>
                <c:pt idx="119">
                  <c:v>0.31083792811900679</c:v>
                </c:pt>
                <c:pt idx="120">
                  <c:v>0.31345001154857827</c:v>
                </c:pt>
              </c:numCache>
            </c:numRef>
          </c:xVal>
          <c:yVal>
            <c:numRef>
              <c:f>Frequência!$D$256:$D$376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0.15643446504023087</c:v>
                </c:pt>
                <c:pt idx="2">
                  <c:v>0.3090169943749474</c:v>
                </c:pt>
                <c:pt idx="3">
                  <c:v>0.45399049973954675</c:v>
                </c:pt>
                <c:pt idx="4">
                  <c:v>0.58778525229247314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0.98768834059513777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0.80901699437494778</c:v>
                </c:pt>
                <c:pt idx="15">
                  <c:v>0.70710678118654757</c:v>
                </c:pt>
                <c:pt idx="16">
                  <c:v>0.58778525229247325</c:v>
                </c:pt>
                <c:pt idx="17">
                  <c:v>0.45399049973954686</c:v>
                </c:pt>
                <c:pt idx="18">
                  <c:v>0.30901699437494751</c:v>
                </c:pt>
                <c:pt idx="19">
                  <c:v>0.15643446504023142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-0.30901699437494728</c:v>
                </c:pt>
                <c:pt idx="23">
                  <c:v>-0.45399049973954625</c:v>
                </c:pt>
                <c:pt idx="24">
                  <c:v>-0.58778525229247303</c:v>
                </c:pt>
                <c:pt idx="25">
                  <c:v>-0.70710678118654746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-0.9510565162951532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-0.95105651629515364</c:v>
                </c:pt>
                <c:pt idx="33">
                  <c:v>-0.89100652418836834</c:v>
                </c:pt>
                <c:pt idx="34">
                  <c:v>-0.80901699437494756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-0.30901699437494851</c:v>
                </c:pt>
                <c:pt idx="39">
                  <c:v>-0.15643446504023198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0.30901699437494717</c:v>
                </c:pt>
                <c:pt idx="43">
                  <c:v>0.45399049973954658</c:v>
                </c:pt>
                <c:pt idx="44">
                  <c:v>0.58778525229247292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0.89100652418836768</c:v>
                </c:pt>
                <c:pt idx="48">
                  <c:v>0.95105651629515353</c:v>
                </c:pt>
                <c:pt idx="49">
                  <c:v>0.98768834059513777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0.80901699437494767</c:v>
                </c:pt>
                <c:pt idx="55">
                  <c:v>0.70710678118654835</c:v>
                </c:pt>
                <c:pt idx="56">
                  <c:v>0.5877852522924748</c:v>
                </c:pt>
                <c:pt idx="57">
                  <c:v>0.45399049973954791</c:v>
                </c:pt>
                <c:pt idx="58">
                  <c:v>0.30901699437494778</c:v>
                </c:pt>
                <c:pt idx="59">
                  <c:v>0.15643446504023034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-0.30901699437494706</c:v>
                </c:pt>
                <c:pt idx="63">
                  <c:v>-0.45399049973954725</c:v>
                </c:pt>
                <c:pt idx="64">
                  <c:v>-0.5877852522924728</c:v>
                </c:pt>
                <c:pt idx="65">
                  <c:v>-0.70710678118654657</c:v>
                </c:pt>
                <c:pt idx="66">
                  <c:v>-0.80901699437494612</c:v>
                </c:pt>
                <c:pt idx="67">
                  <c:v>-0.89100652418836723</c:v>
                </c:pt>
                <c:pt idx="68">
                  <c:v>-0.95105651629515342</c:v>
                </c:pt>
                <c:pt idx="69">
                  <c:v>-0.98768834059513777</c:v>
                </c:pt>
                <c:pt idx="70">
                  <c:v>-1</c:v>
                </c:pt>
                <c:pt idx="71">
                  <c:v>-0.98768834059513788</c:v>
                </c:pt>
                <c:pt idx="72">
                  <c:v>-0.95105651629515375</c:v>
                </c:pt>
                <c:pt idx="73">
                  <c:v>-0.89100652418836845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-0.58778525229247491</c:v>
                </c:pt>
                <c:pt idx="77">
                  <c:v>-0.45399049973954803</c:v>
                </c:pt>
                <c:pt idx="78">
                  <c:v>-0.30901699437494956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0.45399049973954714</c:v>
                </c:pt>
                <c:pt idx="84">
                  <c:v>0.58778525229247269</c:v>
                </c:pt>
                <c:pt idx="85">
                  <c:v>0.70710678118654779</c:v>
                </c:pt>
                <c:pt idx="86">
                  <c:v>0.80901699437494712</c:v>
                </c:pt>
                <c:pt idx="87">
                  <c:v>0.89100652418836646</c:v>
                </c:pt>
                <c:pt idx="88">
                  <c:v>0.95105651629515342</c:v>
                </c:pt>
                <c:pt idx="89">
                  <c:v>0.98768834059513755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0.89100652418836768</c:v>
                </c:pt>
                <c:pt idx="94">
                  <c:v>0.80901699437494778</c:v>
                </c:pt>
                <c:pt idx="95">
                  <c:v>0.70710678118654857</c:v>
                </c:pt>
                <c:pt idx="96">
                  <c:v>0.58778525229247358</c:v>
                </c:pt>
                <c:pt idx="97">
                  <c:v>0.45399049973954814</c:v>
                </c:pt>
                <c:pt idx="98">
                  <c:v>0.30901699437494629</c:v>
                </c:pt>
                <c:pt idx="99">
                  <c:v>0.15643446504023059</c:v>
                </c:pt>
                <c:pt idx="100">
                  <c:v>6.1257422745431001E-16</c:v>
                </c:pt>
                <c:pt idx="101">
                  <c:v>-0.15643446504023115</c:v>
                </c:pt>
                <c:pt idx="102">
                  <c:v>-0.30901699437494512</c:v>
                </c:pt>
                <c:pt idx="103">
                  <c:v>-0.45399049973954542</c:v>
                </c:pt>
                <c:pt idx="104">
                  <c:v>-0.58778525229247258</c:v>
                </c:pt>
                <c:pt idx="105">
                  <c:v>-0.70710678118654513</c:v>
                </c:pt>
                <c:pt idx="106">
                  <c:v>-0.80901699437494601</c:v>
                </c:pt>
                <c:pt idx="107">
                  <c:v>-0.89100652418836557</c:v>
                </c:pt>
                <c:pt idx="108">
                  <c:v>-0.95105651629515342</c:v>
                </c:pt>
                <c:pt idx="109">
                  <c:v>-0.98768834059513777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-0.95105651629515486</c:v>
                </c:pt>
                <c:pt idx="113">
                  <c:v>-0.89100652418836779</c:v>
                </c:pt>
                <c:pt idx="114">
                  <c:v>-0.80901699437494889</c:v>
                </c:pt>
                <c:pt idx="115">
                  <c:v>-0.70710678118654868</c:v>
                </c:pt>
                <c:pt idx="116">
                  <c:v>-0.58778525229247369</c:v>
                </c:pt>
                <c:pt idx="117">
                  <c:v>-0.4539904997395498</c:v>
                </c:pt>
                <c:pt idx="118">
                  <c:v>-0.3090169943749464</c:v>
                </c:pt>
                <c:pt idx="119">
                  <c:v>-0.15643446504023248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B3-4808-8202-FD21C1F8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26876"/>
        <c:axId val="66493934"/>
      </c:scatterChart>
      <c:valAx>
        <c:axId val="3202687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6493934"/>
        <c:crosses val="autoZero"/>
        <c:crossBetween val="midCat"/>
      </c:valAx>
      <c:valAx>
        <c:axId val="66493934"/>
        <c:scaling>
          <c:orientation val="minMax"/>
          <c:max val="1.2"/>
          <c:min val="-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320268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Painel com todas as cargas</a:t>
            </a:r>
            <a:endParaRPr lang="pt-BR">
              <a:solidFill>
                <a:sysClr val="windowText" lastClr="000000"/>
              </a:solidFill>
              <a:latin typeface="Calibri Light (Títulos)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Frequência!$C$381:$C$501</c:f>
              <c:numCache>
                <c:formatCode>0.0000</c:formatCode>
                <c:ptCount val="121"/>
                <c:pt idx="0">
                  <c:v>0</c:v>
                </c:pt>
                <c:pt idx="1">
                  <c:v>3.6273378203704092E-3</c:v>
                </c:pt>
                <c:pt idx="2">
                  <c:v>7.2546756407408184E-3</c:v>
                </c:pt>
                <c:pt idx="3">
                  <c:v>1.0882013461111227E-2</c:v>
                </c:pt>
                <c:pt idx="4">
                  <c:v>1.4509351281481637E-2</c:v>
                </c:pt>
                <c:pt idx="5">
                  <c:v>1.8136689101852045E-2</c:v>
                </c:pt>
                <c:pt idx="6">
                  <c:v>2.1764026922222453E-2</c:v>
                </c:pt>
                <c:pt idx="7">
                  <c:v>2.5391364742592862E-2</c:v>
                </c:pt>
                <c:pt idx="8">
                  <c:v>2.9018702562963274E-2</c:v>
                </c:pt>
                <c:pt idx="9">
                  <c:v>3.2646040383333685E-2</c:v>
                </c:pt>
                <c:pt idx="10">
                  <c:v>3.627337820370409E-2</c:v>
                </c:pt>
                <c:pt idx="11">
                  <c:v>3.9900716024074502E-2</c:v>
                </c:pt>
                <c:pt idx="12">
                  <c:v>4.3528053844444907E-2</c:v>
                </c:pt>
                <c:pt idx="13">
                  <c:v>4.7155391664815319E-2</c:v>
                </c:pt>
                <c:pt idx="14">
                  <c:v>5.0782729485185724E-2</c:v>
                </c:pt>
                <c:pt idx="15">
                  <c:v>5.4410067305556135E-2</c:v>
                </c:pt>
                <c:pt idx="16">
                  <c:v>5.8037405125926547E-2</c:v>
                </c:pt>
                <c:pt idx="17">
                  <c:v>6.1664742946296952E-2</c:v>
                </c:pt>
                <c:pt idx="18">
                  <c:v>6.5292080766667371E-2</c:v>
                </c:pt>
                <c:pt idx="19">
                  <c:v>6.8919418587037776E-2</c:v>
                </c:pt>
                <c:pt idx="20">
                  <c:v>7.2546756407408181E-2</c:v>
                </c:pt>
                <c:pt idx="21">
                  <c:v>7.6174094227778599E-2</c:v>
                </c:pt>
                <c:pt idx="22">
                  <c:v>7.9801432048149004E-2</c:v>
                </c:pt>
                <c:pt idx="23">
                  <c:v>8.3428769868519395E-2</c:v>
                </c:pt>
                <c:pt idx="24">
                  <c:v>8.7056107688889814E-2</c:v>
                </c:pt>
                <c:pt idx="25">
                  <c:v>9.0683445509260233E-2</c:v>
                </c:pt>
                <c:pt idx="26">
                  <c:v>9.4310783329630637E-2</c:v>
                </c:pt>
                <c:pt idx="27">
                  <c:v>9.7938121150001056E-2</c:v>
                </c:pt>
                <c:pt idx="28">
                  <c:v>0.10156545897037145</c:v>
                </c:pt>
                <c:pt idx="29">
                  <c:v>0.10519279679074187</c:v>
                </c:pt>
                <c:pt idx="30">
                  <c:v>0.10882013461111227</c:v>
                </c:pt>
                <c:pt idx="31">
                  <c:v>0.11244747243148269</c:v>
                </c:pt>
                <c:pt idx="32">
                  <c:v>0.11607481025185309</c:v>
                </c:pt>
                <c:pt idx="33">
                  <c:v>0.1197021480722235</c:v>
                </c:pt>
                <c:pt idx="34">
                  <c:v>0.1233294858925939</c:v>
                </c:pt>
                <c:pt idx="35">
                  <c:v>0.12695682371296432</c:v>
                </c:pt>
                <c:pt idx="36">
                  <c:v>0.13058416153333474</c:v>
                </c:pt>
                <c:pt idx="37">
                  <c:v>0.13421149935370513</c:v>
                </c:pt>
                <c:pt idx="38">
                  <c:v>0.13783883717407555</c:v>
                </c:pt>
                <c:pt idx="39">
                  <c:v>0.14146617499444594</c:v>
                </c:pt>
                <c:pt idx="40">
                  <c:v>0.14509351281481636</c:v>
                </c:pt>
                <c:pt idx="41">
                  <c:v>0.14872085063518675</c:v>
                </c:pt>
                <c:pt idx="42">
                  <c:v>0.1523481884555572</c:v>
                </c:pt>
                <c:pt idx="43">
                  <c:v>0.15597552627592759</c:v>
                </c:pt>
                <c:pt idx="44">
                  <c:v>0.15960286409629801</c:v>
                </c:pt>
                <c:pt idx="45">
                  <c:v>0.1632302019166684</c:v>
                </c:pt>
                <c:pt idx="46">
                  <c:v>0.16685753973703879</c:v>
                </c:pt>
                <c:pt idx="47">
                  <c:v>0.17048487755740924</c:v>
                </c:pt>
                <c:pt idx="48">
                  <c:v>0.17411221537777963</c:v>
                </c:pt>
                <c:pt idx="49">
                  <c:v>0.17773955319815005</c:v>
                </c:pt>
                <c:pt idx="50">
                  <c:v>0.18136689101852047</c:v>
                </c:pt>
                <c:pt idx="51">
                  <c:v>0.18499422883889086</c:v>
                </c:pt>
                <c:pt idx="52">
                  <c:v>0.18862156665926127</c:v>
                </c:pt>
                <c:pt idx="53">
                  <c:v>0.19224890447963167</c:v>
                </c:pt>
                <c:pt idx="54">
                  <c:v>0.19587624230000211</c:v>
                </c:pt>
                <c:pt idx="55">
                  <c:v>0.1995035801203725</c:v>
                </c:pt>
                <c:pt idx="56">
                  <c:v>0.20313091794074289</c:v>
                </c:pt>
                <c:pt idx="57">
                  <c:v>0.20675825576111331</c:v>
                </c:pt>
                <c:pt idx="58">
                  <c:v>0.21038559358148373</c:v>
                </c:pt>
                <c:pt idx="59">
                  <c:v>0.21401293140185415</c:v>
                </c:pt>
                <c:pt idx="60">
                  <c:v>0.21764026922222454</c:v>
                </c:pt>
                <c:pt idx="61">
                  <c:v>0.22126760704259493</c:v>
                </c:pt>
                <c:pt idx="62">
                  <c:v>0.22489494486296538</c:v>
                </c:pt>
                <c:pt idx="63">
                  <c:v>0.22852228268333577</c:v>
                </c:pt>
                <c:pt idx="64">
                  <c:v>0.23214962050370619</c:v>
                </c:pt>
                <c:pt idx="65">
                  <c:v>0.23577695832407658</c:v>
                </c:pt>
                <c:pt idx="66">
                  <c:v>0.239404296144447</c:v>
                </c:pt>
                <c:pt idx="67">
                  <c:v>0.24303163396481742</c:v>
                </c:pt>
                <c:pt idx="68">
                  <c:v>0.24665897178518781</c:v>
                </c:pt>
                <c:pt idx="69">
                  <c:v>0.25028630960555825</c:v>
                </c:pt>
                <c:pt idx="70">
                  <c:v>0.25391364742592865</c:v>
                </c:pt>
                <c:pt idx="71">
                  <c:v>0.25754098524629904</c:v>
                </c:pt>
                <c:pt idx="72">
                  <c:v>0.26116832306666948</c:v>
                </c:pt>
                <c:pt idx="73">
                  <c:v>0.26479566088703987</c:v>
                </c:pt>
                <c:pt idx="74">
                  <c:v>0.26842299870741027</c:v>
                </c:pt>
                <c:pt idx="75">
                  <c:v>0.27205033652778066</c:v>
                </c:pt>
                <c:pt idx="76">
                  <c:v>0.2756776743481511</c:v>
                </c:pt>
                <c:pt idx="77">
                  <c:v>0.27930501216852149</c:v>
                </c:pt>
                <c:pt idx="78">
                  <c:v>0.28293234998889188</c:v>
                </c:pt>
                <c:pt idx="79">
                  <c:v>0.28655968780926233</c:v>
                </c:pt>
                <c:pt idx="80">
                  <c:v>0.29018702562963272</c:v>
                </c:pt>
                <c:pt idx="81">
                  <c:v>0.29381436345000311</c:v>
                </c:pt>
                <c:pt idx="82">
                  <c:v>0.2974417012703735</c:v>
                </c:pt>
                <c:pt idx="83">
                  <c:v>0.30106903909074395</c:v>
                </c:pt>
                <c:pt idx="84">
                  <c:v>0.3046963769111144</c:v>
                </c:pt>
                <c:pt idx="85">
                  <c:v>0.30832371473148479</c:v>
                </c:pt>
                <c:pt idx="86">
                  <c:v>0.31195105255185518</c:v>
                </c:pt>
                <c:pt idx="87">
                  <c:v>0.31557839037222557</c:v>
                </c:pt>
                <c:pt idx="88">
                  <c:v>0.31920572819259602</c:v>
                </c:pt>
                <c:pt idx="89">
                  <c:v>0.32283306601296641</c:v>
                </c:pt>
                <c:pt idx="90">
                  <c:v>0.3264604038333368</c:v>
                </c:pt>
                <c:pt idx="91">
                  <c:v>0.33008774165370719</c:v>
                </c:pt>
                <c:pt idx="92">
                  <c:v>0.33371507947407758</c:v>
                </c:pt>
                <c:pt idx="93">
                  <c:v>0.33734241729444808</c:v>
                </c:pt>
                <c:pt idx="94">
                  <c:v>0.34096975511481847</c:v>
                </c:pt>
                <c:pt idx="95">
                  <c:v>0.34459709293518886</c:v>
                </c:pt>
                <c:pt idx="96">
                  <c:v>0.34822443075555926</c:v>
                </c:pt>
                <c:pt idx="97">
                  <c:v>0.35185176857592965</c:v>
                </c:pt>
                <c:pt idx="98">
                  <c:v>0.35547910639630009</c:v>
                </c:pt>
                <c:pt idx="99">
                  <c:v>0.35910644421667048</c:v>
                </c:pt>
                <c:pt idx="100">
                  <c:v>0.36273378203704093</c:v>
                </c:pt>
                <c:pt idx="101">
                  <c:v>0.36636111985741132</c:v>
                </c:pt>
                <c:pt idx="102">
                  <c:v>0.36998845767778171</c:v>
                </c:pt>
                <c:pt idx="103">
                  <c:v>0.37361579549815216</c:v>
                </c:pt>
                <c:pt idx="104">
                  <c:v>0.37724313331852255</c:v>
                </c:pt>
                <c:pt idx="105">
                  <c:v>0.38087047113889294</c:v>
                </c:pt>
                <c:pt idx="106">
                  <c:v>0.38449780895926333</c:v>
                </c:pt>
                <c:pt idx="107">
                  <c:v>0.38812514677963372</c:v>
                </c:pt>
                <c:pt idx="108">
                  <c:v>0.39175248460000422</c:v>
                </c:pt>
                <c:pt idx="109">
                  <c:v>0.39537982242037462</c:v>
                </c:pt>
                <c:pt idx="110">
                  <c:v>0.39900716024074501</c:v>
                </c:pt>
                <c:pt idx="111">
                  <c:v>0.4026344980611154</c:v>
                </c:pt>
                <c:pt idx="112">
                  <c:v>0.40626183588148579</c:v>
                </c:pt>
                <c:pt idx="113">
                  <c:v>0.40988917370185624</c:v>
                </c:pt>
                <c:pt idx="114">
                  <c:v>0.41351651152222663</c:v>
                </c:pt>
                <c:pt idx="115">
                  <c:v>0.41714384934259702</c:v>
                </c:pt>
                <c:pt idx="116">
                  <c:v>0.42077118716296746</c:v>
                </c:pt>
                <c:pt idx="117">
                  <c:v>0.42439852498333785</c:v>
                </c:pt>
                <c:pt idx="118">
                  <c:v>0.4280258628037083</c:v>
                </c:pt>
                <c:pt idx="119">
                  <c:v>0.43165320062407869</c:v>
                </c:pt>
                <c:pt idx="120">
                  <c:v>0.43528053844444908</c:v>
                </c:pt>
              </c:numCache>
            </c:numRef>
          </c:xVal>
          <c:yVal>
            <c:numRef>
              <c:f>Frequência!$D$381:$D$501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0.1564344650402309</c:v>
                </c:pt>
                <c:pt idx="2">
                  <c:v>0.30901699437494745</c:v>
                </c:pt>
                <c:pt idx="3">
                  <c:v>0.45399049973954675</c:v>
                </c:pt>
                <c:pt idx="4">
                  <c:v>0.58778525229247325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0.95105651629515364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0.98768834059513766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0.5877852522924728</c:v>
                </c:pt>
                <c:pt idx="17">
                  <c:v>0.45399049973954686</c:v>
                </c:pt>
                <c:pt idx="18">
                  <c:v>0.30901699437494712</c:v>
                </c:pt>
                <c:pt idx="19">
                  <c:v>0.15643446504023054</c:v>
                </c:pt>
                <c:pt idx="20">
                  <c:v>1.22514845490862E-16</c:v>
                </c:pt>
                <c:pt idx="21">
                  <c:v>-0.15643446504023117</c:v>
                </c:pt>
                <c:pt idx="22">
                  <c:v>-0.30901699437494773</c:v>
                </c:pt>
                <c:pt idx="23">
                  <c:v>-0.45399049973954625</c:v>
                </c:pt>
                <c:pt idx="24">
                  <c:v>-0.58778525229247303</c:v>
                </c:pt>
                <c:pt idx="25">
                  <c:v>-0.70710678118654768</c:v>
                </c:pt>
                <c:pt idx="26">
                  <c:v>-0.80901699437494734</c:v>
                </c:pt>
                <c:pt idx="27">
                  <c:v>-0.89100652418836823</c:v>
                </c:pt>
                <c:pt idx="28">
                  <c:v>-0.95105651629515353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-0.98768834059513766</c:v>
                </c:pt>
                <c:pt idx="32">
                  <c:v>-0.95105651629515331</c:v>
                </c:pt>
                <c:pt idx="33">
                  <c:v>-0.8910065241883679</c:v>
                </c:pt>
                <c:pt idx="34">
                  <c:v>-0.80901699437494756</c:v>
                </c:pt>
                <c:pt idx="35">
                  <c:v>-0.70710678118654702</c:v>
                </c:pt>
                <c:pt idx="36">
                  <c:v>-0.58778525229247258</c:v>
                </c:pt>
                <c:pt idx="37">
                  <c:v>-0.45399049973954697</c:v>
                </c:pt>
                <c:pt idx="38">
                  <c:v>-0.30901699437494679</c:v>
                </c:pt>
                <c:pt idx="39">
                  <c:v>-0.15643446504023112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0.30901699437494801</c:v>
                </c:pt>
                <c:pt idx="43">
                  <c:v>0.45399049973954658</c:v>
                </c:pt>
                <c:pt idx="44">
                  <c:v>0.58778525229247358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0.89100652418836812</c:v>
                </c:pt>
                <c:pt idx="48">
                  <c:v>0.95105651629515353</c:v>
                </c:pt>
                <c:pt idx="49">
                  <c:v>0.98768834059513777</c:v>
                </c:pt>
                <c:pt idx="50">
                  <c:v>1</c:v>
                </c:pt>
                <c:pt idx="51">
                  <c:v>0.98768834059513766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0.80901699437494656</c:v>
                </c:pt>
                <c:pt idx="55">
                  <c:v>0.70710678118654713</c:v>
                </c:pt>
                <c:pt idx="56">
                  <c:v>0.58778525229247336</c:v>
                </c:pt>
                <c:pt idx="57">
                  <c:v>0.4539904997395463</c:v>
                </c:pt>
                <c:pt idx="58">
                  <c:v>0.30901699437494778</c:v>
                </c:pt>
                <c:pt idx="59">
                  <c:v>0.15643446504023034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-0.30901699437494873</c:v>
                </c:pt>
                <c:pt idx="63">
                  <c:v>-0.45399049973954725</c:v>
                </c:pt>
                <c:pt idx="64">
                  <c:v>-0.58778525229247425</c:v>
                </c:pt>
                <c:pt idx="65">
                  <c:v>-0.70710678118654791</c:v>
                </c:pt>
                <c:pt idx="66">
                  <c:v>-0.80901699437494723</c:v>
                </c:pt>
                <c:pt idx="67">
                  <c:v>-0.89100652418836812</c:v>
                </c:pt>
                <c:pt idx="68">
                  <c:v>-0.95105651629515342</c:v>
                </c:pt>
                <c:pt idx="69">
                  <c:v>-0.9876883405951381</c:v>
                </c:pt>
                <c:pt idx="70">
                  <c:v>-1</c:v>
                </c:pt>
                <c:pt idx="71">
                  <c:v>-0.98768834059513766</c:v>
                </c:pt>
                <c:pt idx="72">
                  <c:v>-0.9510565162951532</c:v>
                </c:pt>
                <c:pt idx="73">
                  <c:v>-0.89100652418836768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-0.58778525229247203</c:v>
                </c:pt>
                <c:pt idx="77">
                  <c:v>-0.45399049973954642</c:v>
                </c:pt>
                <c:pt idx="78">
                  <c:v>-0.3090169943749479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0.45399049973954714</c:v>
                </c:pt>
                <c:pt idx="84">
                  <c:v>0.58778525229247414</c:v>
                </c:pt>
                <c:pt idx="85">
                  <c:v>0.70710678118654779</c:v>
                </c:pt>
                <c:pt idx="86">
                  <c:v>0.80901699437494712</c:v>
                </c:pt>
                <c:pt idx="87">
                  <c:v>0.89100652418836723</c:v>
                </c:pt>
                <c:pt idx="88">
                  <c:v>0.95105651629515398</c:v>
                </c:pt>
                <c:pt idx="89">
                  <c:v>0.98768834059513777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0.8910065241883669</c:v>
                </c:pt>
                <c:pt idx="94">
                  <c:v>0.80901699437494667</c:v>
                </c:pt>
                <c:pt idx="95">
                  <c:v>0.70710678118654735</c:v>
                </c:pt>
                <c:pt idx="96">
                  <c:v>0.58778525229247358</c:v>
                </c:pt>
                <c:pt idx="97">
                  <c:v>0.45399049973954814</c:v>
                </c:pt>
                <c:pt idx="98">
                  <c:v>0.30901699437494629</c:v>
                </c:pt>
                <c:pt idx="99">
                  <c:v>0.15643446504023059</c:v>
                </c:pt>
                <c:pt idx="100">
                  <c:v>-1.1637826119459405E-15</c:v>
                </c:pt>
                <c:pt idx="101">
                  <c:v>-0.15643446504023115</c:v>
                </c:pt>
                <c:pt idx="102">
                  <c:v>-0.30901699437494851</c:v>
                </c:pt>
                <c:pt idx="103">
                  <c:v>-0.45399049973954858</c:v>
                </c:pt>
                <c:pt idx="104">
                  <c:v>-0.58778525229247258</c:v>
                </c:pt>
                <c:pt idx="105">
                  <c:v>-0.70710678118654768</c:v>
                </c:pt>
                <c:pt idx="106">
                  <c:v>-0.80901699437494601</c:v>
                </c:pt>
                <c:pt idx="107">
                  <c:v>-0.89100652418836712</c:v>
                </c:pt>
                <c:pt idx="108">
                  <c:v>-0.95105651629515442</c:v>
                </c:pt>
                <c:pt idx="109">
                  <c:v>-0.98768834059513777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-0.95105651629515375</c:v>
                </c:pt>
                <c:pt idx="113">
                  <c:v>-0.89100652418836779</c:v>
                </c:pt>
                <c:pt idx="114">
                  <c:v>-0.80901699437494679</c:v>
                </c:pt>
                <c:pt idx="115">
                  <c:v>-0.70710678118654868</c:v>
                </c:pt>
                <c:pt idx="116">
                  <c:v>-0.58778525229247369</c:v>
                </c:pt>
                <c:pt idx="117">
                  <c:v>-0.45399049973954664</c:v>
                </c:pt>
                <c:pt idx="118">
                  <c:v>-0.3090169943749464</c:v>
                </c:pt>
                <c:pt idx="119">
                  <c:v>-0.15643446504022895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2-4B7B-90B8-36FF8CAF5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2138"/>
        <c:axId val="14134421"/>
      </c:scatterChart>
      <c:valAx>
        <c:axId val="221121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i="0">
                    <a:solidFill>
                      <a:sysClr val="windowText" lastClr="000000"/>
                    </a:solidFill>
                  </a:rPr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34421"/>
        <c:crosses val="autoZero"/>
        <c:crossBetween val="midCat"/>
      </c:valAx>
      <c:valAx>
        <c:axId val="14134421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213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ELU-ATO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82200948694065E-3"/>
          <c:y val="6.677378051543531E-2"/>
          <c:w val="0.9908580390099162"/>
          <c:h val="0.876248004435649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Tensões!$Y$31:$Y$51</c:f>
              <c:numCache>
                <c:formatCode>General</c:formatCode>
                <c:ptCount val="21"/>
                <c:pt idx="0">
                  <c:v>0</c:v>
                </c:pt>
                <c:pt idx="1">
                  <c:v>-5.9295940158766172</c:v>
                </c:pt>
                <c:pt idx="2">
                  <c:v>-6.4714549116810929</c:v>
                </c:pt>
                <c:pt idx="3">
                  <c:v>-4.5814044725920651</c:v>
                </c:pt>
                <c:pt idx="4">
                  <c:v>-2.943216032686049</c:v>
                </c:pt>
                <c:pt idx="5">
                  <c:v>-1.5569516757143411</c:v>
                </c:pt>
                <c:pt idx="6">
                  <c:v>-0.42266388919086922</c:v>
                </c:pt>
                <c:pt idx="7">
                  <c:v>0.45960441311922934</c:v>
                </c:pt>
                <c:pt idx="8">
                  <c:v>1.0898198728390827</c:v>
                </c:pt>
                <c:pt idx="9">
                  <c:v>1.4679586727239193</c:v>
                </c:pt>
                <c:pt idx="10">
                  <c:v>1.5940065264912155</c:v>
                </c:pt>
                <c:pt idx="11">
                  <c:v>1.4679586727239198</c:v>
                </c:pt>
                <c:pt idx="12">
                  <c:v>1.0898198728390807</c:v>
                </c:pt>
                <c:pt idx="13">
                  <c:v>0.45960441311922978</c:v>
                </c:pt>
                <c:pt idx="14">
                  <c:v>-0.42266388919086328</c:v>
                </c:pt>
                <c:pt idx="15">
                  <c:v>-1.5569516757143294</c:v>
                </c:pt>
                <c:pt idx="16">
                  <c:v>-2.943216032686041</c:v>
                </c:pt>
                <c:pt idx="17">
                  <c:v>-4.5814044725920509</c:v>
                </c:pt>
                <c:pt idx="18">
                  <c:v>-6.4714549116810778</c:v>
                </c:pt>
                <c:pt idx="19">
                  <c:v>-5.9295940158765967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AA-48EF-B299-9D1DAA50D8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Tensões!$Y$8:$Y$28</c:f>
              <c:numCache>
                <c:formatCode>General</c:formatCode>
                <c:ptCount val="21"/>
                <c:pt idx="0">
                  <c:v>0</c:v>
                </c:pt>
                <c:pt idx="1">
                  <c:v>9.2584347044896223E-2</c:v>
                </c:pt>
                <c:pt idx="2">
                  <c:v>-1.7587273175523155</c:v>
                </c:pt>
                <c:pt idx="3">
                  <c:v>-3.3922751146073131</c:v>
                </c:pt>
                <c:pt idx="4">
                  <c:v>-4.8080449615920342</c:v>
                </c:pt>
                <c:pt idx="5">
                  <c:v>-6.0060246658246905</c:v>
                </c:pt>
                <c:pt idx="6">
                  <c:v>-6.9862039192368766</c:v>
                </c:pt>
                <c:pt idx="7">
                  <c:v>-7.7485742939570175</c:v>
                </c:pt>
                <c:pt idx="8">
                  <c:v>-8.2931292387045392</c:v>
                </c:pt>
                <c:pt idx="9">
                  <c:v>-8.6198640759900673</c:v>
                </c:pt>
                <c:pt idx="10">
                  <c:v>-8.7287760001181862</c:v>
                </c:pt>
                <c:pt idx="11">
                  <c:v>-8.6198640759900673</c:v>
                </c:pt>
                <c:pt idx="12">
                  <c:v>-8.2931292387045392</c:v>
                </c:pt>
                <c:pt idx="13">
                  <c:v>-7.7485742939570184</c:v>
                </c:pt>
                <c:pt idx="14">
                  <c:v>-6.986203919236881</c:v>
                </c:pt>
                <c:pt idx="15">
                  <c:v>-6.0060246658246994</c:v>
                </c:pt>
                <c:pt idx="16">
                  <c:v>-4.8080449615920404</c:v>
                </c:pt>
                <c:pt idx="17">
                  <c:v>-3.3922751146073251</c:v>
                </c:pt>
                <c:pt idx="18">
                  <c:v>-1.758727317552329</c:v>
                </c:pt>
                <c:pt idx="19">
                  <c:v>9.2584347044881665E-2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AA-48EF-B299-9D1DAA50D88E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A-48EF-B299-9D1DAA50D8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A-48EF-B299-9D1DAA50D8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A-48EF-B299-9D1DAA50D8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AA-48EF-B299-9D1DAA50D88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AA-48EF-B299-9D1DAA50D88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AA-48EF-B299-9D1DAA50D88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AA-48EF-B299-9D1DAA50D88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AA-48EF-B299-9D1DAA50D88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AA-48EF-B299-9D1DAA50D88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AA-48EF-B299-9D1DAA50D88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AA-48EF-B299-9D1DAA50D88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AA-48EF-B299-9D1DAA50D88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AA-48EF-B299-9D1DAA50D88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AA-48EF-B299-9D1DAA50D88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AA-48EF-B299-9D1DAA50D88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AA-48EF-B299-9D1DAA50D88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AA-48EF-B299-9D1DAA50D88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7AA-48EF-B299-9D1DAA50D88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AA-48EF-B299-9D1DAA50D88E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Geometria!$M$754:$M$774</c:f>
              <c:numCache>
                <c:formatCode>0.0</c:formatCode>
                <c:ptCount val="21"/>
                <c:pt idx="0">
                  <c:v>3.8519549300342844</c:v>
                </c:pt>
                <c:pt idx="1">
                  <c:v>3.8519549300342844</c:v>
                </c:pt>
                <c:pt idx="2">
                  <c:v>3.8519549300342844</c:v>
                </c:pt>
                <c:pt idx="3">
                  <c:v>3.8519549300342844</c:v>
                </c:pt>
                <c:pt idx="4">
                  <c:v>3.8519549300342844</c:v>
                </c:pt>
                <c:pt idx="5">
                  <c:v>3.8519549300342844</c:v>
                </c:pt>
                <c:pt idx="6">
                  <c:v>3.8519549300342844</c:v>
                </c:pt>
                <c:pt idx="7">
                  <c:v>3.8519549300342844</c:v>
                </c:pt>
                <c:pt idx="8">
                  <c:v>3.8519549300342844</c:v>
                </c:pt>
                <c:pt idx="9">
                  <c:v>3.8519549300342844</c:v>
                </c:pt>
                <c:pt idx="10">
                  <c:v>3.8519549300342844</c:v>
                </c:pt>
                <c:pt idx="11">
                  <c:v>3.8519549300342844</c:v>
                </c:pt>
                <c:pt idx="12">
                  <c:v>3.8519549300342844</c:v>
                </c:pt>
                <c:pt idx="13">
                  <c:v>3.8519549300342844</c:v>
                </c:pt>
                <c:pt idx="14">
                  <c:v>3.8519549300342844</c:v>
                </c:pt>
                <c:pt idx="15">
                  <c:v>3.8519549300342844</c:v>
                </c:pt>
                <c:pt idx="16">
                  <c:v>3.8519549300342844</c:v>
                </c:pt>
                <c:pt idx="17">
                  <c:v>3.8519549300342844</c:v>
                </c:pt>
                <c:pt idx="18">
                  <c:v>3.8519549300342844</c:v>
                </c:pt>
                <c:pt idx="19">
                  <c:v>3.8519549300342844</c:v>
                </c:pt>
                <c:pt idx="20">
                  <c:v>3.8519549300342844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7AA-48EF-B299-9D1DAA50D88E}"/>
            </c:ext>
          </c:extLst>
        </c:ser>
        <c:ser>
          <c:idx val="3"/>
          <c:order val="3"/>
          <c:tx>
            <c:v>série 4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7AA-48EF-B299-9D1DAA50D8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7AA-48EF-B299-9D1DAA50D8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AA-48EF-B299-9D1DAA50D8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7AA-48EF-B299-9D1DAA50D88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AA-48EF-B299-9D1DAA50D88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AA-48EF-B299-9D1DAA50D88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AA-48EF-B299-9D1DAA50D88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7AA-48EF-B299-9D1DAA50D88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7AA-48EF-B299-9D1DAA50D88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7AA-48EF-B299-9D1DAA50D88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7AA-48EF-B299-9D1DAA50D88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7AA-48EF-B299-9D1DAA50D88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7AA-48EF-B299-9D1DAA50D88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7AA-48EF-B299-9D1DAA50D88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7AA-48EF-B299-9D1DAA50D88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7AA-48EF-B299-9D1DAA50D88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7AA-48EF-B299-9D1DAA50D88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7AA-48EF-B299-9D1DAA50D88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7AA-48EF-B299-9D1DAA50D88E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Geometria!$M$777:$M$797</c:f>
              <c:numCache>
                <c:formatCode>0.0</c:formatCode>
                <c:ptCount val="21"/>
                <c:pt idx="0">
                  <c:v>-24.5</c:v>
                </c:pt>
                <c:pt idx="1">
                  <c:v>-24.5</c:v>
                </c:pt>
                <c:pt idx="2">
                  <c:v>-24.5</c:v>
                </c:pt>
                <c:pt idx="3">
                  <c:v>-24.5</c:v>
                </c:pt>
                <c:pt idx="4">
                  <c:v>-24.5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7AA-48EF-B299-9D1DAA50D8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Frequência natural (Hz) — itens 2.1, 2.2 e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Frequência!$C$54</c:f>
              <c:strCache>
                <c:ptCount val="1"/>
                <c:pt idx="0">
                  <c:v>fn (Hz)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Frequência!$B$55:$B$57</c:f>
              <c:strCache>
                <c:ptCount val="3"/>
                <c:pt idx="0">
                  <c:v>2.1 Elemento isolado pré-fab.</c:v>
                </c:pt>
                <c:pt idx="1">
                  <c:v>2.2 Elemento isolado no pano</c:v>
                </c:pt>
                <c:pt idx="2">
                  <c:v>3. Com todas as cargas e vigas</c:v>
                </c:pt>
              </c:strCache>
            </c:strRef>
          </c:cat>
          <c:val>
            <c:numRef>
              <c:f>Frequência!$C$55:$C$57</c:f>
              <c:numCache>
                <c:formatCode>0.00</c:formatCode>
                <c:ptCount val="3"/>
                <c:pt idx="0">
                  <c:v>5.5702835035705291</c:v>
                </c:pt>
                <c:pt idx="1">
                  <c:v>9.570904097845478</c:v>
                </c:pt>
                <c:pt idx="2">
                  <c:v>6.2291787628220385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8-4849-AA25-1D1798083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15907"/>
        <c:axId val="81415661"/>
      </c:barChart>
      <c:catAx>
        <c:axId val="222159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81415661"/>
        <c:crosses val="autoZero"/>
        <c:auto val="1"/>
        <c:lblAlgn val="ctr"/>
        <c:lblOffset val="100"/>
        <c:noMultiLvlLbl val="0"/>
      </c:catAx>
      <c:valAx>
        <c:axId val="814156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22159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Calibri Light (Títulos)"/>
              </a:rPr>
              <a:t>fn x Vão — Elemento isolado pré-fabricado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89564288631293"/>
          <c:y val="0.260939203878505"/>
          <c:w val="0.70984172609137264"/>
          <c:h val="0.5354253922610489"/>
        </c:manualLayout>
      </c:layout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5619194965392308"/>
                  <c:y val="-0.14620553853847595"/>
                </c:manualLayout>
              </c:layout>
              <c:numFmt formatCode="General" sourceLinked="0"/>
            </c:trendlineLbl>
          </c:trendline>
          <c:xVal>
            <c:numRef>
              <c:f>Frequência!$C$65:$C$81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Frequência!$D$65:$D$81</c:f>
              <c:numCache>
                <c:formatCode>0.000</c:formatCode>
                <c:ptCount val="17"/>
                <c:pt idx="0">
                  <c:v>33.572237933107175</c:v>
                </c:pt>
                <c:pt idx="1">
                  <c:v>26.526212687887146</c:v>
                </c:pt>
                <c:pt idx="2">
                  <c:v>21.486232277188584</c:v>
                </c:pt>
                <c:pt idx="3">
                  <c:v>17.757216758007097</c:v>
                </c:pt>
                <c:pt idx="4">
                  <c:v>14.920994636936522</c:v>
                </c:pt>
                <c:pt idx="5">
                  <c:v>12.713746909579045</c:v>
                </c:pt>
                <c:pt idx="6">
                  <c:v>10.962363406728871</c:v>
                </c:pt>
                <c:pt idx="7">
                  <c:v>9.549436567639372</c:v>
                </c:pt>
                <c:pt idx="8">
                  <c:v>8.3930594832767937</c:v>
                </c:pt>
                <c:pt idx="9">
                  <c:v>7.4346824488541827</c:v>
                </c:pt>
                <c:pt idx="10">
                  <c:v>6.6315531719717864</c:v>
                </c:pt>
                <c:pt idx="11">
                  <c:v>5.951864896728142</c:v>
                </c:pt>
                <c:pt idx="12">
                  <c:v>5.3715580692971461</c:v>
                </c:pt>
                <c:pt idx="13">
                  <c:v>4.8721615141017205</c:v>
                </c:pt>
                <c:pt idx="14">
                  <c:v>4.4393041895017742</c:v>
                </c:pt>
                <c:pt idx="15">
                  <c:v>4.0616696176159905</c:v>
                </c:pt>
                <c:pt idx="16">
                  <c:v>3.7302486592341304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C-4C60-8F88-E10337315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2861"/>
        <c:axId val="35638615"/>
      </c:scatterChart>
      <c:valAx>
        <c:axId val="262428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35638615"/>
        <c:crosses val="autoZero"/>
        <c:crossBetween val="midCat"/>
      </c:valAx>
      <c:valAx>
        <c:axId val="35638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2624286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Calibri Light (Títulos)"/>
              </a:rPr>
              <a:t>fn x Vão — Elemento isolado no pano </a:t>
            </a:r>
          </a:p>
        </c:rich>
      </c:tx>
      <c:layout>
        <c:manualLayout>
          <c:xMode val="edge"/>
          <c:yMode val="edge"/>
          <c:x val="0.16121058859255072"/>
          <c:y val="1.764440276475287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7100074346332"/>
          <c:y val="0.26097183147511377"/>
          <c:w val="0.70984172609137264"/>
          <c:h val="0.53536730228196316"/>
        </c:manualLayout>
      </c:layout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4954266536822375"/>
                  <c:y val="-0.14609878086902156"/>
                </c:manualLayout>
              </c:layout>
              <c:numFmt formatCode="General" sourceLinked="0"/>
            </c:trendlineLbl>
          </c:trendline>
          <c:xVal>
            <c:numRef>
              <c:f>Frequência!$C$86:$C$102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Frequência!$D$86:$D$102</c:f>
              <c:numCache>
                <c:formatCode>0.000</c:formatCode>
                <c:ptCount val="17"/>
                <c:pt idx="0">
                  <c:v>57.684078270317144</c:v>
                </c:pt>
                <c:pt idx="1">
                  <c:v>45.577543324695029</c:v>
                </c:pt>
                <c:pt idx="2">
                  <c:v>36.917810093002977</c:v>
                </c:pt>
                <c:pt idx="3">
                  <c:v>30.510586853721467</c:v>
                </c:pt>
                <c:pt idx="4">
                  <c:v>25.637368120140955</c:v>
                </c:pt>
                <c:pt idx="5">
                  <c:v>21.844858043197029</c:v>
                </c:pt>
                <c:pt idx="6">
                  <c:v>18.835617394389274</c:v>
                </c:pt>
                <c:pt idx="7">
                  <c:v>16.407915596890209</c:v>
                </c:pt>
                <c:pt idx="8">
                  <c:v>14.421019567579286</c:v>
                </c:pt>
                <c:pt idx="9">
                  <c:v>12.774328751904143</c:v>
                </c:pt>
                <c:pt idx="10">
                  <c:v>11.394385831173757</c:v>
                </c:pt>
                <c:pt idx="11">
                  <c:v>10.226540191967583</c:v>
                </c:pt>
                <c:pt idx="12">
                  <c:v>9.2294525232507443</c:v>
                </c:pt>
                <c:pt idx="13">
                  <c:v>8.371385508617454</c:v>
                </c:pt>
                <c:pt idx="14">
                  <c:v>7.6276467134303667</c:v>
                </c:pt>
                <c:pt idx="15">
                  <c:v>6.978792078072396</c:v>
                </c:pt>
                <c:pt idx="16">
                  <c:v>6.4093420300352388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E5-460C-8443-49737A2A2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46572"/>
        <c:axId val="57757206"/>
      </c:scatterChart>
      <c:valAx>
        <c:axId val="6954657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7757206"/>
        <c:crosses val="autoZero"/>
        <c:crossBetween val="midCat"/>
      </c:valAx>
      <c:valAx>
        <c:axId val="577572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95465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Calibri Light (Títulos)"/>
              </a:rPr>
              <a:t>fn x Vão — Painel com todas as cargas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fn calculado</c:v>
          </c:tx>
          <c:spPr>
            <a:ln w="6336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0.14954266536822375"/>
                  <c:y val="-0.14620553853847595"/>
                </c:manualLayout>
              </c:layout>
              <c:numFmt formatCode="General" sourceLinked="0"/>
            </c:trendlineLbl>
          </c:trendline>
          <c:xVal>
            <c:numRef>
              <c:f>Frequência!$C$107:$C$123</c:f>
              <c:numCache>
                <c:formatCode>0.00</c:formatCode>
                <c:ptCount val="17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</c:numCache>
            </c:numRef>
          </c:xVal>
          <c:yVal>
            <c:numRef>
              <c:f>Frequência!$D$107:$D$123</c:f>
              <c:numCache>
                <c:formatCode>0.000</c:formatCode>
                <c:ptCount val="17"/>
                <c:pt idx="0">
                  <c:v>41.538900555067016</c:v>
                </c:pt>
                <c:pt idx="1">
                  <c:v>32.820859697830727</c:v>
                </c:pt>
                <c:pt idx="2">
                  <c:v>26.584896355242893</c:v>
                </c:pt>
                <c:pt idx="3">
                  <c:v>21.970988723341236</c:v>
                </c:pt>
                <c:pt idx="4">
                  <c:v>18.461733580029787</c:v>
                </c:pt>
                <c:pt idx="5">
                  <c:v>15.73070790251059</c:v>
                </c:pt>
                <c:pt idx="6">
                  <c:v>13.563722630225964</c:v>
                </c:pt>
                <c:pt idx="7">
                  <c:v>11.815509491219064</c:v>
                </c:pt>
                <c:pt idx="8">
                  <c:v>10.384725138766754</c:v>
                </c:pt>
                <c:pt idx="9">
                  <c:v>9.1989260744785089</c:v>
                </c:pt>
                <c:pt idx="10">
                  <c:v>8.2052149244576817</c:v>
                </c:pt>
                <c:pt idx="11">
                  <c:v>7.3642372175188058</c:v>
                </c:pt>
                <c:pt idx="12">
                  <c:v>6.6462240888107234</c:v>
                </c:pt>
                <c:pt idx="13">
                  <c:v>6.0283211689893177</c:v>
                </c:pt>
                <c:pt idx="14">
                  <c:v>5.492747180835309</c:v>
                </c:pt>
                <c:pt idx="15">
                  <c:v>5.0255002561895825</c:v>
                </c:pt>
                <c:pt idx="16">
                  <c:v>4.6154333950074466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C5-4127-9C0A-C70CBD1E2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7761"/>
        <c:axId val="11311825"/>
      </c:scatterChart>
      <c:valAx>
        <c:axId val="681377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Vão 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1311825"/>
        <c:crosses val="autoZero"/>
        <c:crossBetween val="midCat"/>
      </c:valAx>
      <c:valAx>
        <c:axId val="11311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fn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81377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Elemento isolado pré-fabricado</a:t>
            </a:r>
            <a:endParaRPr lang="pt-BR">
              <a:solidFill>
                <a:sysClr val="windowText" lastClr="000000"/>
              </a:solidFill>
              <a:latin typeface="Calibri Light (Títulos)"/>
            </a:endParaRPr>
          </a:p>
        </c:rich>
      </c:tx>
      <c:layout>
        <c:manualLayout>
          <c:xMode val="edge"/>
          <c:yMode val="edge"/>
          <c:x val="0.21912205468713977"/>
          <c:y val="4.8509976317964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94591229768986"/>
          <c:y val="0.30888736101561898"/>
          <c:w val="0.74291949093927234"/>
          <c:h val="0.60200845886201226"/>
        </c:manualLayout>
      </c:layout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Frequência!$C$131:$C$251</c:f>
              <c:numCache>
                <c:formatCode>0.0000</c:formatCode>
                <c:ptCount val="121"/>
                <c:pt idx="0">
                  <c:v>0</c:v>
                </c:pt>
                <c:pt idx="1">
                  <c:v>4.4881019043240978E-3</c:v>
                </c:pt>
                <c:pt idx="2">
                  <c:v>8.9762038086481956E-3</c:v>
                </c:pt>
                <c:pt idx="3">
                  <c:v>1.3464305712972293E-2</c:v>
                </c:pt>
                <c:pt idx="4">
                  <c:v>1.7952407617296391E-2</c:v>
                </c:pt>
                <c:pt idx="5">
                  <c:v>2.2440509521620491E-2</c:v>
                </c:pt>
                <c:pt idx="6">
                  <c:v>2.6928611425944587E-2</c:v>
                </c:pt>
                <c:pt idx="7">
                  <c:v>3.1416713330268686E-2</c:v>
                </c:pt>
                <c:pt idx="8">
                  <c:v>3.5904815234592782E-2</c:v>
                </c:pt>
                <c:pt idx="9">
                  <c:v>4.0392917138916885E-2</c:v>
                </c:pt>
                <c:pt idx="10">
                  <c:v>4.4881019043240981E-2</c:v>
                </c:pt>
                <c:pt idx="11">
                  <c:v>4.9369120947565084E-2</c:v>
                </c:pt>
                <c:pt idx="12">
                  <c:v>5.3857222851889174E-2</c:v>
                </c:pt>
                <c:pt idx="13">
                  <c:v>5.8345324756213277E-2</c:v>
                </c:pt>
                <c:pt idx="14">
                  <c:v>6.2833426660537373E-2</c:v>
                </c:pt>
                <c:pt idx="15">
                  <c:v>6.7321528564861469E-2</c:v>
                </c:pt>
                <c:pt idx="16">
                  <c:v>7.1809630469185565E-2</c:v>
                </c:pt>
                <c:pt idx="17">
                  <c:v>7.6297732373509661E-2</c:v>
                </c:pt>
                <c:pt idx="18">
                  <c:v>8.0785834277833771E-2</c:v>
                </c:pt>
                <c:pt idx="19">
                  <c:v>8.5273936182157853E-2</c:v>
                </c:pt>
                <c:pt idx="20">
                  <c:v>8.9762038086481963E-2</c:v>
                </c:pt>
                <c:pt idx="21">
                  <c:v>9.4250139990806059E-2</c:v>
                </c:pt>
                <c:pt idx="22">
                  <c:v>9.8738241895130169E-2</c:v>
                </c:pt>
                <c:pt idx="23">
                  <c:v>0.10322634379945425</c:v>
                </c:pt>
                <c:pt idx="24">
                  <c:v>0.10771444570377835</c:v>
                </c:pt>
                <c:pt idx="25">
                  <c:v>0.11220254760810244</c:v>
                </c:pt>
                <c:pt idx="26">
                  <c:v>0.11669064951242655</c:v>
                </c:pt>
                <c:pt idx="27">
                  <c:v>0.12117875141675065</c:v>
                </c:pt>
                <c:pt idx="28">
                  <c:v>0.12566685332107475</c:v>
                </c:pt>
                <c:pt idx="29">
                  <c:v>0.13015495522539883</c:v>
                </c:pt>
                <c:pt idx="30">
                  <c:v>0.13464305712972294</c:v>
                </c:pt>
                <c:pt idx="31">
                  <c:v>0.13913115903404705</c:v>
                </c:pt>
                <c:pt idx="32">
                  <c:v>0.14361926093837113</c:v>
                </c:pt>
                <c:pt idx="33">
                  <c:v>0.14810736284269521</c:v>
                </c:pt>
                <c:pt idx="34">
                  <c:v>0.15259546474701932</c:v>
                </c:pt>
                <c:pt idx="35">
                  <c:v>0.15708356665134343</c:v>
                </c:pt>
                <c:pt idx="36">
                  <c:v>0.16157166855566754</c:v>
                </c:pt>
                <c:pt idx="37">
                  <c:v>0.16605977045999162</c:v>
                </c:pt>
                <c:pt idx="38">
                  <c:v>0.17054787236431571</c:v>
                </c:pt>
                <c:pt idx="39">
                  <c:v>0.17503597426863982</c:v>
                </c:pt>
                <c:pt idx="40">
                  <c:v>0.17952407617296393</c:v>
                </c:pt>
                <c:pt idx="41">
                  <c:v>0.18401217807728801</c:v>
                </c:pt>
                <c:pt idx="42">
                  <c:v>0.18850027998161212</c:v>
                </c:pt>
                <c:pt idx="43">
                  <c:v>0.1929883818859362</c:v>
                </c:pt>
                <c:pt idx="44">
                  <c:v>0.19747648379026034</c:v>
                </c:pt>
                <c:pt idx="45">
                  <c:v>0.20196458569458442</c:v>
                </c:pt>
                <c:pt idx="46">
                  <c:v>0.2064526875989085</c:v>
                </c:pt>
                <c:pt idx="47">
                  <c:v>0.21094078950323261</c:v>
                </c:pt>
                <c:pt idx="48">
                  <c:v>0.21542889140755669</c:v>
                </c:pt>
                <c:pt idx="49">
                  <c:v>0.2199169933118808</c:v>
                </c:pt>
                <c:pt idx="50">
                  <c:v>0.22440509521620489</c:v>
                </c:pt>
                <c:pt idx="51">
                  <c:v>0.22889319712052897</c:v>
                </c:pt>
                <c:pt idx="52">
                  <c:v>0.23338129902485311</c:v>
                </c:pt>
                <c:pt idx="53">
                  <c:v>0.23786940092917719</c:v>
                </c:pt>
                <c:pt idx="54">
                  <c:v>0.2423575028335013</c:v>
                </c:pt>
                <c:pt idx="55">
                  <c:v>0.24684560473782538</c:v>
                </c:pt>
                <c:pt idx="56">
                  <c:v>0.25133370664214949</c:v>
                </c:pt>
                <c:pt idx="57">
                  <c:v>0.25582180854647357</c:v>
                </c:pt>
                <c:pt idx="58">
                  <c:v>0.26030991045079765</c:v>
                </c:pt>
                <c:pt idx="59">
                  <c:v>0.26479801235512179</c:v>
                </c:pt>
                <c:pt idx="60">
                  <c:v>0.26928611425944587</c:v>
                </c:pt>
                <c:pt idx="61">
                  <c:v>0.27377421616376996</c:v>
                </c:pt>
                <c:pt idx="62">
                  <c:v>0.27826231806809409</c:v>
                </c:pt>
                <c:pt idx="63">
                  <c:v>0.28275041997241818</c:v>
                </c:pt>
                <c:pt idx="64">
                  <c:v>0.28723852187674226</c:v>
                </c:pt>
                <c:pt idx="65">
                  <c:v>0.29172662378106634</c:v>
                </c:pt>
                <c:pt idx="66">
                  <c:v>0.29621472568539042</c:v>
                </c:pt>
                <c:pt idx="67">
                  <c:v>0.30070282758971456</c:v>
                </c:pt>
                <c:pt idx="68">
                  <c:v>0.30519092949403864</c:v>
                </c:pt>
                <c:pt idx="69">
                  <c:v>0.30967903139836278</c:v>
                </c:pt>
                <c:pt idx="70">
                  <c:v>0.31416713330268686</c:v>
                </c:pt>
                <c:pt idx="71">
                  <c:v>0.31865523520701095</c:v>
                </c:pt>
                <c:pt idx="72">
                  <c:v>0.32314333711133508</c:v>
                </c:pt>
                <c:pt idx="73">
                  <c:v>0.32763143901565916</c:v>
                </c:pt>
                <c:pt idx="74">
                  <c:v>0.33211954091998325</c:v>
                </c:pt>
                <c:pt idx="75">
                  <c:v>0.33660764282430733</c:v>
                </c:pt>
                <c:pt idx="76">
                  <c:v>0.34109574472863141</c:v>
                </c:pt>
                <c:pt idx="77">
                  <c:v>0.34558384663295555</c:v>
                </c:pt>
                <c:pt idx="78">
                  <c:v>0.35007194853727963</c:v>
                </c:pt>
                <c:pt idx="79">
                  <c:v>0.35456005044160377</c:v>
                </c:pt>
                <c:pt idx="80">
                  <c:v>0.35904815234592785</c:v>
                </c:pt>
                <c:pt idx="81">
                  <c:v>0.36353625425025193</c:v>
                </c:pt>
                <c:pt idx="82">
                  <c:v>0.36802435615457602</c:v>
                </c:pt>
                <c:pt idx="83">
                  <c:v>0.37251245805890015</c:v>
                </c:pt>
                <c:pt idx="84">
                  <c:v>0.37700055996322424</c:v>
                </c:pt>
                <c:pt idx="85">
                  <c:v>0.38148866186754832</c:v>
                </c:pt>
                <c:pt idx="86">
                  <c:v>0.3859767637718724</c:v>
                </c:pt>
                <c:pt idx="87">
                  <c:v>0.39046486567619648</c:v>
                </c:pt>
                <c:pt idx="88">
                  <c:v>0.39495296758052068</c:v>
                </c:pt>
                <c:pt idx="89">
                  <c:v>0.39944106948484476</c:v>
                </c:pt>
                <c:pt idx="90">
                  <c:v>0.40392917138916884</c:v>
                </c:pt>
                <c:pt idx="91">
                  <c:v>0.40841727329349292</c:v>
                </c:pt>
                <c:pt idx="92">
                  <c:v>0.412905375197817</c:v>
                </c:pt>
                <c:pt idx="93">
                  <c:v>0.41739347710214114</c:v>
                </c:pt>
                <c:pt idx="94">
                  <c:v>0.42188157900646522</c:v>
                </c:pt>
                <c:pt idx="95">
                  <c:v>0.42636968091078931</c:v>
                </c:pt>
                <c:pt idx="96">
                  <c:v>0.43085778281511339</c:v>
                </c:pt>
                <c:pt idx="97">
                  <c:v>0.43534588471943747</c:v>
                </c:pt>
                <c:pt idx="98">
                  <c:v>0.43983398662376161</c:v>
                </c:pt>
                <c:pt idx="99">
                  <c:v>0.44432208852808569</c:v>
                </c:pt>
                <c:pt idx="100">
                  <c:v>0.44881019043240977</c:v>
                </c:pt>
                <c:pt idx="101">
                  <c:v>0.45329829233673385</c:v>
                </c:pt>
                <c:pt idx="102">
                  <c:v>0.45778639424105794</c:v>
                </c:pt>
                <c:pt idx="103">
                  <c:v>0.46227449614538213</c:v>
                </c:pt>
                <c:pt idx="104">
                  <c:v>0.46676259804970621</c:v>
                </c:pt>
                <c:pt idx="105">
                  <c:v>0.47125069995403029</c:v>
                </c:pt>
                <c:pt idx="106">
                  <c:v>0.47573880185835438</c:v>
                </c:pt>
                <c:pt idx="107">
                  <c:v>0.48022690376267846</c:v>
                </c:pt>
                <c:pt idx="108">
                  <c:v>0.4847150056670026</c:v>
                </c:pt>
                <c:pt idx="109">
                  <c:v>0.48920310757132668</c:v>
                </c:pt>
                <c:pt idx="110">
                  <c:v>0.49369120947565076</c:v>
                </c:pt>
                <c:pt idx="111">
                  <c:v>0.49817931137997484</c:v>
                </c:pt>
                <c:pt idx="112">
                  <c:v>0.50266741328429898</c:v>
                </c:pt>
                <c:pt idx="113">
                  <c:v>0.50715551518862312</c:v>
                </c:pt>
                <c:pt idx="114">
                  <c:v>0.51164361709294714</c:v>
                </c:pt>
                <c:pt idx="115">
                  <c:v>0.51613171899727128</c:v>
                </c:pt>
                <c:pt idx="116">
                  <c:v>0.52061982090159531</c:v>
                </c:pt>
                <c:pt idx="117">
                  <c:v>0.52510792280591945</c:v>
                </c:pt>
                <c:pt idx="118">
                  <c:v>0.52959602471024358</c:v>
                </c:pt>
                <c:pt idx="119">
                  <c:v>0.53408412661456772</c:v>
                </c:pt>
                <c:pt idx="120">
                  <c:v>0.53857222851889175</c:v>
                </c:pt>
              </c:numCache>
            </c:numRef>
          </c:xVal>
          <c:yVal>
            <c:numRef>
              <c:f>Frequência!$D$131:$D$251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0.15643446504023084</c:v>
                </c:pt>
                <c:pt idx="2">
                  <c:v>0.30901699437494734</c:v>
                </c:pt>
                <c:pt idx="3">
                  <c:v>0.45399049973954675</c:v>
                </c:pt>
                <c:pt idx="4">
                  <c:v>0.58778525229247303</c:v>
                </c:pt>
                <c:pt idx="5">
                  <c:v>0.70710678118654746</c:v>
                </c:pt>
                <c:pt idx="6">
                  <c:v>0.80901699437494734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0.98768834059513766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0.58778525229247358</c:v>
                </c:pt>
                <c:pt idx="17">
                  <c:v>0.4539904997395473</c:v>
                </c:pt>
                <c:pt idx="18">
                  <c:v>0.30901699437494751</c:v>
                </c:pt>
                <c:pt idx="19">
                  <c:v>0.15643446504023142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-0.30901699437494773</c:v>
                </c:pt>
                <c:pt idx="23">
                  <c:v>-0.45399049973954625</c:v>
                </c:pt>
                <c:pt idx="24">
                  <c:v>-0.58778525229247269</c:v>
                </c:pt>
                <c:pt idx="25">
                  <c:v>-0.70710678118654713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-0.95105651629515353</c:v>
                </c:pt>
                <c:pt idx="29">
                  <c:v>-0.98768834059513755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-0.95105651629515386</c:v>
                </c:pt>
                <c:pt idx="33">
                  <c:v>-0.89100652418836834</c:v>
                </c:pt>
                <c:pt idx="34">
                  <c:v>-0.80901699437494812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-0.30901699437494851</c:v>
                </c:pt>
                <c:pt idx="39">
                  <c:v>-0.15643446504023198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0.30901699437494717</c:v>
                </c:pt>
                <c:pt idx="43">
                  <c:v>0.45399049973954575</c:v>
                </c:pt>
                <c:pt idx="44">
                  <c:v>0.58778525229247358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0.89100652418836768</c:v>
                </c:pt>
                <c:pt idx="48">
                  <c:v>0.9510565162951532</c:v>
                </c:pt>
                <c:pt idx="49">
                  <c:v>0.98768834059513766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0.80901699437494767</c:v>
                </c:pt>
                <c:pt idx="55">
                  <c:v>0.70710678118654835</c:v>
                </c:pt>
                <c:pt idx="56">
                  <c:v>0.58778525229247336</c:v>
                </c:pt>
                <c:pt idx="57">
                  <c:v>0.45399049973954791</c:v>
                </c:pt>
                <c:pt idx="58">
                  <c:v>0.30901699437494945</c:v>
                </c:pt>
                <c:pt idx="59">
                  <c:v>0.15643446504023209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-0.30901699437494706</c:v>
                </c:pt>
                <c:pt idx="63">
                  <c:v>-0.45399049973954564</c:v>
                </c:pt>
                <c:pt idx="64">
                  <c:v>-0.58778525229247136</c:v>
                </c:pt>
                <c:pt idx="65">
                  <c:v>-0.70710678118654657</c:v>
                </c:pt>
                <c:pt idx="66">
                  <c:v>-0.80901699437494612</c:v>
                </c:pt>
                <c:pt idx="67">
                  <c:v>-0.89100652418836723</c:v>
                </c:pt>
                <c:pt idx="68">
                  <c:v>-0.95105651629515287</c:v>
                </c:pt>
                <c:pt idx="69">
                  <c:v>-0.98768834059513777</c:v>
                </c:pt>
                <c:pt idx="70">
                  <c:v>-1</c:v>
                </c:pt>
                <c:pt idx="71">
                  <c:v>-0.98768834059513788</c:v>
                </c:pt>
                <c:pt idx="72">
                  <c:v>-0.95105651629515375</c:v>
                </c:pt>
                <c:pt idx="73">
                  <c:v>-0.89100652418836845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-0.58778525229247491</c:v>
                </c:pt>
                <c:pt idx="77">
                  <c:v>-0.45399049973954803</c:v>
                </c:pt>
                <c:pt idx="78">
                  <c:v>-0.30901699437494956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0.45399049973954553</c:v>
                </c:pt>
                <c:pt idx="84">
                  <c:v>0.58778525229247269</c:v>
                </c:pt>
                <c:pt idx="85">
                  <c:v>0.70710678118654657</c:v>
                </c:pt>
                <c:pt idx="86">
                  <c:v>0.80901699437494612</c:v>
                </c:pt>
                <c:pt idx="87">
                  <c:v>0.89100652418836646</c:v>
                </c:pt>
                <c:pt idx="88">
                  <c:v>0.95105651629515398</c:v>
                </c:pt>
                <c:pt idx="89">
                  <c:v>0.98768834059513777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0.89100652418836768</c:v>
                </c:pt>
                <c:pt idx="94">
                  <c:v>0.80901699437494778</c:v>
                </c:pt>
                <c:pt idx="95">
                  <c:v>0.70710678118654857</c:v>
                </c:pt>
                <c:pt idx="96">
                  <c:v>0.58778525229247502</c:v>
                </c:pt>
                <c:pt idx="97">
                  <c:v>0.45399049973954969</c:v>
                </c:pt>
                <c:pt idx="98">
                  <c:v>0.30901699437494801</c:v>
                </c:pt>
                <c:pt idx="99">
                  <c:v>0.15643446504023234</c:v>
                </c:pt>
                <c:pt idx="100">
                  <c:v>2.3889310668545605E-15</c:v>
                </c:pt>
                <c:pt idx="101">
                  <c:v>-0.15643446504022762</c:v>
                </c:pt>
                <c:pt idx="102">
                  <c:v>-0.30901699437494512</c:v>
                </c:pt>
                <c:pt idx="103">
                  <c:v>-0.45399049973954542</c:v>
                </c:pt>
                <c:pt idx="104">
                  <c:v>-0.58778525229247258</c:v>
                </c:pt>
                <c:pt idx="105">
                  <c:v>-0.70710678118654768</c:v>
                </c:pt>
                <c:pt idx="106">
                  <c:v>-0.80901699437494601</c:v>
                </c:pt>
                <c:pt idx="107">
                  <c:v>-0.89100652418836712</c:v>
                </c:pt>
                <c:pt idx="108">
                  <c:v>-0.95105651629515342</c:v>
                </c:pt>
                <c:pt idx="109">
                  <c:v>-0.98768834059513722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-0.95105651629515375</c:v>
                </c:pt>
                <c:pt idx="113">
                  <c:v>-0.89100652418836779</c:v>
                </c:pt>
                <c:pt idx="114">
                  <c:v>-0.80901699437494889</c:v>
                </c:pt>
                <c:pt idx="115">
                  <c:v>-0.70710678118654868</c:v>
                </c:pt>
                <c:pt idx="116">
                  <c:v>-0.58778525229247658</c:v>
                </c:pt>
                <c:pt idx="117">
                  <c:v>-0.4539904997395498</c:v>
                </c:pt>
                <c:pt idx="118">
                  <c:v>-0.30901699437494978</c:v>
                </c:pt>
                <c:pt idx="119">
                  <c:v>-0.15643446504022895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2-4BA5-941E-7964BCDC2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8061"/>
        <c:axId val="95655815"/>
      </c:scatterChart>
      <c:valAx>
        <c:axId val="694080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55815"/>
        <c:crosses val="autoZero"/>
        <c:crossBetween val="midCat"/>
      </c:valAx>
      <c:valAx>
        <c:axId val="95655815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080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Elemento isolado no pano</a:t>
            </a:r>
            <a:endParaRPr lang="pt-BR" sz="1600" b="1" strike="noStrike" spc="-1">
              <a:solidFill>
                <a:sysClr val="windowText" lastClr="000000"/>
              </a:solidFill>
              <a:latin typeface="Calibri Light (Títulos)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16184811177202"/>
          <c:y val="0.2956943315760594"/>
          <c:w val="0.74291949093927234"/>
          <c:h val="0.60195870058969392"/>
        </c:manualLayout>
      </c:layout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Frequência!$C$256:$C$376</c:f>
              <c:numCache>
                <c:formatCode>0.0000</c:formatCode>
                <c:ptCount val="121"/>
                <c:pt idx="0">
                  <c:v>0</c:v>
                </c:pt>
                <c:pt idx="1">
                  <c:v>2.6120834295714854E-3</c:v>
                </c:pt>
                <c:pt idx="2">
                  <c:v>5.2241668591429709E-3</c:v>
                </c:pt>
                <c:pt idx="3">
                  <c:v>7.8362502887144563E-3</c:v>
                </c:pt>
                <c:pt idx="4">
                  <c:v>1.0448333718285942E-2</c:v>
                </c:pt>
                <c:pt idx="5">
                  <c:v>1.3060417147857427E-2</c:v>
                </c:pt>
                <c:pt idx="6">
                  <c:v>1.5672500577428913E-2</c:v>
                </c:pt>
                <c:pt idx="7">
                  <c:v>1.8284584007000396E-2</c:v>
                </c:pt>
                <c:pt idx="8">
                  <c:v>2.0896667436571884E-2</c:v>
                </c:pt>
                <c:pt idx="9">
                  <c:v>2.3508750866143371E-2</c:v>
                </c:pt>
                <c:pt idx="10">
                  <c:v>2.6120834295714854E-2</c:v>
                </c:pt>
                <c:pt idx="11">
                  <c:v>2.8732917725286342E-2</c:v>
                </c:pt>
                <c:pt idx="12">
                  <c:v>3.1345001154857825E-2</c:v>
                </c:pt>
                <c:pt idx="13">
                  <c:v>3.3957084584429309E-2</c:v>
                </c:pt>
                <c:pt idx="14">
                  <c:v>3.6569168014000793E-2</c:v>
                </c:pt>
                <c:pt idx="15">
                  <c:v>3.9181251443572283E-2</c:v>
                </c:pt>
                <c:pt idx="16">
                  <c:v>4.1793334873143767E-2</c:v>
                </c:pt>
                <c:pt idx="17">
                  <c:v>4.4405418302715251E-2</c:v>
                </c:pt>
                <c:pt idx="18">
                  <c:v>4.7017501732286741E-2</c:v>
                </c:pt>
                <c:pt idx="19">
                  <c:v>4.9629585161858218E-2</c:v>
                </c:pt>
                <c:pt idx="20">
                  <c:v>5.2241668591429709E-2</c:v>
                </c:pt>
                <c:pt idx="21">
                  <c:v>5.4853752021001199E-2</c:v>
                </c:pt>
                <c:pt idx="22">
                  <c:v>5.7465835450572683E-2</c:v>
                </c:pt>
                <c:pt idx="23">
                  <c:v>6.007791888014416E-2</c:v>
                </c:pt>
                <c:pt idx="24">
                  <c:v>6.2690002309715651E-2</c:v>
                </c:pt>
                <c:pt idx="25">
                  <c:v>6.5302085739287141E-2</c:v>
                </c:pt>
                <c:pt idx="26">
                  <c:v>6.7914169168858618E-2</c:v>
                </c:pt>
                <c:pt idx="27">
                  <c:v>7.0526252598430109E-2</c:v>
                </c:pt>
                <c:pt idx="28">
                  <c:v>7.3138336028001585E-2</c:v>
                </c:pt>
                <c:pt idx="29">
                  <c:v>7.5750419457573076E-2</c:v>
                </c:pt>
                <c:pt idx="30">
                  <c:v>7.8362502887144567E-2</c:v>
                </c:pt>
                <c:pt idx="31">
                  <c:v>8.0974586316716057E-2</c:v>
                </c:pt>
                <c:pt idx="32">
                  <c:v>8.3586669746287534E-2</c:v>
                </c:pt>
                <c:pt idx="33">
                  <c:v>8.6198753175859011E-2</c:v>
                </c:pt>
                <c:pt idx="34">
                  <c:v>8.8810836605430502E-2</c:v>
                </c:pt>
                <c:pt idx="35">
                  <c:v>9.1422920035001992E-2</c:v>
                </c:pt>
                <c:pt idx="36">
                  <c:v>9.4035003464573483E-2</c:v>
                </c:pt>
                <c:pt idx="37">
                  <c:v>9.664708689414496E-2</c:v>
                </c:pt>
                <c:pt idx="38">
                  <c:v>9.9259170323716436E-2</c:v>
                </c:pt>
                <c:pt idx="39">
                  <c:v>0.10187125375328793</c:v>
                </c:pt>
                <c:pt idx="40">
                  <c:v>0.10448333718285942</c:v>
                </c:pt>
                <c:pt idx="41">
                  <c:v>0.10709542061243089</c:v>
                </c:pt>
                <c:pt idx="42">
                  <c:v>0.1097075040420024</c:v>
                </c:pt>
                <c:pt idx="43">
                  <c:v>0.11231958747157388</c:v>
                </c:pt>
                <c:pt idx="44">
                  <c:v>0.11493167090114537</c:v>
                </c:pt>
                <c:pt idx="45">
                  <c:v>0.11754375433071684</c:v>
                </c:pt>
                <c:pt idx="46">
                  <c:v>0.12015583776028832</c:v>
                </c:pt>
                <c:pt idx="47">
                  <c:v>0.12276792118985982</c:v>
                </c:pt>
                <c:pt idx="48">
                  <c:v>0.1253800046194313</c:v>
                </c:pt>
                <c:pt idx="49">
                  <c:v>0.12799208804900281</c:v>
                </c:pt>
                <c:pt idx="50">
                  <c:v>0.13060417147857428</c:v>
                </c:pt>
                <c:pt idx="51">
                  <c:v>0.13321625490814576</c:v>
                </c:pt>
                <c:pt idx="52">
                  <c:v>0.13582833833771724</c:v>
                </c:pt>
                <c:pt idx="53">
                  <c:v>0.13844042176728871</c:v>
                </c:pt>
                <c:pt idx="54">
                  <c:v>0.14105250519686022</c:v>
                </c:pt>
                <c:pt idx="55">
                  <c:v>0.14366458862643169</c:v>
                </c:pt>
                <c:pt idx="56">
                  <c:v>0.14627667205600317</c:v>
                </c:pt>
                <c:pt idx="57">
                  <c:v>0.14888875548557468</c:v>
                </c:pt>
                <c:pt idx="58">
                  <c:v>0.15150083891514615</c:v>
                </c:pt>
                <c:pt idx="59">
                  <c:v>0.15411292234471766</c:v>
                </c:pt>
                <c:pt idx="60">
                  <c:v>0.15672500577428913</c:v>
                </c:pt>
                <c:pt idx="61">
                  <c:v>0.15933708920386061</c:v>
                </c:pt>
                <c:pt idx="62">
                  <c:v>0.16194917263343211</c:v>
                </c:pt>
                <c:pt idx="63">
                  <c:v>0.16456125606300359</c:v>
                </c:pt>
                <c:pt idx="64">
                  <c:v>0.16717333949257507</c:v>
                </c:pt>
                <c:pt idx="65">
                  <c:v>0.16978542292214654</c:v>
                </c:pt>
                <c:pt idx="66">
                  <c:v>0.17239750635171802</c:v>
                </c:pt>
                <c:pt idx="67">
                  <c:v>0.17500958978128953</c:v>
                </c:pt>
                <c:pt idx="68">
                  <c:v>0.177621673210861</c:v>
                </c:pt>
                <c:pt idx="69">
                  <c:v>0.18023375664043251</c:v>
                </c:pt>
                <c:pt idx="70">
                  <c:v>0.18284584007000398</c:v>
                </c:pt>
                <c:pt idx="71">
                  <c:v>0.18545792349957546</c:v>
                </c:pt>
                <c:pt idx="72">
                  <c:v>0.18807000692914697</c:v>
                </c:pt>
                <c:pt idx="73">
                  <c:v>0.19068209035871844</c:v>
                </c:pt>
                <c:pt idx="74">
                  <c:v>0.19329417378828992</c:v>
                </c:pt>
                <c:pt idx="75">
                  <c:v>0.1959062572178614</c:v>
                </c:pt>
                <c:pt idx="76">
                  <c:v>0.19851834064743287</c:v>
                </c:pt>
                <c:pt idx="77">
                  <c:v>0.20113042407700438</c:v>
                </c:pt>
                <c:pt idx="78">
                  <c:v>0.20374250750657585</c:v>
                </c:pt>
                <c:pt idx="79">
                  <c:v>0.20635459093614736</c:v>
                </c:pt>
                <c:pt idx="80">
                  <c:v>0.20896667436571884</c:v>
                </c:pt>
                <c:pt idx="81">
                  <c:v>0.21157875779529031</c:v>
                </c:pt>
                <c:pt idx="82">
                  <c:v>0.21419084122486179</c:v>
                </c:pt>
                <c:pt idx="83">
                  <c:v>0.21680292465443332</c:v>
                </c:pt>
                <c:pt idx="84">
                  <c:v>0.2194150080840048</c:v>
                </c:pt>
                <c:pt idx="85">
                  <c:v>0.22202709151357627</c:v>
                </c:pt>
                <c:pt idx="86">
                  <c:v>0.22463917494314775</c:v>
                </c:pt>
                <c:pt idx="87">
                  <c:v>0.2272512583727192</c:v>
                </c:pt>
                <c:pt idx="88">
                  <c:v>0.22986334180229073</c:v>
                </c:pt>
                <c:pt idx="89">
                  <c:v>0.23247542523186221</c:v>
                </c:pt>
                <c:pt idx="90">
                  <c:v>0.23508750866143369</c:v>
                </c:pt>
                <c:pt idx="91">
                  <c:v>0.23769959209100516</c:v>
                </c:pt>
                <c:pt idx="92">
                  <c:v>0.24031167552057664</c:v>
                </c:pt>
                <c:pt idx="93">
                  <c:v>0.24292375895014817</c:v>
                </c:pt>
                <c:pt idx="94">
                  <c:v>0.24553584237971965</c:v>
                </c:pt>
                <c:pt idx="95">
                  <c:v>0.24814792580929113</c:v>
                </c:pt>
                <c:pt idx="96">
                  <c:v>0.2507600092388626</c:v>
                </c:pt>
                <c:pt idx="97">
                  <c:v>0.25337209266843408</c:v>
                </c:pt>
                <c:pt idx="98">
                  <c:v>0.25598417609800561</c:v>
                </c:pt>
                <c:pt idx="99">
                  <c:v>0.25859625952757709</c:v>
                </c:pt>
                <c:pt idx="100">
                  <c:v>0.26120834295714856</c:v>
                </c:pt>
                <c:pt idx="101">
                  <c:v>0.26382042638672004</c:v>
                </c:pt>
                <c:pt idx="102">
                  <c:v>0.26643250981629152</c:v>
                </c:pt>
                <c:pt idx="103">
                  <c:v>0.269044593245863</c:v>
                </c:pt>
                <c:pt idx="104">
                  <c:v>0.27165667667543447</c:v>
                </c:pt>
                <c:pt idx="105">
                  <c:v>0.27426876010500595</c:v>
                </c:pt>
                <c:pt idx="106">
                  <c:v>0.27688084353457743</c:v>
                </c:pt>
                <c:pt idx="107">
                  <c:v>0.2794929269641489</c:v>
                </c:pt>
                <c:pt idx="108">
                  <c:v>0.28210501039372043</c:v>
                </c:pt>
                <c:pt idx="109">
                  <c:v>0.28471709382329191</c:v>
                </c:pt>
                <c:pt idx="110">
                  <c:v>0.28732917725286339</c:v>
                </c:pt>
                <c:pt idx="111">
                  <c:v>0.28994126068243486</c:v>
                </c:pt>
                <c:pt idx="112">
                  <c:v>0.29255334411200634</c:v>
                </c:pt>
                <c:pt idx="113">
                  <c:v>0.29516542754157787</c:v>
                </c:pt>
                <c:pt idx="114">
                  <c:v>0.29777751097114935</c:v>
                </c:pt>
                <c:pt idx="115">
                  <c:v>0.30038959440072083</c:v>
                </c:pt>
                <c:pt idx="116">
                  <c:v>0.3030016778302923</c:v>
                </c:pt>
                <c:pt idx="117">
                  <c:v>0.30561376125986378</c:v>
                </c:pt>
                <c:pt idx="118">
                  <c:v>0.30822584468943531</c:v>
                </c:pt>
                <c:pt idx="119">
                  <c:v>0.31083792811900679</c:v>
                </c:pt>
                <c:pt idx="120">
                  <c:v>0.31345001154857827</c:v>
                </c:pt>
              </c:numCache>
            </c:numRef>
          </c:xVal>
          <c:yVal>
            <c:numRef>
              <c:f>Frequência!$D$256:$D$376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0.15643446504023087</c:v>
                </c:pt>
                <c:pt idx="2">
                  <c:v>0.3090169943749474</c:v>
                </c:pt>
                <c:pt idx="3">
                  <c:v>0.45399049973954675</c:v>
                </c:pt>
                <c:pt idx="4">
                  <c:v>0.58778525229247314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0.98768834059513777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0.80901699437494778</c:v>
                </c:pt>
                <c:pt idx="15">
                  <c:v>0.70710678118654757</c:v>
                </c:pt>
                <c:pt idx="16">
                  <c:v>0.58778525229247325</c:v>
                </c:pt>
                <c:pt idx="17">
                  <c:v>0.45399049973954686</c:v>
                </c:pt>
                <c:pt idx="18">
                  <c:v>0.30901699437494751</c:v>
                </c:pt>
                <c:pt idx="19">
                  <c:v>0.15643446504023142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-0.30901699437494728</c:v>
                </c:pt>
                <c:pt idx="23">
                  <c:v>-0.45399049973954625</c:v>
                </c:pt>
                <c:pt idx="24">
                  <c:v>-0.58778525229247303</c:v>
                </c:pt>
                <c:pt idx="25">
                  <c:v>-0.70710678118654746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-0.9510565162951532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-0.95105651629515364</c:v>
                </c:pt>
                <c:pt idx="33">
                  <c:v>-0.89100652418836834</c:v>
                </c:pt>
                <c:pt idx="34">
                  <c:v>-0.80901699437494756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-0.30901699437494851</c:v>
                </c:pt>
                <c:pt idx="39">
                  <c:v>-0.15643446504023198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0.30901699437494717</c:v>
                </c:pt>
                <c:pt idx="43">
                  <c:v>0.45399049973954658</c:v>
                </c:pt>
                <c:pt idx="44">
                  <c:v>0.58778525229247292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0.89100652418836768</c:v>
                </c:pt>
                <c:pt idx="48">
                  <c:v>0.95105651629515353</c:v>
                </c:pt>
                <c:pt idx="49">
                  <c:v>0.98768834059513777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0.80901699437494767</c:v>
                </c:pt>
                <c:pt idx="55">
                  <c:v>0.70710678118654835</c:v>
                </c:pt>
                <c:pt idx="56">
                  <c:v>0.5877852522924748</c:v>
                </c:pt>
                <c:pt idx="57">
                  <c:v>0.45399049973954791</c:v>
                </c:pt>
                <c:pt idx="58">
                  <c:v>0.30901699437494778</c:v>
                </c:pt>
                <c:pt idx="59">
                  <c:v>0.15643446504023034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-0.30901699437494706</c:v>
                </c:pt>
                <c:pt idx="63">
                  <c:v>-0.45399049973954725</c:v>
                </c:pt>
                <c:pt idx="64">
                  <c:v>-0.5877852522924728</c:v>
                </c:pt>
                <c:pt idx="65">
                  <c:v>-0.70710678118654657</c:v>
                </c:pt>
                <c:pt idx="66">
                  <c:v>-0.80901699437494612</c:v>
                </c:pt>
                <c:pt idx="67">
                  <c:v>-0.89100652418836723</c:v>
                </c:pt>
                <c:pt idx="68">
                  <c:v>-0.95105651629515342</c:v>
                </c:pt>
                <c:pt idx="69">
                  <c:v>-0.98768834059513777</c:v>
                </c:pt>
                <c:pt idx="70">
                  <c:v>-1</c:v>
                </c:pt>
                <c:pt idx="71">
                  <c:v>-0.98768834059513788</c:v>
                </c:pt>
                <c:pt idx="72">
                  <c:v>-0.95105651629515375</c:v>
                </c:pt>
                <c:pt idx="73">
                  <c:v>-0.89100652418836845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-0.58778525229247491</c:v>
                </c:pt>
                <c:pt idx="77">
                  <c:v>-0.45399049973954803</c:v>
                </c:pt>
                <c:pt idx="78">
                  <c:v>-0.30901699437494956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0.45399049973954714</c:v>
                </c:pt>
                <c:pt idx="84">
                  <c:v>0.58778525229247269</c:v>
                </c:pt>
                <c:pt idx="85">
                  <c:v>0.70710678118654779</c:v>
                </c:pt>
                <c:pt idx="86">
                  <c:v>0.80901699437494712</c:v>
                </c:pt>
                <c:pt idx="87">
                  <c:v>0.89100652418836646</c:v>
                </c:pt>
                <c:pt idx="88">
                  <c:v>0.95105651629515342</c:v>
                </c:pt>
                <c:pt idx="89">
                  <c:v>0.98768834059513755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0.89100652418836768</c:v>
                </c:pt>
                <c:pt idx="94">
                  <c:v>0.80901699437494778</c:v>
                </c:pt>
                <c:pt idx="95">
                  <c:v>0.70710678118654857</c:v>
                </c:pt>
                <c:pt idx="96">
                  <c:v>0.58778525229247358</c:v>
                </c:pt>
                <c:pt idx="97">
                  <c:v>0.45399049973954814</c:v>
                </c:pt>
                <c:pt idx="98">
                  <c:v>0.30901699437494629</c:v>
                </c:pt>
                <c:pt idx="99">
                  <c:v>0.15643446504023059</c:v>
                </c:pt>
                <c:pt idx="100">
                  <c:v>6.1257422745431001E-16</c:v>
                </c:pt>
                <c:pt idx="101">
                  <c:v>-0.15643446504023115</c:v>
                </c:pt>
                <c:pt idx="102">
                  <c:v>-0.30901699437494512</c:v>
                </c:pt>
                <c:pt idx="103">
                  <c:v>-0.45399049973954542</c:v>
                </c:pt>
                <c:pt idx="104">
                  <c:v>-0.58778525229247258</c:v>
                </c:pt>
                <c:pt idx="105">
                  <c:v>-0.70710678118654513</c:v>
                </c:pt>
                <c:pt idx="106">
                  <c:v>-0.80901699437494601</c:v>
                </c:pt>
                <c:pt idx="107">
                  <c:v>-0.89100652418836557</c:v>
                </c:pt>
                <c:pt idx="108">
                  <c:v>-0.95105651629515342</c:v>
                </c:pt>
                <c:pt idx="109">
                  <c:v>-0.98768834059513777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-0.95105651629515486</c:v>
                </c:pt>
                <c:pt idx="113">
                  <c:v>-0.89100652418836779</c:v>
                </c:pt>
                <c:pt idx="114">
                  <c:v>-0.80901699437494889</c:v>
                </c:pt>
                <c:pt idx="115">
                  <c:v>-0.70710678118654868</c:v>
                </c:pt>
                <c:pt idx="116">
                  <c:v>-0.58778525229247369</c:v>
                </c:pt>
                <c:pt idx="117">
                  <c:v>-0.4539904997395498</c:v>
                </c:pt>
                <c:pt idx="118">
                  <c:v>-0.3090169943749464</c:v>
                </c:pt>
                <c:pt idx="119">
                  <c:v>-0.15643446504023248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8-4576-87CC-7062FA76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26876"/>
        <c:axId val="66493934"/>
      </c:scatterChart>
      <c:valAx>
        <c:axId val="3202687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66493934"/>
        <c:crosses val="autoZero"/>
        <c:crossBetween val="midCat"/>
      </c:valAx>
      <c:valAx>
        <c:axId val="66493934"/>
        <c:scaling>
          <c:orientation val="minMax"/>
          <c:max val="1.2"/>
          <c:min val="-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320268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-1" baseline="0">
                <a:solidFill>
                  <a:srgbClr val="000000"/>
                </a:solidFill>
                <a:latin typeface="Calibri Light (Títulos)"/>
              </a:rPr>
              <a:t>Painel com todas as cargas</a:t>
            </a:r>
            <a:endParaRPr lang="pt-BR">
              <a:solidFill>
                <a:sysClr val="windowText" lastClr="000000"/>
              </a:solidFill>
              <a:latin typeface="Calibri Light (Títulos)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 = sen(2*PI()*fn*t)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Frequência!$C$381:$C$501</c:f>
              <c:numCache>
                <c:formatCode>0.0000</c:formatCode>
                <c:ptCount val="121"/>
                <c:pt idx="0">
                  <c:v>0</c:v>
                </c:pt>
                <c:pt idx="1">
                  <c:v>3.6273378203704092E-3</c:v>
                </c:pt>
                <c:pt idx="2">
                  <c:v>7.2546756407408184E-3</c:v>
                </c:pt>
                <c:pt idx="3">
                  <c:v>1.0882013461111227E-2</c:v>
                </c:pt>
                <c:pt idx="4">
                  <c:v>1.4509351281481637E-2</c:v>
                </c:pt>
                <c:pt idx="5">
                  <c:v>1.8136689101852045E-2</c:v>
                </c:pt>
                <c:pt idx="6">
                  <c:v>2.1764026922222453E-2</c:v>
                </c:pt>
                <c:pt idx="7">
                  <c:v>2.5391364742592862E-2</c:v>
                </c:pt>
                <c:pt idx="8">
                  <c:v>2.9018702562963274E-2</c:v>
                </c:pt>
                <c:pt idx="9">
                  <c:v>3.2646040383333685E-2</c:v>
                </c:pt>
                <c:pt idx="10">
                  <c:v>3.627337820370409E-2</c:v>
                </c:pt>
                <c:pt idx="11">
                  <c:v>3.9900716024074502E-2</c:v>
                </c:pt>
                <c:pt idx="12">
                  <c:v>4.3528053844444907E-2</c:v>
                </c:pt>
                <c:pt idx="13">
                  <c:v>4.7155391664815319E-2</c:v>
                </c:pt>
                <c:pt idx="14">
                  <c:v>5.0782729485185724E-2</c:v>
                </c:pt>
                <c:pt idx="15">
                  <c:v>5.4410067305556135E-2</c:v>
                </c:pt>
                <c:pt idx="16">
                  <c:v>5.8037405125926547E-2</c:v>
                </c:pt>
                <c:pt idx="17">
                  <c:v>6.1664742946296952E-2</c:v>
                </c:pt>
                <c:pt idx="18">
                  <c:v>6.5292080766667371E-2</c:v>
                </c:pt>
                <c:pt idx="19">
                  <c:v>6.8919418587037776E-2</c:v>
                </c:pt>
                <c:pt idx="20">
                  <c:v>7.2546756407408181E-2</c:v>
                </c:pt>
                <c:pt idx="21">
                  <c:v>7.6174094227778599E-2</c:v>
                </c:pt>
                <c:pt idx="22">
                  <c:v>7.9801432048149004E-2</c:v>
                </c:pt>
                <c:pt idx="23">
                  <c:v>8.3428769868519395E-2</c:v>
                </c:pt>
                <c:pt idx="24">
                  <c:v>8.7056107688889814E-2</c:v>
                </c:pt>
                <c:pt idx="25">
                  <c:v>9.0683445509260233E-2</c:v>
                </c:pt>
                <c:pt idx="26">
                  <c:v>9.4310783329630637E-2</c:v>
                </c:pt>
                <c:pt idx="27">
                  <c:v>9.7938121150001056E-2</c:v>
                </c:pt>
                <c:pt idx="28">
                  <c:v>0.10156545897037145</c:v>
                </c:pt>
                <c:pt idx="29">
                  <c:v>0.10519279679074187</c:v>
                </c:pt>
                <c:pt idx="30">
                  <c:v>0.10882013461111227</c:v>
                </c:pt>
                <c:pt idx="31">
                  <c:v>0.11244747243148269</c:v>
                </c:pt>
                <c:pt idx="32">
                  <c:v>0.11607481025185309</c:v>
                </c:pt>
                <c:pt idx="33">
                  <c:v>0.1197021480722235</c:v>
                </c:pt>
                <c:pt idx="34">
                  <c:v>0.1233294858925939</c:v>
                </c:pt>
                <c:pt idx="35">
                  <c:v>0.12695682371296432</c:v>
                </c:pt>
                <c:pt idx="36">
                  <c:v>0.13058416153333474</c:v>
                </c:pt>
                <c:pt idx="37">
                  <c:v>0.13421149935370513</c:v>
                </c:pt>
                <c:pt idx="38">
                  <c:v>0.13783883717407555</c:v>
                </c:pt>
                <c:pt idx="39">
                  <c:v>0.14146617499444594</c:v>
                </c:pt>
                <c:pt idx="40">
                  <c:v>0.14509351281481636</c:v>
                </c:pt>
                <c:pt idx="41">
                  <c:v>0.14872085063518675</c:v>
                </c:pt>
                <c:pt idx="42">
                  <c:v>0.1523481884555572</c:v>
                </c:pt>
                <c:pt idx="43">
                  <c:v>0.15597552627592759</c:v>
                </c:pt>
                <c:pt idx="44">
                  <c:v>0.15960286409629801</c:v>
                </c:pt>
                <c:pt idx="45">
                  <c:v>0.1632302019166684</c:v>
                </c:pt>
                <c:pt idx="46">
                  <c:v>0.16685753973703879</c:v>
                </c:pt>
                <c:pt idx="47">
                  <c:v>0.17048487755740924</c:v>
                </c:pt>
                <c:pt idx="48">
                  <c:v>0.17411221537777963</c:v>
                </c:pt>
                <c:pt idx="49">
                  <c:v>0.17773955319815005</c:v>
                </c:pt>
                <c:pt idx="50">
                  <c:v>0.18136689101852047</c:v>
                </c:pt>
                <c:pt idx="51">
                  <c:v>0.18499422883889086</c:v>
                </c:pt>
                <c:pt idx="52">
                  <c:v>0.18862156665926127</c:v>
                </c:pt>
                <c:pt idx="53">
                  <c:v>0.19224890447963167</c:v>
                </c:pt>
                <c:pt idx="54">
                  <c:v>0.19587624230000211</c:v>
                </c:pt>
                <c:pt idx="55">
                  <c:v>0.1995035801203725</c:v>
                </c:pt>
                <c:pt idx="56">
                  <c:v>0.20313091794074289</c:v>
                </c:pt>
                <c:pt idx="57">
                  <c:v>0.20675825576111331</c:v>
                </c:pt>
                <c:pt idx="58">
                  <c:v>0.21038559358148373</c:v>
                </c:pt>
                <c:pt idx="59">
                  <c:v>0.21401293140185415</c:v>
                </c:pt>
                <c:pt idx="60">
                  <c:v>0.21764026922222454</c:v>
                </c:pt>
                <c:pt idx="61">
                  <c:v>0.22126760704259493</c:v>
                </c:pt>
                <c:pt idx="62">
                  <c:v>0.22489494486296538</c:v>
                </c:pt>
                <c:pt idx="63">
                  <c:v>0.22852228268333577</c:v>
                </c:pt>
                <c:pt idx="64">
                  <c:v>0.23214962050370619</c:v>
                </c:pt>
                <c:pt idx="65">
                  <c:v>0.23577695832407658</c:v>
                </c:pt>
                <c:pt idx="66">
                  <c:v>0.239404296144447</c:v>
                </c:pt>
                <c:pt idx="67">
                  <c:v>0.24303163396481742</c:v>
                </c:pt>
                <c:pt idx="68">
                  <c:v>0.24665897178518781</c:v>
                </c:pt>
                <c:pt idx="69">
                  <c:v>0.25028630960555825</c:v>
                </c:pt>
                <c:pt idx="70">
                  <c:v>0.25391364742592865</c:v>
                </c:pt>
                <c:pt idx="71">
                  <c:v>0.25754098524629904</c:v>
                </c:pt>
                <c:pt idx="72">
                  <c:v>0.26116832306666948</c:v>
                </c:pt>
                <c:pt idx="73">
                  <c:v>0.26479566088703987</c:v>
                </c:pt>
                <c:pt idx="74">
                  <c:v>0.26842299870741027</c:v>
                </c:pt>
                <c:pt idx="75">
                  <c:v>0.27205033652778066</c:v>
                </c:pt>
                <c:pt idx="76">
                  <c:v>0.2756776743481511</c:v>
                </c:pt>
                <c:pt idx="77">
                  <c:v>0.27930501216852149</c:v>
                </c:pt>
                <c:pt idx="78">
                  <c:v>0.28293234998889188</c:v>
                </c:pt>
                <c:pt idx="79">
                  <c:v>0.28655968780926233</c:v>
                </c:pt>
                <c:pt idx="80">
                  <c:v>0.29018702562963272</c:v>
                </c:pt>
                <c:pt idx="81">
                  <c:v>0.29381436345000311</c:v>
                </c:pt>
                <c:pt idx="82">
                  <c:v>0.2974417012703735</c:v>
                </c:pt>
                <c:pt idx="83">
                  <c:v>0.30106903909074395</c:v>
                </c:pt>
                <c:pt idx="84">
                  <c:v>0.3046963769111144</c:v>
                </c:pt>
                <c:pt idx="85">
                  <c:v>0.30832371473148479</c:v>
                </c:pt>
                <c:pt idx="86">
                  <c:v>0.31195105255185518</c:v>
                </c:pt>
                <c:pt idx="87">
                  <c:v>0.31557839037222557</c:v>
                </c:pt>
                <c:pt idx="88">
                  <c:v>0.31920572819259602</c:v>
                </c:pt>
                <c:pt idx="89">
                  <c:v>0.32283306601296641</c:v>
                </c:pt>
                <c:pt idx="90">
                  <c:v>0.3264604038333368</c:v>
                </c:pt>
                <c:pt idx="91">
                  <c:v>0.33008774165370719</c:v>
                </c:pt>
                <c:pt idx="92">
                  <c:v>0.33371507947407758</c:v>
                </c:pt>
                <c:pt idx="93">
                  <c:v>0.33734241729444808</c:v>
                </c:pt>
                <c:pt idx="94">
                  <c:v>0.34096975511481847</c:v>
                </c:pt>
                <c:pt idx="95">
                  <c:v>0.34459709293518886</c:v>
                </c:pt>
                <c:pt idx="96">
                  <c:v>0.34822443075555926</c:v>
                </c:pt>
                <c:pt idx="97">
                  <c:v>0.35185176857592965</c:v>
                </c:pt>
                <c:pt idx="98">
                  <c:v>0.35547910639630009</c:v>
                </c:pt>
                <c:pt idx="99">
                  <c:v>0.35910644421667048</c:v>
                </c:pt>
                <c:pt idx="100">
                  <c:v>0.36273378203704093</c:v>
                </c:pt>
                <c:pt idx="101">
                  <c:v>0.36636111985741132</c:v>
                </c:pt>
                <c:pt idx="102">
                  <c:v>0.36998845767778171</c:v>
                </c:pt>
                <c:pt idx="103">
                  <c:v>0.37361579549815216</c:v>
                </c:pt>
                <c:pt idx="104">
                  <c:v>0.37724313331852255</c:v>
                </c:pt>
                <c:pt idx="105">
                  <c:v>0.38087047113889294</c:v>
                </c:pt>
                <c:pt idx="106">
                  <c:v>0.38449780895926333</c:v>
                </c:pt>
                <c:pt idx="107">
                  <c:v>0.38812514677963372</c:v>
                </c:pt>
                <c:pt idx="108">
                  <c:v>0.39175248460000422</c:v>
                </c:pt>
                <c:pt idx="109">
                  <c:v>0.39537982242037462</c:v>
                </c:pt>
                <c:pt idx="110">
                  <c:v>0.39900716024074501</c:v>
                </c:pt>
                <c:pt idx="111">
                  <c:v>0.4026344980611154</c:v>
                </c:pt>
                <c:pt idx="112">
                  <c:v>0.40626183588148579</c:v>
                </c:pt>
                <c:pt idx="113">
                  <c:v>0.40988917370185624</c:v>
                </c:pt>
                <c:pt idx="114">
                  <c:v>0.41351651152222663</c:v>
                </c:pt>
                <c:pt idx="115">
                  <c:v>0.41714384934259702</c:v>
                </c:pt>
                <c:pt idx="116">
                  <c:v>0.42077118716296746</c:v>
                </c:pt>
                <c:pt idx="117">
                  <c:v>0.42439852498333785</c:v>
                </c:pt>
                <c:pt idx="118">
                  <c:v>0.4280258628037083</c:v>
                </c:pt>
                <c:pt idx="119">
                  <c:v>0.43165320062407869</c:v>
                </c:pt>
                <c:pt idx="120">
                  <c:v>0.43528053844444908</c:v>
                </c:pt>
              </c:numCache>
            </c:numRef>
          </c:xVal>
          <c:yVal>
            <c:numRef>
              <c:f>Frequência!$D$381:$D$501</c:f>
              <c:numCache>
                <c:formatCode>0.000</c:formatCode>
                <c:ptCount val="121"/>
                <c:pt idx="0">
                  <c:v>0</c:v>
                </c:pt>
                <c:pt idx="1">
                  <c:v>0.1564344650402309</c:v>
                </c:pt>
                <c:pt idx="2">
                  <c:v>0.30901699437494745</c:v>
                </c:pt>
                <c:pt idx="3">
                  <c:v>0.45399049973954675</c:v>
                </c:pt>
                <c:pt idx="4">
                  <c:v>0.58778525229247325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0.95105651629515364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0.98768834059513766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0.5877852522924728</c:v>
                </c:pt>
                <c:pt idx="17">
                  <c:v>0.45399049973954686</c:v>
                </c:pt>
                <c:pt idx="18">
                  <c:v>0.30901699437494712</c:v>
                </c:pt>
                <c:pt idx="19">
                  <c:v>0.15643446504023054</c:v>
                </c:pt>
                <c:pt idx="20">
                  <c:v>1.22514845490862E-16</c:v>
                </c:pt>
                <c:pt idx="21">
                  <c:v>-0.15643446504023117</c:v>
                </c:pt>
                <c:pt idx="22">
                  <c:v>-0.30901699437494773</c:v>
                </c:pt>
                <c:pt idx="23">
                  <c:v>-0.45399049973954625</c:v>
                </c:pt>
                <c:pt idx="24">
                  <c:v>-0.58778525229247303</c:v>
                </c:pt>
                <c:pt idx="25">
                  <c:v>-0.70710678118654768</c:v>
                </c:pt>
                <c:pt idx="26">
                  <c:v>-0.80901699437494734</c:v>
                </c:pt>
                <c:pt idx="27">
                  <c:v>-0.89100652418836823</c:v>
                </c:pt>
                <c:pt idx="28">
                  <c:v>-0.95105651629515353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-0.98768834059513766</c:v>
                </c:pt>
                <c:pt idx="32">
                  <c:v>-0.95105651629515331</c:v>
                </c:pt>
                <c:pt idx="33">
                  <c:v>-0.8910065241883679</c:v>
                </c:pt>
                <c:pt idx="34">
                  <c:v>-0.80901699437494756</c:v>
                </c:pt>
                <c:pt idx="35">
                  <c:v>-0.70710678118654702</c:v>
                </c:pt>
                <c:pt idx="36">
                  <c:v>-0.58778525229247258</c:v>
                </c:pt>
                <c:pt idx="37">
                  <c:v>-0.45399049973954697</c:v>
                </c:pt>
                <c:pt idx="38">
                  <c:v>-0.30901699437494679</c:v>
                </c:pt>
                <c:pt idx="39">
                  <c:v>-0.15643446504023112</c:v>
                </c:pt>
                <c:pt idx="40">
                  <c:v>-2.45029690981724E-16</c:v>
                </c:pt>
                <c:pt idx="41">
                  <c:v>0.15643446504022973</c:v>
                </c:pt>
                <c:pt idx="42">
                  <c:v>0.30901699437494801</c:v>
                </c:pt>
                <c:pt idx="43">
                  <c:v>0.45399049973954658</c:v>
                </c:pt>
                <c:pt idx="44">
                  <c:v>0.58778525229247358</c:v>
                </c:pt>
                <c:pt idx="45">
                  <c:v>0.70710678118654735</c:v>
                </c:pt>
                <c:pt idx="46">
                  <c:v>0.80901699437494679</c:v>
                </c:pt>
                <c:pt idx="47">
                  <c:v>0.89100652418836812</c:v>
                </c:pt>
                <c:pt idx="48">
                  <c:v>0.95105651629515353</c:v>
                </c:pt>
                <c:pt idx="49">
                  <c:v>0.98768834059513777</c:v>
                </c:pt>
                <c:pt idx="50">
                  <c:v>1</c:v>
                </c:pt>
                <c:pt idx="51">
                  <c:v>0.98768834059513766</c:v>
                </c:pt>
                <c:pt idx="52">
                  <c:v>0.95105651629515364</c:v>
                </c:pt>
                <c:pt idx="53">
                  <c:v>0.89100652418836845</c:v>
                </c:pt>
                <c:pt idx="54">
                  <c:v>0.80901699437494656</c:v>
                </c:pt>
                <c:pt idx="55">
                  <c:v>0.70710678118654713</c:v>
                </c:pt>
                <c:pt idx="56">
                  <c:v>0.58778525229247336</c:v>
                </c:pt>
                <c:pt idx="57">
                  <c:v>0.4539904997395463</c:v>
                </c:pt>
                <c:pt idx="58">
                  <c:v>0.30901699437494778</c:v>
                </c:pt>
                <c:pt idx="59">
                  <c:v>0.15643446504023034</c:v>
                </c:pt>
                <c:pt idx="60">
                  <c:v>3.67544536472586E-16</c:v>
                </c:pt>
                <c:pt idx="61">
                  <c:v>-0.15643446504022962</c:v>
                </c:pt>
                <c:pt idx="62">
                  <c:v>-0.30901699437494873</c:v>
                </c:pt>
                <c:pt idx="63">
                  <c:v>-0.45399049973954725</c:v>
                </c:pt>
                <c:pt idx="64">
                  <c:v>-0.58778525229247425</c:v>
                </c:pt>
                <c:pt idx="65">
                  <c:v>-0.70710678118654791</c:v>
                </c:pt>
                <c:pt idx="66">
                  <c:v>-0.80901699437494723</c:v>
                </c:pt>
                <c:pt idx="67">
                  <c:v>-0.89100652418836812</c:v>
                </c:pt>
                <c:pt idx="68">
                  <c:v>-0.95105651629515342</c:v>
                </c:pt>
                <c:pt idx="69">
                  <c:v>-0.9876883405951381</c:v>
                </c:pt>
                <c:pt idx="70">
                  <c:v>-1</c:v>
                </c:pt>
                <c:pt idx="71">
                  <c:v>-0.98768834059513766</c:v>
                </c:pt>
                <c:pt idx="72">
                  <c:v>-0.9510565162951532</c:v>
                </c:pt>
                <c:pt idx="73">
                  <c:v>-0.89100652418836768</c:v>
                </c:pt>
                <c:pt idx="74">
                  <c:v>-0.80901699437494767</c:v>
                </c:pt>
                <c:pt idx="75">
                  <c:v>-0.70710678118654846</c:v>
                </c:pt>
                <c:pt idx="76">
                  <c:v>-0.58778525229247203</c:v>
                </c:pt>
                <c:pt idx="77">
                  <c:v>-0.45399049973954642</c:v>
                </c:pt>
                <c:pt idx="78">
                  <c:v>-0.3090169943749479</c:v>
                </c:pt>
                <c:pt idx="79">
                  <c:v>-0.15643446504023048</c:v>
                </c:pt>
                <c:pt idx="80">
                  <c:v>-4.90059381963448E-16</c:v>
                </c:pt>
                <c:pt idx="81">
                  <c:v>0.15643446504022951</c:v>
                </c:pt>
                <c:pt idx="82">
                  <c:v>0.30901699437494523</c:v>
                </c:pt>
                <c:pt idx="83">
                  <c:v>0.45399049973954714</c:v>
                </c:pt>
                <c:pt idx="84">
                  <c:v>0.58778525229247414</c:v>
                </c:pt>
                <c:pt idx="85">
                  <c:v>0.70710678118654779</c:v>
                </c:pt>
                <c:pt idx="86">
                  <c:v>0.80901699437494712</c:v>
                </c:pt>
                <c:pt idx="87">
                  <c:v>0.89100652418836723</c:v>
                </c:pt>
                <c:pt idx="88">
                  <c:v>0.95105651629515398</c:v>
                </c:pt>
                <c:pt idx="89">
                  <c:v>0.98768834059513777</c:v>
                </c:pt>
                <c:pt idx="90">
                  <c:v>1</c:v>
                </c:pt>
                <c:pt idx="91">
                  <c:v>0.98768834059513799</c:v>
                </c:pt>
                <c:pt idx="92">
                  <c:v>0.95105651629515431</c:v>
                </c:pt>
                <c:pt idx="93">
                  <c:v>0.8910065241883669</c:v>
                </c:pt>
                <c:pt idx="94">
                  <c:v>0.80901699437494667</c:v>
                </c:pt>
                <c:pt idx="95">
                  <c:v>0.70710678118654735</c:v>
                </c:pt>
                <c:pt idx="96">
                  <c:v>0.58778525229247358</c:v>
                </c:pt>
                <c:pt idx="97">
                  <c:v>0.45399049973954814</c:v>
                </c:pt>
                <c:pt idx="98">
                  <c:v>0.30901699437494629</c:v>
                </c:pt>
                <c:pt idx="99">
                  <c:v>0.15643446504023059</c:v>
                </c:pt>
                <c:pt idx="100">
                  <c:v>-1.1637826119459405E-15</c:v>
                </c:pt>
                <c:pt idx="101">
                  <c:v>-0.15643446504023115</c:v>
                </c:pt>
                <c:pt idx="102">
                  <c:v>-0.30901699437494851</c:v>
                </c:pt>
                <c:pt idx="103">
                  <c:v>-0.45399049973954858</c:v>
                </c:pt>
                <c:pt idx="104">
                  <c:v>-0.58778525229247258</c:v>
                </c:pt>
                <c:pt idx="105">
                  <c:v>-0.70710678118654768</c:v>
                </c:pt>
                <c:pt idx="106">
                  <c:v>-0.80901699437494601</c:v>
                </c:pt>
                <c:pt idx="107">
                  <c:v>-0.89100652418836712</c:v>
                </c:pt>
                <c:pt idx="108">
                  <c:v>-0.95105651629515442</c:v>
                </c:pt>
                <c:pt idx="109">
                  <c:v>-0.98768834059513777</c:v>
                </c:pt>
                <c:pt idx="110">
                  <c:v>-1</c:v>
                </c:pt>
                <c:pt idx="111">
                  <c:v>-0.98768834059513799</c:v>
                </c:pt>
                <c:pt idx="112">
                  <c:v>-0.95105651629515375</c:v>
                </c:pt>
                <c:pt idx="113">
                  <c:v>-0.89100652418836779</c:v>
                </c:pt>
                <c:pt idx="114">
                  <c:v>-0.80901699437494679</c:v>
                </c:pt>
                <c:pt idx="115">
                  <c:v>-0.70710678118654868</c:v>
                </c:pt>
                <c:pt idx="116">
                  <c:v>-0.58778525229247369</c:v>
                </c:pt>
                <c:pt idx="117">
                  <c:v>-0.45399049973954664</c:v>
                </c:pt>
                <c:pt idx="118">
                  <c:v>-0.3090169943749464</c:v>
                </c:pt>
                <c:pt idx="119">
                  <c:v>-0.15643446504022895</c:v>
                </c:pt>
                <c:pt idx="120">
                  <c:v>-7.3508907294517201E-16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6-43FD-9586-A7429F282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2138"/>
        <c:axId val="14134421"/>
      </c:scatterChart>
      <c:valAx>
        <c:axId val="221121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i="0">
                    <a:solidFill>
                      <a:sysClr val="windowText" lastClr="000000"/>
                    </a:solidFill>
                  </a:rPr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34421"/>
        <c:crosses val="autoZero"/>
        <c:crossBetween val="midCat"/>
      </c:valAx>
      <c:valAx>
        <c:axId val="14134421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213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Momento</a:t>
            </a:r>
            <a:r>
              <a:rPr lang="pt-BR" sz="1200" baseline="0"/>
              <a:t> máximo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23807700009774E-2"/>
          <c:y val="0.21595342066957787"/>
          <c:w val="0.96361041945438553"/>
          <c:h val="0.72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Geometria!$K$335:$K$355</c:f>
              <c:numCache>
                <c:formatCode>0.0</c:formatCode>
                <c:ptCount val="21"/>
                <c:pt idx="0">
                  <c:v>0</c:v>
                </c:pt>
                <c:pt idx="1">
                  <c:v>-5.9295940158766172</c:v>
                </c:pt>
                <c:pt idx="2">
                  <c:v>-6.4714549116810929</c:v>
                </c:pt>
                <c:pt idx="3">
                  <c:v>-4.5814044725920651</c:v>
                </c:pt>
                <c:pt idx="4">
                  <c:v>-2.943216032686049</c:v>
                </c:pt>
                <c:pt idx="5">
                  <c:v>-1.5569516757143411</c:v>
                </c:pt>
                <c:pt idx="6">
                  <c:v>-0.42266388919086922</c:v>
                </c:pt>
                <c:pt idx="7">
                  <c:v>0.45960441311922934</c:v>
                </c:pt>
                <c:pt idx="8">
                  <c:v>1.0898198728390827</c:v>
                </c:pt>
                <c:pt idx="9">
                  <c:v>1.4679586727239193</c:v>
                </c:pt>
                <c:pt idx="10">
                  <c:v>1.5940065264912155</c:v>
                </c:pt>
                <c:pt idx="11">
                  <c:v>1.4679586727239198</c:v>
                </c:pt>
                <c:pt idx="12">
                  <c:v>1.0898198728390807</c:v>
                </c:pt>
                <c:pt idx="13">
                  <c:v>0.45960441311922978</c:v>
                </c:pt>
                <c:pt idx="14">
                  <c:v>-0.42266388919086328</c:v>
                </c:pt>
                <c:pt idx="15">
                  <c:v>-1.5569516757143294</c:v>
                </c:pt>
                <c:pt idx="16">
                  <c:v>-2.943216032686041</c:v>
                </c:pt>
                <c:pt idx="17">
                  <c:v>-4.5814044725920509</c:v>
                </c:pt>
                <c:pt idx="18">
                  <c:v>-6.4714549116810778</c:v>
                </c:pt>
                <c:pt idx="19">
                  <c:v>-5.9295940158765967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ED-40C2-A135-9A9F5428932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Geometria!$K$312:$K$332</c:f>
              <c:numCache>
                <c:formatCode>0.0</c:formatCode>
                <c:ptCount val="21"/>
                <c:pt idx="0">
                  <c:v>0</c:v>
                </c:pt>
                <c:pt idx="1">
                  <c:v>-0.27551425162078441</c:v>
                </c:pt>
                <c:pt idx="2">
                  <c:v>-2.4561772939715003</c:v>
                </c:pt>
                <c:pt idx="3">
                  <c:v>-4.3803292478678237</c:v>
                </c:pt>
                <c:pt idx="4">
                  <c:v>-6.0479560307816955</c:v>
                </c:pt>
                <c:pt idx="5">
                  <c:v>-7.4590454500313239</c:v>
                </c:pt>
                <c:pt idx="6">
                  <c:v>-8.6135871975483074</c:v>
                </c:pt>
                <c:pt idx="7">
                  <c:v>-9.5115728454610675</c:v>
                </c:pt>
                <c:pt idx="8">
                  <c:v>-10.152995842489032</c:v>
                </c:pt>
                <c:pt idx="9">
                  <c:v>-10.537851511142824</c:v>
                </c:pt>
                <c:pt idx="10">
                  <c:v>-10.666137045727032</c:v>
                </c:pt>
                <c:pt idx="11">
                  <c:v>-10.537851511142826</c:v>
                </c:pt>
                <c:pt idx="12">
                  <c:v>-10.15299584248903</c:v>
                </c:pt>
                <c:pt idx="13">
                  <c:v>-9.5115728454610675</c:v>
                </c:pt>
                <c:pt idx="14">
                  <c:v>-8.6135871975483127</c:v>
                </c:pt>
                <c:pt idx="15">
                  <c:v>-7.4590454500313346</c:v>
                </c:pt>
                <c:pt idx="16">
                  <c:v>-6.0479560307817026</c:v>
                </c:pt>
                <c:pt idx="17">
                  <c:v>-4.3803292478678379</c:v>
                </c:pt>
                <c:pt idx="18">
                  <c:v>-2.456177293971515</c:v>
                </c:pt>
                <c:pt idx="19">
                  <c:v>-0.2755142516208014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ED-40C2-A135-9A9F54289320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D-40C2-A135-9A9F5428932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D-40C2-A135-9A9F5428932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ED-40C2-A135-9A9F5428932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ED-40C2-A135-9A9F5428932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ED-40C2-A135-9A9F5428932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ED-40C2-A135-9A9F5428932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ED-40C2-A135-9A9F5428932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ED-40C2-A135-9A9F5428932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ED-40C2-A135-9A9F5428932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ED-40C2-A135-9A9F5428932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ED-40C2-A135-9A9F5428932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ED-40C2-A135-9A9F5428932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BED-40C2-A135-9A9F5428932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BED-40C2-A135-9A9F5428932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ED-40C2-A135-9A9F5428932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ED-40C2-A135-9A9F5428932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ED-40C2-A135-9A9F5428932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ED-40C2-A135-9A9F5428932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ED-40C2-A135-9A9F54289320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Geometria!$M$312:$M$332</c:f>
              <c:numCache>
                <c:formatCode>0.0</c:formatCode>
                <c:ptCount val="21"/>
                <c:pt idx="0">
                  <c:v>3.4201661969095816</c:v>
                </c:pt>
                <c:pt idx="1">
                  <c:v>3.4201661969095816</c:v>
                </c:pt>
                <c:pt idx="2">
                  <c:v>3.4201661969095816</c:v>
                </c:pt>
                <c:pt idx="3">
                  <c:v>3.4201661969095816</c:v>
                </c:pt>
                <c:pt idx="4">
                  <c:v>3.4201661969095816</c:v>
                </c:pt>
                <c:pt idx="5">
                  <c:v>3.4201661969095816</c:v>
                </c:pt>
                <c:pt idx="6">
                  <c:v>3.4201661969095816</c:v>
                </c:pt>
                <c:pt idx="7">
                  <c:v>3.4201661969095816</c:v>
                </c:pt>
                <c:pt idx="8">
                  <c:v>3.4201661969095816</c:v>
                </c:pt>
                <c:pt idx="9">
                  <c:v>3.4201661969095816</c:v>
                </c:pt>
                <c:pt idx="10">
                  <c:v>3.4201661969095816</c:v>
                </c:pt>
                <c:pt idx="11">
                  <c:v>3.4201661969095816</c:v>
                </c:pt>
                <c:pt idx="12">
                  <c:v>3.4201661969095816</c:v>
                </c:pt>
                <c:pt idx="13">
                  <c:v>3.4201661969095816</c:v>
                </c:pt>
                <c:pt idx="14">
                  <c:v>3.4201661969095816</c:v>
                </c:pt>
                <c:pt idx="15">
                  <c:v>3.4201661969095816</c:v>
                </c:pt>
                <c:pt idx="16">
                  <c:v>3.4201661969095816</c:v>
                </c:pt>
                <c:pt idx="17">
                  <c:v>3.4201661969095816</c:v>
                </c:pt>
                <c:pt idx="18">
                  <c:v>3.4201661969095816</c:v>
                </c:pt>
                <c:pt idx="19">
                  <c:v>3.4201661969095816</c:v>
                </c:pt>
                <c:pt idx="20">
                  <c:v>3.4201661969095816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BED-40C2-A135-9A9F54289320}"/>
            </c:ext>
          </c:extLst>
        </c:ser>
        <c:ser>
          <c:idx val="3"/>
          <c:order val="3"/>
          <c:tx>
            <c:v>Série4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ED-40C2-A135-9A9F5428932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BED-40C2-A135-9A9F5428932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BED-40C2-A135-9A9F5428932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BED-40C2-A135-9A9F5428932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BED-40C2-A135-9A9F5428932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BED-40C2-A135-9A9F5428932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BED-40C2-A135-9A9F5428932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BED-40C2-A135-9A9F5428932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BED-40C2-A135-9A9F5428932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BED-40C2-A135-9A9F5428932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BED-40C2-A135-9A9F5428932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BED-40C2-A135-9A9F5428932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BED-40C2-A135-9A9F5428932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BED-40C2-A135-9A9F5428932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BED-40C2-A135-9A9F5428932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BED-40C2-A135-9A9F5428932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BED-40C2-A135-9A9F5428932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BED-40C2-A135-9A9F5428932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BED-40C2-A135-9A9F54289320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Geometria!$M$416:$M$436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BED-40C2-A135-9A9F542893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9097488"/>
        <c:axId val="759091728"/>
      </c:lineChart>
      <c:catAx>
        <c:axId val="759097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091728"/>
        <c:crosses val="autoZero"/>
        <c:auto val="1"/>
        <c:lblAlgn val="ctr"/>
        <c:lblOffset val="100"/>
        <c:noMultiLvlLbl val="0"/>
      </c:catAx>
      <c:valAx>
        <c:axId val="75909172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7590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Momento mínimo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Geometria!$K$416:$K$436</c:f>
              <c:numCache>
                <c:formatCode>0.0</c:formatCode>
                <c:ptCount val="21"/>
                <c:pt idx="0">
                  <c:v>0</c:v>
                </c:pt>
                <c:pt idx="1">
                  <c:v>-6.4382962298767854</c:v>
                </c:pt>
                <c:pt idx="2">
                  <c:v>-7.4353117382077274</c:v>
                </c:pt>
                <c:pt idx="3">
                  <c:v>-5.946868310171463</c:v>
                </c:pt>
                <c:pt idx="4">
                  <c:v>-4.6567392798445102</c:v>
                </c:pt>
                <c:pt idx="5">
                  <c:v>-3.5649867309781627</c:v>
                </c:pt>
                <c:pt idx="6">
                  <c:v>-2.6716631510863498</c:v>
                </c:pt>
                <c:pt idx="7">
                  <c:v>-1.9768114539342077</c:v>
                </c:pt>
                <c:pt idx="8">
                  <c:v>-1.4804649978986095</c:v>
                </c:pt>
                <c:pt idx="9">
                  <c:v>-1.1826476002243249</c:v>
                </c:pt>
                <c:pt idx="10">
                  <c:v>-1.0833735471938803</c:v>
                </c:pt>
                <c:pt idx="11">
                  <c:v>-1.1826476002243249</c:v>
                </c:pt>
                <c:pt idx="12">
                  <c:v>-1.4804649978986113</c:v>
                </c:pt>
                <c:pt idx="13">
                  <c:v>-1.9768114539342072</c:v>
                </c:pt>
                <c:pt idx="14">
                  <c:v>-2.6716631510863453</c:v>
                </c:pt>
                <c:pt idx="15">
                  <c:v>-3.5649867309781529</c:v>
                </c:pt>
                <c:pt idx="16">
                  <c:v>-4.6567392798445022</c:v>
                </c:pt>
                <c:pt idx="17">
                  <c:v>-5.9468683101714523</c:v>
                </c:pt>
                <c:pt idx="18">
                  <c:v>-7.4353117382077141</c:v>
                </c:pt>
                <c:pt idx="19">
                  <c:v>-6.4382962298767685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53-47C9-9AB9-DB771692BE5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Geometria!$K$393:$K$413</c:f>
              <c:numCache>
                <c:formatCode>0.0</c:formatCode>
                <c:ptCount val="21"/>
                <c:pt idx="0">
                  <c:v>0</c:v>
                </c:pt>
                <c:pt idx="1">
                  <c:v>0.37864047107290194</c:v>
                </c:pt>
                <c:pt idx="2">
                  <c:v>-1.2167262404466208</c:v>
                </c:pt>
                <c:pt idx="3">
                  <c:v>-2.6244402553742452</c:v>
                </c:pt>
                <c:pt idx="4">
                  <c:v>-3.8444874911819098</c:v>
                </c:pt>
                <c:pt idx="5">
                  <c:v>-4.876855755187826</c:v>
                </c:pt>
                <c:pt idx="6">
                  <c:v>-5.7215347393235882</c:v>
                </c:pt>
                <c:pt idx="7">
                  <c:v>-6.3785160157176213</c:v>
                </c:pt>
                <c:pt idx="8">
                  <c:v>-6.8477930330893519</c:v>
                </c:pt>
                <c:pt idx="9">
                  <c:v>-7.1293611139494057</c:v>
                </c:pt>
                <c:pt idx="10">
                  <c:v>-7.2232174526023663</c:v>
                </c:pt>
                <c:pt idx="11">
                  <c:v>-7.1293611139494057</c:v>
                </c:pt>
                <c:pt idx="12">
                  <c:v>-6.8477930330893519</c:v>
                </c:pt>
                <c:pt idx="13">
                  <c:v>-6.3785160157176222</c:v>
                </c:pt>
                <c:pt idx="14">
                  <c:v>-5.7215347393235918</c:v>
                </c:pt>
                <c:pt idx="15">
                  <c:v>-4.876855755187834</c:v>
                </c:pt>
                <c:pt idx="16">
                  <c:v>-3.844487491181916</c:v>
                </c:pt>
                <c:pt idx="17">
                  <c:v>-2.6244402553742558</c:v>
                </c:pt>
                <c:pt idx="18">
                  <c:v>-1.2167262404466324</c:v>
                </c:pt>
                <c:pt idx="19">
                  <c:v>0.37864047107288934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53-47C9-9AB9-DB771692BE5D}"/>
            </c:ext>
          </c:extLst>
        </c:ser>
        <c:ser>
          <c:idx val="3"/>
          <c:order val="2"/>
          <c:tx>
            <c:v>Série4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53-47C9-9AB9-DB771692BE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53-47C9-9AB9-DB771692BE5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53-47C9-9AB9-DB771692BE5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53-47C9-9AB9-DB771692BE5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53-47C9-9AB9-DB771692BE5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53-47C9-9AB9-DB771692BE5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53-47C9-9AB9-DB771692BE5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53-47C9-9AB9-DB771692BE5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53-47C9-9AB9-DB771692BE5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53-47C9-9AB9-DB771692BE5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53-47C9-9AB9-DB771692BE5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53-47C9-9AB9-DB771692BE5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53-47C9-9AB9-DB771692BE5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53-47C9-9AB9-DB771692BE5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53-47C9-9AB9-DB771692BE5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53-47C9-9AB9-DB771692BE5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53-47C9-9AB9-DB771692BE5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53-47C9-9AB9-DB771692BE5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53-47C9-9AB9-DB771692BE5D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Geometria!$M$335:$M$355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053-47C9-9AB9-DB771692BE5D}"/>
            </c:ext>
          </c:extLst>
        </c:ser>
        <c:ser>
          <c:idx val="2"/>
          <c:order val="3"/>
          <c:tx>
            <c:v>Série3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53-47C9-9AB9-DB771692BE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53-47C9-9AB9-DB771692BE5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53-47C9-9AB9-DB771692BE5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53-47C9-9AB9-DB771692BE5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53-47C9-9AB9-DB771692BE5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53-47C9-9AB9-DB771692BE5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53-47C9-9AB9-DB771692BE5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53-47C9-9AB9-DB771692BE5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53-47C9-9AB9-DB771692BE5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53-47C9-9AB9-DB771692BE5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53-47C9-9AB9-DB771692BE5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53-47C9-9AB9-DB771692BE5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53-47C9-9AB9-DB771692BE5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53-47C9-9AB9-DB771692BE5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53-47C9-9AB9-DB771692BE5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53-47C9-9AB9-DB771692BE5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53-47C9-9AB9-DB771692BE5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53-47C9-9AB9-DB771692BE5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53-47C9-9AB9-DB771692BE5D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E9713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Geometria!$M$312:$M$332</c:f>
              <c:numCache>
                <c:formatCode>0.0</c:formatCode>
                <c:ptCount val="21"/>
                <c:pt idx="0">
                  <c:v>3.4201661969095816</c:v>
                </c:pt>
                <c:pt idx="1">
                  <c:v>3.4201661969095816</c:v>
                </c:pt>
                <c:pt idx="2">
                  <c:v>3.4201661969095816</c:v>
                </c:pt>
                <c:pt idx="3">
                  <c:v>3.4201661969095816</c:v>
                </c:pt>
                <c:pt idx="4">
                  <c:v>3.4201661969095816</c:v>
                </c:pt>
                <c:pt idx="5">
                  <c:v>3.4201661969095816</c:v>
                </c:pt>
                <c:pt idx="6">
                  <c:v>3.4201661969095816</c:v>
                </c:pt>
                <c:pt idx="7">
                  <c:v>3.4201661969095816</c:v>
                </c:pt>
                <c:pt idx="8">
                  <c:v>3.4201661969095816</c:v>
                </c:pt>
                <c:pt idx="9">
                  <c:v>3.4201661969095816</c:v>
                </c:pt>
                <c:pt idx="10">
                  <c:v>3.4201661969095816</c:v>
                </c:pt>
                <c:pt idx="11">
                  <c:v>3.4201661969095816</c:v>
                </c:pt>
                <c:pt idx="12">
                  <c:v>3.4201661969095816</c:v>
                </c:pt>
                <c:pt idx="13">
                  <c:v>3.4201661969095816</c:v>
                </c:pt>
                <c:pt idx="14">
                  <c:v>3.4201661969095816</c:v>
                </c:pt>
                <c:pt idx="15">
                  <c:v>3.4201661969095816</c:v>
                </c:pt>
                <c:pt idx="16">
                  <c:v>3.4201661969095816</c:v>
                </c:pt>
                <c:pt idx="17">
                  <c:v>3.4201661969095816</c:v>
                </c:pt>
                <c:pt idx="18">
                  <c:v>3.4201661969095816</c:v>
                </c:pt>
                <c:pt idx="19">
                  <c:v>3.4201661969095816</c:v>
                </c:pt>
                <c:pt idx="20">
                  <c:v>3.4201661969095816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053-47C9-9AB9-DB771692BE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Momento máximo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6381954473880106E-2"/>
          <c:y val="0.10726026502024666"/>
          <c:w val="0.96723609105223984"/>
          <c:h val="0.8811721679783788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Geometria!$K$591:$K$611</c:f>
              <c:numCache>
                <c:formatCode>0.0</c:formatCode>
                <c:ptCount val="21"/>
                <c:pt idx="0">
                  <c:v>0</c:v>
                </c:pt>
                <c:pt idx="1">
                  <c:v>-6.0991614205433402</c:v>
                </c:pt>
                <c:pt idx="2">
                  <c:v>-6.7927405205233047</c:v>
                </c:pt>
                <c:pt idx="3">
                  <c:v>-5.0365590851185305</c:v>
                </c:pt>
                <c:pt idx="4">
                  <c:v>-3.5143904484055355</c:v>
                </c:pt>
                <c:pt idx="5">
                  <c:v>-2.2262966941356144</c:v>
                </c:pt>
                <c:pt idx="6">
                  <c:v>-1.172330309822696</c:v>
                </c:pt>
                <c:pt idx="7">
                  <c:v>-0.35253420923191608</c:v>
                </c:pt>
                <c:pt idx="8">
                  <c:v>0.23305824925985211</c:v>
                </c:pt>
                <c:pt idx="9">
                  <c:v>0.58442324840783844</c:v>
                </c:pt>
                <c:pt idx="10">
                  <c:v>0.70154650192951729</c:v>
                </c:pt>
                <c:pt idx="11">
                  <c:v>0.58442324840783844</c:v>
                </c:pt>
                <c:pt idx="12">
                  <c:v>0.23305824925984983</c:v>
                </c:pt>
                <c:pt idx="13">
                  <c:v>-0.35253420923191559</c:v>
                </c:pt>
                <c:pt idx="14">
                  <c:v>-1.1723303098226907</c:v>
                </c:pt>
                <c:pt idx="15">
                  <c:v>-2.2262966941356037</c:v>
                </c:pt>
                <c:pt idx="16">
                  <c:v>-3.5143904484055284</c:v>
                </c:pt>
                <c:pt idx="17">
                  <c:v>-5.036559085118518</c:v>
                </c:pt>
                <c:pt idx="18">
                  <c:v>-6.7927405205232896</c:v>
                </c:pt>
                <c:pt idx="19">
                  <c:v>-6.0991614205433207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BC-4BCB-AFF4-5A9A7471C9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Geometria!$K$568:$K$588</c:f>
              <c:numCache>
                <c:formatCode>0.0</c:formatCode>
                <c:ptCount val="21"/>
                <c:pt idx="0">
                  <c:v>0</c:v>
                </c:pt>
                <c:pt idx="1">
                  <c:v>6.166498966093991E-2</c:v>
                </c:pt>
                <c:pt idx="2">
                  <c:v>-1.8173113631219171</c:v>
                </c:pt>
                <c:pt idx="3">
                  <c:v>-3.4752691791642483</c:v>
                </c:pt>
                <c:pt idx="4">
                  <c:v>-4.9121943759379922</c:v>
                </c:pt>
                <c:pt idx="5">
                  <c:v>-6.1280747607613604</c:v>
                </c:pt>
                <c:pt idx="6">
                  <c:v>-7.1229000255659471</c:v>
                </c:pt>
                <c:pt idx="7">
                  <c:v>-7.8966617424801759</c:v>
                </c:pt>
                <c:pt idx="8">
                  <c:v>-8.4493533602234763</c:v>
                </c:pt>
                <c:pt idx="9">
                  <c:v>-8.7809702013064701</c:v>
                </c:pt>
                <c:pt idx="10">
                  <c:v>-8.8915094600337472</c:v>
                </c:pt>
                <c:pt idx="11">
                  <c:v>-8.7809702013064701</c:v>
                </c:pt>
                <c:pt idx="12">
                  <c:v>-8.4493533602234763</c:v>
                </c:pt>
                <c:pt idx="13">
                  <c:v>-7.8966617424801768</c:v>
                </c:pt>
                <c:pt idx="14">
                  <c:v>-7.1229000255659516</c:v>
                </c:pt>
                <c:pt idx="15">
                  <c:v>-6.1280747607613693</c:v>
                </c:pt>
                <c:pt idx="16">
                  <c:v>-4.9121943759379993</c:v>
                </c:pt>
                <c:pt idx="17">
                  <c:v>-3.4752691791642607</c:v>
                </c:pt>
                <c:pt idx="18">
                  <c:v>-1.8173113631219304</c:v>
                </c:pt>
                <c:pt idx="19">
                  <c:v>6.1664989660925131E-2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BC-4BCB-AFF4-5A9A7471C99A}"/>
            </c:ext>
          </c:extLst>
        </c:ser>
        <c:ser>
          <c:idx val="2"/>
          <c:order val="2"/>
          <c:tx>
            <c:v>Série3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BC-4BCB-AFF4-5A9A7471C9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BC-4BCB-AFF4-5A9A7471C9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BC-4BCB-AFF4-5A9A7471C99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BC-4BCB-AFF4-5A9A7471C9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BC-4BCB-AFF4-5A9A7471C9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BC-4BCB-AFF4-5A9A7471C9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BC-4BCB-AFF4-5A9A7471C9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BC-4BCB-AFF4-5A9A7471C99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BC-4BCB-AFF4-5A9A7471C99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BC-4BCB-AFF4-5A9A7471C99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BC-4BCB-AFF4-5A9A7471C99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BC-4BCB-AFF4-5A9A7471C99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BC-4BCB-AFF4-5A9A7471C99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BC-4BCB-AFF4-5A9A7471C99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BC-4BCB-AFF4-5A9A7471C99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BC-4BCB-AFF4-5A9A7471C99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BC-4BCB-AFF4-5A9A7471C99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BC-4BCB-AFF4-5A9A7471C99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BC-4BCB-AFF4-5A9A7471C99A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Geometria!$M$591:$M$611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BC-4BCB-AFF4-5A9A7471C9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Momento</a:t>
            </a:r>
            <a:r>
              <a:rPr lang="pt-BR" sz="1200" baseline="0"/>
              <a:t> mínimo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7669402090054326E-2"/>
          <c:y val="0.10699308647225125"/>
          <c:w val="0.96855821877920589"/>
          <c:h val="0.8544966956795392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Geometria!$K$665:$K$685</c:f>
              <c:numCache>
                <c:formatCode>0.0</c:formatCode>
                <c:ptCount val="21"/>
                <c:pt idx="0">
                  <c:v>0</c:v>
                </c:pt>
                <c:pt idx="1">
                  <c:v>-6.4382962298767854</c:v>
                </c:pt>
                <c:pt idx="2">
                  <c:v>-7.4353117382077274</c:v>
                </c:pt>
                <c:pt idx="3">
                  <c:v>-5.946868310171463</c:v>
                </c:pt>
                <c:pt idx="4">
                  <c:v>-4.6567392798445102</c:v>
                </c:pt>
                <c:pt idx="5">
                  <c:v>-3.5649867309781627</c:v>
                </c:pt>
                <c:pt idx="6">
                  <c:v>-2.6716631510863498</c:v>
                </c:pt>
                <c:pt idx="7">
                  <c:v>-1.9768114539342077</c:v>
                </c:pt>
                <c:pt idx="8">
                  <c:v>-1.4804649978986095</c:v>
                </c:pt>
                <c:pt idx="9">
                  <c:v>-1.1826476002243249</c:v>
                </c:pt>
                <c:pt idx="10">
                  <c:v>-1.0833735471938803</c:v>
                </c:pt>
                <c:pt idx="11">
                  <c:v>-1.1826476002243249</c:v>
                </c:pt>
                <c:pt idx="12">
                  <c:v>-1.4804649978986113</c:v>
                </c:pt>
                <c:pt idx="13">
                  <c:v>-1.9768114539342072</c:v>
                </c:pt>
                <c:pt idx="14">
                  <c:v>-2.6716631510863453</c:v>
                </c:pt>
                <c:pt idx="15">
                  <c:v>-3.5649867309781529</c:v>
                </c:pt>
                <c:pt idx="16">
                  <c:v>-4.6567392798445022</c:v>
                </c:pt>
                <c:pt idx="17">
                  <c:v>-5.9468683101714523</c:v>
                </c:pt>
                <c:pt idx="18">
                  <c:v>-7.4353117382077141</c:v>
                </c:pt>
                <c:pt idx="19">
                  <c:v>-6.4382962298767685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C2-4731-B2C8-4BE0128D66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Geometria!$K$641:$K$661</c:f>
              <c:numCache>
                <c:formatCode>0.0</c:formatCode>
                <c:ptCount val="21"/>
                <c:pt idx="0">
                  <c:v>0</c:v>
                </c:pt>
                <c:pt idx="1">
                  <c:v>0.37864047107290194</c:v>
                </c:pt>
                <c:pt idx="2">
                  <c:v>-1.2167262404466208</c:v>
                </c:pt>
                <c:pt idx="3">
                  <c:v>-2.6244402553742452</c:v>
                </c:pt>
                <c:pt idx="4">
                  <c:v>-3.8444874911819098</c:v>
                </c:pt>
                <c:pt idx="5">
                  <c:v>-4.876855755187826</c:v>
                </c:pt>
                <c:pt idx="6">
                  <c:v>-5.7215347393235882</c:v>
                </c:pt>
                <c:pt idx="7">
                  <c:v>-6.3785160157176213</c:v>
                </c:pt>
                <c:pt idx="8">
                  <c:v>-6.8477930330893519</c:v>
                </c:pt>
                <c:pt idx="9">
                  <c:v>-7.1293611139494057</c:v>
                </c:pt>
                <c:pt idx="10">
                  <c:v>-7.2232174526023663</c:v>
                </c:pt>
                <c:pt idx="11">
                  <c:v>-7.1293611139494057</c:v>
                </c:pt>
                <c:pt idx="12">
                  <c:v>-6.8477930330893519</c:v>
                </c:pt>
                <c:pt idx="13">
                  <c:v>-6.3785160157176222</c:v>
                </c:pt>
                <c:pt idx="14">
                  <c:v>-5.7215347393235918</c:v>
                </c:pt>
                <c:pt idx="15">
                  <c:v>-4.876855755187834</c:v>
                </c:pt>
                <c:pt idx="16">
                  <c:v>-3.844487491181916</c:v>
                </c:pt>
                <c:pt idx="17">
                  <c:v>-2.6244402553742558</c:v>
                </c:pt>
                <c:pt idx="18">
                  <c:v>-1.2167262404466324</c:v>
                </c:pt>
                <c:pt idx="19">
                  <c:v>0.37864047107288934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C2-4731-B2C8-4BE0128D6625}"/>
            </c:ext>
          </c:extLst>
        </c:ser>
        <c:ser>
          <c:idx val="2"/>
          <c:order val="2"/>
          <c:tx>
            <c:v>Série3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Geometria!$M$591:$M$611</c:f>
              <c:numCache>
                <c:formatCode>0.0</c:formatCode>
                <c:ptCount val="21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-35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C2-4731-B2C8-4BE0128D66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9097488"/>
        <c:axId val="759091728"/>
      </c:lineChart>
      <c:catAx>
        <c:axId val="759097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091728"/>
        <c:crosses val="autoZero"/>
        <c:auto val="1"/>
        <c:lblAlgn val="ctr"/>
        <c:lblOffset val="100"/>
        <c:noMultiLvlLbl val="0"/>
      </c:catAx>
      <c:valAx>
        <c:axId val="75909172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7590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ELU-ATO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82200948694065E-3"/>
          <c:y val="6.677378051543531E-2"/>
          <c:w val="0.9908580390099162"/>
          <c:h val="0.87624800443564954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Geometria!$K$777:$K$797</c:f>
              <c:numCache>
                <c:formatCode>0.0</c:formatCode>
                <c:ptCount val="21"/>
                <c:pt idx="0">
                  <c:v>0</c:v>
                </c:pt>
                <c:pt idx="1">
                  <c:v>-9.4186990683655303</c:v>
                </c:pt>
                <c:pt idx="2">
                  <c:v>-11.903323270456392</c:v>
                </c:pt>
                <c:pt idx="3">
                  <c:v>-11.238662176962398</c:v>
                </c:pt>
                <c:pt idx="4">
                  <c:v>-10.662622562600943</c:v>
                </c:pt>
                <c:pt idx="5">
                  <c:v>-10.175204427372012</c:v>
                </c:pt>
                <c:pt idx="6">
                  <c:v>-9.7764077712756166</c:v>
                </c:pt>
                <c:pt idx="7">
                  <c:v>-9.4662325943117551</c:v>
                </c:pt>
                <c:pt idx="8">
                  <c:v>-9.2446788964804245</c:v>
                </c:pt>
                <c:pt idx="9">
                  <c:v>-9.1117466777816265</c:v>
                </c:pt>
                <c:pt idx="10">
                  <c:v>-9.0674359382153593</c:v>
                </c:pt>
                <c:pt idx="11">
                  <c:v>-9.1117466777816229</c:v>
                </c:pt>
                <c:pt idx="12">
                  <c:v>-9.2446788964804245</c:v>
                </c:pt>
                <c:pt idx="13">
                  <c:v>-9.4662325943117533</c:v>
                </c:pt>
                <c:pt idx="14">
                  <c:v>-9.7764077712756148</c:v>
                </c:pt>
                <c:pt idx="15">
                  <c:v>-10.175204427372009</c:v>
                </c:pt>
                <c:pt idx="16">
                  <c:v>-10.662622562600941</c:v>
                </c:pt>
                <c:pt idx="17">
                  <c:v>-11.238662176962395</c:v>
                </c:pt>
                <c:pt idx="18">
                  <c:v>-11.903323270456385</c:v>
                </c:pt>
                <c:pt idx="19">
                  <c:v>-9.4186990683655196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15-4636-A7A1-8DEADC9309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Geometria!$K$754:$K$774</c:f>
              <c:numCache>
                <c:formatCode>0.0</c:formatCode>
                <c:ptCount val="21"/>
                <c:pt idx="0">
                  <c:v>0</c:v>
                </c:pt>
                <c:pt idx="1">
                  <c:v>1.7608450514978127</c:v>
                </c:pt>
                <c:pt idx="2">
                  <c:v>0.96440487597263591</c:v>
                </c:pt>
                <c:pt idx="3">
                  <c:v>0.26166354462689106</c:v>
                </c:pt>
                <c:pt idx="4">
                  <c:v>-0.3473789425394202</c:v>
                </c:pt>
                <c:pt idx="5">
                  <c:v>-0.86272258552630088</c:v>
                </c:pt>
                <c:pt idx="6">
                  <c:v>-1.2843673843337469</c:v>
                </c:pt>
                <c:pt idx="7">
                  <c:v>-1.6123133389617605</c:v>
                </c:pt>
                <c:pt idx="8">
                  <c:v>-1.8465604494103409</c:v>
                </c:pt>
                <c:pt idx="9">
                  <c:v>-1.9871087156794902</c:v>
                </c:pt>
                <c:pt idx="10">
                  <c:v>-2.0339581377692082</c:v>
                </c:pt>
                <c:pt idx="11">
                  <c:v>-1.987108715679492</c:v>
                </c:pt>
                <c:pt idx="12">
                  <c:v>-1.8465604494103409</c:v>
                </c:pt>
                <c:pt idx="13">
                  <c:v>-1.6123133389617623</c:v>
                </c:pt>
                <c:pt idx="14">
                  <c:v>-1.2843673843337482</c:v>
                </c:pt>
                <c:pt idx="15">
                  <c:v>-0.86272258552630365</c:v>
                </c:pt>
                <c:pt idx="16">
                  <c:v>-0.34737894253942203</c:v>
                </c:pt>
                <c:pt idx="17">
                  <c:v>0.26166354462688785</c:v>
                </c:pt>
                <c:pt idx="18">
                  <c:v>0.96440487597263058</c:v>
                </c:pt>
                <c:pt idx="19">
                  <c:v>1.760845051497804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15-4636-A7A1-8DEADC9309F4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15-4636-A7A1-8DEADC9309F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15-4636-A7A1-8DEADC9309F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15-4636-A7A1-8DEADC9309F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15-4636-A7A1-8DEADC9309F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15-4636-A7A1-8DEADC9309F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15-4636-A7A1-8DEADC9309F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15-4636-A7A1-8DEADC9309F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15-4636-A7A1-8DEADC9309F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15-4636-A7A1-8DEADC9309F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15-4636-A7A1-8DEADC9309F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15-4636-A7A1-8DEADC9309F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15-4636-A7A1-8DEADC9309F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15-4636-A7A1-8DEADC9309F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15-4636-A7A1-8DEADC9309F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15-4636-A7A1-8DEADC9309F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15-4636-A7A1-8DEADC9309F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15-4636-A7A1-8DEADC9309F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15-4636-A7A1-8DEADC9309F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15-4636-A7A1-8DEADC9309F4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Geometria!$M$754:$M$774</c:f>
              <c:numCache>
                <c:formatCode>0.0</c:formatCode>
                <c:ptCount val="21"/>
                <c:pt idx="0">
                  <c:v>3.8519549300342844</c:v>
                </c:pt>
                <c:pt idx="1">
                  <c:v>3.8519549300342844</c:v>
                </c:pt>
                <c:pt idx="2">
                  <c:v>3.8519549300342844</c:v>
                </c:pt>
                <c:pt idx="3">
                  <c:v>3.8519549300342844</c:v>
                </c:pt>
                <c:pt idx="4">
                  <c:v>3.8519549300342844</c:v>
                </c:pt>
                <c:pt idx="5">
                  <c:v>3.8519549300342844</c:v>
                </c:pt>
                <c:pt idx="6">
                  <c:v>3.8519549300342844</c:v>
                </c:pt>
                <c:pt idx="7">
                  <c:v>3.8519549300342844</c:v>
                </c:pt>
                <c:pt idx="8">
                  <c:v>3.8519549300342844</c:v>
                </c:pt>
                <c:pt idx="9">
                  <c:v>3.8519549300342844</c:v>
                </c:pt>
                <c:pt idx="10">
                  <c:v>3.8519549300342844</c:v>
                </c:pt>
                <c:pt idx="11">
                  <c:v>3.8519549300342844</c:v>
                </c:pt>
                <c:pt idx="12">
                  <c:v>3.8519549300342844</c:v>
                </c:pt>
                <c:pt idx="13">
                  <c:v>3.8519549300342844</c:v>
                </c:pt>
                <c:pt idx="14">
                  <c:v>3.8519549300342844</c:v>
                </c:pt>
                <c:pt idx="15">
                  <c:v>3.8519549300342844</c:v>
                </c:pt>
                <c:pt idx="16">
                  <c:v>3.8519549300342844</c:v>
                </c:pt>
                <c:pt idx="17">
                  <c:v>3.8519549300342844</c:v>
                </c:pt>
                <c:pt idx="18">
                  <c:v>3.8519549300342844</c:v>
                </c:pt>
                <c:pt idx="19">
                  <c:v>3.8519549300342844</c:v>
                </c:pt>
                <c:pt idx="20">
                  <c:v>3.8519549300342844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15-4636-A7A1-8DEADC9309F4}"/>
            </c:ext>
          </c:extLst>
        </c:ser>
        <c:ser>
          <c:idx val="3"/>
          <c:order val="3"/>
          <c:tx>
            <c:v>série 4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15-4636-A7A1-8DEADC9309F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15-4636-A7A1-8DEADC9309F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115-4636-A7A1-8DEADC9309F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115-4636-A7A1-8DEADC9309F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115-4636-A7A1-8DEADC9309F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115-4636-A7A1-8DEADC9309F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115-4636-A7A1-8DEADC9309F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115-4636-A7A1-8DEADC9309F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115-4636-A7A1-8DEADC9309F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115-4636-A7A1-8DEADC9309F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115-4636-A7A1-8DEADC9309F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115-4636-A7A1-8DEADC9309F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115-4636-A7A1-8DEADC9309F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115-4636-A7A1-8DEADC9309F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115-4636-A7A1-8DEADC9309F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115-4636-A7A1-8DEADC9309F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115-4636-A7A1-8DEADC9309F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115-4636-A7A1-8DEADC9309F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115-4636-A7A1-8DEADC9309F4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Geometria!$M$777:$M$797</c:f>
              <c:numCache>
                <c:formatCode>0.0</c:formatCode>
                <c:ptCount val="21"/>
                <c:pt idx="0">
                  <c:v>-24.5</c:v>
                </c:pt>
                <c:pt idx="1">
                  <c:v>-24.5</c:v>
                </c:pt>
                <c:pt idx="2">
                  <c:v>-24.5</c:v>
                </c:pt>
                <c:pt idx="3">
                  <c:v>-24.5</c:v>
                </c:pt>
                <c:pt idx="4">
                  <c:v>-24.5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A115-4636-A7A1-8DEADC930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37887"/>
        <c:axId val="116038367"/>
      </c:lineChart>
      <c:catAx>
        <c:axId val="1160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38367"/>
        <c:crosses val="autoZero"/>
        <c:auto val="1"/>
        <c:lblAlgn val="ctr"/>
        <c:lblOffset val="100"/>
        <c:noMultiLvlLbl val="0"/>
      </c:catAx>
      <c:valAx>
        <c:axId val="11603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160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27788816117611E-2"/>
          <c:y val="7.7135019689386214E-2"/>
          <c:w val="0.91527003049852418"/>
          <c:h val="0.8175301262576196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VI'!$B$6:$B$362</c:f>
              <c:numCache>
                <c:formatCode>0.000</c:formatCode>
                <c:ptCount val="357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122.85</c:v>
                </c:pt>
                <c:pt idx="9">
                  <c:v>122.85</c:v>
                </c:pt>
                <c:pt idx="10">
                  <c:v>121.5</c:v>
                </c:pt>
                <c:pt idx="11">
                  <c:v>121.5</c:v>
                </c:pt>
                <c:pt idx="12">
                  <c:v>124.5</c:v>
                </c:pt>
                <c:pt idx="13">
                  <c:v>124.31</c:v>
                </c:pt>
                <c:pt idx="14">
                  <c:v>123.55</c:v>
                </c:pt>
                <c:pt idx="15">
                  <c:v>111.05</c:v>
                </c:pt>
                <c:pt idx="16">
                  <c:v>111.05</c:v>
                </c:pt>
                <c:pt idx="17">
                  <c:v>114.1</c:v>
                </c:pt>
                <c:pt idx="18">
                  <c:v>117.25</c:v>
                </c:pt>
                <c:pt idx="19">
                  <c:v>117.25</c:v>
                </c:pt>
                <c:pt idx="20">
                  <c:v>117.18</c:v>
                </c:pt>
                <c:pt idx="21">
                  <c:v>116.92</c:v>
                </c:pt>
                <c:pt idx="22">
                  <c:v>116.43</c:v>
                </c:pt>
                <c:pt idx="23">
                  <c:v>115.87</c:v>
                </c:pt>
                <c:pt idx="24">
                  <c:v>115.23</c:v>
                </c:pt>
                <c:pt idx="25">
                  <c:v>114.55</c:v>
                </c:pt>
                <c:pt idx="26">
                  <c:v>113.9</c:v>
                </c:pt>
                <c:pt idx="27">
                  <c:v>113.18</c:v>
                </c:pt>
                <c:pt idx="28">
                  <c:v>112.59</c:v>
                </c:pt>
                <c:pt idx="29">
                  <c:v>111.97</c:v>
                </c:pt>
                <c:pt idx="30">
                  <c:v>111.3</c:v>
                </c:pt>
                <c:pt idx="31">
                  <c:v>110.7</c:v>
                </c:pt>
                <c:pt idx="32">
                  <c:v>110.03</c:v>
                </c:pt>
                <c:pt idx="33">
                  <c:v>109.41</c:v>
                </c:pt>
                <c:pt idx="34">
                  <c:v>108.82</c:v>
                </c:pt>
                <c:pt idx="35">
                  <c:v>108.1</c:v>
                </c:pt>
                <c:pt idx="36">
                  <c:v>107.45</c:v>
                </c:pt>
                <c:pt idx="37">
                  <c:v>106.77</c:v>
                </c:pt>
                <c:pt idx="38">
                  <c:v>106.13</c:v>
                </c:pt>
                <c:pt idx="39">
                  <c:v>105.57</c:v>
                </c:pt>
                <c:pt idx="40">
                  <c:v>105.08</c:v>
                </c:pt>
                <c:pt idx="41">
                  <c:v>104.82</c:v>
                </c:pt>
                <c:pt idx="42">
                  <c:v>104.75</c:v>
                </c:pt>
                <c:pt idx="43">
                  <c:v>104.75</c:v>
                </c:pt>
                <c:pt idx="44">
                  <c:v>107.9</c:v>
                </c:pt>
                <c:pt idx="45">
                  <c:v>111</c:v>
                </c:pt>
                <c:pt idx="46">
                  <c:v>111</c:v>
                </c:pt>
                <c:pt idx="47">
                  <c:v>94.8</c:v>
                </c:pt>
                <c:pt idx="48">
                  <c:v>94.8</c:v>
                </c:pt>
                <c:pt idx="49">
                  <c:v>97.85</c:v>
                </c:pt>
                <c:pt idx="50">
                  <c:v>101</c:v>
                </c:pt>
                <c:pt idx="51">
                  <c:v>101</c:v>
                </c:pt>
                <c:pt idx="52">
                  <c:v>100.93</c:v>
                </c:pt>
                <c:pt idx="53">
                  <c:v>100.67</c:v>
                </c:pt>
                <c:pt idx="54">
                  <c:v>100.18</c:v>
                </c:pt>
                <c:pt idx="55">
                  <c:v>99.62</c:v>
                </c:pt>
                <c:pt idx="56">
                  <c:v>98.98</c:v>
                </c:pt>
                <c:pt idx="57">
                  <c:v>98.3</c:v>
                </c:pt>
                <c:pt idx="58">
                  <c:v>97.65</c:v>
                </c:pt>
                <c:pt idx="59">
                  <c:v>96.93</c:v>
                </c:pt>
                <c:pt idx="60">
                  <c:v>96.34</c:v>
                </c:pt>
                <c:pt idx="61">
                  <c:v>95.72</c:v>
                </c:pt>
                <c:pt idx="62">
                  <c:v>95.05</c:v>
                </c:pt>
                <c:pt idx="63">
                  <c:v>94.45</c:v>
                </c:pt>
                <c:pt idx="64">
                  <c:v>93.78</c:v>
                </c:pt>
                <c:pt idx="65">
                  <c:v>93.16</c:v>
                </c:pt>
                <c:pt idx="66">
                  <c:v>92.57</c:v>
                </c:pt>
                <c:pt idx="67">
                  <c:v>91.85</c:v>
                </c:pt>
                <c:pt idx="68">
                  <c:v>91.2</c:v>
                </c:pt>
                <c:pt idx="69">
                  <c:v>90.52</c:v>
                </c:pt>
                <c:pt idx="70">
                  <c:v>89.88</c:v>
                </c:pt>
                <c:pt idx="71">
                  <c:v>89.32</c:v>
                </c:pt>
                <c:pt idx="72">
                  <c:v>88.83</c:v>
                </c:pt>
                <c:pt idx="73">
                  <c:v>88.57</c:v>
                </c:pt>
                <c:pt idx="74">
                  <c:v>88.5</c:v>
                </c:pt>
                <c:pt idx="75">
                  <c:v>88.5</c:v>
                </c:pt>
                <c:pt idx="76">
                  <c:v>91.65</c:v>
                </c:pt>
                <c:pt idx="77">
                  <c:v>94.75</c:v>
                </c:pt>
                <c:pt idx="78">
                  <c:v>94.75</c:v>
                </c:pt>
                <c:pt idx="79">
                  <c:v>78.55</c:v>
                </c:pt>
                <c:pt idx="80">
                  <c:v>78.55</c:v>
                </c:pt>
                <c:pt idx="81">
                  <c:v>81.599999999999994</c:v>
                </c:pt>
                <c:pt idx="82">
                  <c:v>84.75</c:v>
                </c:pt>
                <c:pt idx="83">
                  <c:v>84.75</c:v>
                </c:pt>
                <c:pt idx="84">
                  <c:v>84.68</c:v>
                </c:pt>
                <c:pt idx="85">
                  <c:v>84.42</c:v>
                </c:pt>
                <c:pt idx="86">
                  <c:v>83.93</c:v>
                </c:pt>
                <c:pt idx="87">
                  <c:v>83.37</c:v>
                </c:pt>
                <c:pt idx="88">
                  <c:v>82.73</c:v>
                </c:pt>
                <c:pt idx="89">
                  <c:v>82.05</c:v>
                </c:pt>
                <c:pt idx="90">
                  <c:v>81.400000000000006</c:v>
                </c:pt>
                <c:pt idx="91">
                  <c:v>80.680000000000007</c:v>
                </c:pt>
                <c:pt idx="92">
                  <c:v>80.09</c:v>
                </c:pt>
                <c:pt idx="93">
                  <c:v>79.47</c:v>
                </c:pt>
                <c:pt idx="94">
                  <c:v>78.8</c:v>
                </c:pt>
                <c:pt idx="95">
                  <c:v>78.2</c:v>
                </c:pt>
                <c:pt idx="96">
                  <c:v>77.53</c:v>
                </c:pt>
                <c:pt idx="97">
                  <c:v>76.91</c:v>
                </c:pt>
                <c:pt idx="98">
                  <c:v>76.319999999999993</c:v>
                </c:pt>
                <c:pt idx="99">
                  <c:v>75.599999999999994</c:v>
                </c:pt>
                <c:pt idx="100">
                  <c:v>74.95</c:v>
                </c:pt>
                <c:pt idx="101">
                  <c:v>74.27</c:v>
                </c:pt>
                <c:pt idx="102">
                  <c:v>73.63</c:v>
                </c:pt>
                <c:pt idx="103">
                  <c:v>73.069999999999993</c:v>
                </c:pt>
                <c:pt idx="104">
                  <c:v>72.58</c:v>
                </c:pt>
                <c:pt idx="105">
                  <c:v>72.319999999999993</c:v>
                </c:pt>
                <c:pt idx="106">
                  <c:v>72.25</c:v>
                </c:pt>
                <c:pt idx="107">
                  <c:v>72.25</c:v>
                </c:pt>
                <c:pt idx="108">
                  <c:v>75.400000000000006</c:v>
                </c:pt>
                <c:pt idx="109">
                  <c:v>78.5</c:v>
                </c:pt>
                <c:pt idx="110">
                  <c:v>78.5</c:v>
                </c:pt>
                <c:pt idx="111">
                  <c:v>62.3</c:v>
                </c:pt>
                <c:pt idx="112">
                  <c:v>62.3</c:v>
                </c:pt>
                <c:pt idx="113">
                  <c:v>65.349999999999994</c:v>
                </c:pt>
                <c:pt idx="114">
                  <c:v>68.5</c:v>
                </c:pt>
                <c:pt idx="115">
                  <c:v>68.5</c:v>
                </c:pt>
                <c:pt idx="116">
                  <c:v>68.430000000000007</c:v>
                </c:pt>
                <c:pt idx="117">
                  <c:v>68.17</c:v>
                </c:pt>
                <c:pt idx="118">
                  <c:v>67.680000000000007</c:v>
                </c:pt>
                <c:pt idx="119">
                  <c:v>67.12</c:v>
                </c:pt>
                <c:pt idx="120">
                  <c:v>66.48</c:v>
                </c:pt>
                <c:pt idx="121">
                  <c:v>65.8</c:v>
                </c:pt>
                <c:pt idx="122">
                  <c:v>65.150000000000006</c:v>
                </c:pt>
                <c:pt idx="123">
                  <c:v>64.430000000000007</c:v>
                </c:pt>
                <c:pt idx="124">
                  <c:v>63.84</c:v>
                </c:pt>
                <c:pt idx="125">
                  <c:v>63.22</c:v>
                </c:pt>
                <c:pt idx="126">
                  <c:v>62.55</c:v>
                </c:pt>
                <c:pt idx="127">
                  <c:v>61.95</c:v>
                </c:pt>
                <c:pt idx="128">
                  <c:v>61.28</c:v>
                </c:pt>
                <c:pt idx="129">
                  <c:v>60.66</c:v>
                </c:pt>
                <c:pt idx="130">
                  <c:v>60.069999999999993</c:v>
                </c:pt>
                <c:pt idx="131">
                  <c:v>59.349999999999994</c:v>
                </c:pt>
                <c:pt idx="132">
                  <c:v>58.7</c:v>
                </c:pt>
                <c:pt idx="133">
                  <c:v>58.019999999999996</c:v>
                </c:pt>
                <c:pt idx="134">
                  <c:v>57.379999999999995</c:v>
                </c:pt>
                <c:pt idx="135">
                  <c:v>56.819999999999993</c:v>
                </c:pt>
                <c:pt idx="136">
                  <c:v>56.33</c:v>
                </c:pt>
                <c:pt idx="137">
                  <c:v>56.069999999999993</c:v>
                </c:pt>
                <c:pt idx="138">
                  <c:v>56</c:v>
                </c:pt>
                <c:pt idx="139">
                  <c:v>56</c:v>
                </c:pt>
                <c:pt idx="140">
                  <c:v>59.150000000000006</c:v>
                </c:pt>
                <c:pt idx="141">
                  <c:v>62.25</c:v>
                </c:pt>
                <c:pt idx="142">
                  <c:v>62.25</c:v>
                </c:pt>
                <c:pt idx="143">
                  <c:v>46.05</c:v>
                </c:pt>
                <c:pt idx="144">
                  <c:v>46.05</c:v>
                </c:pt>
                <c:pt idx="145">
                  <c:v>49.099999999999994</c:v>
                </c:pt>
                <c:pt idx="146">
                  <c:v>52.25</c:v>
                </c:pt>
                <c:pt idx="147">
                  <c:v>52.25</c:v>
                </c:pt>
                <c:pt idx="148">
                  <c:v>52.180000000000007</c:v>
                </c:pt>
                <c:pt idx="149">
                  <c:v>51.92</c:v>
                </c:pt>
                <c:pt idx="150">
                  <c:v>51.430000000000007</c:v>
                </c:pt>
                <c:pt idx="151">
                  <c:v>50.870000000000005</c:v>
                </c:pt>
                <c:pt idx="152">
                  <c:v>50.230000000000004</c:v>
                </c:pt>
                <c:pt idx="153">
                  <c:v>49.55</c:v>
                </c:pt>
                <c:pt idx="154">
                  <c:v>48.900000000000006</c:v>
                </c:pt>
                <c:pt idx="155">
                  <c:v>48.180000000000007</c:v>
                </c:pt>
                <c:pt idx="156">
                  <c:v>47.59</c:v>
                </c:pt>
                <c:pt idx="157">
                  <c:v>46.97</c:v>
                </c:pt>
                <c:pt idx="158">
                  <c:v>46.3</c:v>
                </c:pt>
                <c:pt idx="159">
                  <c:v>45.7</c:v>
                </c:pt>
                <c:pt idx="160">
                  <c:v>45.03</c:v>
                </c:pt>
                <c:pt idx="161">
                  <c:v>44.41</c:v>
                </c:pt>
                <c:pt idx="162">
                  <c:v>43.819999999999993</c:v>
                </c:pt>
                <c:pt idx="163">
                  <c:v>43.099999999999994</c:v>
                </c:pt>
                <c:pt idx="164">
                  <c:v>42.45</c:v>
                </c:pt>
                <c:pt idx="165">
                  <c:v>41.769999999999996</c:v>
                </c:pt>
                <c:pt idx="166">
                  <c:v>41.129999999999995</c:v>
                </c:pt>
                <c:pt idx="167">
                  <c:v>40.569999999999993</c:v>
                </c:pt>
                <c:pt idx="168">
                  <c:v>40.08</c:v>
                </c:pt>
                <c:pt idx="169">
                  <c:v>39.819999999999993</c:v>
                </c:pt>
                <c:pt idx="170">
                  <c:v>39.75</c:v>
                </c:pt>
                <c:pt idx="171">
                  <c:v>39.75</c:v>
                </c:pt>
                <c:pt idx="172">
                  <c:v>42.900000000000006</c:v>
                </c:pt>
                <c:pt idx="173">
                  <c:v>46</c:v>
                </c:pt>
                <c:pt idx="174">
                  <c:v>46</c:v>
                </c:pt>
                <c:pt idx="175">
                  <c:v>29.799999999999997</c:v>
                </c:pt>
                <c:pt idx="176">
                  <c:v>29.799999999999997</c:v>
                </c:pt>
                <c:pt idx="177">
                  <c:v>32.849999999999994</c:v>
                </c:pt>
                <c:pt idx="178">
                  <c:v>36</c:v>
                </c:pt>
                <c:pt idx="179">
                  <c:v>36</c:v>
                </c:pt>
                <c:pt idx="180">
                  <c:v>35.930000000000007</c:v>
                </c:pt>
                <c:pt idx="181">
                  <c:v>35.67</c:v>
                </c:pt>
                <c:pt idx="182">
                  <c:v>35.180000000000007</c:v>
                </c:pt>
                <c:pt idx="183">
                  <c:v>34.620000000000005</c:v>
                </c:pt>
                <c:pt idx="184">
                  <c:v>33.980000000000004</c:v>
                </c:pt>
                <c:pt idx="185">
                  <c:v>33.299999999999997</c:v>
                </c:pt>
                <c:pt idx="186">
                  <c:v>32.650000000000006</c:v>
                </c:pt>
                <c:pt idx="187">
                  <c:v>31.930000000000007</c:v>
                </c:pt>
                <c:pt idx="188">
                  <c:v>31.340000000000003</c:v>
                </c:pt>
                <c:pt idx="189">
                  <c:v>30.72</c:v>
                </c:pt>
                <c:pt idx="190">
                  <c:v>30.049999999999997</c:v>
                </c:pt>
                <c:pt idx="191">
                  <c:v>29.450000000000003</c:v>
                </c:pt>
                <c:pt idx="192">
                  <c:v>28.78</c:v>
                </c:pt>
                <c:pt idx="193">
                  <c:v>28.159999999999997</c:v>
                </c:pt>
                <c:pt idx="194">
                  <c:v>27.569999999999993</c:v>
                </c:pt>
                <c:pt idx="195">
                  <c:v>26.849999999999994</c:v>
                </c:pt>
                <c:pt idx="196">
                  <c:v>26.200000000000003</c:v>
                </c:pt>
                <c:pt idx="197">
                  <c:v>25.519999999999996</c:v>
                </c:pt>
                <c:pt idx="198">
                  <c:v>24.879999999999995</c:v>
                </c:pt>
                <c:pt idx="199">
                  <c:v>24.319999999999993</c:v>
                </c:pt>
                <c:pt idx="200">
                  <c:v>23.83</c:v>
                </c:pt>
                <c:pt idx="201">
                  <c:v>23.569999999999993</c:v>
                </c:pt>
                <c:pt idx="202">
                  <c:v>23.5</c:v>
                </c:pt>
                <c:pt idx="203">
                  <c:v>23.5</c:v>
                </c:pt>
                <c:pt idx="204">
                  <c:v>26.650000000000006</c:v>
                </c:pt>
                <c:pt idx="205">
                  <c:v>29.75</c:v>
                </c:pt>
                <c:pt idx="206">
                  <c:v>29.75</c:v>
                </c:pt>
                <c:pt idx="207">
                  <c:v>13.549999999999997</c:v>
                </c:pt>
                <c:pt idx="208">
                  <c:v>13.549999999999997</c:v>
                </c:pt>
                <c:pt idx="209">
                  <c:v>16.599999999999994</c:v>
                </c:pt>
                <c:pt idx="210">
                  <c:v>19.75</c:v>
                </c:pt>
                <c:pt idx="211">
                  <c:v>19.75</c:v>
                </c:pt>
                <c:pt idx="212">
                  <c:v>19.680000000000007</c:v>
                </c:pt>
                <c:pt idx="213">
                  <c:v>19.420000000000002</c:v>
                </c:pt>
                <c:pt idx="214">
                  <c:v>18.930000000000007</c:v>
                </c:pt>
                <c:pt idx="215">
                  <c:v>18.370000000000005</c:v>
                </c:pt>
                <c:pt idx="216">
                  <c:v>17.730000000000004</c:v>
                </c:pt>
                <c:pt idx="217">
                  <c:v>17.049999999999997</c:v>
                </c:pt>
                <c:pt idx="218">
                  <c:v>16.400000000000006</c:v>
                </c:pt>
                <c:pt idx="219">
                  <c:v>15.680000000000007</c:v>
                </c:pt>
                <c:pt idx="220">
                  <c:v>15.090000000000003</c:v>
                </c:pt>
                <c:pt idx="221">
                  <c:v>14.469999999999999</c:v>
                </c:pt>
                <c:pt idx="222">
                  <c:v>13.799999999999997</c:v>
                </c:pt>
                <c:pt idx="223">
                  <c:v>13.200000000000003</c:v>
                </c:pt>
                <c:pt idx="224">
                  <c:v>12.530000000000001</c:v>
                </c:pt>
                <c:pt idx="225">
                  <c:v>11.909999999999997</c:v>
                </c:pt>
                <c:pt idx="226">
                  <c:v>11.319999999999993</c:v>
                </c:pt>
                <c:pt idx="227">
                  <c:v>10.599999999999994</c:v>
                </c:pt>
                <c:pt idx="228">
                  <c:v>9.9500000000000028</c:v>
                </c:pt>
                <c:pt idx="229">
                  <c:v>9.269999999999996</c:v>
                </c:pt>
                <c:pt idx="230">
                  <c:v>8.6299999999999955</c:v>
                </c:pt>
                <c:pt idx="231">
                  <c:v>8.0699999999999932</c:v>
                </c:pt>
                <c:pt idx="232">
                  <c:v>7.5799999999999983</c:v>
                </c:pt>
                <c:pt idx="233">
                  <c:v>7.3199999999999932</c:v>
                </c:pt>
                <c:pt idx="234">
                  <c:v>7.25</c:v>
                </c:pt>
                <c:pt idx="235">
                  <c:v>7.25</c:v>
                </c:pt>
                <c:pt idx="236">
                  <c:v>10.4</c:v>
                </c:pt>
                <c:pt idx="237">
                  <c:v>13.5</c:v>
                </c:pt>
                <c:pt idx="238">
                  <c:v>13.5</c:v>
                </c:pt>
                <c:pt idx="239">
                  <c:v>0.95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xVal>
          <c:yVal>
            <c:numRef>
              <c:f>'Propriedades geométricas VI'!$C$6:$C$362</c:f>
              <c:numCache>
                <c:formatCode>0.000</c:formatCode>
                <c:ptCount val="357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19</c:v>
                </c:pt>
                <c:pt idx="6">
                  <c:v>21.5</c:v>
                </c:pt>
                <c:pt idx="7">
                  <c:v>25</c:v>
                </c:pt>
                <c:pt idx="8">
                  <c:v>25</c:v>
                </c:pt>
                <c:pt idx="9">
                  <c:v>21.5</c:v>
                </c:pt>
                <c:pt idx="10">
                  <c:v>19</c:v>
                </c:pt>
                <c:pt idx="11">
                  <c:v>5</c:v>
                </c:pt>
                <c:pt idx="12">
                  <c:v>2.2000000000000002</c:v>
                </c:pt>
                <c:pt idx="13">
                  <c:v>0.76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5.8</c:v>
                </c:pt>
                <c:pt idx="19">
                  <c:v>15.75</c:v>
                </c:pt>
                <c:pt idx="20">
                  <c:v>16.66</c:v>
                </c:pt>
                <c:pt idx="21">
                  <c:v>17.760000000000002</c:v>
                </c:pt>
                <c:pt idx="22">
                  <c:v>18.84</c:v>
                </c:pt>
                <c:pt idx="23">
                  <c:v>19.66</c:v>
                </c:pt>
                <c:pt idx="24">
                  <c:v>20.350000000000001</c:v>
                </c:pt>
                <c:pt idx="25">
                  <c:v>20.89</c:v>
                </c:pt>
                <c:pt idx="26">
                  <c:v>21.29</c:v>
                </c:pt>
                <c:pt idx="27">
                  <c:v>21.61</c:v>
                </c:pt>
                <c:pt idx="28">
                  <c:v>21.79</c:v>
                </c:pt>
                <c:pt idx="29">
                  <c:v>21.92</c:v>
                </c:pt>
                <c:pt idx="30">
                  <c:v>21.99</c:v>
                </c:pt>
                <c:pt idx="31">
                  <c:v>21.99</c:v>
                </c:pt>
                <c:pt idx="32">
                  <c:v>21.92</c:v>
                </c:pt>
                <c:pt idx="33">
                  <c:v>21.79</c:v>
                </c:pt>
                <c:pt idx="34">
                  <c:v>21.61</c:v>
                </c:pt>
                <c:pt idx="35">
                  <c:v>21.29</c:v>
                </c:pt>
                <c:pt idx="36">
                  <c:v>20.89</c:v>
                </c:pt>
                <c:pt idx="37">
                  <c:v>20.350000000000001</c:v>
                </c:pt>
                <c:pt idx="38">
                  <c:v>19.66</c:v>
                </c:pt>
                <c:pt idx="39">
                  <c:v>18.84</c:v>
                </c:pt>
                <c:pt idx="40">
                  <c:v>17.760000000000002</c:v>
                </c:pt>
                <c:pt idx="41">
                  <c:v>16.66</c:v>
                </c:pt>
                <c:pt idx="42">
                  <c:v>15.75</c:v>
                </c:pt>
                <c:pt idx="43">
                  <c:v>5.8</c:v>
                </c:pt>
                <c:pt idx="44">
                  <c:v>3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5.8</c:v>
                </c:pt>
                <c:pt idx="51">
                  <c:v>15.75</c:v>
                </c:pt>
                <c:pt idx="52">
                  <c:v>16.66</c:v>
                </c:pt>
                <c:pt idx="53">
                  <c:v>17.760000000000002</c:v>
                </c:pt>
                <c:pt idx="54">
                  <c:v>18.84</c:v>
                </c:pt>
                <c:pt idx="55">
                  <c:v>19.66</c:v>
                </c:pt>
                <c:pt idx="56">
                  <c:v>20.350000000000001</c:v>
                </c:pt>
                <c:pt idx="57">
                  <c:v>20.89</c:v>
                </c:pt>
                <c:pt idx="58">
                  <c:v>21.29</c:v>
                </c:pt>
                <c:pt idx="59">
                  <c:v>21.61</c:v>
                </c:pt>
                <c:pt idx="60">
                  <c:v>21.79</c:v>
                </c:pt>
                <c:pt idx="61">
                  <c:v>21.92</c:v>
                </c:pt>
                <c:pt idx="62">
                  <c:v>21.99</c:v>
                </c:pt>
                <c:pt idx="63">
                  <c:v>21.99</c:v>
                </c:pt>
                <c:pt idx="64">
                  <c:v>21.92</c:v>
                </c:pt>
                <c:pt idx="65">
                  <c:v>21.79</c:v>
                </c:pt>
                <c:pt idx="66">
                  <c:v>21.61</c:v>
                </c:pt>
                <c:pt idx="67">
                  <c:v>21.29</c:v>
                </c:pt>
                <c:pt idx="68">
                  <c:v>20.89</c:v>
                </c:pt>
                <c:pt idx="69">
                  <c:v>20.350000000000001</c:v>
                </c:pt>
                <c:pt idx="70">
                  <c:v>19.66</c:v>
                </c:pt>
                <c:pt idx="71">
                  <c:v>18.84</c:v>
                </c:pt>
                <c:pt idx="72">
                  <c:v>17.760000000000002</c:v>
                </c:pt>
                <c:pt idx="73">
                  <c:v>16.66</c:v>
                </c:pt>
                <c:pt idx="74">
                  <c:v>15.75</c:v>
                </c:pt>
                <c:pt idx="75">
                  <c:v>5.8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3</c:v>
                </c:pt>
                <c:pt idx="82">
                  <c:v>5.8</c:v>
                </c:pt>
                <c:pt idx="83">
                  <c:v>15.75</c:v>
                </c:pt>
                <c:pt idx="84">
                  <c:v>16.66</c:v>
                </c:pt>
                <c:pt idx="85">
                  <c:v>17.760000000000002</c:v>
                </c:pt>
                <c:pt idx="86">
                  <c:v>18.84</c:v>
                </c:pt>
                <c:pt idx="87">
                  <c:v>19.66</c:v>
                </c:pt>
                <c:pt idx="88">
                  <c:v>20.350000000000001</c:v>
                </c:pt>
                <c:pt idx="89">
                  <c:v>20.89</c:v>
                </c:pt>
                <c:pt idx="90">
                  <c:v>21.29</c:v>
                </c:pt>
                <c:pt idx="91">
                  <c:v>21.61</c:v>
                </c:pt>
                <c:pt idx="92">
                  <c:v>21.79</c:v>
                </c:pt>
                <c:pt idx="93">
                  <c:v>21.92</c:v>
                </c:pt>
                <c:pt idx="94">
                  <c:v>21.99</c:v>
                </c:pt>
                <c:pt idx="95">
                  <c:v>21.99</c:v>
                </c:pt>
                <c:pt idx="96">
                  <c:v>21.92</c:v>
                </c:pt>
                <c:pt idx="97">
                  <c:v>21.79</c:v>
                </c:pt>
                <c:pt idx="98">
                  <c:v>21.61</c:v>
                </c:pt>
                <c:pt idx="99">
                  <c:v>21.29</c:v>
                </c:pt>
                <c:pt idx="100">
                  <c:v>20.89</c:v>
                </c:pt>
                <c:pt idx="101">
                  <c:v>20.350000000000001</c:v>
                </c:pt>
                <c:pt idx="102">
                  <c:v>19.66</c:v>
                </c:pt>
                <c:pt idx="103">
                  <c:v>18.84</c:v>
                </c:pt>
                <c:pt idx="104">
                  <c:v>17.760000000000002</c:v>
                </c:pt>
                <c:pt idx="105">
                  <c:v>16.66</c:v>
                </c:pt>
                <c:pt idx="106">
                  <c:v>15.75</c:v>
                </c:pt>
                <c:pt idx="107">
                  <c:v>5.8</c:v>
                </c:pt>
                <c:pt idx="108">
                  <c:v>3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3</c:v>
                </c:pt>
                <c:pt idx="113">
                  <c:v>3</c:v>
                </c:pt>
                <c:pt idx="114">
                  <c:v>5.8</c:v>
                </c:pt>
                <c:pt idx="115">
                  <c:v>15.75</c:v>
                </c:pt>
                <c:pt idx="116">
                  <c:v>16.66</c:v>
                </c:pt>
                <c:pt idx="117">
                  <c:v>17.760000000000002</c:v>
                </c:pt>
                <c:pt idx="118">
                  <c:v>18.84</c:v>
                </c:pt>
                <c:pt idx="119">
                  <c:v>19.66</c:v>
                </c:pt>
                <c:pt idx="120">
                  <c:v>20.350000000000001</c:v>
                </c:pt>
                <c:pt idx="121">
                  <c:v>20.89</c:v>
                </c:pt>
                <c:pt idx="122">
                  <c:v>21.29</c:v>
                </c:pt>
                <c:pt idx="123">
                  <c:v>21.61</c:v>
                </c:pt>
                <c:pt idx="124">
                  <c:v>21.79</c:v>
                </c:pt>
                <c:pt idx="125">
                  <c:v>21.92</c:v>
                </c:pt>
                <c:pt idx="126">
                  <c:v>21.99</c:v>
                </c:pt>
                <c:pt idx="127">
                  <c:v>21.99</c:v>
                </c:pt>
                <c:pt idx="128">
                  <c:v>21.92</c:v>
                </c:pt>
                <c:pt idx="129">
                  <c:v>21.79</c:v>
                </c:pt>
                <c:pt idx="130">
                  <c:v>21.61</c:v>
                </c:pt>
                <c:pt idx="131">
                  <c:v>21.29</c:v>
                </c:pt>
                <c:pt idx="132">
                  <c:v>20.89</c:v>
                </c:pt>
                <c:pt idx="133">
                  <c:v>20.350000000000001</c:v>
                </c:pt>
                <c:pt idx="134">
                  <c:v>19.66</c:v>
                </c:pt>
                <c:pt idx="135">
                  <c:v>18.84</c:v>
                </c:pt>
                <c:pt idx="136">
                  <c:v>17.760000000000002</c:v>
                </c:pt>
                <c:pt idx="137">
                  <c:v>16.66</c:v>
                </c:pt>
                <c:pt idx="138">
                  <c:v>15.75</c:v>
                </c:pt>
                <c:pt idx="139">
                  <c:v>5.8</c:v>
                </c:pt>
                <c:pt idx="140">
                  <c:v>3</c:v>
                </c:pt>
                <c:pt idx="141">
                  <c:v>3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3</c:v>
                </c:pt>
                <c:pt idx="146">
                  <c:v>5.8</c:v>
                </c:pt>
                <c:pt idx="147">
                  <c:v>15.75</c:v>
                </c:pt>
                <c:pt idx="148">
                  <c:v>16.66</c:v>
                </c:pt>
                <c:pt idx="149">
                  <c:v>17.760000000000002</c:v>
                </c:pt>
                <c:pt idx="150">
                  <c:v>18.84</c:v>
                </c:pt>
                <c:pt idx="151">
                  <c:v>19.66</c:v>
                </c:pt>
                <c:pt idx="152">
                  <c:v>20.350000000000001</c:v>
                </c:pt>
                <c:pt idx="153">
                  <c:v>20.89</c:v>
                </c:pt>
                <c:pt idx="154">
                  <c:v>21.29</c:v>
                </c:pt>
                <c:pt idx="155">
                  <c:v>21.61</c:v>
                </c:pt>
                <c:pt idx="156">
                  <c:v>21.79</c:v>
                </c:pt>
                <c:pt idx="157">
                  <c:v>21.92</c:v>
                </c:pt>
                <c:pt idx="158">
                  <c:v>21.99</c:v>
                </c:pt>
                <c:pt idx="159">
                  <c:v>21.99</c:v>
                </c:pt>
                <c:pt idx="160">
                  <c:v>21.92</c:v>
                </c:pt>
                <c:pt idx="161">
                  <c:v>21.79</c:v>
                </c:pt>
                <c:pt idx="162">
                  <c:v>21.61</c:v>
                </c:pt>
                <c:pt idx="163">
                  <c:v>21.29</c:v>
                </c:pt>
                <c:pt idx="164">
                  <c:v>20.89</c:v>
                </c:pt>
                <c:pt idx="165">
                  <c:v>20.350000000000001</c:v>
                </c:pt>
                <c:pt idx="166">
                  <c:v>19.66</c:v>
                </c:pt>
                <c:pt idx="167">
                  <c:v>18.84</c:v>
                </c:pt>
                <c:pt idx="168">
                  <c:v>17.760000000000002</c:v>
                </c:pt>
                <c:pt idx="169">
                  <c:v>16.66</c:v>
                </c:pt>
                <c:pt idx="170">
                  <c:v>15.75</c:v>
                </c:pt>
                <c:pt idx="171">
                  <c:v>5.8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3</c:v>
                </c:pt>
                <c:pt idx="178">
                  <c:v>5.8</c:v>
                </c:pt>
                <c:pt idx="179">
                  <c:v>15.75</c:v>
                </c:pt>
                <c:pt idx="180">
                  <c:v>16.66</c:v>
                </c:pt>
                <c:pt idx="181">
                  <c:v>17.760000000000002</c:v>
                </c:pt>
                <c:pt idx="182">
                  <c:v>18.84</c:v>
                </c:pt>
                <c:pt idx="183">
                  <c:v>19.66</c:v>
                </c:pt>
                <c:pt idx="184">
                  <c:v>20.350000000000001</c:v>
                </c:pt>
                <c:pt idx="185">
                  <c:v>20.89</c:v>
                </c:pt>
                <c:pt idx="186">
                  <c:v>21.29</c:v>
                </c:pt>
                <c:pt idx="187">
                  <c:v>21.61</c:v>
                </c:pt>
                <c:pt idx="188">
                  <c:v>21.79</c:v>
                </c:pt>
                <c:pt idx="189">
                  <c:v>21.92</c:v>
                </c:pt>
                <c:pt idx="190">
                  <c:v>21.99</c:v>
                </c:pt>
                <c:pt idx="191">
                  <c:v>21.99</c:v>
                </c:pt>
                <c:pt idx="192">
                  <c:v>21.92</c:v>
                </c:pt>
                <c:pt idx="193">
                  <c:v>21.79</c:v>
                </c:pt>
                <c:pt idx="194">
                  <c:v>21.61</c:v>
                </c:pt>
                <c:pt idx="195">
                  <c:v>21.29</c:v>
                </c:pt>
                <c:pt idx="196">
                  <c:v>20.89</c:v>
                </c:pt>
                <c:pt idx="197">
                  <c:v>20.350000000000001</c:v>
                </c:pt>
                <c:pt idx="198">
                  <c:v>19.66</c:v>
                </c:pt>
                <c:pt idx="199">
                  <c:v>18.84</c:v>
                </c:pt>
                <c:pt idx="200">
                  <c:v>17.760000000000002</c:v>
                </c:pt>
                <c:pt idx="201">
                  <c:v>16.66</c:v>
                </c:pt>
                <c:pt idx="202">
                  <c:v>15.75</c:v>
                </c:pt>
                <c:pt idx="203">
                  <c:v>5.8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3</c:v>
                </c:pt>
                <c:pt idx="209">
                  <c:v>3</c:v>
                </c:pt>
                <c:pt idx="210">
                  <c:v>5.8</c:v>
                </c:pt>
                <c:pt idx="211">
                  <c:v>15.75</c:v>
                </c:pt>
                <c:pt idx="212">
                  <c:v>16.66</c:v>
                </c:pt>
                <c:pt idx="213">
                  <c:v>17.760000000000002</c:v>
                </c:pt>
                <c:pt idx="214">
                  <c:v>18.84</c:v>
                </c:pt>
                <c:pt idx="215">
                  <c:v>19.66</c:v>
                </c:pt>
                <c:pt idx="216">
                  <c:v>20.350000000000001</c:v>
                </c:pt>
                <c:pt idx="217">
                  <c:v>20.89</c:v>
                </c:pt>
                <c:pt idx="218">
                  <c:v>21.29</c:v>
                </c:pt>
                <c:pt idx="219">
                  <c:v>21.61</c:v>
                </c:pt>
                <c:pt idx="220">
                  <c:v>21.79</c:v>
                </c:pt>
                <c:pt idx="221">
                  <c:v>21.92</c:v>
                </c:pt>
                <c:pt idx="222">
                  <c:v>21.99</c:v>
                </c:pt>
                <c:pt idx="223">
                  <c:v>21.99</c:v>
                </c:pt>
                <c:pt idx="224">
                  <c:v>21.92</c:v>
                </c:pt>
                <c:pt idx="225">
                  <c:v>21.79</c:v>
                </c:pt>
                <c:pt idx="226">
                  <c:v>21.61</c:v>
                </c:pt>
                <c:pt idx="227">
                  <c:v>21.29</c:v>
                </c:pt>
                <c:pt idx="228">
                  <c:v>20.89</c:v>
                </c:pt>
                <c:pt idx="229">
                  <c:v>20.350000000000001</c:v>
                </c:pt>
                <c:pt idx="230">
                  <c:v>19.66</c:v>
                </c:pt>
                <c:pt idx="231">
                  <c:v>18.84</c:v>
                </c:pt>
                <c:pt idx="232">
                  <c:v>17.760000000000002</c:v>
                </c:pt>
                <c:pt idx="233">
                  <c:v>16.66</c:v>
                </c:pt>
                <c:pt idx="234">
                  <c:v>15.75</c:v>
                </c:pt>
                <c:pt idx="235">
                  <c:v>5.8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A-4F1E-AC82-7BA73373FFEE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VI'!$L$13:$L$14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'Propriedades geométricas VI'!$M$13:$M$14</c:f>
              <c:numCache>
                <c:formatCode>0.000</c:formatCode>
                <c:ptCount val="2"/>
                <c:pt idx="0">
                  <c:v>12.737286216682715</c:v>
                </c:pt>
                <c:pt idx="1">
                  <c:v>12.737286216682715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A-4F1E-AC82-7BA73373FFEE}"/>
            </c:ext>
          </c:extLst>
        </c:ser>
        <c:ser>
          <c:idx val="2"/>
          <c:order val="2"/>
          <c:tx>
            <c:v>CORD INF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2.4922118380062305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EEF-4398-B9DC-377F071C37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Geometria!$AT$98:$AT$107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54.125</c:v>
                </c:pt>
                <c:pt idx="4">
                  <c:v>54.125</c:v>
                </c:pt>
                <c:pt idx="5">
                  <c:v>70.375</c:v>
                </c:pt>
                <c:pt idx="6">
                  <c:v>70.375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Geometria!$AS$98:$AS$107</c:f>
              <c:numCache>
                <c:formatCode>General</c:formatCode>
                <c:ptCount val="1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DA-4F1E-AC82-7BA73373FFEE}"/>
            </c:ext>
          </c:extLst>
        </c:ser>
        <c:ser>
          <c:idx val="3"/>
          <c:order val="3"/>
          <c:tx>
            <c:v>CORD SUP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1.6614745586708203E-2"/>
                  <c:y val="-5.0504488983503093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EEF-4398-B9DC-377F071C37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Geometria!$AX$98:$AX$107</c:f>
              <c:numCache>
                <c:formatCode>General</c:formatCode>
                <c:ptCount val="10"/>
                <c:pt idx="0">
                  <c:v>5.13</c:v>
                </c:pt>
                <c:pt idx="1">
                  <c:v>21.63</c:v>
                </c:pt>
                <c:pt idx="2">
                  <c:v>37.880000000000003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86.63</c:v>
                </c:pt>
                <c:pt idx="8">
                  <c:v>102.88</c:v>
                </c:pt>
                <c:pt idx="9">
                  <c:v>119.38</c:v>
                </c:pt>
              </c:numCache>
            </c:numRef>
          </c:xVal>
          <c:yVal>
            <c:numRef>
              <c:f>Geometria!$AW$98:$AW$107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DA-4F1E-AC82-7BA73373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60032"/>
        <c:axId val="1666960512"/>
      </c:scatterChart>
      <c:valAx>
        <c:axId val="1666960032"/>
        <c:scaling>
          <c:orientation val="minMax"/>
          <c:max val="125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512"/>
        <c:crosses val="autoZero"/>
        <c:crossBetween val="midCat"/>
      </c:valAx>
      <c:valAx>
        <c:axId val="166696051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Compostas'!$B$3:$B$217</c:f>
              <c:numCache>
                <c:formatCode>0.000</c:formatCode>
                <c:ptCount val="215"/>
                <c:pt idx="0">
                  <c:v>0</c:v>
                </c:pt>
                <c:pt idx="1">
                  <c:v>0.89</c:v>
                </c:pt>
                <c:pt idx="2">
                  <c:v>0.13</c:v>
                </c:pt>
                <c:pt idx="3">
                  <c:v>3.01</c:v>
                </c:pt>
                <c:pt idx="4">
                  <c:v>3.01</c:v>
                </c:pt>
                <c:pt idx="5">
                  <c:v>1.65</c:v>
                </c:pt>
                <c:pt idx="6">
                  <c:v>1.65</c:v>
                </c:pt>
                <c:pt idx="7">
                  <c:v>15.30831482731231</c:v>
                </c:pt>
                <c:pt idx="8">
                  <c:v>15.30831482731231</c:v>
                </c:pt>
                <c:pt idx="9">
                  <c:v>109.18168517268769</c:v>
                </c:pt>
                <c:pt idx="10">
                  <c:v>109.18168517268769</c:v>
                </c:pt>
                <c:pt idx="11">
                  <c:v>122.84</c:v>
                </c:pt>
                <c:pt idx="12">
                  <c:v>122.84</c:v>
                </c:pt>
                <c:pt idx="13">
                  <c:v>121.51</c:v>
                </c:pt>
                <c:pt idx="14">
                  <c:v>121.51</c:v>
                </c:pt>
                <c:pt idx="15">
                  <c:v>124.5</c:v>
                </c:pt>
                <c:pt idx="16">
                  <c:v>124.37</c:v>
                </c:pt>
                <c:pt idx="17">
                  <c:v>123.61</c:v>
                </c:pt>
                <c:pt idx="18">
                  <c:v>111.1</c:v>
                </c:pt>
                <c:pt idx="19">
                  <c:v>111.1</c:v>
                </c:pt>
                <c:pt idx="20">
                  <c:v>113.26</c:v>
                </c:pt>
                <c:pt idx="21">
                  <c:v>117.26</c:v>
                </c:pt>
                <c:pt idx="22">
                  <c:v>117.26</c:v>
                </c:pt>
                <c:pt idx="23">
                  <c:v>117.17</c:v>
                </c:pt>
                <c:pt idx="24">
                  <c:v>116.91</c:v>
                </c:pt>
                <c:pt idx="25">
                  <c:v>116.5</c:v>
                </c:pt>
                <c:pt idx="26">
                  <c:v>115.94</c:v>
                </c:pt>
                <c:pt idx="27">
                  <c:v>115.25</c:v>
                </c:pt>
                <c:pt idx="28">
                  <c:v>114.42</c:v>
                </c:pt>
                <c:pt idx="29">
                  <c:v>113.5</c:v>
                </c:pt>
                <c:pt idx="30">
                  <c:v>112.54</c:v>
                </c:pt>
                <c:pt idx="31">
                  <c:v>111.54</c:v>
                </c:pt>
                <c:pt idx="32">
                  <c:v>110.47</c:v>
                </c:pt>
                <c:pt idx="33">
                  <c:v>109.47</c:v>
                </c:pt>
                <c:pt idx="34">
                  <c:v>108.51</c:v>
                </c:pt>
                <c:pt idx="35">
                  <c:v>107.59</c:v>
                </c:pt>
                <c:pt idx="36">
                  <c:v>106.76</c:v>
                </c:pt>
                <c:pt idx="37">
                  <c:v>106.07</c:v>
                </c:pt>
                <c:pt idx="38">
                  <c:v>105.51</c:v>
                </c:pt>
                <c:pt idx="39">
                  <c:v>105.1</c:v>
                </c:pt>
                <c:pt idx="40">
                  <c:v>104.84</c:v>
                </c:pt>
                <c:pt idx="41">
                  <c:v>104.76</c:v>
                </c:pt>
                <c:pt idx="42">
                  <c:v>104.76</c:v>
                </c:pt>
                <c:pt idx="43">
                  <c:v>108.76</c:v>
                </c:pt>
                <c:pt idx="44">
                  <c:v>111</c:v>
                </c:pt>
                <c:pt idx="45">
                  <c:v>111</c:v>
                </c:pt>
                <c:pt idx="46">
                  <c:v>94.85</c:v>
                </c:pt>
                <c:pt idx="47">
                  <c:v>94.85</c:v>
                </c:pt>
                <c:pt idx="48">
                  <c:v>97.01</c:v>
                </c:pt>
                <c:pt idx="49">
                  <c:v>101.01</c:v>
                </c:pt>
                <c:pt idx="50">
                  <c:v>101.01</c:v>
                </c:pt>
                <c:pt idx="51">
                  <c:v>100.92</c:v>
                </c:pt>
                <c:pt idx="52">
                  <c:v>100.66</c:v>
                </c:pt>
                <c:pt idx="53">
                  <c:v>100.25</c:v>
                </c:pt>
                <c:pt idx="54">
                  <c:v>99.69</c:v>
                </c:pt>
                <c:pt idx="55">
                  <c:v>99</c:v>
                </c:pt>
                <c:pt idx="56">
                  <c:v>98.17</c:v>
                </c:pt>
                <c:pt idx="57">
                  <c:v>97.25</c:v>
                </c:pt>
                <c:pt idx="58">
                  <c:v>96.29</c:v>
                </c:pt>
                <c:pt idx="59">
                  <c:v>95.29</c:v>
                </c:pt>
                <c:pt idx="60">
                  <c:v>94.76</c:v>
                </c:pt>
                <c:pt idx="61">
                  <c:v>94.22</c:v>
                </c:pt>
                <c:pt idx="62">
                  <c:v>93.22</c:v>
                </c:pt>
                <c:pt idx="63">
                  <c:v>92.26</c:v>
                </c:pt>
                <c:pt idx="64">
                  <c:v>91.34</c:v>
                </c:pt>
                <c:pt idx="65">
                  <c:v>90.51</c:v>
                </c:pt>
                <c:pt idx="66">
                  <c:v>89.82</c:v>
                </c:pt>
                <c:pt idx="67">
                  <c:v>89.26</c:v>
                </c:pt>
                <c:pt idx="68">
                  <c:v>88.85</c:v>
                </c:pt>
                <c:pt idx="69">
                  <c:v>88.51</c:v>
                </c:pt>
                <c:pt idx="70">
                  <c:v>88.51</c:v>
                </c:pt>
                <c:pt idx="71">
                  <c:v>92.51</c:v>
                </c:pt>
                <c:pt idx="72">
                  <c:v>94.75</c:v>
                </c:pt>
                <c:pt idx="73">
                  <c:v>94.75</c:v>
                </c:pt>
                <c:pt idx="74">
                  <c:v>78.61</c:v>
                </c:pt>
                <c:pt idx="75">
                  <c:v>78.61</c:v>
                </c:pt>
                <c:pt idx="76">
                  <c:v>80.760000000000005</c:v>
                </c:pt>
                <c:pt idx="77">
                  <c:v>84.76</c:v>
                </c:pt>
                <c:pt idx="78">
                  <c:v>84.76</c:v>
                </c:pt>
                <c:pt idx="79">
                  <c:v>84.67</c:v>
                </c:pt>
                <c:pt idx="80">
                  <c:v>84.42</c:v>
                </c:pt>
                <c:pt idx="81">
                  <c:v>84</c:v>
                </c:pt>
                <c:pt idx="82">
                  <c:v>83.44</c:v>
                </c:pt>
                <c:pt idx="83">
                  <c:v>82.75</c:v>
                </c:pt>
                <c:pt idx="84">
                  <c:v>81.92</c:v>
                </c:pt>
                <c:pt idx="85">
                  <c:v>81</c:v>
                </c:pt>
                <c:pt idx="86">
                  <c:v>80.05</c:v>
                </c:pt>
                <c:pt idx="87">
                  <c:v>79.040000000000006</c:v>
                </c:pt>
                <c:pt idx="88">
                  <c:v>77.97</c:v>
                </c:pt>
                <c:pt idx="89">
                  <c:v>76.97</c:v>
                </c:pt>
                <c:pt idx="90" formatCode="General">
                  <c:v>76.010000000000005</c:v>
                </c:pt>
                <c:pt idx="91" formatCode="General">
                  <c:v>75.099999999999994</c:v>
                </c:pt>
                <c:pt idx="92" formatCode="General">
                  <c:v>74.27</c:v>
                </c:pt>
                <c:pt idx="93" formatCode="General">
                  <c:v>73.569999999999993</c:v>
                </c:pt>
                <c:pt idx="94" formatCode="General">
                  <c:v>73.010000000000005</c:v>
                </c:pt>
                <c:pt idx="95" formatCode="General">
                  <c:v>72.599999999999994</c:v>
                </c:pt>
                <c:pt idx="96" formatCode="General">
                  <c:v>72.349999999999994</c:v>
                </c:pt>
                <c:pt idx="97">
                  <c:v>72.260000000000005</c:v>
                </c:pt>
                <c:pt idx="98">
                  <c:v>72.260000000000005</c:v>
                </c:pt>
                <c:pt idx="99">
                  <c:v>76.260000000000005</c:v>
                </c:pt>
                <c:pt idx="100">
                  <c:v>78.510000000000005</c:v>
                </c:pt>
                <c:pt idx="101">
                  <c:v>78.510000000000005</c:v>
                </c:pt>
                <c:pt idx="102">
                  <c:v>62.36</c:v>
                </c:pt>
                <c:pt idx="103">
                  <c:v>62.36</c:v>
                </c:pt>
                <c:pt idx="104">
                  <c:v>64.510000000000005</c:v>
                </c:pt>
                <c:pt idx="105">
                  <c:v>68.510000000000005</c:v>
                </c:pt>
                <c:pt idx="106">
                  <c:v>68.510000000000005</c:v>
                </c:pt>
                <c:pt idx="107">
                  <c:v>68.42</c:v>
                </c:pt>
                <c:pt idx="108">
                  <c:v>68.17</c:v>
                </c:pt>
                <c:pt idx="109">
                  <c:v>67.75</c:v>
                </c:pt>
                <c:pt idx="110">
                  <c:v>67.19</c:v>
                </c:pt>
                <c:pt idx="111" formatCode="General">
                  <c:v>66.5</c:v>
                </c:pt>
                <c:pt idx="112" formatCode="General">
                  <c:v>65.67</c:v>
                </c:pt>
                <c:pt idx="113" formatCode="General">
                  <c:v>64.75</c:v>
                </c:pt>
                <c:pt idx="114" formatCode="General">
                  <c:v>63.8</c:v>
                </c:pt>
                <c:pt idx="115" formatCode="General">
                  <c:v>62.79</c:v>
                </c:pt>
                <c:pt idx="116" formatCode="General">
                  <c:v>61.72</c:v>
                </c:pt>
                <c:pt idx="117" formatCode="General">
                  <c:v>60.72</c:v>
                </c:pt>
                <c:pt idx="118" formatCode="General">
                  <c:v>59.76</c:v>
                </c:pt>
                <c:pt idx="119" formatCode="General">
                  <c:v>58.91</c:v>
                </c:pt>
                <c:pt idx="120">
                  <c:v>58.02</c:v>
                </c:pt>
                <c:pt idx="121">
                  <c:v>57.32</c:v>
                </c:pt>
                <c:pt idx="122">
                  <c:v>56.76</c:v>
                </c:pt>
                <c:pt idx="123">
                  <c:v>56.35</c:v>
                </c:pt>
                <c:pt idx="124">
                  <c:v>56.1</c:v>
                </c:pt>
                <c:pt idx="125">
                  <c:v>56.01</c:v>
                </c:pt>
                <c:pt idx="126">
                  <c:v>56.01</c:v>
                </c:pt>
                <c:pt idx="127">
                  <c:v>60.01</c:v>
                </c:pt>
                <c:pt idx="128">
                  <c:v>62.26</c:v>
                </c:pt>
                <c:pt idx="129">
                  <c:v>62.26</c:v>
                </c:pt>
                <c:pt idx="130">
                  <c:v>46.11</c:v>
                </c:pt>
                <c:pt idx="131">
                  <c:v>46.11</c:v>
                </c:pt>
                <c:pt idx="132">
                  <c:v>48.26</c:v>
                </c:pt>
                <c:pt idx="133">
                  <c:v>52.26</c:v>
                </c:pt>
                <c:pt idx="134" formatCode="General">
                  <c:v>52.26</c:v>
                </c:pt>
                <c:pt idx="135" formatCode="General">
                  <c:v>52.17</c:v>
                </c:pt>
                <c:pt idx="136" formatCode="General">
                  <c:v>51.92</c:v>
                </c:pt>
                <c:pt idx="137" formatCode="General">
                  <c:v>51.5</c:v>
                </c:pt>
                <c:pt idx="138" formatCode="General">
                  <c:v>50.94</c:v>
                </c:pt>
                <c:pt idx="139" formatCode="General">
                  <c:v>50.25</c:v>
                </c:pt>
                <c:pt idx="140" formatCode="General">
                  <c:v>49.42</c:v>
                </c:pt>
                <c:pt idx="141" formatCode="General">
                  <c:v>48.5</c:v>
                </c:pt>
                <c:pt idx="142" formatCode="General">
                  <c:v>47.55</c:v>
                </c:pt>
                <c:pt idx="143">
                  <c:v>46.54</c:v>
                </c:pt>
                <c:pt idx="144">
                  <c:v>45.47</c:v>
                </c:pt>
                <c:pt idx="145">
                  <c:v>44.47</c:v>
                </c:pt>
                <c:pt idx="146">
                  <c:v>43.51</c:v>
                </c:pt>
                <c:pt idx="147">
                  <c:v>42.6</c:v>
                </c:pt>
                <c:pt idx="148">
                  <c:v>41.77</c:v>
                </c:pt>
                <c:pt idx="149">
                  <c:v>41.07</c:v>
                </c:pt>
                <c:pt idx="150">
                  <c:v>40.51</c:v>
                </c:pt>
                <c:pt idx="151">
                  <c:v>40.1</c:v>
                </c:pt>
                <c:pt idx="152">
                  <c:v>39.85</c:v>
                </c:pt>
                <c:pt idx="153">
                  <c:v>39.76</c:v>
                </c:pt>
                <c:pt idx="154">
                  <c:v>39.76</c:v>
                </c:pt>
                <c:pt idx="155">
                  <c:v>43.76</c:v>
                </c:pt>
                <c:pt idx="156">
                  <c:v>46.01</c:v>
                </c:pt>
                <c:pt idx="157">
                  <c:v>46.01</c:v>
                </c:pt>
                <c:pt idx="158" formatCode="General">
                  <c:v>29.86</c:v>
                </c:pt>
                <c:pt idx="159" formatCode="General">
                  <c:v>29.86</c:v>
                </c:pt>
                <c:pt idx="160" formatCode="General">
                  <c:v>32.01</c:v>
                </c:pt>
                <c:pt idx="161" formatCode="General">
                  <c:v>36.01</c:v>
                </c:pt>
                <c:pt idx="162" formatCode="General">
                  <c:v>36.01</c:v>
                </c:pt>
                <c:pt idx="163" formatCode="General">
                  <c:v>35.92</c:v>
                </c:pt>
                <c:pt idx="164" formatCode="General">
                  <c:v>35.67</c:v>
                </c:pt>
                <c:pt idx="165" formatCode="General">
                  <c:v>35.25</c:v>
                </c:pt>
                <c:pt idx="166">
                  <c:v>34.69</c:v>
                </c:pt>
                <c:pt idx="167">
                  <c:v>34</c:v>
                </c:pt>
                <c:pt idx="168">
                  <c:v>33.17</c:v>
                </c:pt>
                <c:pt idx="169">
                  <c:v>32.25</c:v>
                </c:pt>
                <c:pt idx="170">
                  <c:v>31.3</c:v>
                </c:pt>
                <c:pt idx="171">
                  <c:v>30.29</c:v>
                </c:pt>
                <c:pt idx="172">
                  <c:v>29.22</c:v>
                </c:pt>
                <c:pt idx="173">
                  <c:v>28.22</c:v>
                </c:pt>
                <c:pt idx="174">
                  <c:v>27.26</c:v>
                </c:pt>
                <c:pt idx="175">
                  <c:v>26.35</c:v>
                </c:pt>
                <c:pt idx="176">
                  <c:v>25.52</c:v>
                </c:pt>
                <c:pt idx="177">
                  <c:v>24.82</c:v>
                </c:pt>
                <c:pt idx="178">
                  <c:v>24.26</c:v>
                </c:pt>
                <c:pt idx="179">
                  <c:v>23.85</c:v>
                </c:pt>
                <c:pt idx="180">
                  <c:v>23.6</c:v>
                </c:pt>
                <c:pt idx="181" formatCode="General">
                  <c:v>23.51</c:v>
                </c:pt>
                <c:pt idx="182" formatCode="General">
                  <c:v>23.51</c:v>
                </c:pt>
                <c:pt idx="183" formatCode="General">
                  <c:v>27.51</c:v>
                </c:pt>
                <c:pt idx="184" formatCode="General">
                  <c:v>29.76</c:v>
                </c:pt>
                <c:pt idx="185" formatCode="General">
                  <c:v>29.76</c:v>
                </c:pt>
                <c:pt idx="186" formatCode="General">
                  <c:v>13.61</c:v>
                </c:pt>
                <c:pt idx="187" formatCode="General">
                  <c:v>13.61</c:v>
                </c:pt>
                <c:pt idx="188" formatCode="General">
                  <c:v>15.76</c:v>
                </c:pt>
                <c:pt idx="189" formatCode="General">
                  <c:v>19.760000000000002</c:v>
                </c:pt>
                <c:pt idx="190" formatCode="General">
                  <c:v>19.760000000000002</c:v>
                </c:pt>
                <c:pt idx="191" formatCode="General">
                  <c:v>19.670000000000002</c:v>
                </c:pt>
                <c:pt idx="192" formatCode="General">
                  <c:v>19.420000000000002</c:v>
                </c:pt>
                <c:pt idx="193" formatCode="General">
                  <c:v>19</c:v>
                </c:pt>
                <c:pt idx="194" formatCode="General">
                  <c:v>18.440000000000001</c:v>
                </c:pt>
                <c:pt idx="195" formatCode="General">
                  <c:v>17.75</c:v>
                </c:pt>
                <c:pt idx="196" formatCode="General">
                  <c:v>16.920000000000002</c:v>
                </c:pt>
                <c:pt idx="197" formatCode="General">
                  <c:v>16</c:v>
                </c:pt>
                <c:pt idx="198" formatCode="General">
                  <c:v>15.05</c:v>
                </c:pt>
                <c:pt idx="199" formatCode="General">
                  <c:v>14.04</c:v>
                </c:pt>
                <c:pt idx="200" formatCode="General">
                  <c:v>12.97</c:v>
                </c:pt>
                <c:pt idx="201" formatCode="General">
                  <c:v>11.97</c:v>
                </c:pt>
                <c:pt idx="202" formatCode="General">
                  <c:v>11.01</c:v>
                </c:pt>
                <c:pt idx="203" formatCode="General">
                  <c:v>10.1</c:v>
                </c:pt>
                <c:pt idx="204" formatCode="General">
                  <c:v>9.27</c:v>
                </c:pt>
                <c:pt idx="205" formatCode="General">
                  <c:v>8.57</c:v>
                </c:pt>
                <c:pt idx="206" formatCode="General">
                  <c:v>8.01</c:v>
                </c:pt>
                <c:pt idx="207" formatCode="General">
                  <c:v>7.6</c:v>
                </c:pt>
                <c:pt idx="208" formatCode="General">
                  <c:v>7.35</c:v>
                </c:pt>
                <c:pt idx="209" formatCode="General">
                  <c:v>7.26</c:v>
                </c:pt>
                <c:pt idx="210" formatCode="General">
                  <c:v>7.26</c:v>
                </c:pt>
                <c:pt idx="211" formatCode="General">
                  <c:v>11.26</c:v>
                </c:pt>
                <c:pt idx="212" formatCode="General">
                  <c:v>13.51</c:v>
                </c:pt>
                <c:pt idx="213" formatCode="General">
                  <c:v>13.51</c:v>
                </c:pt>
                <c:pt idx="214" formatCode="General">
                  <c:v>0.89</c:v>
                </c:pt>
              </c:numCache>
            </c:numRef>
          </c:xVal>
          <c:yVal>
            <c:numRef>
              <c:f>'Seções Compostas'!$C$3:$C$217</c:f>
              <c:numCache>
                <c:formatCode>0.000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5.7</c:v>
                </c:pt>
                <c:pt idx="4">
                  <c:v>23.1</c:v>
                </c:pt>
                <c:pt idx="5">
                  <c:v>25.7</c:v>
                </c:pt>
                <c:pt idx="6">
                  <c:v>30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30</c:v>
                </c:pt>
                <c:pt idx="11">
                  <c:v>30</c:v>
                </c:pt>
                <c:pt idx="12">
                  <c:v>25.7</c:v>
                </c:pt>
                <c:pt idx="13">
                  <c:v>23.2</c:v>
                </c:pt>
                <c:pt idx="14">
                  <c:v>5.7</c:v>
                </c:pt>
                <c:pt idx="15">
                  <c:v>2.2000000000000002</c:v>
                </c:pt>
                <c:pt idx="16">
                  <c:v>0.76</c:v>
                </c:pt>
                <c:pt idx="17">
                  <c:v>0</c:v>
                </c:pt>
                <c:pt idx="18">
                  <c:v>0</c:v>
                </c:pt>
                <c:pt idx="19">
                  <c:v>3.5</c:v>
                </c:pt>
                <c:pt idx="20">
                  <c:v>3.5</c:v>
                </c:pt>
                <c:pt idx="21">
                  <c:v>7.5</c:v>
                </c:pt>
                <c:pt idx="22">
                  <c:v>20.23</c:v>
                </c:pt>
                <c:pt idx="23">
                  <c:v>21.28</c:v>
                </c:pt>
                <c:pt idx="24">
                  <c:v>22.26</c:v>
                </c:pt>
                <c:pt idx="25">
                  <c:v>23.21</c:v>
                </c:pt>
                <c:pt idx="26">
                  <c:v>24.06</c:v>
                </c:pt>
                <c:pt idx="27">
                  <c:v>24.82</c:v>
                </c:pt>
                <c:pt idx="28">
                  <c:v>25.46</c:v>
                </c:pt>
                <c:pt idx="29">
                  <c:v>25.96</c:v>
                </c:pt>
                <c:pt idx="30">
                  <c:v>26.28</c:v>
                </c:pt>
                <c:pt idx="31">
                  <c:v>26.45</c:v>
                </c:pt>
                <c:pt idx="32">
                  <c:v>26.45</c:v>
                </c:pt>
                <c:pt idx="33">
                  <c:v>26.28</c:v>
                </c:pt>
                <c:pt idx="34">
                  <c:v>25.96</c:v>
                </c:pt>
                <c:pt idx="35">
                  <c:v>25.46</c:v>
                </c:pt>
                <c:pt idx="36">
                  <c:v>24.82</c:v>
                </c:pt>
                <c:pt idx="37">
                  <c:v>24.06</c:v>
                </c:pt>
                <c:pt idx="38">
                  <c:v>23.21</c:v>
                </c:pt>
                <c:pt idx="39">
                  <c:v>22.26</c:v>
                </c:pt>
                <c:pt idx="40">
                  <c:v>21.28</c:v>
                </c:pt>
                <c:pt idx="41">
                  <c:v>20.23</c:v>
                </c:pt>
                <c:pt idx="42">
                  <c:v>7.5</c:v>
                </c:pt>
                <c:pt idx="43">
                  <c:v>3.5</c:v>
                </c:pt>
                <c:pt idx="44">
                  <c:v>3.5</c:v>
                </c:pt>
                <c:pt idx="45">
                  <c:v>0</c:v>
                </c:pt>
                <c:pt idx="46">
                  <c:v>0</c:v>
                </c:pt>
                <c:pt idx="47">
                  <c:v>3.5</c:v>
                </c:pt>
                <c:pt idx="48">
                  <c:v>3.5</c:v>
                </c:pt>
                <c:pt idx="49">
                  <c:v>7.5</c:v>
                </c:pt>
                <c:pt idx="50">
                  <c:v>20.23</c:v>
                </c:pt>
                <c:pt idx="51">
                  <c:v>21.28</c:v>
                </c:pt>
                <c:pt idx="52">
                  <c:v>22.26</c:v>
                </c:pt>
                <c:pt idx="53">
                  <c:v>23.21</c:v>
                </c:pt>
                <c:pt idx="54">
                  <c:v>24.06</c:v>
                </c:pt>
                <c:pt idx="55">
                  <c:v>24.82</c:v>
                </c:pt>
                <c:pt idx="56">
                  <c:v>25.46</c:v>
                </c:pt>
                <c:pt idx="57">
                  <c:v>25.96</c:v>
                </c:pt>
                <c:pt idx="58">
                  <c:v>26.28</c:v>
                </c:pt>
                <c:pt idx="59">
                  <c:v>26.45</c:v>
                </c:pt>
                <c:pt idx="60">
                  <c:v>26.45</c:v>
                </c:pt>
                <c:pt idx="61">
                  <c:v>26.28</c:v>
                </c:pt>
                <c:pt idx="62">
                  <c:v>25.96</c:v>
                </c:pt>
                <c:pt idx="63">
                  <c:v>25.46</c:v>
                </c:pt>
                <c:pt idx="64">
                  <c:v>24.82</c:v>
                </c:pt>
                <c:pt idx="65">
                  <c:v>24.06</c:v>
                </c:pt>
                <c:pt idx="66">
                  <c:v>23.21</c:v>
                </c:pt>
                <c:pt idx="67">
                  <c:v>22.26</c:v>
                </c:pt>
                <c:pt idx="68">
                  <c:v>21.28</c:v>
                </c:pt>
                <c:pt idx="69">
                  <c:v>20.23</c:v>
                </c:pt>
                <c:pt idx="70">
                  <c:v>7.5</c:v>
                </c:pt>
                <c:pt idx="71">
                  <c:v>3.5</c:v>
                </c:pt>
                <c:pt idx="72">
                  <c:v>3.5</c:v>
                </c:pt>
                <c:pt idx="73">
                  <c:v>0</c:v>
                </c:pt>
                <c:pt idx="74">
                  <c:v>0</c:v>
                </c:pt>
                <c:pt idx="75">
                  <c:v>3.5</c:v>
                </c:pt>
                <c:pt idx="76">
                  <c:v>3.5</c:v>
                </c:pt>
                <c:pt idx="77">
                  <c:v>7.5</c:v>
                </c:pt>
                <c:pt idx="78">
                  <c:v>20.23</c:v>
                </c:pt>
                <c:pt idx="79">
                  <c:v>21.28</c:v>
                </c:pt>
                <c:pt idx="80">
                  <c:v>22.26</c:v>
                </c:pt>
                <c:pt idx="81">
                  <c:v>23.21</c:v>
                </c:pt>
                <c:pt idx="82">
                  <c:v>24.06</c:v>
                </c:pt>
                <c:pt idx="83">
                  <c:v>24.82</c:v>
                </c:pt>
                <c:pt idx="84">
                  <c:v>25.46</c:v>
                </c:pt>
                <c:pt idx="85">
                  <c:v>25.96</c:v>
                </c:pt>
                <c:pt idx="86">
                  <c:v>26.28</c:v>
                </c:pt>
                <c:pt idx="87">
                  <c:v>26.45</c:v>
                </c:pt>
                <c:pt idx="88" formatCode="General">
                  <c:v>26.45</c:v>
                </c:pt>
                <c:pt idx="89" formatCode="General">
                  <c:v>26.28</c:v>
                </c:pt>
                <c:pt idx="90" formatCode="General">
                  <c:v>25.96</c:v>
                </c:pt>
                <c:pt idx="91" formatCode="General">
                  <c:v>25.46</c:v>
                </c:pt>
                <c:pt idx="92" formatCode="General">
                  <c:v>24.82</c:v>
                </c:pt>
                <c:pt idx="93" formatCode="General">
                  <c:v>24.06</c:v>
                </c:pt>
                <c:pt idx="94" formatCode="General">
                  <c:v>23.21</c:v>
                </c:pt>
                <c:pt idx="95" formatCode="General">
                  <c:v>22.26</c:v>
                </c:pt>
                <c:pt idx="96" formatCode="General">
                  <c:v>21.28</c:v>
                </c:pt>
                <c:pt idx="97">
                  <c:v>20.23</c:v>
                </c:pt>
                <c:pt idx="98">
                  <c:v>7.5</c:v>
                </c:pt>
                <c:pt idx="99">
                  <c:v>3.5</c:v>
                </c:pt>
                <c:pt idx="100">
                  <c:v>3.5</c:v>
                </c:pt>
                <c:pt idx="101">
                  <c:v>0</c:v>
                </c:pt>
                <c:pt idx="102">
                  <c:v>0</c:v>
                </c:pt>
                <c:pt idx="103">
                  <c:v>3.5</c:v>
                </c:pt>
                <c:pt idx="104">
                  <c:v>3.5</c:v>
                </c:pt>
                <c:pt idx="105">
                  <c:v>7.5</c:v>
                </c:pt>
                <c:pt idx="106">
                  <c:v>20.23</c:v>
                </c:pt>
                <c:pt idx="107">
                  <c:v>21.28</c:v>
                </c:pt>
                <c:pt idx="108">
                  <c:v>22.26</c:v>
                </c:pt>
                <c:pt idx="109">
                  <c:v>23.21</c:v>
                </c:pt>
                <c:pt idx="110">
                  <c:v>24.06</c:v>
                </c:pt>
                <c:pt idx="111" formatCode="General">
                  <c:v>24.82</c:v>
                </c:pt>
                <c:pt idx="112" formatCode="General">
                  <c:v>25.46</c:v>
                </c:pt>
                <c:pt idx="113" formatCode="General">
                  <c:v>25.96</c:v>
                </c:pt>
                <c:pt idx="114" formatCode="General">
                  <c:v>26.28</c:v>
                </c:pt>
                <c:pt idx="115" formatCode="General">
                  <c:v>26.45</c:v>
                </c:pt>
                <c:pt idx="116" formatCode="General">
                  <c:v>26.45</c:v>
                </c:pt>
                <c:pt idx="117" formatCode="General">
                  <c:v>26.28</c:v>
                </c:pt>
                <c:pt idx="118" formatCode="General">
                  <c:v>25.96</c:v>
                </c:pt>
                <c:pt idx="119" formatCode="General">
                  <c:v>25.46</c:v>
                </c:pt>
                <c:pt idx="120">
                  <c:v>24.82</c:v>
                </c:pt>
                <c:pt idx="121">
                  <c:v>24.06</c:v>
                </c:pt>
                <c:pt idx="122">
                  <c:v>23.21</c:v>
                </c:pt>
                <c:pt idx="123">
                  <c:v>22.26</c:v>
                </c:pt>
                <c:pt idx="124">
                  <c:v>21.28</c:v>
                </c:pt>
                <c:pt idx="125">
                  <c:v>20.23</c:v>
                </c:pt>
                <c:pt idx="126">
                  <c:v>7.5</c:v>
                </c:pt>
                <c:pt idx="127">
                  <c:v>3.5</c:v>
                </c:pt>
                <c:pt idx="128">
                  <c:v>3.5</c:v>
                </c:pt>
                <c:pt idx="129">
                  <c:v>0</c:v>
                </c:pt>
                <c:pt idx="130">
                  <c:v>0</c:v>
                </c:pt>
                <c:pt idx="131">
                  <c:v>3.5</c:v>
                </c:pt>
                <c:pt idx="132">
                  <c:v>3.5</c:v>
                </c:pt>
                <c:pt idx="133">
                  <c:v>7.5</c:v>
                </c:pt>
                <c:pt idx="134" formatCode="General">
                  <c:v>20.23</c:v>
                </c:pt>
                <c:pt idx="135" formatCode="General">
                  <c:v>21.28</c:v>
                </c:pt>
                <c:pt idx="136" formatCode="General">
                  <c:v>22.26</c:v>
                </c:pt>
                <c:pt idx="137" formatCode="General">
                  <c:v>23.21</c:v>
                </c:pt>
                <c:pt idx="138" formatCode="General">
                  <c:v>24.06</c:v>
                </c:pt>
                <c:pt idx="139" formatCode="General">
                  <c:v>24.82</c:v>
                </c:pt>
                <c:pt idx="140" formatCode="General">
                  <c:v>25.46</c:v>
                </c:pt>
                <c:pt idx="141" formatCode="General">
                  <c:v>25.96</c:v>
                </c:pt>
                <c:pt idx="142" formatCode="General">
                  <c:v>26.28</c:v>
                </c:pt>
                <c:pt idx="143">
                  <c:v>26.45</c:v>
                </c:pt>
                <c:pt idx="144">
                  <c:v>26.45</c:v>
                </c:pt>
                <c:pt idx="145">
                  <c:v>26.28</c:v>
                </c:pt>
                <c:pt idx="146">
                  <c:v>25.96</c:v>
                </c:pt>
                <c:pt idx="147">
                  <c:v>25.46</c:v>
                </c:pt>
                <c:pt idx="148">
                  <c:v>24.82</c:v>
                </c:pt>
                <c:pt idx="149">
                  <c:v>24.06</c:v>
                </c:pt>
                <c:pt idx="150">
                  <c:v>23.21</c:v>
                </c:pt>
                <c:pt idx="151">
                  <c:v>22.26</c:v>
                </c:pt>
                <c:pt idx="152">
                  <c:v>21.28</c:v>
                </c:pt>
                <c:pt idx="153">
                  <c:v>20.23</c:v>
                </c:pt>
                <c:pt idx="154">
                  <c:v>7.5</c:v>
                </c:pt>
                <c:pt idx="155">
                  <c:v>3.5</c:v>
                </c:pt>
                <c:pt idx="156">
                  <c:v>3.5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3.5</c:v>
                </c:pt>
                <c:pt idx="160" formatCode="General">
                  <c:v>3.5</c:v>
                </c:pt>
                <c:pt idx="161" formatCode="General">
                  <c:v>7.5</c:v>
                </c:pt>
                <c:pt idx="162" formatCode="General">
                  <c:v>20.23</c:v>
                </c:pt>
                <c:pt idx="163" formatCode="General">
                  <c:v>21.28</c:v>
                </c:pt>
                <c:pt idx="164" formatCode="General">
                  <c:v>22.26</c:v>
                </c:pt>
                <c:pt idx="165" formatCode="General">
                  <c:v>23.21</c:v>
                </c:pt>
                <c:pt idx="166">
                  <c:v>24.06</c:v>
                </c:pt>
                <c:pt idx="167">
                  <c:v>24.82</c:v>
                </c:pt>
                <c:pt idx="168">
                  <c:v>25.46</c:v>
                </c:pt>
                <c:pt idx="169">
                  <c:v>25.96</c:v>
                </c:pt>
                <c:pt idx="170">
                  <c:v>26.28</c:v>
                </c:pt>
                <c:pt idx="171">
                  <c:v>26.45</c:v>
                </c:pt>
                <c:pt idx="172">
                  <c:v>26.45</c:v>
                </c:pt>
                <c:pt idx="173">
                  <c:v>26.28</c:v>
                </c:pt>
                <c:pt idx="174">
                  <c:v>25.96</c:v>
                </c:pt>
                <c:pt idx="175">
                  <c:v>25.46</c:v>
                </c:pt>
                <c:pt idx="176">
                  <c:v>24.82</c:v>
                </c:pt>
                <c:pt idx="177">
                  <c:v>24.06</c:v>
                </c:pt>
                <c:pt idx="178">
                  <c:v>23.21</c:v>
                </c:pt>
                <c:pt idx="179">
                  <c:v>22.26</c:v>
                </c:pt>
                <c:pt idx="180" formatCode="General">
                  <c:v>21.28</c:v>
                </c:pt>
                <c:pt idx="181" formatCode="General">
                  <c:v>20.23</c:v>
                </c:pt>
                <c:pt idx="182" formatCode="General">
                  <c:v>7.5</c:v>
                </c:pt>
                <c:pt idx="183" formatCode="General">
                  <c:v>3.5</c:v>
                </c:pt>
                <c:pt idx="184" formatCode="General">
                  <c:v>3.5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3.5</c:v>
                </c:pt>
                <c:pt idx="188" formatCode="General">
                  <c:v>3.5</c:v>
                </c:pt>
                <c:pt idx="189" formatCode="General">
                  <c:v>7.5</c:v>
                </c:pt>
                <c:pt idx="190" formatCode="General">
                  <c:v>20.23</c:v>
                </c:pt>
                <c:pt idx="191" formatCode="General">
                  <c:v>21.28</c:v>
                </c:pt>
                <c:pt idx="192" formatCode="General">
                  <c:v>22.26</c:v>
                </c:pt>
                <c:pt idx="193" formatCode="General">
                  <c:v>23.21</c:v>
                </c:pt>
                <c:pt idx="194" formatCode="General">
                  <c:v>24.06</c:v>
                </c:pt>
                <c:pt idx="195" formatCode="General">
                  <c:v>24.82</c:v>
                </c:pt>
                <c:pt idx="196" formatCode="General">
                  <c:v>25.46</c:v>
                </c:pt>
                <c:pt idx="197" formatCode="General">
                  <c:v>25.96</c:v>
                </c:pt>
                <c:pt idx="198" formatCode="General">
                  <c:v>26.28</c:v>
                </c:pt>
                <c:pt idx="199" formatCode="General">
                  <c:v>26.45</c:v>
                </c:pt>
                <c:pt idx="200" formatCode="General">
                  <c:v>26.45</c:v>
                </c:pt>
                <c:pt idx="201" formatCode="General">
                  <c:v>26.28</c:v>
                </c:pt>
                <c:pt idx="202" formatCode="General">
                  <c:v>25.96</c:v>
                </c:pt>
                <c:pt idx="203" formatCode="General">
                  <c:v>25.46</c:v>
                </c:pt>
                <c:pt idx="204" formatCode="General">
                  <c:v>24.82</c:v>
                </c:pt>
                <c:pt idx="205" formatCode="General">
                  <c:v>24.06</c:v>
                </c:pt>
                <c:pt idx="206" formatCode="General">
                  <c:v>23.21</c:v>
                </c:pt>
                <c:pt idx="207" formatCode="General">
                  <c:v>22.26</c:v>
                </c:pt>
                <c:pt idx="208" formatCode="General">
                  <c:v>21.28</c:v>
                </c:pt>
                <c:pt idx="209" formatCode="General">
                  <c:v>20.23</c:v>
                </c:pt>
                <c:pt idx="210" formatCode="General">
                  <c:v>7.5</c:v>
                </c:pt>
                <c:pt idx="211" formatCode="General">
                  <c:v>3.5</c:v>
                </c:pt>
                <c:pt idx="212" formatCode="General">
                  <c:v>3.5</c:v>
                </c:pt>
                <c:pt idx="213" formatCode="General">
                  <c:v>0</c:v>
                </c:pt>
                <c:pt idx="21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2-4240-9861-6E72CB5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12160"/>
        <c:axId val="1673322240"/>
      </c:scatterChart>
      <c:valAx>
        <c:axId val="16733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22240"/>
        <c:crosses val="autoZero"/>
        <c:crossBetween val="midCat"/>
      </c:valAx>
      <c:valAx>
        <c:axId val="1673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Compostas'!$F$3:$F$13</c:f>
              <c:numCache>
                <c:formatCode>0.000</c:formatCode>
                <c:ptCount val="11"/>
                <c:pt idx="0">
                  <c:v>0</c:v>
                </c:pt>
                <c:pt idx="3">
                  <c:v>3.01</c:v>
                </c:pt>
                <c:pt idx="4">
                  <c:v>3.01</c:v>
                </c:pt>
                <c:pt idx="5">
                  <c:v>1.65</c:v>
                </c:pt>
                <c:pt idx="6">
                  <c:v>1.65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3.01</c:v>
                </c:pt>
              </c:numCache>
            </c:numRef>
          </c:xVal>
          <c:yVal>
            <c:numRef>
              <c:f>'Seções Compostas'!$G$3:$G$13</c:f>
              <c:numCache>
                <c:formatCode>0.000</c:formatCode>
                <c:ptCount val="11"/>
                <c:pt idx="0">
                  <c:v>0</c:v>
                </c:pt>
                <c:pt idx="3">
                  <c:v>5.7</c:v>
                </c:pt>
                <c:pt idx="4">
                  <c:v>23.1</c:v>
                </c:pt>
                <c:pt idx="5">
                  <c:v>25.7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5.7</c:v>
                </c:pt>
                <c:pt idx="1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5-4182-9631-458EACE0F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97679"/>
        <c:axId val="1543698159"/>
      </c:scatterChart>
      <c:valAx>
        <c:axId val="154369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8159"/>
        <c:crosses val="autoZero"/>
        <c:crossBetween val="midCat"/>
      </c:valAx>
      <c:valAx>
        <c:axId val="15436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Compostas'!$M$3:$M$262</c:f>
              <c:numCache>
                <c:formatCode>General</c:formatCode>
                <c:ptCount val="260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15.309441843966107</c:v>
                </c:pt>
                <c:pt idx="9">
                  <c:v>15.309441843966107</c:v>
                </c:pt>
                <c:pt idx="10">
                  <c:v>109.19055815603389</c:v>
                </c:pt>
                <c:pt idx="11">
                  <c:v>109.19055815603389</c:v>
                </c:pt>
                <c:pt idx="12">
                  <c:v>122.85</c:v>
                </c:pt>
                <c:pt idx="13">
                  <c:v>122.85</c:v>
                </c:pt>
                <c:pt idx="14">
                  <c:v>121.5</c:v>
                </c:pt>
                <c:pt idx="15">
                  <c:v>121.5</c:v>
                </c:pt>
                <c:pt idx="16">
                  <c:v>124.5</c:v>
                </c:pt>
                <c:pt idx="17">
                  <c:v>124.31</c:v>
                </c:pt>
                <c:pt idx="18">
                  <c:v>123.55</c:v>
                </c:pt>
                <c:pt idx="19">
                  <c:v>111.05</c:v>
                </c:pt>
                <c:pt idx="20">
                  <c:v>111.05</c:v>
                </c:pt>
                <c:pt idx="21">
                  <c:v>114.1</c:v>
                </c:pt>
                <c:pt idx="22">
                  <c:v>117.25</c:v>
                </c:pt>
                <c:pt idx="23">
                  <c:v>117.25</c:v>
                </c:pt>
                <c:pt idx="24">
                  <c:v>117.18</c:v>
                </c:pt>
                <c:pt idx="25">
                  <c:v>116.92</c:v>
                </c:pt>
                <c:pt idx="26">
                  <c:v>116.43</c:v>
                </c:pt>
                <c:pt idx="27">
                  <c:v>115.87</c:v>
                </c:pt>
                <c:pt idx="28">
                  <c:v>115.23</c:v>
                </c:pt>
                <c:pt idx="29">
                  <c:v>114.55</c:v>
                </c:pt>
                <c:pt idx="30">
                  <c:v>113.9</c:v>
                </c:pt>
                <c:pt idx="31">
                  <c:v>113.18</c:v>
                </c:pt>
                <c:pt idx="32">
                  <c:v>112.59</c:v>
                </c:pt>
                <c:pt idx="33">
                  <c:v>111.97</c:v>
                </c:pt>
                <c:pt idx="34">
                  <c:v>111.3</c:v>
                </c:pt>
                <c:pt idx="35">
                  <c:v>110.7</c:v>
                </c:pt>
                <c:pt idx="36">
                  <c:v>110.03</c:v>
                </c:pt>
                <c:pt idx="37">
                  <c:v>109.41</c:v>
                </c:pt>
                <c:pt idx="38">
                  <c:v>108.82</c:v>
                </c:pt>
                <c:pt idx="39">
                  <c:v>108.1</c:v>
                </c:pt>
                <c:pt idx="40">
                  <c:v>107.45</c:v>
                </c:pt>
                <c:pt idx="41">
                  <c:v>106.77</c:v>
                </c:pt>
                <c:pt idx="42">
                  <c:v>106.13</c:v>
                </c:pt>
                <c:pt idx="43">
                  <c:v>105.57</c:v>
                </c:pt>
                <c:pt idx="44">
                  <c:v>105.08</c:v>
                </c:pt>
                <c:pt idx="45">
                  <c:v>104.82</c:v>
                </c:pt>
                <c:pt idx="46">
                  <c:v>104.75</c:v>
                </c:pt>
                <c:pt idx="47">
                  <c:v>104.75</c:v>
                </c:pt>
                <c:pt idx="48">
                  <c:v>107.9</c:v>
                </c:pt>
                <c:pt idx="49">
                  <c:v>111</c:v>
                </c:pt>
                <c:pt idx="50">
                  <c:v>111</c:v>
                </c:pt>
                <c:pt idx="51">
                  <c:v>94.8</c:v>
                </c:pt>
                <c:pt idx="52">
                  <c:v>94.8</c:v>
                </c:pt>
                <c:pt idx="53">
                  <c:v>97.85</c:v>
                </c:pt>
                <c:pt idx="54">
                  <c:v>101</c:v>
                </c:pt>
                <c:pt idx="55">
                  <c:v>101</c:v>
                </c:pt>
                <c:pt idx="56">
                  <c:v>100.93</c:v>
                </c:pt>
                <c:pt idx="57">
                  <c:v>100.67</c:v>
                </c:pt>
                <c:pt idx="58">
                  <c:v>100.18</c:v>
                </c:pt>
                <c:pt idx="59">
                  <c:v>99.62</c:v>
                </c:pt>
                <c:pt idx="60">
                  <c:v>98.98</c:v>
                </c:pt>
                <c:pt idx="61">
                  <c:v>98.3</c:v>
                </c:pt>
                <c:pt idx="62">
                  <c:v>97.65</c:v>
                </c:pt>
                <c:pt idx="63">
                  <c:v>96.93</c:v>
                </c:pt>
                <c:pt idx="64">
                  <c:v>96.34</c:v>
                </c:pt>
                <c:pt idx="65">
                  <c:v>95.72</c:v>
                </c:pt>
                <c:pt idx="66">
                  <c:v>95.05</c:v>
                </c:pt>
                <c:pt idx="67">
                  <c:v>94.45</c:v>
                </c:pt>
                <c:pt idx="68">
                  <c:v>93.78</c:v>
                </c:pt>
                <c:pt idx="69">
                  <c:v>93.16</c:v>
                </c:pt>
                <c:pt idx="70">
                  <c:v>92.57</c:v>
                </c:pt>
                <c:pt idx="71">
                  <c:v>91.85</c:v>
                </c:pt>
                <c:pt idx="72">
                  <c:v>91.2</c:v>
                </c:pt>
                <c:pt idx="73">
                  <c:v>90.52</c:v>
                </c:pt>
                <c:pt idx="74">
                  <c:v>89.88</c:v>
                </c:pt>
                <c:pt idx="75">
                  <c:v>89.32</c:v>
                </c:pt>
                <c:pt idx="76">
                  <c:v>88.83</c:v>
                </c:pt>
                <c:pt idx="77">
                  <c:v>88.57</c:v>
                </c:pt>
                <c:pt idx="78">
                  <c:v>88.5</c:v>
                </c:pt>
                <c:pt idx="79">
                  <c:v>88.5</c:v>
                </c:pt>
                <c:pt idx="80">
                  <c:v>91.65</c:v>
                </c:pt>
                <c:pt idx="81">
                  <c:v>94.75</c:v>
                </c:pt>
                <c:pt idx="82">
                  <c:v>94.75</c:v>
                </c:pt>
                <c:pt idx="83">
                  <c:v>78.55</c:v>
                </c:pt>
                <c:pt idx="84">
                  <c:v>78.55</c:v>
                </c:pt>
                <c:pt idx="85">
                  <c:v>81.599999999999994</c:v>
                </c:pt>
                <c:pt idx="86">
                  <c:v>84.75</c:v>
                </c:pt>
                <c:pt idx="87">
                  <c:v>84.75</c:v>
                </c:pt>
                <c:pt idx="88">
                  <c:v>84.68</c:v>
                </c:pt>
                <c:pt idx="89">
                  <c:v>84.42</c:v>
                </c:pt>
                <c:pt idx="90">
                  <c:v>83.93</c:v>
                </c:pt>
                <c:pt idx="91">
                  <c:v>83.37</c:v>
                </c:pt>
                <c:pt idx="92">
                  <c:v>82.73</c:v>
                </c:pt>
                <c:pt idx="93">
                  <c:v>82.05</c:v>
                </c:pt>
                <c:pt idx="94">
                  <c:v>81.400000000000006</c:v>
                </c:pt>
                <c:pt idx="95">
                  <c:v>80.680000000000007</c:v>
                </c:pt>
                <c:pt idx="96">
                  <c:v>80.09</c:v>
                </c:pt>
                <c:pt idx="97">
                  <c:v>79.47</c:v>
                </c:pt>
                <c:pt idx="98">
                  <c:v>78.8</c:v>
                </c:pt>
                <c:pt idx="99">
                  <c:v>78.2</c:v>
                </c:pt>
                <c:pt idx="100">
                  <c:v>77.53</c:v>
                </c:pt>
                <c:pt idx="101">
                  <c:v>76.91</c:v>
                </c:pt>
                <c:pt idx="102">
                  <c:v>76.319999999999993</c:v>
                </c:pt>
                <c:pt idx="103">
                  <c:v>75.599999999999994</c:v>
                </c:pt>
                <c:pt idx="104">
                  <c:v>74.95</c:v>
                </c:pt>
                <c:pt idx="105">
                  <c:v>74.27</c:v>
                </c:pt>
                <c:pt idx="106">
                  <c:v>73.63</c:v>
                </c:pt>
                <c:pt idx="107">
                  <c:v>73.069999999999993</c:v>
                </c:pt>
                <c:pt idx="108">
                  <c:v>72.58</c:v>
                </c:pt>
                <c:pt idx="109">
                  <c:v>72.319999999999993</c:v>
                </c:pt>
                <c:pt idx="110">
                  <c:v>72.25</c:v>
                </c:pt>
                <c:pt idx="111">
                  <c:v>72.25</c:v>
                </c:pt>
                <c:pt idx="112">
                  <c:v>75.400000000000006</c:v>
                </c:pt>
                <c:pt idx="113">
                  <c:v>78.5</c:v>
                </c:pt>
                <c:pt idx="114">
                  <c:v>78.5</c:v>
                </c:pt>
                <c:pt idx="115">
                  <c:v>62.3</c:v>
                </c:pt>
                <c:pt idx="116">
                  <c:v>62.3</c:v>
                </c:pt>
                <c:pt idx="117">
                  <c:v>65.349999999999994</c:v>
                </c:pt>
                <c:pt idx="118">
                  <c:v>68.5</c:v>
                </c:pt>
                <c:pt idx="119">
                  <c:v>68.5</c:v>
                </c:pt>
                <c:pt idx="120">
                  <c:v>68.430000000000007</c:v>
                </c:pt>
                <c:pt idx="121">
                  <c:v>68.17</c:v>
                </c:pt>
                <c:pt idx="122">
                  <c:v>67.680000000000007</c:v>
                </c:pt>
                <c:pt idx="123">
                  <c:v>67.12</c:v>
                </c:pt>
                <c:pt idx="124">
                  <c:v>66.48</c:v>
                </c:pt>
                <c:pt idx="125">
                  <c:v>65.8</c:v>
                </c:pt>
                <c:pt idx="126">
                  <c:v>65.150000000000006</c:v>
                </c:pt>
                <c:pt idx="127">
                  <c:v>64.430000000000007</c:v>
                </c:pt>
                <c:pt idx="128">
                  <c:v>63.84</c:v>
                </c:pt>
                <c:pt idx="129">
                  <c:v>63.22</c:v>
                </c:pt>
                <c:pt idx="130">
                  <c:v>62.55</c:v>
                </c:pt>
                <c:pt idx="131">
                  <c:v>61.95</c:v>
                </c:pt>
                <c:pt idx="132">
                  <c:v>61.28</c:v>
                </c:pt>
                <c:pt idx="133">
                  <c:v>60.66</c:v>
                </c:pt>
                <c:pt idx="134">
                  <c:v>60.069999999999993</c:v>
                </c:pt>
                <c:pt idx="135">
                  <c:v>59.349999999999994</c:v>
                </c:pt>
                <c:pt idx="136">
                  <c:v>58.7</c:v>
                </c:pt>
                <c:pt idx="137">
                  <c:v>58.019999999999996</c:v>
                </c:pt>
                <c:pt idx="138">
                  <c:v>57.379999999999995</c:v>
                </c:pt>
                <c:pt idx="139">
                  <c:v>56.819999999999993</c:v>
                </c:pt>
                <c:pt idx="140">
                  <c:v>56.33</c:v>
                </c:pt>
                <c:pt idx="141">
                  <c:v>56.069999999999993</c:v>
                </c:pt>
                <c:pt idx="142">
                  <c:v>56</c:v>
                </c:pt>
                <c:pt idx="143">
                  <c:v>56</c:v>
                </c:pt>
                <c:pt idx="144">
                  <c:v>59.150000000000006</c:v>
                </c:pt>
                <c:pt idx="145">
                  <c:v>62.25</c:v>
                </c:pt>
                <c:pt idx="146">
                  <c:v>62.25</c:v>
                </c:pt>
                <c:pt idx="147">
                  <c:v>46.05</c:v>
                </c:pt>
                <c:pt idx="148">
                  <c:v>46.05</c:v>
                </c:pt>
                <c:pt idx="149">
                  <c:v>49.099999999999994</c:v>
                </c:pt>
                <c:pt idx="150">
                  <c:v>52.25</c:v>
                </c:pt>
                <c:pt idx="151">
                  <c:v>52.25</c:v>
                </c:pt>
                <c:pt idx="152">
                  <c:v>52.180000000000007</c:v>
                </c:pt>
                <c:pt idx="153">
                  <c:v>51.92</c:v>
                </c:pt>
                <c:pt idx="154">
                  <c:v>51.430000000000007</c:v>
                </c:pt>
                <c:pt idx="155">
                  <c:v>50.870000000000005</c:v>
                </c:pt>
                <c:pt idx="156">
                  <c:v>50.230000000000004</c:v>
                </c:pt>
                <c:pt idx="157">
                  <c:v>49.55</c:v>
                </c:pt>
                <c:pt idx="158">
                  <c:v>48.900000000000006</c:v>
                </c:pt>
                <c:pt idx="159">
                  <c:v>48.180000000000007</c:v>
                </c:pt>
                <c:pt idx="160">
                  <c:v>47.59</c:v>
                </c:pt>
                <c:pt idx="161">
                  <c:v>46.97</c:v>
                </c:pt>
                <c:pt idx="162">
                  <c:v>46.3</c:v>
                </c:pt>
                <c:pt idx="163">
                  <c:v>45.7</c:v>
                </c:pt>
                <c:pt idx="164">
                  <c:v>45.03</c:v>
                </c:pt>
                <c:pt idx="165">
                  <c:v>44.41</c:v>
                </c:pt>
                <c:pt idx="166">
                  <c:v>43.819999999999993</c:v>
                </c:pt>
                <c:pt idx="167">
                  <c:v>43.099999999999994</c:v>
                </c:pt>
                <c:pt idx="168">
                  <c:v>42.45</c:v>
                </c:pt>
                <c:pt idx="169">
                  <c:v>41.769999999999996</c:v>
                </c:pt>
                <c:pt idx="170">
                  <c:v>41.129999999999995</c:v>
                </c:pt>
                <c:pt idx="171">
                  <c:v>40.569999999999993</c:v>
                </c:pt>
                <c:pt idx="172">
                  <c:v>40.08</c:v>
                </c:pt>
                <c:pt idx="173">
                  <c:v>39.819999999999993</c:v>
                </c:pt>
                <c:pt idx="174">
                  <c:v>39.75</c:v>
                </c:pt>
                <c:pt idx="175">
                  <c:v>39.75</c:v>
                </c:pt>
                <c:pt idx="176">
                  <c:v>42.900000000000006</c:v>
                </c:pt>
                <c:pt idx="177">
                  <c:v>46</c:v>
                </c:pt>
                <c:pt idx="178">
                  <c:v>46</c:v>
                </c:pt>
                <c:pt idx="179">
                  <c:v>29.799999999999997</c:v>
                </c:pt>
                <c:pt idx="180">
                  <c:v>29.799999999999997</c:v>
                </c:pt>
                <c:pt idx="181">
                  <c:v>32.849999999999994</c:v>
                </c:pt>
                <c:pt idx="182">
                  <c:v>36</c:v>
                </c:pt>
                <c:pt idx="183">
                  <c:v>36</c:v>
                </c:pt>
                <c:pt idx="184">
                  <c:v>35.930000000000007</c:v>
                </c:pt>
                <c:pt idx="185">
                  <c:v>35.67</c:v>
                </c:pt>
                <c:pt idx="186">
                  <c:v>35.180000000000007</c:v>
                </c:pt>
                <c:pt idx="187">
                  <c:v>34.620000000000005</c:v>
                </c:pt>
                <c:pt idx="188">
                  <c:v>33.980000000000004</c:v>
                </c:pt>
                <c:pt idx="189">
                  <c:v>33.299999999999997</c:v>
                </c:pt>
                <c:pt idx="190">
                  <c:v>32.650000000000006</c:v>
                </c:pt>
                <c:pt idx="191">
                  <c:v>31.930000000000007</c:v>
                </c:pt>
                <c:pt idx="192">
                  <c:v>31.340000000000003</c:v>
                </c:pt>
                <c:pt idx="193">
                  <c:v>30.72</c:v>
                </c:pt>
                <c:pt idx="194">
                  <c:v>30.049999999999997</c:v>
                </c:pt>
                <c:pt idx="195">
                  <c:v>29.450000000000003</c:v>
                </c:pt>
                <c:pt idx="196">
                  <c:v>28.78</c:v>
                </c:pt>
                <c:pt idx="197">
                  <c:v>28.159999999999997</c:v>
                </c:pt>
                <c:pt idx="198">
                  <c:v>27.569999999999993</c:v>
                </c:pt>
                <c:pt idx="199">
                  <c:v>26.849999999999994</c:v>
                </c:pt>
                <c:pt idx="200">
                  <c:v>26.200000000000003</c:v>
                </c:pt>
                <c:pt idx="201">
                  <c:v>25.519999999999996</c:v>
                </c:pt>
                <c:pt idx="202">
                  <c:v>24.879999999999995</c:v>
                </c:pt>
                <c:pt idx="203">
                  <c:v>24.319999999999993</c:v>
                </c:pt>
                <c:pt idx="204">
                  <c:v>23.83</c:v>
                </c:pt>
                <c:pt idx="205">
                  <c:v>23.569999999999993</c:v>
                </c:pt>
                <c:pt idx="206">
                  <c:v>23.5</c:v>
                </c:pt>
                <c:pt idx="207">
                  <c:v>23.5</c:v>
                </c:pt>
                <c:pt idx="208">
                  <c:v>26.650000000000006</c:v>
                </c:pt>
                <c:pt idx="209">
                  <c:v>29.75</c:v>
                </c:pt>
                <c:pt idx="210">
                  <c:v>29.75</c:v>
                </c:pt>
                <c:pt idx="211">
                  <c:v>13.549999999999997</c:v>
                </c:pt>
                <c:pt idx="212">
                  <c:v>13.549999999999997</c:v>
                </c:pt>
                <c:pt idx="213">
                  <c:v>16.599999999999994</c:v>
                </c:pt>
                <c:pt idx="214">
                  <c:v>19.75</c:v>
                </c:pt>
                <c:pt idx="215">
                  <c:v>19.75</c:v>
                </c:pt>
                <c:pt idx="216">
                  <c:v>19.680000000000007</c:v>
                </c:pt>
                <c:pt idx="217">
                  <c:v>19.420000000000002</c:v>
                </c:pt>
                <c:pt idx="218">
                  <c:v>18.930000000000007</c:v>
                </c:pt>
                <c:pt idx="219">
                  <c:v>18.370000000000005</c:v>
                </c:pt>
                <c:pt idx="220">
                  <c:v>17.730000000000004</c:v>
                </c:pt>
                <c:pt idx="221">
                  <c:v>17.049999999999997</c:v>
                </c:pt>
                <c:pt idx="222">
                  <c:v>16.400000000000006</c:v>
                </c:pt>
                <c:pt idx="223">
                  <c:v>15.680000000000007</c:v>
                </c:pt>
                <c:pt idx="224">
                  <c:v>15.090000000000003</c:v>
                </c:pt>
                <c:pt idx="225">
                  <c:v>14.469999999999999</c:v>
                </c:pt>
                <c:pt idx="226">
                  <c:v>13.799999999999997</c:v>
                </c:pt>
                <c:pt idx="227">
                  <c:v>13.200000000000003</c:v>
                </c:pt>
                <c:pt idx="228">
                  <c:v>12.530000000000001</c:v>
                </c:pt>
                <c:pt idx="229">
                  <c:v>11.909999999999997</c:v>
                </c:pt>
                <c:pt idx="230">
                  <c:v>11.319999999999993</c:v>
                </c:pt>
                <c:pt idx="231">
                  <c:v>10.599999999999994</c:v>
                </c:pt>
                <c:pt idx="232">
                  <c:v>9.9500000000000028</c:v>
                </c:pt>
                <c:pt idx="233">
                  <c:v>9.269999999999996</c:v>
                </c:pt>
                <c:pt idx="234">
                  <c:v>8.6299999999999955</c:v>
                </c:pt>
                <c:pt idx="235">
                  <c:v>8.0699999999999932</c:v>
                </c:pt>
                <c:pt idx="236">
                  <c:v>7.5799999999999983</c:v>
                </c:pt>
                <c:pt idx="237">
                  <c:v>7.3199999999999932</c:v>
                </c:pt>
                <c:pt idx="238">
                  <c:v>7.25</c:v>
                </c:pt>
                <c:pt idx="239">
                  <c:v>7.25</c:v>
                </c:pt>
                <c:pt idx="240">
                  <c:v>10.4</c:v>
                </c:pt>
                <c:pt idx="241">
                  <c:v>13.5</c:v>
                </c:pt>
                <c:pt idx="242">
                  <c:v>13.5</c:v>
                </c:pt>
                <c:pt idx="243">
                  <c:v>0.95</c:v>
                </c:pt>
              </c:numCache>
            </c:numRef>
          </c:xVal>
          <c:yVal>
            <c:numRef>
              <c:f>'Seções Compostas'!$N$3:$N$262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19</c:v>
                </c:pt>
                <c:pt idx="6">
                  <c:v>21.5</c:v>
                </c:pt>
                <c:pt idx="7">
                  <c:v>25</c:v>
                </c:pt>
                <c:pt idx="8">
                  <c:v>25</c:v>
                </c:pt>
                <c:pt idx="9">
                  <c:v>30</c:v>
                </c:pt>
                <c:pt idx="10">
                  <c:v>30</c:v>
                </c:pt>
                <c:pt idx="11">
                  <c:v>25</c:v>
                </c:pt>
                <c:pt idx="12">
                  <c:v>25</c:v>
                </c:pt>
                <c:pt idx="13">
                  <c:v>21.5</c:v>
                </c:pt>
                <c:pt idx="14">
                  <c:v>19</c:v>
                </c:pt>
                <c:pt idx="15">
                  <c:v>5</c:v>
                </c:pt>
                <c:pt idx="16">
                  <c:v>2.2000000000000002</c:v>
                </c:pt>
                <c:pt idx="17">
                  <c:v>0.76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5.8</c:v>
                </c:pt>
                <c:pt idx="23">
                  <c:v>15.75</c:v>
                </c:pt>
                <c:pt idx="24">
                  <c:v>16.66</c:v>
                </c:pt>
                <c:pt idx="25">
                  <c:v>17.760000000000002</c:v>
                </c:pt>
                <c:pt idx="26">
                  <c:v>18.84</c:v>
                </c:pt>
                <c:pt idx="27">
                  <c:v>19.66</c:v>
                </c:pt>
                <c:pt idx="28">
                  <c:v>20.350000000000001</c:v>
                </c:pt>
                <c:pt idx="29">
                  <c:v>20.89</c:v>
                </c:pt>
                <c:pt idx="30">
                  <c:v>21.29</c:v>
                </c:pt>
                <c:pt idx="31">
                  <c:v>21.61</c:v>
                </c:pt>
                <c:pt idx="32">
                  <c:v>21.79</c:v>
                </c:pt>
                <c:pt idx="33">
                  <c:v>21.92</c:v>
                </c:pt>
                <c:pt idx="34">
                  <c:v>21.99</c:v>
                </c:pt>
                <c:pt idx="35">
                  <c:v>21.99</c:v>
                </c:pt>
                <c:pt idx="36">
                  <c:v>21.92</c:v>
                </c:pt>
                <c:pt idx="37">
                  <c:v>21.79</c:v>
                </c:pt>
                <c:pt idx="38">
                  <c:v>21.61</c:v>
                </c:pt>
                <c:pt idx="39">
                  <c:v>21.29</c:v>
                </c:pt>
                <c:pt idx="40">
                  <c:v>20.89</c:v>
                </c:pt>
                <c:pt idx="41">
                  <c:v>20.350000000000001</c:v>
                </c:pt>
                <c:pt idx="42">
                  <c:v>19.66</c:v>
                </c:pt>
                <c:pt idx="43">
                  <c:v>18.84</c:v>
                </c:pt>
                <c:pt idx="44">
                  <c:v>17.760000000000002</c:v>
                </c:pt>
                <c:pt idx="45">
                  <c:v>16.66</c:v>
                </c:pt>
                <c:pt idx="46">
                  <c:v>15.75</c:v>
                </c:pt>
                <c:pt idx="47">
                  <c:v>5.8</c:v>
                </c:pt>
                <c:pt idx="48">
                  <c:v>3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3</c:v>
                </c:pt>
                <c:pt idx="53">
                  <c:v>3</c:v>
                </c:pt>
                <c:pt idx="54">
                  <c:v>5.8</c:v>
                </c:pt>
                <c:pt idx="55">
                  <c:v>15.75</c:v>
                </c:pt>
                <c:pt idx="56">
                  <c:v>16.66</c:v>
                </c:pt>
                <c:pt idx="57">
                  <c:v>17.760000000000002</c:v>
                </c:pt>
                <c:pt idx="58">
                  <c:v>18.84</c:v>
                </c:pt>
                <c:pt idx="59">
                  <c:v>19.66</c:v>
                </c:pt>
                <c:pt idx="60">
                  <c:v>20.350000000000001</c:v>
                </c:pt>
                <c:pt idx="61">
                  <c:v>20.89</c:v>
                </c:pt>
                <c:pt idx="62">
                  <c:v>21.29</c:v>
                </c:pt>
                <c:pt idx="63">
                  <c:v>21.61</c:v>
                </c:pt>
                <c:pt idx="64">
                  <c:v>21.79</c:v>
                </c:pt>
                <c:pt idx="65">
                  <c:v>21.92</c:v>
                </c:pt>
                <c:pt idx="66">
                  <c:v>21.99</c:v>
                </c:pt>
                <c:pt idx="67">
                  <c:v>21.99</c:v>
                </c:pt>
                <c:pt idx="68">
                  <c:v>21.92</c:v>
                </c:pt>
                <c:pt idx="69">
                  <c:v>21.79</c:v>
                </c:pt>
                <c:pt idx="70">
                  <c:v>21.61</c:v>
                </c:pt>
                <c:pt idx="71">
                  <c:v>21.29</c:v>
                </c:pt>
                <c:pt idx="72">
                  <c:v>20.89</c:v>
                </c:pt>
                <c:pt idx="73">
                  <c:v>20.350000000000001</c:v>
                </c:pt>
                <c:pt idx="74">
                  <c:v>19.66</c:v>
                </c:pt>
                <c:pt idx="75">
                  <c:v>18.84</c:v>
                </c:pt>
                <c:pt idx="76">
                  <c:v>17.760000000000002</c:v>
                </c:pt>
                <c:pt idx="77">
                  <c:v>16.66</c:v>
                </c:pt>
                <c:pt idx="78">
                  <c:v>15.75</c:v>
                </c:pt>
                <c:pt idx="79">
                  <c:v>5.8</c:v>
                </c:pt>
                <c:pt idx="80">
                  <c:v>3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3</c:v>
                </c:pt>
                <c:pt idx="86">
                  <c:v>5.8</c:v>
                </c:pt>
                <c:pt idx="87">
                  <c:v>15.75</c:v>
                </c:pt>
                <c:pt idx="88">
                  <c:v>16.66</c:v>
                </c:pt>
                <c:pt idx="89">
                  <c:v>17.760000000000002</c:v>
                </c:pt>
                <c:pt idx="90">
                  <c:v>18.84</c:v>
                </c:pt>
                <c:pt idx="91">
                  <c:v>19.66</c:v>
                </c:pt>
                <c:pt idx="92">
                  <c:v>20.350000000000001</c:v>
                </c:pt>
                <c:pt idx="93">
                  <c:v>20.89</c:v>
                </c:pt>
                <c:pt idx="94">
                  <c:v>21.29</c:v>
                </c:pt>
                <c:pt idx="95">
                  <c:v>21.61</c:v>
                </c:pt>
                <c:pt idx="96">
                  <c:v>21.79</c:v>
                </c:pt>
                <c:pt idx="97">
                  <c:v>21.92</c:v>
                </c:pt>
                <c:pt idx="98">
                  <c:v>21.99</c:v>
                </c:pt>
                <c:pt idx="99">
                  <c:v>21.99</c:v>
                </c:pt>
                <c:pt idx="100">
                  <c:v>21.92</c:v>
                </c:pt>
                <c:pt idx="101">
                  <c:v>21.79</c:v>
                </c:pt>
                <c:pt idx="102">
                  <c:v>21.61</c:v>
                </c:pt>
                <c:pt idx="103">
                  <c:v>21.29</c:v>
                </c:pt>
                <c:pt idx="104">
                  <c:v>20.89</c:v>
                </c:pt>
                <c:pt idx="105">
                  <c:v>20.350000000000001</c:v>
                </c:pt>
                <c:pt idx="106">
                  <c:v>19.66</c:v>
                </c:pt>
                <c:pt idx="107">
                  <c:v>18.84</c:v>
                </c:pt>
                <c:pt idx="108">
                  <c:v>17.760000000000002</c:v>
                </c:pt>
                <c:pt idx="109">
                  <c:v>16.66</c:v>
                </c:pt>
                <c:pt idx="110">
                  <c:v>15.75</c:v>
                </c:pt>
                <c:pt idx="111">
                  <c:v>5.8</c:v>
                </c:pt>
                <c:pt idx="112">
                  <c:v>3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3</c:v>
                </c:pt>
                <c:pt idx="118">
                  <c:v>5.8</c:v>
                </c:pt>
                <c:pt idx="119">
                  <c:v>15.75</c:v>
                </c:pt>
                <c:pt idx="120">
                  <c:v>16.66</c:v>
                </c:pt>
                <c:pt idx="121">
                  <c:v>17.760000000000002</c:v>
                </c:pt>
                <c:pt idx="122">
                  <c:v>18.84</c:v>
                </c:pt>
                <c:pt idx="123">
                  <c:v>19.66</c:v>
                </c:pt>
                <c:pt idx="124">
                  <c:v>20.350000000000001</c:v>
                </c:pt>
                <c:pt idx="125">
                  <c:v>20.89</c:v>
                </c:pt>
                <c:pt idx="126">
                  <c:v>21.29</c:v>
                </c:pt>
                <c:pt idx="127">
                  <c:v>21.61</c:v>
                </c:pt>
                <c:pt idx="128">
                  <c:v>21.79</c:v>
                </c:pt>
                <c:pt idx="129">
                  <c:v>21.92</c:v>
                </c:pt>
                <c:pt idx="130">
                  <c:v>21.99</c:v>
                </c:pt>
                <c:pt idx="131">
                  <c:v>21.99</c:v>
                </c:pt>
                <c:pt idx="132">
                  <c:v>21.92</c:v>
                </c:pt>
                <c:pt idx="133">
                  <c:v>21.79</c:v>
                </c:pt>
                <c:pt idx="134">
                  <c:v>21.61</c:v>
                </c:pt>
                <c:pt idx="135">
                  <c:v>21.29</c:v>
                </c:pt>
                <c:pt idx="136">
                  <c:v>20.89</c:v>
                </c:pt>
                <c:pt idx="137">
                  <c:v>20.350000000000001</c:v>
                </c:pt>
                <c:pt idx="138">
                  <c:v>19.66</c:v>
                </c:pt>
                <c:pt idx="139">
                  <c:v>18.84</c:v>
                </c:pt>
                <c:pt idx="140">
                  <c:v>17.760000000000002</c:v>
                </c:pt>
                <c:pt idx="141">
                  <c:v>16.66</c:v>
                </c:pt>
                <c:pt idx="142">
                  <c:v>15.75</c:v>
                </c:pt>
                <c:pt idx="143">
                  <c:v>5.8</c:v>
                </c:pt>
                <c:pt idx="144">
                  <c:v>3</c:v>
                </c:pt>
                <c:pt idx="145">
                  <c:v>3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3</c:v>
                </c:pt>
                <c:pt idx="150">
                  <c:v>5.8</c:v>
                </c:pt>
                <c:pt idx="151">
                  <c:v>15.75</c:v>
                </c:pt>
                <c:pt idx="152">
                  <c:v>16.66</c:v>
                </c:pt>
                <c:pt idx="153">
                  <c:v>17.760000000000002</c:v>
                </c:pt>
                <c:pt idx="154">
                  <c:v>18.84</c:v>
                </c:pt>
                <c:pt idx="155">
                  <c:v>19.66</c:v>
                </c:pt>
                <c:pt idx="156">
                  <c:v>20.350000000000001</c:v>
                </c:pt>
                <c:pt idx="157">
                  <c:v>20.89</c:v>
                </c:pt>
                <c:pt idx="158">
                  <c:v>21.29</c:v>
                </c:pt>
                <c:pt idx="159">
                  <c:v>21.61</c:v>
                </c:pt>
                <c:pt idx="160">
                  <c:v>21.79</c:v>
                </c:pt>
                <c:pt idx="161">
                  <c:v>21.92</c:v>
                </c:pt>
                <c:pt idx="162">
                  <c:v>21.99</c:v>
                </c:pt>
                <c:pt idx="163">
                  <c:v>21.99</c:v>
                </c:pt>
                <c:pt idx="164">
                  <c:v>21.92</c:v>
                </c:pt>
                <c:pt idx="165">
                  <c:v>21.79</c:v>
                </c:pt>
                <c:pt idx="166">
                  <c:v>21.61</c:v>
                </c:pt>
                <c:pt idx="167">
                  <c:v>21.29</c:v>
                </c:pt>
                <c:pt idx="168">
                  <c:v>20.89</c:v>
                </c:pt>
                <c:pt idx="169">
                  <c:v>20.350000000000001</c:v>
                </c:pt>
                <c:pt idx="170">
                  <c:v>19.66</c:v>
                </c:pt>
                <c:pt idx="171">
                  <c:v>18.84</c:v>
                </c:pt>
                <c:pt idx="172">
                  <c:v>17.760000000000002</c:v>
                </c:pt>
                <c:pt idx="173">
                  <c:v>16.66</c:v>
                </c:pt>
                <c:pt idx="174">
                  <c:v>15.75</c:v>
                </c:pt>
                <c:pt idx="175">
                  <c:v>5.8</c:v>
                </c:pt>
                <c:pt idx="176">
                  <c:v>3</c:v>
                </c:pt>
                <c:pt idx="177">
                  <c:v>3</c:v>
                </c:pt>
                <c:pt idx="178">
                  <c:v>0</c:v>
                </c:pt>
                <c:pt idx="179">
                  <c:v>0</c:v>
                </c:pt>
                <c:pt idx="180">
                  <c:v>3</c:v>
                </c:pt>
                <c:pt idx="181">
                  <c:v>3</c:v>
                </c:pt>
                <c:pt idx="182">
                  <c:v>5.8</c:v>
                </c:pt>
                <c:pt idx="183">
                  <c:v>15.75</c:v>
                </c:pt>
                <c:pt idx="184">
                  <c:v>16.66</c:v>
                </c:pt>
                <c:pt idx="185">
                  <c:v>17.760000000000002</c:v>
                </c:pt>
                <c:pt idx="186">
                  <c:v>18.84</c:v>
                </c:pt>
                <c:pt idx="187">
                  <c:v>19.66</c:v>
                </c:pt>
                <c:pt idx="188">
                  <c:v>20.350000000000001</c:v>
                </c:pt>
                <c:pt idx="189">
                  <c:v>20.89</c:v>
                </c:pt>
                <c:pt idx="190">
                  <c:v>21.29</c:v>
                </c:pt>
                <c:pt idx="191">
                  <c:v>21.61</c:v>
                </c:pt>
                <c:pt idx="192">
                  <c:v>21.79</c:v>
                </c:pt>
                <c:pt idx="193">
                  <c:v>21.92</c:v>
                </c:pt>
                <c:pt idx="194">
                  <c:v>21.99</c:v>
                </c:pt>
                <c:pt idx="195">
                  <c:v>21.99</c:v>
                </c:pt>
                <c:pt idx="196">
                  <c:v>21.92</c:v>
                </c:pt>
                <c:pt idx="197">
                  <c:v>21.79</c:v>
                </c:pt>
                <c:pt idx="198">
                  <c:v>21.61</c:v>
                </c:pt>
                <c:pt idx="199">
                  <c:v>21.29</c:v>
                </c:pt>
                <c:pt idx="200">
                  <c:v>20.89</c:v>
                </c:pt>
                <c:pt idx="201">
                  <c:v>20.350000000000001</c:v>
                </c:pt>
                <c:pt idx="202">
                  <c:v>19.66</c:v>
                </c:pt>
                <c:pt idx="203">
                  <c:v>18.84</c:v>
                </c:pt>
                <c:pt idx="204">
                  <c:v>17.760000000000002</c:v>
                </c:pt>
                <c:pt idx="205">
                  <c:v>16.66</c:v>
                </c:pt>
                <c:pt idx="206">
                  <c:v>15.75</c:v>
                </c:pt>
                <c:pt idx="207">
                  <c:v>5.8</c:v>
                </c:pt>
                <c:pt idx="208">
                  <c:v>3</c:v>
                </c:pt>
                <c:pt idx="209">
                  <c:v>3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3</c:v>
                </c:pt>
                <c:pt idx="214">
                  <c:v>5.8</c:v>
                </c:pt>
                <c:pt idx="215">
                  <c:v>15.75</c:v>
                </c:pt>
                <c:pt idx="216">
                  <c:v>16.66</c:v>
                </c:pt>
                <c:pt idx="217">
                  <c:v>17.760000000000002</c:v>
                </c:pt>
                <c:pt idx="218">
                  <c:v>18.84</c:v>
                </c:pt>
                <c:pt idx="219">
                  <c:v>19.66</c:v>
                </c:pt>
                <c:pt idx="220">
                  <c:v>20.350000000000001</c:v>
                </c:pt>
                <c:pt idx="221">
                  <c:v>20.89</c:v>
                </c:pt>
                <c:pt idx="222">
                  <c:v>21.29</c:v>
                </c:pt>
                <c:pt idx="223">
                  <c:v>21.61</c:v>
                </c:pt>
                <c:pt idx="224">
                  <c:v>21.79</c:v>
                </c:pt>
                <c:pt idx="225">
                  <c:v>21.92</c:v>
                </c:pt>
                <c:pt idx="226">
                  <c:v>21.99</c:v>
                </c:pt>
                <c:pt idx="227">
                  <c:v>21.99</c:v>
                </c:pt>
                <c:pt idx="228">
                  <c:v>21.92</c:v>
                </c:pt>
                <c:pt idx="229">
                  <c:v>21.79</c:v>
                </c:pt>
                <c:pt idx="230">
                  <c:v>21.61</c:v>
                </c:pt>
                <c:pt idx="231">
                  <c:v>21.29</c:v>
                </c:pt>
                <c:pt idx="232">
                  <c:v>20.89</c:v>
                </c:pt>
                <c:pt idx="233">
                  <c:v>20.350000000000001</c:v>
                </c:pt>
                <c:pt idx="234">
                  <c:v>19.66</c:v>
                </c:pt>
                <c:pt idx="235">
                  <c:v>18.84</c:v>
                </c:pt>
                <c:pt idx="236">
                  <c:v>17.760000000000002</c:v>
                </c:pt>
                <c:pt idx="237">
                  <c:v>16.66</c:v>
                </c:pt>
                <c:pt idx="238">
                  <c:v>15.75</c:v>
                </c:pt>
                <c:pt idx="239">
                  <c:v>5.8</c:v>
                </c:pt>
                <c:pt idx="240">
                  <c:v>3</c:v>
                </c:pt>
                <c:pt idx="241">
                  <c:v>3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3-4201-9639-4893D125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12160"/>
        <c:axId val="1673322240"/>
      </c:scatterChart>
      <c:valAx>
        <c:axId val="16733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22240"/>
        <c:crosses val="autoZero"/>
        <c:crossBetween val="midCat"/>
      </c:valAx>
      <c:valAx>
        <c:axId val="1673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96984054458453"/>
          <c:y val="0.18097222222222226"/>
          <c:w val="0.82989125763150862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Compostas'!$Q$3:$Q$12</c:f>
              <c:numCache>
                <c:formatCode>0.000</c:formatCode>
                <c:ptCount val="10"/>
                <c:pt idx="0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'Seções Compostas'!$R$3:$R$12</c:f>
              <c:numCache>
                <c:formatCode>0.000</c:formatCode>
                <c:ptCount val="10"/>
                <c:pt idx="0">
                  <c:v>0</c:v>
                </c:pt>
                <c:pt idx="3">
                  <c:v>2.2000000000000002</c:v>
                </c:pt>
                <c:pt idx="4">
                  <c:v>5</c:v>
                </c:pt>
                <c:pt idx="5">
                  <c:v>19</c:v>
                </c:pt>
                <c:pt idx="6">
                  <c:v>21.5</c:v>
                </c:pt>
                <c:pt idx="7">
                  <c:v>25</c:v>
                </c:pt>
                <c:pt idx="8">
                  <c:v>25</c:v>
                </c:pt>
                <c:pt idx="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7-4634-9A68-2005CE866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97679"/>
        <c:axId val="1543698159"/>
      </c:scatterChart>
      <c:valAx>
        <c:axId val="154369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8159"/>
        <c:crosses val="autoZero"/>
        <c:crossBetween val="midCat"/>
      </c:valAx>
      <c:valAx>
        <c:axId val="15436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Compostas'!$X$3:$X$246</c:f>
              <c:numCache>
                <c:formatCode>General</c:formatCode>
                <c:ptCount val="244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15.309441843966107</c:v>
                </c:pt>
                <c:pt idx="9">
                  <c:v>15.309441843966107</c:v>
                </c:pt>
                <c:pt idx="10">
                  <c:v>109.19055815603389</c:v>
                </c:pt>
                <c:pt idx="11">
                  <c:v>109.19055815603389</c:v>
                </c:pt>
                <c:pt idx="12">
                  <c:v>122.85</c:v>
                </c:pt>
                <c:pt idx="13">
                  <c:v>122.85</c:v>
                </c:pt>
                <c:pt idx="14">
                  <c:v>121.5</c:v>
                </c:pt>
                <c:pt idx="15">
                  <c:v>121.5</c:v>
                </c:pt>
                <c:pt idx="16">
                  <c:v>124.5</c:v>
                </c:pt>
                <c:pt idx="17">
                  <c:v>124.31</c:v>
                </c:pt>
                <c:pt idx="18">
                  <c:v>123.55</c:v>
                </c:pt>
                <c:pt idx="19">
                  <c:v>111.05</c:v>
                </c:pt>
                <c:pt idx="20">
                  <c:v>111.05</c:v>
                </c:pt>
                <c:pt idx="21">
                  <c:v>114.1</c:v>
                </c:pt>
                <c:pt idx="22">
                  <c:v>117.25</c:v>
                </c:pt>
                <c:pt idx="23">
                  <c:v>117.25</c:v>
                </c:pt>
                <c:pt idx="24">
                  <c:v>117.18</c:v>
                </c:pt>
                <c:pt idx="25">
                  <c:v>116.92</c:v>
                </c:pt>
                <c:pt idx="26">
                  <c:v>116.43</c:v>
                </c:pt>
                <c:pt idx="27">
                  <c:v>115.87</c:v>
                </c:pt>
                <c:pt idx="28">
                  <c:v>115.23</c:v>
                </c:pt>
                <c:pt idx="29">
                  <c:v>114.55</c:v>
                </c:pt>
                <c:pt idx="30">
                  <c:v>113.9</c:v>
                </c:pt>
                <c:pt idx="31">
                  <c:v>113.18</c:v>
                </c:pt>
                <c:pt idx="32">
                  <c:v>112.59</c:v>
                </c:pt>
                <c:pt idx="33">
                  <c:v>111.97</c:v>
                </c:pt>
                <c:pt idx="34">
                  <c:v>111.3</c:v>
                </c:pt>
                <c:pt idx="35">
                  <c:v>110.7</c:v>
                </c:pt>
                <c:pt idx="36">
                  <c:v>110.03</c:v>
                </c:pt>
                <c:pt idx="37">
                  <c:v>109.41</c:v>
                </c:pt>
                <c:pt idx="38">
                  <c:v>108.82</c:v>
                </c:pt>
                <c:pt idx="39">
                  <c:v>108.1</c:v>
                </c:pt>
                <c:pt idx="40">
                  <c:v>107.45</c:v>
                </c:pt>
                <c:pt idx="41">
                  <c:v>106.77</c:v>
                </c:pt>
                <c:pt idx="42">
                  <c:v>106.13</c:v>
                </c:pt>
                <c:pt idx="43">
                  <c:v>105.57</c:v>
                </c:pt>
                <c:pt idx="44">
                  <c:v>105.08</c:v>
                </c:pt>
                <c:pt idx="45">
                  <c:v>104.82</c:v>
                </c:pt>
                <c:pt idx="46">
                  <c:v>104.75</c:v>
                </c:pt>
                <c:pt idx="47">
                  <c:v>104.75</c:v>
                </c:pt>
                <c:pt idx="48">
                  <c:v>107.9</c:v>
                </c:pt>
                <c:pt idx="49">
                  <c:v>111</c:v>
                </c:pt>
                <c:pt idx="50">
                  <c:v>111</c:v>
                </c:pt>
                <c:pt idx="51">
                  <c:v>94.8</c:v>
                </c:pt>
                <c:pt idx="52">
                  <c:v>94.8</c:v>
                </c:pt>
                <c:pt idx="53">
                  <c:v>97.85</c:v>
                </c:pt>
                <c:pt idx="54">
                  <c:v>101</c:v>
                </c:pt>
                <c:pt idx="55">
                  <c:v>101</c:v>
                </c:pt>
                <c:pt idx="56">
                  <c:v>100.93</c:v>
                </c:pt>
                <c:pt idx="57">
                  <c:v>100.67</c:v>
                </c:pt>
                <c:pt idx="58">
                  <c:v>100.18</c:v>
                </c:pt>
                <c:pt idx="59">
                  <c:v>99.62</c:v>
                </c:pt>
                <c:pt idx="60">
                  <c:v>98.98</c:v>
                </c:pt>
                <c:pt idx="61">
                  <c:v>98.3</c:v>
                </c:pt>
                <c:pt idx="62">
                  <c:v>97.65</c:v>
                </c:pt>
                <c:pt idx="63">
                  <c:v>96.93</c:v>
                </c:pt>
                <c:pt idx="64">
                  <c:v>96.34</c:v>
                </c:pt>
                <c:pt idx="65">
                  <c:v>95.72</c:v>
                </c:pt>
                <c:pt idx="66">
                  <c:v>95.05</c:v>
                </c:pt>
                <c:pt idx="67">
                  <c:v>94.45</c:v>
                </c:pt>
                <c:pt idx="68">
                  <c:v>93.78</c:v>
                </c:pt>
                <c:pt idx="69">
                  <c:v>93.16</c:v>
                </c:pt>
                <c:pt idx="70">
                  <c:v>92.57</c:v>
                </c:pt>
                <c:pt idx="71">
                  <c:v>91.85</c:v>
                </c:pt>
                <c:pt idx="72">
                  <c:v>91.2</c:v>
                </c:pt>
                <c:pt idx="73">
                  <c:v>90.52</c:v>
                </c:pt>
                <c:pt idx="74">
                  <c:v>89.88</c:v>
                </c:pt>
                <c:pt idx="75">
                  <c:v>89.32</c:v>
                </c:pt>
                <c:pt idx="76">
                  <c:v>88.83</c:v>
                </c:pt>
                <c:pt idx="77">
                  <c:v>88.57</c:v>
                </c:pt>
                <c:pt idx="78">
                  <c:v>88.5</c:v>
                </c:pt>
                <c:pt idx="79">
                  <c:v>88.5</c:v>
                </c:pt>
                <c:pt idx="80">
                  <c:v>91.65</c:v>
                </c:pt>
                <c:pt idx="81">
                  <c:v>94.75</c:v>
                </c:pt>
                <c:pt idx="82">
                  <c:v>94.75</c:v>
                </c:pt>
                <c:pt idx="83">
                  <c:v>78.55</c:v>
                </c:pt>
                <c:pt idx="84">
                  <c:v>78.55</c:v>
                </c:pt>
                <c:pt idx="85">
                  <c:v>81.599999999999994</c:v>
                </c:pt>
                <c:pt idx="86">
                  <c:v>84.75</c:v>
                </c:pt>
                <c:pt idx="87">
                  <c:v>84.75</c:v>
                </c:pt>
                <c:pt idx="88">
                  <c:v>84.68</c:v>
                </c:pt>
                <c:pt idx="89">
                  <c:v>84.42</c:v>
                </c:pt>
                <c:pt idx="90">
                  <c:v>83.93</c:v>
                </c:pt>
                <c:pt idx="91">
                  <c:v>83.37</c:v>
                </c:pt>
                <c:pt idx="92">
                  <c:v>82.73</c:v>
                </c:pt>
                <c:pt idx="93">
                  <c:v>82.05</c:v>
                </c:pt>
                <c:pt idx="94">
                  <c:v>81.400000000000006</c:v>
                </c:pt>
                <c:pt idx="95">
                  <c:v>80.680000000000007</c:v>
                </c:pt>
                <c:pt idx="96">
                  <c:v>80.09</c:v>
                </c:pt>
                <c:pt idx="97">
                  <c:v>79.47</c:v>
                </c:pt>
                <c:pt idx="98">
                  <c:v>78.8</c:v>
                </c:pt>
                <c:pt idx="99">
                  <c:v>78.2</c:v>
                </c:pt>
                <c:pt idx="100">
                  <c:v>77.53</c:v>
                </c:pt>
                <c:pt idx="101">
                  <c:v>76.91</c:v>
                </c:pt>
                <c:pt idx="102">
                  <c:v>76.319999999999993</c:v>
                </c:pt>
                <c:pt idx="103">
                  <c:v>75.599999999999994</c:v>
                </c:pt>
                <c:pt idx="104">
                  <c:v>74.95</c:v>
                </c:pt>
                <c:pt idx="105">
                  <c:v>74.27</c:v>
                </c:pt>
                <c:pt idx="106">
                  <c:v>73.63</c:v>
                </c:pt>
                <c:pt idx="107">
                  <c:v>73.069999999999993</c:v>
                </c:pt>
                <c:pt idx="108">
                  <c:v>72.58</c:v>
                </c:pt>
                <c:pt idx="109">
                  <c:v>72.319999999999993</c:v>
                </c:pt>
                <c:pt idx="110">
                  <c:v>72.25</c:v>
                </c:pt>
                <c:pt idx="111">
                  <c:v>72.25</c:v>
                </c:pt>
                <c:pt idx="112">
                  <c:v>75.400000000000006</c:v>
                </c:pt>
                <c:pt idx="113">
                  <c:v>78.5</c:v>
                </c:pt>
                <c:pt idx="114">
                  <c:v>78.5</c:v>
                </c:pt>
                <c:pt idx="115">
                  <c:v>62.3</c:v>
                </c:pt>
                <c:pt idx="116">
                  <c:v>62.3</c:v>
                </c:pt>
                <c:pt idx="117">
                  <c:v>65.349999999999994</c:v>
                </c:pt>
                <c:pt idx="118">
                  <c:v>68.5</c:v>
                </c:pt>
                <c:pt idx="119">
                  <c:v>68.5</c:v>
                </c:pt>
                <c:pt idx="120">
                  <c:v>68.430000000000007</c:v>
                </c:pt>
                <c:pt idx="121">
                  <c:v>68.17</c:v>
                </c:pt>
                <c:pt idx="122">
                  <c:v>67.680000000000007</c:v>
                </c:pt>
                <c:pt idx="123">
                  <c:v>67.12</c:v>
                </c:pt>
                <c:pt idx="124">
                  <c:v>66.48</c:v>
                </c:pt>
                <c:pt idx="125">
                  <c:v>65.8</c:v>
                </c:pt>
                <c:pt idx="126">
                  <c:v>65.150000000000006</c:v>
                </c:pt>
                <c:pt idx="127">
                  <c:v>64.430000000000007</c:v>
                </c:pt>
                <c:pt idx="128">
                  <c:v>63.84</c:v>
                </c:pt>
                <c:pt idx="129">
                  <c:v>63.22</c:v>
                </c:pt>
                <c:pt idx="130">
                  <c:v>62.55</c:v>
                </c:pt>
                <c:pt idx="131">
                  <c:v>61.95</c:v>
                </c:pt>
                <c:pt idx="132">
                  <c:v>61.28</c:v>
                </c:pt>
                <c:pt idx="133">
                  <c:v>60.66</c:v>
                </c:pt>
                <c:pt idx="134">
                  <c:v>60.069999999999993</c:v>
                </c:pt>
                <c:pt idx="135">
                  <c:v>59.349999999999994</c:v>
                </c:pt>
                <c:pt idx="136">
                  <c:v>58.7</c:v>
                </c:pt>
                <c:pt idx="137">
                  <c:v>58.019999999999996</c:v>
                </c:pt>
                <c:pt idx="138">
                  <c:v>57.379999999999995</c:v>
                </c:pt>
                <c:pt idx="139">
                  <c:v>56.819999999999993</c:v>
                </c:pt>
                <c:pt idx="140">
                  <c:v>56.33</c:v>
                </c:pt>
                <c:pt idx="141">
                  <c:v>56.069999999999993</c:v>
                </c:pt>
                <c:pt idx="142">
                  <c:v>56</c:v>
                </c:pt>
                <c:pt idx="143">
                  <c:v>56</c:v>
                </c:pt>
                <c:pt idx="144">
                  <c:v>59.150000000000006</c:v>
                </c:pt>
                <c:pt idx="145">
                  <c:v>62.25</c:v>
                </c:pt>
                <c:pt idx="146">
                  <c:v>62.25</c:v>
                </c:pt>
                <c:pt idx="147">
                  <c:v>46.05</c:v>
                </c:pt>
                <c:pt idx="148">
                  <c:v>46.05</c:v>
                </c:pt>
                <c:pt idx="149">
                  <c:v>49.099999999999994</c:v>
                </c:pt>
                <c:pt idx="150">
                  <c:v>52.25</c:v>
                </c:pt>
                <c:pt idx="151">
                  <c:v>52.25</c:v>
                </c:pt>
                <c:pt idx="152">
                  <c:v>52.180000000000007</c:v>
                </c:pt>
                <c:pt idx="153">
                  <c:v>51.92</c:v>
                </c:pt>
                <c:pt idx="154">
                  <c:v>51.430000000000007</c:v>
                </c:pt>
                <c:pt idx="155">
                  <c:v>50.870000000000005</c:v>
                </c:pt>
                <c:pt idx="156">
                  <c:v>50.230000000000004</c:v>
                </c:pt>
                <c:pt idx="157">
                  <c:v>49.55</c:v>
                </c:pt>
                <c:pt idx="158">
                  <c:v>48.900000000000006</c:v>
                </c:pt>
                <c:pt idx="159">
                  <c:v>48.180000000000007</c:v>
                </c:pt>
                <c:pt idx="160">
                  <c:v>47.59</c:v>
                </c:pt>
                <c:pt idx="161">
                  <c:v>46.97</c:v>
                </c:pt>
                <c:pt idx="162">
                  <c:v>46.3</c:v>
                </c:pt>
                <c:pt idx="163">
                  <c:v>45.7</c:v>
                </c:pt>
                <c:pt idx="164">
                  <c:v>45.03</c:v>
                </c:pt>
                <c:pt idx="165">
                  <c:v>44.41</c:v>
                </c:pt>
                <c:pt idx="166">
                  <c:v>43.819999999999993</c:v>
                </c:pt>
                <c:pt idx="167">
                  <c:v>43.099999999999994</c:v>
                </c:pt>
                <c:pt idx="168">
                  <c:v>42.45</c:v>
                </c:pt>
                <c:pt idx="169">
                  <c:v>41.769999999999996</c:v>
                </c:pt>
                <c:pt idx="170">
                  <c:v>41.129999999999995</c:v>
                </c:pt>
                <c:pt idx="171">
                  <c:v>40.569999999999993</c:v>
                </c:pt>
                <c:pt idx="172">
                  <c:v>40.08</c:v>
                </c:pt>
                <c:pt idx="173">
                  <c:v>39.819999999999993</c:v>
                </c:pt>
                <c:pt idx="174">
                  <c:v>39.75</c:v>
                </c:pt>
                <c:pt idx="175">
                  <c:v>39.75</c:v>
                </c:pt>
                <c:pt idx="176">
                  <c:v>42.900000000000006</c:v>
                </c:pt>
                <c:pt idx="177">
                  <c:v>46</c:v>
                </c:pt>
                <c:pt idx="178">
                  <c:v>46</c:v>
                </c:pt>
                <c:pt idx="179">
                  <c:v>29.799999999999997</c:v>
                </c:pt>
                <c:pt idx="180">
                  <c:v>29.799999999999997</c:v>
                </c:pt>
                <c:pt idx="181">
                  <c:v>32.849999999999994</c:v>
                </c:pt>
                <c:pt idx="182">
                  <c:v>36</c:v>
                </c:pt>
                <c:pt idx="183">
                  <c:v>36</c:v>
                </c:pt>
                <c:pt idx="184">
                  <c:v>35.930000000000007</c:v>
                </c:pt>
                <c:pt idx="185">
                  <c:v>35.67</c:v>
                </c:pt>
                <c:pt idx="186">
                  <c:v>35.180000000000007</c:v>
                </c:pt>
                <c:pt idx="187">
                  <c:v>34.620000000000005</c:v>
                </c:pt>
                <c:pt idx="188">
                  <c:v>33.980000000000004</c:v>
                </c:pt>
                <c:pt idx="189">
                  <c:v>33.299999999999997</c:v>
                </c:pt>
                <c:pt idx="190">
                  <c:v>32.650000000000006</c:v>
                </c:pt>
                <c:pt idx="191">
                  <c:v>31.930000000000007</c:v>
                </c:pt>
                <c:pt idx="192">
                  <c:v>31.340000000000003</c:v>
                </c:pt>
                <c:pt idx="193">
                  <c:v>30.72</c:v>
                </c:pt>
                <c:pt idx="194">
                  <c:v>30.049999999999997</c:v>
                </c:pt>
                <c:pt idx="195">
                  <c:v>29.450000000000003</c:v>
                </c:pt>
                <c:pt idx="196">
                  <c:v>28.78</c:v>
                </c:pt>
                <c:pt idx="197">
                  <c:v>28.159999999999997</c:v>
                </c:pt>
                <c:pt idx="198">
                  <c:v>27.569999999999993</c:v>
                </c:pt>
                <c:pt idx="199">
                  <c:v>26.849999999999994</c:v>
                </c:pt>
                <c:pt idx="200">
                  <c:v>26.200000000000003</c:v>
                </c:pt>
                <c:pt idx="201">
                  <c:v>25.519999999999996</c:v>
                </c:pt>
                <c:pt idx="202">
                  <c:v>24.879999999999995</c:v>
                </c:pt>
                <c:pt idx="203">
                  <c:v>24.319999999999993</c:v>
                </c:pt>
                <c:pt idx="204">
                  <c:v>23.83</c:v>
                </c:pt>
                <c:pt idx="205">
                  <c:v>23.569999999999993</c:v>
                </c:pt>
                <c:pt idx="206">
                  <c:v>23.5</c:v>
                </c:pt>
                <c:pt idx="207">
                  <c:v>23.5</c:v>
                </c:pt>
                <c:pt idx="208">
                  <c:v>26.650000000000006</c:v>
                </c:pt>
                <c:pt idx="209">
                  <c:v>29.75</c:v>
                </c:pt>
                <c:pt idx="210">
                  <c:v>29.75</c:v>
                </c:pt>
                <c:pt idx="211">
                  <c:v>13.549999999999997</c:v>
                </c:pt>
                <c:pt idx="212">
                  <c:v>13.549999999999997</c:v>
                </c:pt>
                <c:pt idx="213">
                  <c:v>16.599999999999994</c:v>
                </c:pt>
                <c:pt idx="214">
                  <c:v>19.75</c:v>
                </c:pt>
                <c:pt idx="215">
                  <c:v>19.75</c:v>
                </c:pt>
                <c:pt idx="216">
                  <c:v>19.680000000000007</c:v>
                </c:pt>
                <c:pt idx="217">
                  <c:v>19.420000000000002</c:v>
                </c:pt>
                <c:pt idx="218">
                  <c:v>18.930000000000007</c:v>
                </c:pt>
                <c:pt idx="219">
                  <c:v>18.370000000000005</c:v>
                </c:pt>
                <c:pt idx="220">
                  <c:v>17.730000000000004</c:v>
                </c:pt>
                <c:pt idx="221">
                  <c:v>17.049999999999997</c:v>
                </c:pt>
                <c:pt idx="222">
                  <c:v>16.400000000000006</c:v>
                </c:pt>
                <c:pt idx="223">
                  <c:v>15.680000000000007</c:v>
                </c:pt>
                <c:pt idx="224">
                  <c:v>15.090000000000003</c:v>
                </c:pt>
                <c:pt idx="225">
                  <c:v>14.469999999999999</c:v>
                </c:pt>
                <c:pt idx="226">
                  <c:v>13.799999999999997</c:v>
                </c:pt>
                <c:pt idx="227">
                  <c:v>13.200000000000003</c:v>
                </c:pt>
                <c:pt idx="228">
                  <c:v>12.530000000000001</c:v>
                </c:pt>
                <c:pt idx="229">
                  <c:v>11.909999999999997</c:v>
                </c:pt>
                <c:pt idx="230">
                  <c:v>11.319999999999993</c:v>
                </c:pt>
                <c:pt idx="231">
                  <c:v>10.599999999999994</c:v>
                </c:pt>
                <c:pt idx="232">
                  <c:v>9.9500000000000028</c:v>
                </c:pt>
                <c:pt idx="233">
                  <c:v>9.269999999999996</c:v>
                </c:pt>
                <c:pt idx="234">
                  <c:v>8.6299999999999955</c:v>
                </c:pt>
                <c:pt idx="235">
                  <c:v>8.0699999999999932</c:v>
                </c:pt>
                <c:pt idx="236">
                  <c:v>7.5799999999999983</c:v>
                </c:pt>
                <c:pt idx="237">
                  <c:v>7.3199999999999932</c:v>
                </c:pt>
                <c:pt idx="238">
                  <c:v>7.25</c:v>
                </c:pt>
                <c:pt idx="239">
                  <c:v>7.25</c:v>
                </c:pt>
                <c:pt idx="240">
                  <c:v>10.4</c:v>
                </c:pt>
                <c:pt idx="241">
                  <c:v>13.5</c:v>
                </c:pt>
                <c:pt idx="242">
                  <c:v>13.5</c:v>
                </c:pt>
                <c:pt idx="243">
                  <c:v>0.95</c:v>
                </c:pt>
              </c:numCache>
            </c:numRef>
          </c:xVal>
          <c:yVal>
            <c:numRef>
              <c:f>'Seções Compostas'!$Y$3:$Y$246</c:f>
              <c:numCache>
                <c:formatCode>General</c:formatCode>
                <c:ptCount val="244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14</c:v>
                </c:pt>
                <c:pt idx="6">
                  <c:v>16.5</c:v>
                </c:pt>
                <c:pt idx="7">
                  <c:v>20</c:v>
                </c:pt>
                <c:pt idx="8">
                  <c:v>20</c:v>
                </c:pt>
                <c:pt idx="9">
                  <c:v>25</c:v>
                </c:pt>
                <c:pt idx="10">
                  <c:v>25</c:v>
                </c:pt>
                <c:pt idx="11">
                  <c:v>20</c:v>
                </c:pt>
                <c:pt idx="12">
                  <c:v>20</c:v>
                </c:pt>
                <c:pt idx="13">
                  <c:v>16.5</c:v>
                </c:pt>
                <c:pt idx="14">
                  <c:v>14</c:v>
                </c:pt>
                <c:pt idx="15">
                  <c:v>5</c:v>
                </c:pt>
                <c:pt idx="16">
                  <c:v>2.2000000000000002</c:v>
                </c:pt>
                <c:pt idx="17">
                  <c:v>0.76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5.8</c:v>
                </c:pt>
                <c:pt idx="23">
                  <c:v>10.75</c:v>
                </c:pt>
                <c:pt idx="24">
                  <c:v>11.66</c:v>
                </c:pt>
                <c:pt idx="25">
                  <c:v>12.760000000000002</c:v>
                </c:pt>
                <c:pt idx="26">
                  <c:v>13.84</c:v>
                </c:pt>
                <c:pt idx="27">
                  <c:v>14.66</c:v>
                </c:pt>
                <c:pt idx="28">
                  <c:v>15.350000000000001</c:v>
                </c:pt>
                <c:pt idx="29">
                  <c:v>15.89</c:v>
                </c:pt>
                <c:pt idx="30">
                  <c:v>16.29</c:v>
                </c:pt>
                <c:pt idx="31">
                  <c:v>16.61</c:v>
                </c:pt>
                <c:pt idx="32">
                  <c:v>16.79</c:v>
                </c:pt>
                <c:pt idx="33">
                  <c:v>16.920000000000002</c:v>
                </c:pt>
                <c:pt idx="34">
                  <c:v>16.989999999999998</c:v>
                </c:pt>
                <c:pt idx="35">
                  <c:v>16.989999999999998</c:v>
                </c:pt>
                <c:pt idx="36">
                  <c:v>16.920000000000002</c:v>
                </c:pt>
                <c:pt idx="37">
                  <c:v>16.79</c:v>
                </c:pt>
                <c:pt idx="38">
                  <c:v>16.61</c:v>
                </c:pt>
                <c:pt idx="39">
                  <c:v>16.29</c:v>
                </c:pt>
                <c:pt idx="40">
                  <c:v>15.89</c:v>
                </c:pt>
                <c:pt idx="41">
                  <c:v>15.350000000000001</c:v>
                </c:pt>
                <c:pt idx="42">
                  <c:v>14.66</c:v>
                </c:pt>
                <c:pt idx="43">
                  <c:v>13.84</c:v>
                </c:pt>
                <c:pt idx="44">
                  <c:v>12.760000000000002</c:v>
                </c:pt>
                <c:pt idx="45">
                  <c:v>11.66</c:v>
                </c:pt>
                <c:pt idx="46">
                  <c:v>10.75</c:v>
                </c:pt>
                <c:pt idx="47">
                  <c:v>5.8</c:v>
                </c:pt>
                <c:pt idx="48">
                  <c:v>3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3</c:v>
                </c:pt>
                <c:pt idx="53">
                  <c:v>3</c:v>
                </c:pt>
                <c:pt idx="54">
                  <c:v>5.8</c:v>
                </c:pt>
                <c:pt idx="55">
                  <c:v>10.75</c:v>
                </c:pt>
                <c:pt idx="56">
                  <c:v>11.66</c:v>
                </c:pt>
                <c:pt idx="57">
                  <c:v>12.760000000000002</c:v>
                </c:pt>
                <c:pt idx="58">
                  <c:v>13.84</c:v>
                </c:pt>
                <c:pt idx="59">
                  <c:v>14.66</c:v>
                </c:pt>
                <c:pt idx="60">
                  <c:v>15.350000000000001</c:v>
                </c:pt>
                <c:pt idx="61">
                  <c:v>15.89</c:v>
                </c:pt>
                <c:pt idx="62">
                  <c:v>16.29</c:v>
                </c:pt>
                <c:pt idx="63">
                  <c:v>16.61</c:v>
                </c:pt>
                <c:pt idx="64">
                  <c:v>16.79</c:v>
                </c:pt>
                <c:pt idx="65">
                  <c:v>16.920000000000002</c:v>
                </c:pt>
                <c:pt idx="66">
                  <c:v>16.989999999999998</c:v>
                </c:pt>
                <c:pt idx="67">
                  <c:v>16.989999999999998</c:v>
                </c:pt>
                <c:pt idx="68">
                  <c:v>16.920000000000002</c:v>
                </c:pt>
                <c:pt idx="69">
                  <c:v>16.79</c:v>
                </c:pt>
                <c:pt idx="70">
                  <c:v>16.61</c:v>
                </c:pt>
                <c:pt idx="71">
                  <c:v>16.29</c:v>
                </c:pt>
                <c:pt idx="72">
                  <c:v>15.89</c:v>
                </c:pt>
                <c:pt idx="73">
                  <c:v>15.350000000000001</c:v>
                </c:pt>
                <c:pt idx="74">
                  <c:v>14.66</c:v>
                </c:pt>
                <c:pt idx="75">
                  <c:v>13.84</c:v>
                </c:pt>
                <c:pt idx="76">
                  <c:v>12.760000000000002</c:v>
                </c:pt>
                <c:pt idx="77">
                  <c:v>11.66</c:v>
                </c:pt>
                <c:pt idx="78">
                  <c:v>10.75</c:v>
                </c:pt>
                <c:pt idx="79">
                  <c:v>5.8</c:v>
                </c:pt>
                <c:pt idx="80">
                  <c:v>3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3</c:v>
                </c:pt>
                <c:pt idx="86">
                  <c:v>5.8</c:v>
                </c:pt>
                <c:pt idx="87">
                  <c:v>10.75</c:v>
                </c:pt>
                <c:pt idx="88">
                  <c:v>11.66</c:v>
                </c:pt>
                <c:pt idx="89">
                  <c:v>12.760000000000002</c:v>
                </c:pt>
                <c:pt idx="90">
                  <c:v>13.84</c:v>
                </c:pt>
                <c:pt idx="91">
                  <c:v>14.66</c:v>
                </c:pt>
                <c:pt idx="92">
                  <c:v>15.350000000000001</c:v>
                </c:pt>
                <c:pt idx="93">
                  <c:v>15.89</c:v>
                </c:pt>
                <c:pt idx="94">
                  <c:v>16.29</c:v>
                </c:pt>
                <c:pt idx="95">
                  <c:v>16.61</c:v>
                </c:pt>
                <c:pt idx="96">
                  <c:v>16.79</c:v>
                </c:pt>
                <c:pt idx="97">
                  <c:v>16.920000000000002</c:v>
                </c:pt>
                <c:pt idx="98">
                  <c:v>16.989999999999998</c:v>
                </c:pt>
                <c:pt idx="99">
                  <c:v>16.989999999999998</c:v>
                </c:pt>
                <c:pt idx="100">
                  <c:v>16.920000000000002</c:v>
                </c:pt>
                <c:pt idx="101">
                  <c:v>16.79</c:v>
                </c:pt>
                <c:pt idx="102">
                  <c:v>16.61</c:v>
                </c:pt>
                <c:pt idx="103">
                  <c:v>16.29</c:v>
                </c:pt>
                <c:pt idx="104">
                  <c:v>15.89</c:v>
                </c:pt>
                <c:pt idx="105">
                  <c:v>15.350000000000001</c:v>
                </c:pt>
                <c:pt idx="106">
                  <c:v>14.66</c:v>
                </c:pt>
                <c:pt idx="107">
                  <c:v>13.84</c:v>
                </c:pt>
                <c:pt idx="108">
                  <c:v>12.760000000000002</c:v>
                </c:pt>
                <c:pt idx="109">
                  <c:v>11.66</c:v>
                </c:pt>
                <c:pt idx="110">
                  <c:v>10.75</c:v>
                </c:pt>
                <c:pt idx="111">
                  <c:v>5.8</c:v>
                </c:pt>
                <c:pt idx="112">
                  <c:v>3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3</c:v>
                </c:pt>
                <c:pt idx="118">
                  <c:v>5.8</c:v>
                </c:pt>
                <c:pt idx="119">
                  <c:v>10.75</c:v>
                </c:pt>
                <c:pt idx="120">
                  <c:v>11.66</c:v>
                </c:pt>
                <c:pt idx="121">
                  <c:v>12.760000000000002</c:v>
                </c:pt>
                <c:pt idx="122">
                  <c:v>13.84</c:v>
                </c:pt>
                <c:pt idx="123">
                  <c:v>14.66</c:v>
                </c:pt>
                <c:pt idx="124">
                  <c:v>15.350000000000001</c:v>
                </c:pt>
                <c:pt idx="125">
                  <c:v>15.89</c:v>
                </c:pt>
                <c:pt idx="126">
                  <c:v>16.29</c:v>
                </c:pt>
                <c:pt idx="127">
                  <c:v>16.61</c:v>
                </c:pt>
                <c:pt idx="128">
                  <c:v>16.79</c:v>
                </c:pt>
                <c:pt idx="129">
                  <c:v>16.920000000000002</c:v>
                </c:pt>
                <c:pt idx="130">
                  <c:v>16.989999999999998</c:v>
                </c:pt>
                <c:pt idx="131">
                  <c:v>16.989999999999998</c:v>
                </c:pt>
                <c:pt idx="132">
                  <c:v>16.920000000000002</c:v>
                </c:pt>
                <c:pt idx="133">
                  <c:v>16.79</c:v>
                </c:pt>
                <c:pt idx="134">
                  <c:v>16.61</c:v>
                </c:pt>
                <c:pt idx="135">
                  <c:v>16.29</c:v>
                </c:pt>
                <c:pt idx="136">
                  <c:v>15.89</c:v>
                </c:pt>
                <c:pt idx="137">
                  <c:v>15.350000000000001</c:v>
                </c:pt>
                <c:pt idx="138">
                  <c:v>14.66</c:v>
                </c:pt>
                <c:pt idx="139">
                  <c:v>13.84</c:v>
                </c:pt>
                <c:pt idx="140">
                  <c:v>12.760000000000002</c:v>
                </c:pt>
                <c:pt idx="141">
                  <c:v>11.66</c:v>
                </c:pt>
                <c:pt idx="142">
                  <c:v>10.75</c:v>
                </c:pt>
                <c:pt idx="143">
                  <c:v>5.8</c:v>
                </c:pt>
                <c:pt idx="144">
                  <c:v>3</c:v>
                </c:pt>
                <c:pt idx="145">
                  <c:v>3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3</c:v>
                </c:pt>
                <c:pt idx="150">
                  <c:v>5.8</c:v>
                </c:pt>
                <c:pt idx="151">
                  <c:v>10.75</c:v>
                </c:pt>
                <c:pt idx="152">
                  <c:v>11.66</c:v>
                </c:pt>
                <c:pt idx="153">
                  <c:v>12.760000000000002</c:v>
                </c:pt>
                <c:pt idx="154">
                  <c:v>13.84</c:v>
                </c:pt>
                <c:pt idx="155">
                  <c:v>14.66</c:v>
                </c:pt>
                <c:pt idx="156">
                  <c:v>15.350000000000001</c:v>
                </c:pt>
                <c:pt idx="157">
                  <c:v>15.89</c:v>
                </c:pt>
                <c:pt idx="158">
                  <c:v>16.29</c:v>
                </c:pt>
                <c:pt idx="159">
                  <c:v>16.61</c:v>
                </c:pt>
                <c:pt idx="160">
                  <c:v>16.79</c:v>
                </c:pt>
                <c:pt idx="161">
                  <c:v>16.920000000000002</c:v>
                </c:pt>
                <c:pt idx="162">
                  <c:v>16.989999999999998</c:v>
                </c:pt>
                <c:pt idx="163">
                  <c:v>16.989999999999998</c:v>
                </c:pt>
                <c:pt idx="164">
                  <c:v>16.920000000000002</c:v>
                </c:pt>
                <c:pt idx="165">
                  <c:v>16.79</c:v>
                </c:pt>
                <c:pt idx="166">
                  <c:v>16.61</c:v>
                </c:pt>
                <c:pt idx="167">
                  <c:v>16.29</c:v>
                </c:pt>
                <c:pt idx="168">
                  <c:v>15.89</c:v>
                </c:pt>
                <c:pt idx="169">
                  <c:v>15.350000000000001</c:v>
                </c:pt>
                <c:pt idx="170">
                  <c:v>14.66</c:v>
                </c:pt>
                <c:pt idx="171">
                  <c:v>13.84</c:v>
                </c:pt>
                <c:pt idx="172">
                  <c:v>12.760000000000002</c:v>
                </c:pt>
                <c:pt idx="173">
                  <c:v>11.66</c:v>
                </c:pt>
                <c:pt idx="174">
                  <c:v>10.75</c:v>
                </c:pt>
                <c:pt idx="175">
                  <c:v>5.8</c:v>
                </c:pt>
                <c:pt idx="176">
                  <c:v>3</c:v>
                </c:pt>
                <c:pt idx="177">
                  <c:v>3</c:v>
                </c:pt>
                <c:pt idx="178">
                  <c:v>0</c:v>
                </c:pt>
                <c:pt idx="179">
                  <c:v>0</c:v>
                </c:pt>
                <c:pt idx="180">
                  <c:v>3</c:v>
                </c:pt>
                <c:pt idx="181">
                  <c:v>3</c:v>
                </c:pt>
                <c:pt idx="182">
                  <c:v>5.8</c:v>
                </c:pt>
                <c:pt idx="183">
                  <c:v>10.75</c:v>
                </c:pt>
                <c:pt idx="184">
                  <c:v>11.66</c:v>
                </c:pt>
                <c:pt idx="185">
                  <c:v>12.760000000000002</c:v>
                </c:pt>
                <c:pt idx="186">
                  <c:v>13.84</c:v>
                </c:pt>
                <c:pt idx="187">
                  <c:v>14.66</c:v>
                </c:pt>
                <c:pt idx="188">
                  <c:v>15.350000000000001</c:v>
                </c:pt>
                <c:pt idx="189">
                  <c:v>15.89</c:v>
                </c:pt>
                <c:pt idx="190">
                  <c:v>16.29</c:v>
                </c:pt>
                <c:pt idx="191">
                  <c:v>16.61</c:v>
                </c:pt>
                <c:pt idx="192">
                  <c:v>16.79</c:v>
                </c:pt>
                <c:pt idx="193">
                  <c:v>16.920000000000002</c:v>
                </c:pt>
                <c:pt idx="194">
                  <c:v>16.989999999999998</c:v>
                </c:pt>
                <c:pt idx="195">
                  <c:v>16.989999999999998</c:v>
                </c:pt>
                <c:pt idx="196">
                  <c:v>16.920000000000002</c:v>
                </c:pt>
                <c:pt idx="197">
                  <c:v>16.79</c:v>
                </c:pt>
                <c:pt idx="198">
                  <c:v>16.61</c:v>
                </c:pt>
                <c:pt idx="199">
                  <c:v>16.29</c:v>
                </c:pt>
                <c:pt idx="200">
                  <c:v>15.89</c:v>
                </c:pt>
                <c:pt idx="201">
                  <c:v>15.350000000000001</c:v>
                </c:pt>
                <c:pt idx="202">
                  <c:v>14.66</c:v>
                </c:pt>
                <c:pt idx="203">
                  <c:v>13.84</c:v>
                </c:pt>
                <c:pt idx="204">
                  <c:v>12.760000000000002</c:v>
                </c:pt>
                <c:pt idx="205">
                  <c:v>11.66</c:v>
                </c:pt>
                <c:pt idx="206">
                  <c:v>10.75</c:v>
                </c:pt>
                <c:pt idx="207">
                  <c:v>5.8</c:v>
                </c:pt>
                <c:pt idx="208">
                  <c:v>3</c:v>
                </c:pt>
                <c:pt idx="209">
                  <c:v>3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3</c:v>
                </c:pt>
                <c:pt idx="214">
                  <c:v>5.8</c:v>
                </c:pt>
                <c:pt idx="215">
                  <c:v>10.75</c:v>
                </c:pt>
                <c:pt idx="216">
                  <c:v>11.66</c:v>
                </c:pt>
                <c:pt idx="217">
                  <c:v>12.760000000000002</c:v>
                </c:pt>
                <c:pt idx="218">
                  <c:v>13.84</c:v>
                </c:pt>
                <c:pt idx="219">
                  <c:v>14.66</c:v>
                </c:pt>
                <c:pt idx="220">
                  <c:v>15.350000000000001</c:v>
                </c:pt>
                <c:pt idx="221">
                  <c:v>15.89</c:v>
                </c:pt>
                <c:pt idx="222">
                  <c:v>16.29</c:v>
                </c:pt>
                <c:pt idx="223">
                  <c:v>16.61</c:v>
                </c:pt>
                <c:pt idx="224">
                  <c:v>16.79</c:v>
                </c:pt>
                <c:pt idx="225">
                  <c:v>16.920000000000002</c:v>
                </c:pt>
                <c:pt idx="226">
                  <c:v>16.989999999999998</c:v>
                </c:pt>
                <c:pt idx="227">
                  <c:v>16.989999999999998</c:v>
                </c:pt>
                <c:pt idx="228">
                  <c:v>16.920000000000002</c:v>
                </c:pt>
                <c:pt idx="229">
                  <c:v>16.79</c:v>
                </c:pt>
                <c:pt idx="230">
                  <c:v>16.61</c:v>
                </c:pt>
                <c:pt idx="231">
                  <c:v>16.29</c:v>
                </c:pt>
                <c:pt idx="232">
                  <c:v>15.89</c:v>
                </c:pt>
                <c:pt idx="233">
                  <c:v>15.350000000000001</c:v>
                </c:pt>
                <c:pt idx="234">
                  <c:v>14.66</c:v>
                </c:pt>
                <c:pt idx="235">
                  <c:v>13.84</c:v>
                </c:pt>
                <c:pt idx="236">
                  <c:v>12.760000000000002</c:v>
                </c:pt>
                <c:pt idx="237">
                  <c:v>11.66</c:v>
                </c:pt>
                <c:pt idx="238">
                  <c:v>10.75</c:v>
                </c:pt>
                <c:pt idx="239">
                  <c:v>5.8</c:v>
                </c:pt>
                <c:pt idx="240">
                  <c:v>3</c:v>
                </c:pt>
                <c:pt idx="241">
                  <c:v>3</c:v>
                </c:pt>
                <c:pt idx="242">
                  <c:v>0</c:v>
                </c:pt>
                <c:pt idx="2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7-47B8-A778-70085E4F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12160"/>
        <c:axId val="1673322240"/>
      </c:scatterChart>
      <c:valAx>
        <c:axId val="16733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22240"/>
        <c:crosses val="autoZero"/>
        <c:crossBetween val="midCat"/>
      </c:valAx>
      <c:valAx>
        <c:axId val="1673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Compostas'!$AB$6:$AB$13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1.65</c:v>
                </c:pt>
                <c:pt idx="4">
                  <c:v>1.65</c:v>
                </c:pt>
                <c:pt idx="5" formatCode="0.000">
                  <c:v>0</c:v>
                </c:pt>
                <c:pt idx="6" formatCode="0.000">
                  <c:v>0</c:v>
                </c:pt>
                <c:pt idx="7">
                  <c:v>0</c:v>
                </c:pt>
              </c:numCache>
            </c:numRef>
          </c:xVal>
          <c:yVal>
            <c:numRef>
              <c:f>'Seções Compostas'!$AC$6:$AC$13</c:f>
              <c:numCache>
                <c:formatCode>General</c:formatCode>
                <c:ptCount val="8"/>
                <c:pt idx="0">
                  <c:v>2.2000000000000002</c:v>
                </c:pt>
                <c:pt idx="1">
                  <c:v>5</c:v>
                </c:pt>
                <c:pt idx="2">
                  <c:v>14</c:v>
                </c:pt>
                <c:pt idx="3">
                  <c:v>16.5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C-4B64-B70C-078F8574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97679"/>
        <c:axId val="1543698159"/>
      </c:scatterChart>
      <c:valAx>
        <c:axId val="154369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8159"/>
        <c:crosses val="autoZero"/>
        <c:crossBetween val="midCat"/>
      </c:valAx>
      <c:valAx>
        <c:axId val="15436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9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VI'!$B$6:$B$362</c:f>
              <c:numCache>
                <c:formatCode>0.000</c:formatCode>
                <c:ptCount val="357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122.85</c:v>
                </c:pt>
                <c:pt idx="9">
                  <c:v>122.85</c:v>
                </c:pt>
                <c:pt idx="10">
                  <c:v>121.5</c:v>
                </c:pt>
                <c:pt idx="11">
                  <c:v>121.5</c:v>
                </c:pt>
                <c:pt idx="12">
                  <c:v>124.5</c:v>
                </c:pt>
                <c:pt idx="13">
                  <c:v>124.31</c:v>
                </c:pt>
                <c:pt idx="14">
                  <c:v>123.55</c:v>
                </c:pt>
                <c:pt idx="15">
                  <c:v>111.05</c:v>
                </c:pt>
                <c:pt idx="16">
                  <c:v>111.05</c:v>
                </c:pt>
                <c:pt idx="17">
                  <c:v>114.1</c:v>
                </c:pt>
                <c:pt idx="18">
                  <c:v>117.25</c:v>
                </c:pt>
                <c:pt idx="19">
                  <c:v>117.25</c:v>
                </c:pt>
                <c:pt idx="20">
                  <c:v>117.18</c:v>
                </c:pt>
                <c:pt idx="21">
                  <c:v>116.92</c:v>
                </c:pt>
                <c:pt idx="22">
                  <c:v>116.43</c:v>
                </c:pt>
                <c:pt idx="23">
                  <c:v>115.87</c:v>
                </c:pt>
                <c:pt idx="24">
                  <c:v>115.23</c:v>
                </c:pt>
                <c:pt idx="25">
                  <c:v>114.55</c:v>
                </c:pt>
                <c:pt idx="26">
                  <c:v>113.9</c:v>
                </c:pt>
                <c:pt idx="27">
                  <c:v>113.18</c:v>
                </c:pt>
                <c:pt idx="28">
                  <c:v>112.59</c:v>
                </c:pt>
                <c:pt idx="29">
                  <c:v>111.97</c:v>
                </c:pt>
                <c:pt idx="30">
                  <c:v>111.3</c:v>
                </c:pt>
                <c:pt idx="31">
                  <c:v>110.7</c:v>
                </c:pt>
                <c:pt idx="32">
                  <c:v>110.03</c:v>
                </c:pt>
                <c:pt idx="33">
                  <c:v>109.41</c:v>
                </c:pt>
                <c:pt idx="34">
                  <c:v>108.82</c:v>
                </c:pt>
                <c:pt idx="35">
                  <c:v>108.1</c:v>
                </c:pt>
                <c:pt idx="36">
                  <c:v>107.45</c:v>
                </c:pt>
                <c:pt idx="37">
                  <c:v>106.77</c:v>
                </c:pt>
                <c:pt idx="38">
                  <c:v>106.13</c:v>
                </c:pt>
                <c:pt idx="39">
                  <c:v>105.57</c:v>
                </c:pt>
                <c:pt idx="40">
                  <c:v>105.08</c:v>
                </c:pt>
                <c:pt idx="41">
                  <c:v>104.82</c:v>
                </c:pt>
                <c:pt idx="42">
                  <c:v>104.75</c:v>
                </c:pt>
                <c:pt idx="43">
                  <c:v>104.75</c:v>
                </c:pt>
                <c:pt idx="44">
                  <c:v>107.9</c:v>
                </c:pt>
                <c:pt idx="45">
                  <c:v>111</c:v>
                </c:pt>
                <c:pt idx="46">
                  <c:v>111</c:v>
                </c:pt>
                <c:pt idx="47">
                  <c:v>94.8</c:v>
                </c:pt>
                <c:pt idx="48">
                  <c:v>94.8</c:v>
                </c:pt>
                <c:pt idx="49">
                  <c:v>97.85</c:v>
                </c:pt>
                <c:pt idx="50">
                  <c:v>101</c:v>
                </c:pt>
                <c:pt idx="51">
                  <c:v>101</c:v>
                </c:pt>
                <c:pt idx="52">
                  <c:v>100.93</c:v>
                </c:pt>
                <c:pt idx="53">
                  <c:v>100.67</c:v>
                </c:pt>
                <c:pt idx="54">
                  <c:v>100.18</c:v>
                </c:pt>
                <c:pt idx="55">
                  <c:v>99.62</c:v>
                </c:pt>
                <c:pt idx="56">
                  <c:v>98.98</c:v>
                </c:pt>
                <c:pt idx="57">
                  <c:v>98.3</c:v>
                </c:pt>
                <c:pt idx="58">
                  <c:v>97.65</c:v>
                </c:pt>
                <c:pt idx="59">
                  <c:v>96.93</c:v>
                </c:pt>
                <c:pt idx="60">
                  <c:v>96.34</c:v>
                </c:pt>
                <c:pt idx="61">
                  <c:v>95.72</c:v>
                </c:pt>
                <c:pt idx="62">
                  <c:v>95.05</c:v>
                </c:pt>
                <c:pt idx="63">
                  <c:v>94.45</c:v>
                </c:pt>
                <c:pt idx="64">
                  <c:v>93.78</c:v>
                </c:pt>
                <c:pt idx="65">
                  <c:v>93.16</c:v>
                </c:pt>
                <c:pt idx="66">
                  <c:v>92.57</c:v>
                </c:pt>
                <c:pt idx="67">
                  <c:v>91.85</c:v>
                </c:pt>
                <c:pt idx="68">
                  <c:v>91.2</c:v>
                </c:pt>
                <c:pt idx="69">
                  <c:v>90.52</c:v>
                </c:pt>
                <c:pt idx="70">
                  <c:v>89.88</c:v>
                </c:pt>
                <c:pt idx="71">
                  <c:v>89.32</c:v>
                </c:pt>
                <c:pt idx="72">
                  <c:v>88.83</c:v>
                </c:pt>
                <c:pt idx="73">
                  <c:v>88.57</c:v>
                </c:pt>
                <c:pt idx="74">
                  <c:v>88.5</c:v>
                </c:pt>
                <c:pt idx="75">
                  <c:v>88.5</c:v>
                </c:pt>
                <c:pt idx="76">
                  <c:v>91.65</c:v>
                </c:pt>
                <c:pt idx="77">
                  <c:v>94.75</c:v>
                </c:pt>
                <c:pt idx="78">
                  <c:v>94.75</c:v>
                </c:pt>
                <c:pt idx="79">
                  <c:v>78.55</c:v>
                </c:pt>
                <c:pt idx="80">
                  <c:v>78.55</c:v>
                </c:pt>
                <c:pt idx="81">
                  <c:v>81.599999999999994</c:v>
                </c:pt>
                <c:pt idx="82">
                  <c:v>84.75</c:v>
                </c:pt>
                <c:pt idx="83">
                  <c:v>84.75</c:v>
                </c:pt>
                <c:pt idx="84">
                  <c:v>84.68</c:v>
                </c:pt>
                <c:pt idx="85">
                  <c:v>84.42</c:v>
                </c:pt>
                <c:pt idx="86">
                  <c:v>83.93</c:v>
                </c:pt>
                <c:pt idx="87">
                  <c:v>83.37</c:v>
                </c:pt>
                <c:pt idx="88">
                  <c:v>82.73</c:v>
                </c:pt>
                <c:pt idx="89">
                  <c:v>82.05</c:v>
                </c:pt>
                <c:pt idx="90">
                  <c:v>81.400000000000006</c:v>
                </c:pt>
                <c:pt idx="91">
                  <c:v>80.680000000000007</c:v>
                </c:pt>
                <c:pt idx="92">
                  <c:v>80.09</c:v>
                </c:pt>
                <c:pt idx="93">
                  <c:v>79.47</c:v>
                </c:pt>
                <c:pt idx="94">
                  <c:v>78.8</c:v>
                </c:pt>
                <c:pt idx="95">
                  <c:v>78.2</c:v>
                </c:pt>
                <c:pt idx="96">
                  <c:v>77.53</c:v>
                </c:pt>
                <c:pt idx="97">
                  <c:v>76.91</c:v>
                </c:pt>
                <c:pt idx="98">
                  <c:v>76.319999999999993</c:v>
                </c:pt>
                <c:pt idx="99">
                  <c:v>75.599999999999994</c:v>
                </c:pt>
                <c:pt idx="100">
                  <c:v>74.95</c:v>
                </c:pt>
                <c:pt idx="101">
                  <c:v>74.27</c:v>
                </c:pt>
                <c:pt idx="102">
                  <c:v>73.63</c:v>
                </c:pt>
                <c:pt idx="103">
                  <c:v>73.069999999999993</c:v>
                </c:pt>
                <c:pt idx="104">
                  <c:v>72.58</c:v>
                </c:pt>
                <c:pt idx="105">
                  <c:v>72.319999999999993</c:v>
                </c:pt>
                <c:pt idx="106">
                  <c:v>72.25</c:v>
                </c:pt>
                <c:pt idx="107">
                  <c:v>72.25</c:v>
                </c:pt>
                <c:pt idx="108">
                  <c:v>75.400000000000006</c:v>
                </c:pt>
                <c:pt idx="109">
                  <c:v>78.5</c:v>
                </c:pt>
                <c:pt idx="110">
                  <c:v>78.5</c:v>
                </c:pt>
                <c:pt idx="111">
                  <c:v>62.3</c:v>
                </c:pt>
                <c:pt idx="112">
                  <c:v>62.3</c:v>
                </c:pt>
                <c:pt idx="113">
                  <c:v>65.349999999999994</c:v>
                </c:pt>
                <c:pt idx="114">
                  <c:v>68.5</c:v>
                </c:pt>
                <c:pt idx="115">
                  <c:v>68.5</c:v>
                </c:pt>
                <c:pt idx="116">
                  <c:v>68.430000000000007</c:v>
                </c:pt>
                <c:pt idx="117">
                  <c:v>68.17</c:v>
                </c:pt>
                <c:pt idx="118">
                  <c:v>67.680000000000007</c:v>
                </c:pt>
                <c:pt idx="119">
                  <c:v>67.12</c:v>
                </c:pt>
                <c:pt idx="120">
                  <c:v>66.48</c:v>
                </c:pt>
                <c:pt idx="121">
                  <c:v>65.8</c:v>
                </c:pt>
                <c:pt idx="122">
                  <c:v>65.150000000000006</c:v>
                </c:pt>
                <c:pt idx="123">
                  <c:v>64.430000000000007</c:v>
                </c:pt>
                <c:pt idx="124">
                  <c:v>63.84</c:v>
                </c:pt>
                <c:pt idx="125">
                  <c:v>63.22</c:v>
                </c:pt>
                <c:pt idx="126">
                  <c:v>62.55</c:v>
                </c:pt>
                <c:pt idx="127">
                  <c:v>61.95</c:v>
                </c:pt>
                <c:pt idx="128">
                  <c:v>61.28</c:v>
                </c:pt>
                <c:pt idx="129">
                  <c:v>60.66</c:v>
                </c:pt>
                <c:pt idx="130">
                  <c:v>60.069999999999993</c:v>
                </c:pt>
                <c:pt idx="131">
                  <c:v>59.349999999999994</c:v>
                </c:pt>
                <c:pt idx="132">
                  <c:v>58.7</c:v>
                </c:pt>
                <c:pt idx="133">
                  <c:v>58.019999999999996</c:v>
                </c:pt>
                <c:pt idx="134">
                  <c:v>57.379999999999995</c:v>
                </c:pt>
                <c:pt idx="135">
                  <c:v>56.819999999999993</c:v>
                </c:pt>
                <c:pt idx="136">
                  <c:v>56.33</c:v>
                </c:pt>
                <c:pt idx="137">
                  <c:v>56.069999999999993</c:v>
                </c:pt>
                <c:pt idx="138">
                  <c:v>56</c:v>
                </c:pt>
                <c:pt idx="139">
                  <c:v>56</c:v>
                </c:pt>
                <c:pt idx="140">
                  <c:v>59.150000000000006</c:v>
                </c:pt>
                <c:pt idx="141">
                  <c:v>62.25</c:v>
                </c:pt>
                <c:pt idx="142">
                  <c:v>62.25</c:v>
                </c:pt>
                <c:pt idx="143">
                  <c:v>46.05</c:v>
                </c:pt>
                <c:pt idx="144">
                  <c:v>46.05</c:v>
                </c:pt>
                <c:pt idx="145">
                  <c:v>49.099999999999994</c:v>
                </c:pt>
                <c:pt idx="146">
                  <c:v>52.25</c:v>
                </c:pt>
                <c:pt idx="147">
                  <c:v>52.25</c:v>
                </c:pt>
                <c:pt idx="148">
                  <c:v>52.180000000000007</c:v>
                </c:pt>
                <c:pt idx="149">
                  <c:v>51.92</c:v>
                </c:pt>
                <c:pt idx="150">
                  <c:v>51.430000000000007</c:v>
                </c:pt>
                <c:pt idx="151">
                  <c:v>50.870000000000005</c:v>
                </c:pt>
                <c:pt idx="152">
                  <c:v>50.230000000000004</c:v>
                </c:pt>
                <c:pt idx="153">
                  <c:v>49.55</c:v>
                </c:pt>
                <c:pt idx="154">
                  <c:v>48.900000000000006</c:v>
                </c:pt>
                <c:pt idx="155">
                  <c:v>48.180000000000007</c:v>
                </c:pt>
                <c:pt idx="156">
                  <c:v>47.59</c:v>
                </c:pt>
                <c:pt idx="157">
                  <c:v>46.97</c:v>
                </c:pt>
                <c:pt idx="158">
                  <c:v>46.3</c:v>
                </c:pt>
                <c:pt idx="159">
                  <c:v>45.7</c:v>
                </c:pt>
                <c:pt idx="160">
                  <c:v>45.03</c:v>
                </c:pt>
                <c:pt idx="161">
                  <c:v>44.41</c:v>
                </c:pt>
                <c:pt idx="162">
                  <c:v>43.819999999999993</c:v>
                </c:pt>
                <c:pt idx="163">
                  <c:v>43.099999999999994</c:v>
                </c:pt>
                <c:pt idx="164">
                  <c:v>42.45</c:v>
                </c:pt>
                <c:pt idx="165">
                  <c:v>41.769999999999996</c:v>
                </c:pt>
                <c:pt idx="166">
                  <c:v>41.129999999999995</c:v>
                </c:pt>
                <c:pt idx="167">
                  <c:v>40.569999999999993</c:v>
                </c:pt>
                <c:pt idx="168">
                  <c:v>40.08</c:v>
                </c:pt>
                <c:pt idx="169">
                  <c:v>39.819999999999993</c:v>
                </c:pt>
                <c:pt idx="170">
                  <c:v>39.75</c:v>
                </c:pt>
                <c:pt idx="171">
                  <c:v>39.75</c:v>
                </c:pt>
                <c:pt idx="172">
                  <c:v>42.900000000000006</c:v>
                </c:pt>
                <c:pt idx="173">
                  <c:v>46</c:v>
                </c:pt>
                <c:pt idx="174">
                  <c:v>46</c:v>
                </c:pt>
                <c:pt idx="175">
                  <c:v>29.799999999999997</c:v>
                </c:pt>
                <c:pt idx="176">
                  <c:v>29.799999999999997</c:v>
                </c:pt>
                <c:pt idx="177">
                  <c:v>32.849999999999994</c:v>
                </c:pt>
                <c:pt idx="178">
                  <c:v>36</c:v>
                </c:pt>
                <c:pt idx="179">
                  <c:v>36</c:v>
                </c:pt>
                <c:pt idx="180">
                  <c:v>35.930000000000007</c:v>
                </c:pt>
                <c:pt idx="181">
                  <c:v>35.67</c:v>
                </c:pt>
                <c:pt idx="182">
                  <c:v>35.180000000000007</c:v>
                </c:pt>
                <c:pt idx="183">
                  <c:v>34.620000000000005</c:v>
                </c:pt>
                <c:pt idx="184">
                  <c:v>33.980000000000004</c:v>
                </c:pt>
                <c:pt idx="185">
                  <c:v>33.299999999999997</c:v>
                </c:pt>
                <c:pt idx="186">
                  <c:v>32.650000000000006</c:v>
                </c:pt>
                <c:pt idx="187">
                  <c:v>31.930000000000007</c:v>
                </c:pt>
                <c:pt idx="188">
                  <c:v>31.340000000000003</c:v>
                </c:pt>
                <c:pt idx="189">
                  <c:v>30.72</c:v>
                </c:pt>
                <c:pt idx="190">
                  <c:v>30.049999999999997</c:v>
                </c:pt>
                <c:pt idx="191">
                  <c:v>29.450000000000003</c:v>
                </c:pt>
                <c:pt idx="192">
                  <c:v>28.78</c:v>
                </c:pt>
                <c:pt idx="193">
                  <c:v>28.159999999999997</c:v>
                </c:pt>
                <c:pt idx="194">
                  <c:v>27.569999999999993</c:v>
                </c:pt>
                <c:pt idx="195">
                  <c:v>26.849999999999994</c:v>
                </c:pt>
                <c:pt idx="196">
                  <c:v>26.200000000000003</c:v>
                </c:pt>
                <c:pt idx="197">
                  <c:v>25.519999999999996</c:v>
                </c:pt>
                <c:pt idx="198">
                  <c:v>24.879999999999995</c:v>
                </c:pt>
                <c:pt idx="199">
                  <c:v>24.319999999999993</c:v>
                </c:pt>
                <c:pt idx="200">
                  <c:v>23.83</c:v>
                </c:pt>
                <c:pt idx="201">
                  <c:v>23.569999999999993</c:v>
                </c:pt>
                <c:pt idx="202">
                  <c:v>23.5</c:v>
                </c:pt>
                <c:pt idx="203">
                  <c:v>23.5</c:v>
                </c:pt>
                <c:pt idx="204">
                  <c:v>26.650000000000006</c:v>
                </c:pt>
                <c:pt idx="205">
                  <c:v>29.75</c:v>
                </c:pt>
                <c:pt idx="206">
                  <c:v>29.75</c:v>
                </c:pt>
                <c:pt idx="207">
                  <c:v>13.549999999999997</c:v>
                </c:pt>
                <c:pt idx="208">
                  <c:v>13.549999999999997</c:v>
                </c:pt>
                <c:pt idx="209">
                  <c:v>16.599999999999994</c:v>
                </c:pt>
                <c:pt idx="210">
                  <c:v>19.75</c:v>
                </c:pt>
                <c:pt idx="211">
                  <c:v>19.75</c:v>
                </c:pt>
                <c:pt idx="212">
                  <c:v>19.680000000000007</c:v>
                </c:pt>
                <c:pt idx="213">
                  <c:v>19.420000000000002</c:v>
                </c:pt>
                <c:pt idx="214">
                  <c:v>18.930000000000007</c:v>
                </c:pt>
                <c:pt idx="215">
                  <c:v>18.370000000000005</c:v>
                </c:pt>
                <c:pt idx="216">
                  <c:v>17.730000000000004</c:v>
                </c:pt>
                <c:pt idx="217">
                  <c:v>17.049999999999997</c:v>
                </c:pt>
                <c:pt idx="218">
                  <c:v>16.400000000000006</c:v>
                </c:pt>
                <c:pt idx="219">
                  <c:v>15.680000000000007</c:v>
                </c:pt>
                <c:pt idx="220">
                  <c:v>15.090000000000003</c:v>
                </c:pt>
                <c:pt idx="221">
                  <c:v>14.469999999999999</c:v>
                </c:pt>
                <c:pt idx="222">
                  <c:v>13.799999999999997</c:v>
                </c:pt>
                <c:pt idx="223">
                  <c:v>13.200000000000003</c:v>
                </c:pt>
                <c:pt idx="224">
                  <c:v>12.530000000000001</c:v>
                </c:pt>
                <c:pt idx="225">
                  <c:v>11.909999999999997</c:v>
                </c:pt>
                <c:pt idx="226">
                  <c:v>11.319999999999993</c:v>
                </c:pt>
                <c:pt idx="227">
                  <c:v>10.599999999999994</c:v>
                </c:pt>
                <c:pt idx="228">
                  <c:v>9.9500000000000028</c:v>
                </c:pt>
                <c:pt idx="229">
                  <c:v>9.269999999999996</c:v>
                </c:pt>
                <c:pt idx="230">
                  <c:v>8.6299999999999955</c:v>
                </c:pt>
                <c:pt idx="231">
                  <c:v>8.0699999999999932</c:v>
                </c:pt>
                <c:pt idx="232">
                  <c:v>7.5799999999999983</c:v>
                </c:pt>
                <c:pt idx="233">
                  <c:v>7.3199999999999932</c:v>
                </c:pt>
                <c:pt idx="234">
                  <c:v>7.25</c:v>
                </c:pt>
                <c:pt idx="235">
                  <c:v>7.25</c:v>
                </c:pt>
                <c:pt idx="236">
                  <c:v>10.4</c:v>
                </c:pt>
                <c:pt idx="237">
                  <c:v>13.5</c:v>
                </c:pt>
                <c:pt idx="238">
                  <c:v>13.5</c:v>
                </c:pt>
                <c:pt idx="239">
                  <c:v>0.95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xVal>
          <c:yVal>
            <c:numRef>
              <c:f>'Propriedades geométricas VI'!$C$6:$C$362</c:f>
              <c:numCache>
                <c:formatCode>0.000</c:formatCode>
                <c:ptCount val="357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19</c:v>
                </c:pt>
                <c:pt idx="6">
                  <c:v>21.5</c:v>
                </c:pt>
                <c:pt idx="7">
                  <c:v>25</c:v>
                </c:pt>
                <c:pt idx="8">
                  <c:v>25</c:v>
                </c:pt>
                <c:pt idx="9">
                  <c:v>21.5</c:v>
                </c:pt>
                <c:pt idx="10">
                  <c:v>19</c:v>
                </c:pt>
                <c:pt idx="11">
                  <c:v>5</c:v>
                </c:pt>
                <c:pt idx="12">
                  <c:v>2.2000000000000002</c:v>
                </c:pt>
                <c:pt idx="13">
                  <c:v>0.76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5.8</c:v>
                </c:pt>
                <c:pt idx="19">
                  <c:v>15.75</c:v>
                </c:pt>
                <c:pt idx="20">
                  <c:v>16.66</c:v>
                </c:pt>
                <c:pt idx="21">
                  <c:v>17.760000000000002</c:v>
                </c:pt>
                <c:pt idx="22">
                  <c:v>18.84</c:v>
                </c:pt>
                <c:pt idx="23">
                  <c:v>19.66</c:v>
                </c:pt>
                <c:pt idx="24">
                  <c:v>20.350000000000001</c:v>
                </c:pt>
                <c:pt idx="25">
                  <c:v>20.89</c:v>
                </c:pt>
                <c:pt idx="26">
                  <c:v>21.29</c:v>
                </c:pt>
                <c:pt idx="27">
                  <c:v>21.61</c:v>
                </c:pt>
                <c:pt idx="28">
                  <c:v>21.79</c:v>
                </c:pt>
                <c:pt idx="29">
                  <c:v>21.92</c:v>
                </c:pt>
                <c:pt idx="30">
                  <c:v>21.99</c:v>
                </c:pt>
                <c:pt idx="31">
                  <c:v>21.99</c:v>
                </c:pt>
                <c:pt idx="32">
                  <c:v>21.92</c:v>
                </c:pt>
                <c:pt idx="33">
                  <c:v>21.79</c:v>
                </c:pt>
                <c:pt idx="34">
                  <c:v>21.61</c:v>
                </c:pt>
                <c:pt idx="35">
                  <c:v>21.29</c:v>
                </c:pt>
                <c:pt idx="36">
                  <c:v>20.89</c:v>
                </c:pt>
                <c:pt idx="37">
                  <c:v>20.350000000000001</c:v>
                </c:pt>
                <c:pt idx="38">
                  <c:v>19.66</c:v>
                </c:pt>
                <c:pt idx="39">
                  <c:v>18.84</c:v>
                </c:pt>
                <c:pt idx="40">
                  <c:v>17.760000000000002</c:v>
                </c:pt>
                <c:pt idx="41">
                  <c:v>16.66</c:v>
                </c:pt>
                <c:pt idx="42">
                  <c:v>15.75</c:v>
                </c:pt>
                <c:pt idx="43">
                  <c:v>5.8</c:v>
                </c:pt>
                <c:pt idx="44">
                  <c:v>3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5.8</c:v>
                </c:pt>
                <c:pt idx="51">
                  <c:v>15.75</c:v>
                </c:pt>
                <c:pt idx="52">
                  <c:v>16.66</c:v>
                </c:pt>
                <c:pt idx="53">
                  <c:v>17.760000000000002</c:v>
                </c:pt>
                <c:pt idx="54">
                  <c:v>18.84</c:v>
                </c:pt>
                <c:pt idx="55">
                  <c:v>19.66</c:v>
                </c:pt>
                <c:pt idx="56">
                  <c:v>20.350000000000001</c:v>
                </c:pt>
                <c:pt idx="57">
                  <c:v>20.89</c:v>
                </c:pt>
                <c:pt idx="58">
                  <c:v>21.29</c:v>
                </c:pt>
                <c:pt idx="59">
                  <c:v>21.61</c:v>
                </c:pt>
                <c:pt idx="60">
                  <c:v>21.79</c:v>
                </c:pt>
                <c:pt idx="61">
                  <c:v>21.92</c:v>
                </c:pt>
                <c:pt idx="62">
                  <c:v>21.99</c:v>
                </c:pt>
                <c:pt idx="63">
                  <c:v>21.99</c:v>
                </c:pt>
                <c:pt idx="64">
                  <c:v>21.92</c:v>
                </c:pt>
                <c:pt idx="65">
                  <c:v>21.79</c:v>
                </c:pt>
                <c:pt idx="66">
                  <c:v>21.61</c:v>
                </c:pt>
                <c:pt idx="67">
                  <c:v>21.29</c:v>
                </c:pt>
                <c:pt idx="68">
                  <c:v>20.89</c:v>
                </c:pt>
                <c:pt idx="69">
                  <c:v>20.350000000000001</c:v>
                </c:pt>
                <c:pt idx="70">
                  <c:v>19.66</c:v>
                </c:pt>
                <c:pt idx="71">
                  <c:v>18.84</c:v>
                </c:pt>
                <c:pt idx="72">
                  <c:v>17.760000000000002</c:v>
                </c:pt>
                <c:pt idx="73">
                  <c:v>16.66</c:v>
                </c:pt>
                <c:pt idx="74">
                  <c:v>15.75</c:v>
                </c:pt>
                <c:pt idx="75">
                  <c:v>5.8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3</c:v>
                </c:pt>
                <c:pt idx="82">
                  <c:v>5.8</c:v>
                </c:pt>
                <c:pt idx="83">
                  <c:v>15.75</c:v>
                </c:pt>
                <c:pt idx="84">
                  <c:v>16.66</c:v>
                </c:pt>
                <c:pt idx="85">
                  <c:v>17.760000000000002</c:v>
                </c:pt>
                <c:pt idx="86">
                  <c:v>18.84</c:v>
                </c:pt>
                <c:pt idx="87">
                  <c:v>19.66</c:v>
                </c:pt>
                <c:pt idx="88">
                  <c:v>20.350000000000001</c:v>
                </c:pt>
                <c:pt idx="89">
                  <c:v>20.89</c:v>
                </c:pt>
                <c:pt idx="90">
                  <c:v>21.29</c:v>
                </c:pt>
                <c:pt idx="91">
                  <c:v>21.61</c:v>
                </c:pt>
                <c:pt idx="92">
                  <c:v>21.79</c:v>
                </c:pt>
                <c:pt idx="93">
                  <c:v>21.92</c:v>
                </c:pt>
                <c:pt idx="94">
                  <c:v>21.99</c:v>
                </c:pt>
                <c:pt idx="95">
                  <c:v>21.99</c:v>
                </c:pt>
                <c:pt idx="96">
                  <c:v>21.92</c:v>
                </c:pt>
                <c:pt idx="97">
                  <c:v>21.79</c:v>
                </c:pt>
                <c:pt idx="98">
                  <c:v>21.61</c:v>
                </c:pt>
                <c:pt idx="99">
                  <c:v>21.29</c:v>
                </c:pt>
                <c:pt idx="100">
                  <c:v>20.89</c:v>
                </c:pt>
                <c:pt idx="101">
                  <c:v>20.350000000000001</c:v>
                </c:pt>
                <c:pt idx="102">
                  <c:v>19.66</c:v>
                </c:pt>
                <c:pt idx="103">
                  <c:v>18.84</c:v>
                </c:pt>
                <c:pt idx="104">
                  <c:v>17.760000000000002</c:v>
                </c:pt>
                <c:pt idx="105">
                  <c:v>16.66</c:v>
                </c:pt>
                <c:pt idx="106">
                  <c:v>15.75</c:v>
                </c:pt>
                <c:pt idx="107">
                  <c:v>5.8</c:v>
                </c:pt>
                <c:pt idx="108">
                  <c:v>3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3</c:v>
                </c:pt>
                <c:pt idx="113">
                  <c:v>3</c:v>
                </c:pt>
                <c:pt idx="114">
                  <c:v>5.8</c:v>
                </c:pt>
                <c:pt idx="115">
                  <c:v>15.75</c:v>
                </c:pt>
                <c:pt idx="116">
                  <c:v>16.66</c:v>
                </c:pt>
                <c:pt idx="117">
                  <c:v>17.760000000000002</c:v>
                </c:pt>
                <c:pt idx="118">
                  <c:v>18.84</c:v>
                </c:pt>
                <c:pt idx="119">
                  <c:v>19.66</c:v>
                </c:pt>
                <c:pt idx="120">
                  <c:v>20.350000000000001</c:v>
                </c:pt>
                <c:pt idx="121">
                  <c:v>20.89</c:v>
                </c:pt>
                <c:pt idx="122">
                  <c:v>21.29</c:v>
                </c:pt>
                <c:pt idx="123">
                  <c:v>21.61</c:v>
                </c:pt>
                <c:pt idx="124">
                  <c:v>21.79</c:v>
                </c:pt>
                <c:pt idx="125">
                  <c:v>21.92</c:v>
                </c:pt>
                <c:pt idx="126">
                  <c:v>21.99</c:v>
                </c:pt>
                <c:pt idx="127">
                  <c:v>21.99</c:v>
                </c:pt>
                <c:pt idx="128">
                  <c:v>21.92</c:v>
                </c:pt>
                <c:pt idx="129">
                  <c:v>21.79</c:v>
                </c:pt>
                <c:pt idx="130">
                  <c:v>21.61</c:v>
                </c:pt>
                <c:pt idx="131">
                  <c:v>21.29</c:v>
                </c:pt>
                <c:pt idx="132">
                  <c:v>20.89</c:v>
                </c:pt>
                <c:pt idx="133">
                  <c:v>20.350000000000001</c:v>
                </c:pt>
                <c:pt idx="134">
                  <c:v>19.66</c:v>
                </c:pt>
                <c:pt idx="135">
                  <c:v>18.84</c:v>
                </c:pt>
                <c:pt idx="136">
                  <c:v>17.760000000000002</c:v>
                </c:pt>
                <c:pt idx="137">
                  <c:v>16.66</c:v>
                </c:pt>
                <c:pt idx="138">
                  <c:v>15.75</c:v>
                </c:pt>
                <c:pt idx="139">
                  <c:v>5.8</c:v>
                </c:pt>
                <c:pt idx="140">
                  <c:v>3</c:v>
                </c:pt>
                <c:pt idx="141">
                  <c:v>3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3</c:v>
                </c:pt>
                <c:pt idx="146">
                  <c:v>5.8</c:v>
                </c:pt>
                <c:pt idx="147">
                  <c:v>15.75</c:v>
                </c:pt>
                <c:pt idx="148">
                  <c:v>16.66</c:v>
                </c:pt>
                <c:pt idx="149">
                  <c:v>17.760000000000002</c:v>
                </c:pt>
                <c:pt idx="150">
                  <c:v>18.84</c:v>
                </c:pt>
                <c:pt idx="151">
                  <c:v>19.66</c:v>
                </c:pt>
                <c:pt idx="152">
                  <c:v>20.350000000000001</c:v>
                </c:pt>
                <c:pt idx="153">
                  <c:v>20.89</c:v>
                </c:pt>
                <c:pt idx="154">
                  <c:v>21.29</c:v>
                </c:pt>
                <c:pt idx="155">
                  <c:v>21.61</c:v>
                </c:pt>
                <c:pt idx="156">
                  <c:v>21.79</c:v>
                </c:pt>
                <c:pt idx="157">
                  <c:v>21.92</c:v>
                </c:pt>
                <c:pt idx="158">
                  <c:v>21.99</c:v>
                </c:pt>
                <c:pt idx="159">
                  <c:v>21.99</c:v>
                </c:pt>
                <c:pt idx="160">
                  <c:v>21.92</c:v>
                </c:pt>
                <c:pt idx="161">
                  <c:v>21.79</c:v>
                </c:pt>
                <c:pt idx="162">
                  <c:v>21.61</c:v>
                </c:pt>
                <c:pt idx="163">
                  <c:v>21.29</c:v>
                </c:pt>
                <c:pt idx="164">
                  <c:v>20.89</c:v>
                </c:pt>
                <c:pt idx="165">
                  <c:v>20.350000000000001</c:v>
                </c:pt>
                <c:pt idx="166">
                  <c:v>19.66</c:v>
                </c:pt>
                <c:pt idx="167">
                  <c:v>18.84</c:v>
                </c:pt>
                <c:pt idx="168">
                  <c:v>17.760000000000002</c:v>
                </c:pt>
                <c:pt idx="169">
                  <c:v>16.66</c:v>
                </c:pt>
                <c:pt idx="170">
                  <c:v>15.75</c:v>
                </c:pt>
                <c:pt idx="171">
                  <c:v>5.8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3</c:v>
                </c:pt>
                <c:pt idx="178">
                  <c:v>5.8</c:v>
                </c:pt>
                <c:pt idx="179">
                  <c:v>15.75</c:v>
                </c:pt>
                <c:pt idx="180">
                  <c:v>16.66</c:v>
                </c:pt>
                <c:pt idx="181">
                  <c:v>17.760000000000002</c:v>
                </c:pt>
                <c:pt idx="182">
                  <c:v>18.84</c:v>
                </c:pt>
                <c:pt idx="183">
                  <c:v>19.66</c:v>
                </c:pt>
                <c:pt idx="184">
                  <c:v>20.350000000000001</c:v>
                </c:pt>
                <c:pt idx="185">
                  <c:v>20.89</c:v>
                </c:pt>
                <c:pt idx="186">
                  <c:v>21.29</c:v>
                </c:pt>
                <c:pt idx="187">
                  <c:v>21.61</c:v>
                </c:pt>
                <c:pt idx="188">
                  <c:v>21.79</c:v>
                </c:pt>
                <c:pt idx="189">
                  <c:v>21.92</c:v>
                </c:pt>
                <c:pt idx="190">
                  <c:v>21.99</c:v>
                </c:pt>
                <c:pt idx="191">
                  <c:v>21.99</c:v>
                </c:pt>
                <c:pt idx="192">
                  <c:v>21.92</c:v>
                </c:pt>
                <c:pt idx="193">
                  <c:v>21.79</c:v>
                </c:pt>
                <c:pt idx="194">
                  <c:v>21.61</c:v>
                </c:pt>
                <c:pt idx="195">
                  <c:v>21.29</c:v>
                </c:pt>
                <c:pt idx="196">
                  <c:v>20.89</c:v>
                </c:pt>
                <c:pt idx="197">
                  <c:v>20.350000000000001</c:v>
                </c:pt>
                <c:pt idx="198">
                  <c:v>19.66</c:v>
                </c:pt>
                <c:pt idx="199">
                  <c:v>18.84</c:v>
                </c:pt>
                <c:pt idx="200">
                  <c:v>17.760000000000002</c:v>
                </c:pt>
                <c:pt idx="201">
                  <c:v>16.66</c:v>
                </c:pt>
                <c:pt idx="202">
                  <c:v>15.75</c:v>
                </c:pt>
                <c:pt idx="203">
                  <c:v>5.8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3</c:v>
                </c:pt>
                <c:pt idx="209">
                  <c:v>3</c:v>
                </c:pt>
                <c:pt idx="210">
                  <c:v>5.8</c:v>
                </c:pt>
                <c:pt idx="211">
                  <c:v>15.75</c:v>
                </c:pt>
                <c:pt idx="212">
                  <c:v>16.66</c:v>
                </c:pt>
                <c:pt idx="213">
                  <c:v>17.760000000000002</c:v>
                </c:pt>
                <c:pt idx="214">
                  <c:v>18.84</c:v>
                </c:pt>
                <c:pt idx="215">
                  <c:v>19.66</c:v>
                </c:pt>
                <c:pt idx="216">
                  <c:v>20.350000000000001</c:v>
                </c:pt>
                <c:pt idx="217">
                  <c:v>20.89</c:v>
                </c:pt>
                <c:pt idx="218">
                  <c:v>21.29</c:v>
                </c:pt>
                <c:pt idx="219">
                  <c:v>21.61</c:v>
                </c:pt>
                <c:pt idx="220">
                  <c:v>21.79</c:v>
                </c:pt>
                <c:pt idx="221">
                  <c:v>21.92</c:v>
                </c:pt>
                <c:pt idx="222">
                  <c:v>21.99</c:v>
                </c:pt>
                <c:pt idx="223">
                  <c:v>21.99</c:v>
                </c:pt>
                <c:pt idx="224">
                  <c:v>21.92</c:v>
                </c:pt>
                <c:pt idx="225">
                  <c:v>21.79</c:v>
                </c:pt>
                <c:pt idx="226">
                  <c:v>21.61</c:v>
                </c:pt>
                <c:pt idx="227">
                  <c:v>21.29</c:v>
                </c:pt>
                <c:pt idx="228">
                  <c:v>20.89</c:v>
                </c:pt>
                <c:pt idx="229">
                  <c:v>20.350000000000001</c:v>
                </c:pt>
                <c:pt idx="230">
                  <c:v>19.66</c:v>
                </c:pt>
                <c:pt idx="231">
                  <c:v>18.84</c:v>
                </c:pt>
                <c:pt idx="232">
                  <c:v>17.760000000000002</c:v>
                </c:pt>
                <c:pt idx="233">
                  <c:v>16.66</c:v>
                </c:pt>
                <c:pt idx="234">
                  <c:v>15.75</c:v>
                </c:pt>
                <c:pt idx="235">
                  <c:v>5.8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F-4948-BF14-FAB6AE52A5A4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VI'!$L$13:$L$14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'Propriedades geométricas VI'!$M$13:$M$14</c:f>
              <c:numCache>
                <c:formatCode>0.000</c:formatCode>
                <c:ptCount val="2"/>
                <c:pt idx="0">
                  <c:v>12.737286216682715</c:v>
                </c:pt>
                <c:pt idx="1">
                  <c:v>12.737286216682715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4-478A-BDFF-F6173986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60032"/>
        <c:axId val="1666960512"/>
      </c:scatterChart>
      <c:valAx>
        <c:axId val="166696003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512"/>
        <c:crosses val="autoZero"/>
        <c:crossBetween val="midCat"/>
      </c:valAx>
      <c:valAx>
        <c:axId val="1666960512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96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LA '!$B$7:$B$249</c:f>
              <c:numCache>
                <c:formatCode>0.000</c:formatCode>
                <c:ptCount val="243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15.309441843966107</c:v>
                </c:pt>
                <c:pt idx="8">
                  <c:v>15.309441843966107</c:v>
                </c:pt>
                <c:pt idx="9">
                  <c:v>109.19055815603389</c:v>
                </c:pt>
                <c:pt idx="10">
                  <c:v>109.19055815603389</c:v>
                </c:pt>
                <c:pt idx="11">
                  <c:v>122.85</c:v>
                </c:pt>
                <c:pt idx="12">
                  <c:v>122.85</c:v>
                </c:pt>
                <c:pt idx="13">
                  <c:v>121.5</c:v>
                </c:pt>
                <c:pt idx="14">
                  <c:v>121.5</c:v>
                </c:pt>
                <c:pt idx="15">
                  <c:v>124.5</c:v>
                </c:pt>
                <c:pt idx="16">
                  <c:v>124.31</c:v>
                </c:pt>
                <c:pt idx="17">
                  <c:v>123.55</c:v>
                </c:pt>
                <c:pt idx="18">
                  <c:v>111.05</c:v>
                </c:pt>
                <c:pt idx="19">
                  <c:v>111.05</c:v>
                </c:pt>
                <c:pt idx="20">
                  <c:v>114.1</c:v>
                </c:pt>
                <c:pt idx="21">
                  <c:v>117.25</c:v>
                </c:pt>
                <c:pt idx="22">
                  <c:v>117.25</c:v>
                </c:pt>
                <c:pt idx="23">
                  <c:v>117.18</c:v>
                </c:pt>
                <c:pt idx="24">
                  <c:v>116.92</c:v>
                </c:pt>
                <c:pt idx="25">
                  <c:v>116.43</c:v>
                </c:pt>
                <c:pt idx="26">
                  <c:v>115.87</c:v>
                </c:pt>
                <c:pt idx="27">
                  <c:v>115.23</c:v>
                </c:pt>
                <c:pt idx="28">
                  <c:v>114.55</c:v>
                </c:pt>
                <c:pt idx="29">
                  <c:v>113.9</c:v>
                </c:pt>
                <c:pt idx="30">
                  <c:v>113.18</c:v>
                </c:pt>
                <c:pt idx="31">
                  <c:v>112.59</c:v>
                </c:pt>
                <c:pt idx="32">
                  <c:v>111.97</c:v>
                </c:pt>
                <c:pt idx="33">
                  <c:v>111.3</c:v>
                </c:pt>
                <c:pt idx="34">
                  <c:v>110.7</c:v>
                </c:pt>
                <c:pt idx="35">
                  <c:v>110.03</c:v>
                </c:pt>
                <c:pt idx="36">
                  <c:v>109.41</c:v>
                </c:pt>
                <c:pt idx="37">
                  <c:v>108.82</c:v>
                </c:pt>
                <c:pt idx="38">
                  <c:v>108.1</c:v>
                </c:pt>
                <c:pt idx="39">
                  <c:v>107.45</c:v>
                </c:pt>
                <c:pt idx="40">
                  <c:v>106.77</c:v>
                </c:pt>
                <c:pt idx="41">
                  <c:v>106.13</c:v>
                </c:pt>
                <c:pt idx="42">
                  <c:v>105.57</c:v>
                </c:pt>
                <c:pt idx="43">
                  <c:v>105.08</c:v>
                </c:pt>
                <c:pt idx="44">
                  <c:v>104.82</c:v>
                </c:pt>
                <c:pt idx="45">
                  <c:v>104.75</c:v>
                </c:pt>
                <c:pt idx="46">
                  <c:v>104.75</c:v>
                </c:pt>
                <c:pt idx="47">
                  <c:v>107.9</c:v>
                </c:pt>
                <c:pt idx="48">
                  <c:v>111</c:v>
                </c:pt>
                <c:pt idx="49">
                  <c:v>111</c:v>
                </c:pt>
                <c:pt idx="50">
                  <c:v>94.8</c:v>
                </c:pt>
                <c:pt idx="51">
                  <c:v>94.8</c:v>
                </c:pt>
                <c:pt idx="52">
                  <c:v>97.85</c:v>
                </c:pt>
                <c:pt idx="53">
                  <c:v>101</c:v>
                </c:pt>
                <c:pt idx="54">
                  <c:v>101</c:v>
                </c:pt>
                <c:pt idx="55">
                  <c:v>100.93</c:v>
                </c:pt>
                <c:pt idx="56">
                  <c:v>100.67</c:v>
                </c:pt>
                <c:pt idx="57">
                  <c:v>100.18</c:v>
                </c:pt>
                <c:pt idx="58">
                  <c:v>99.62</c:v>
                </c:pt>
                <c:pt idx="59">
                  <c:v>98.98</c:v>
                </c:pt>
                <c:pt idx="60">
                  <c:v>98.3</c:v>
                </c:pt>
                <c:pt idx="61">
                  <c:v>97.65</c:v>
                </c:pt>
                <c:pt idx="62">
                  <c:v>96.93</c:v>
                </c:pt>
                <c:pt idx="63">
                  <c:v>96.34</c:v>
                </c:pt>
                <c:pt idx="64">
                  <c:v>95.72</c:v>
                </c:pt>
                <c:pt idx="65">
                  <c:v>95.05</c:v>
                </c:pt>
                <c:pt idx="66">
                  <c:v>94.45</c:v>
                </c:pt>
                <c:pt idx="67">
                  <c:v>93.78</c:v>
                </c:pt>
                <c:pt idx="68">
                  <c:v>93.16</c:v>
                </c:pt>
                <c:pt idx="69">
                  <c:v>92.57</c:v>
                </c:pt>
                <c:pt idx="70">
                  <c:v>91.85</c:v>
                </c:pt>
                <c:pt idx="71">
                  <c:v>91.2</c:v>
                </c:pt>
                <c:pt idx="72">
                  <c:v>90.52</c:v>
                </c:pt>
                <c:pt idx="73">
                  <c:v>89.88</c:v>
                </c:pt>
                <c:pt idx="74">
                  <c:v>89.32</c:v>
                </c:pt>
                <c:pt idx="75">
                  <c:v>88.83</c:v>
                </c:pt>
                <c:pt idx="76">
                  <c:v>88.57</c:v>
                </c:pt>
                <c:pt idx="77">
                  <c:v>88.5</c:v>
                </c:pt>
                <c:pt idx="78">
                  <c:v>88.5</c:v>
                </c:pt>
                <c:pt idx="79">
                  <c:v>91.65</c:v>
                </c:pt>
                <c:pt idx="80">
                  <c:v>94.75</c:v>
                </c:pt>
                <c:pt idx="81">
                  <c:v>94.75</c:v>
                </c:pt>
                <c:pt idx="82">
                  <c:v>78.55</c:v>
                </c:pt>
                <c:pt idx="83">
                  <c:v>78.55</c:v>
                </c:pt>
                <c:pt idx="84">
                  <c:v>81.599999999999994</c:v>
                </c:pt>
                <c:pt idx="85">
                  <c:v>84.75</c:v>
                </c:pt>
                <c:pt idx="86">
                  <c:v>84.75</c:v>
                </c:pt>
                <c:pt idx="87">
                  <c:v>84.68</c:v>
                </c:pt>
                <c:pt idx="88">
                  <c:v>84.42</c:v>
                </c:pt>
                <c:pt idx="89">
                  <c:v>83.93</c:v>
                </c:pt>
                <c:pt idx="90">
                  <c:v>83.37</c:v>
                </c:pt>
                <c:pt idx="91">
                  <c:v>82.73</c:v>
                </c:pt>
                <c:pt idx="92">
                  <c:v>82.05</c:v>
                </c:pt>
                <c:pt idx="93">
                  <c:v>81.400000000000006</c:v>
                </c:pt>
                <c:pt idx="94">
                  <c:v>80.680000000000007</c:v>
                </c:pt>
                <c:pt idx="95">
                  <c:v>80.09</c:v>
                </c:pt>
                <c:pt idx="96">
                  <c:v>79.47</c:v>
                </c:pt>
                <c:pt idx="97">
                  <c:v>78.8</c:v>
                </c:pt>
                <c:pt idx="98">
                  <c:v>78.2</c:v>
                </c:pt>
                <c:pt idx="99">
                  <c:v>77.53</c:v>
                </c:pt>
                <c:pt idx="100">
                  <c:v>76.91</c:v>
                </c:pt>
                <c:pt idx="101">
                  <c:v>76.319999999999993</c:v>
                </c:pt>
                <c:pt idx="102">
                  <c:v>75.599999999999994</c:v>
                </c:pt>
                <c:pt idx="103">
                  <c:v>74.95</c:v>
                </c:pt>
                <c:pt idx="104">
                  <c:v>74.27</c:v>
                </c:pt>
                <c:pt idx="105">
                  <c:v>73.63</c:v>
                </c:pt>
                <c:pt idx="106">
                  <c:v>73.069999999999993</c:v>
                </c:pt>
                <c:pt idx="107">
                  <c:v>72.58</c:v>
                </c:pt>
                <c:pt idx="108">
                  <c:v>72.319999999999993</c:v>
                </c:pt>
                <c:pt idx="109">
                  <c:v>72.25</c:v>
                </c:pt>
                <c:pt idx="110">
                  <c:v>72.25</c:v>
                </c:pt>
                <c:pt idx="111">
                  <c:v>75.400000000000006</c:v>
                </c:pt>
                <c:pt idx="112">
                  <c:v>78.5</c:v>
                </c:pt>
                <c:pt idx="113">
                  <c:v>78.5</c:v>
                </c:pt>
                <c:pt idx="114">
                  <c:v>62.3</c:v>
                </c:pt>
                <c:pt idx="115">
                  <c:v>62.3</c:v>
                </c:pt>
                <c:pt idx="116">
                  <c:v>65.349999999999994</c:v>
                </c:pt>
                <c:pt idx="117">
                  <c:v>68.5</c:v>
                </c:pt>
                <c:pt idx="118">
                  <c:v>68.5</c:v>
                </c:pt>
                <c:pt idx="119">
                  <c:v>68.430000000000007</c:v>
                </c:pt>
                <c:pt idx="120">
                  <c:v>68.17</c:v>
                </c:pt>
                <c:pt idx="121">
                  <c:v>67.680000000000007</c:v>
                </c:pt>
                <c:pt idx="122">
                  <c:v>67.12</c:v>
                </c:pt>
                <c:pt idx="123">
                  <c:v>66.48</c:v>
                </c:pt>
                <c:pt idx="124">
                  <c:v>65.8</c:v>
                </c:pt>
                <c:pt idx="125">
                  <c:v>65.150000000000006</c:v>
                </c:pt>
                <c:pt idx="126">
                  <c:v>64.430000000000007</c:v>
                </c:pt>
                <c:pt idx="127">
                  <c:v>63.84</c:v>
                </c:pt>
                <c:pt idx="128">
                  <c:v>63.22</c:v>
                </c:pt>
                <c:pt idx="129">
                  <c:v>62.55</c:v>
                </c:pt>
                <c:pt idx="130">
                  <c:v>61.95</c:v>
                </c:pt>
                <c:pt idx="131">
                  <c:v>61.28</c:v>
                </c:pt>
                <c:pt idx="132">
                  <c:v>60.66</c:v>
                </c:pt>
                <c:pt idx="133">
                  <c:v>60.069999999999993</c:v>
                </c:pt>
                <c:pt idx="134">
                  <c:v>59.349999999999994</c:v>
                </c:pt>
                <c:pt idx="135">
                  <c:v>58.7</c:v>
                </c:pt>
                <c:pt idx="136">
                  <c:v>58.019999999999996</c:v>
                </c:pt>
                <c:pt idx="137">
                  <c:v>57.379999999999995</c:v>
                </c:pt>
                <c:pt idx="138">
                  <c:v>56.819999999999993</c:v>
                </c:pt>
                <c:pt idx="139">
                  <c:v>56.33</c:v>
                </c:pt>
                <c:pt idx="140">
                  <c:v>56.069999999999993</c:v>
                </c:pt>
                <c:pt idx="141">
                  <c:v>56</c:v>
                </c:pt>
                <c:pt idx="142">
                  <c:v>56</c:v>
                </c:pt>
                <c:pt idx="143">
                  <c:v>59.150000000000006</c:v>
                </c:pt>
                <c:pt idx="144">
                  <c:v>62.25</c:v>
                </c:pt>
                <c:pt idx="145">
                  <c:v>62.25</c:v>
                </c:pt>
                <c:pt idx="146">
                  <c:v>46.05</c:v>
                </c:pt>
                <c:pt idx="147">
                  <c:v>46.05</c:v>
                </c:pt>
                <c:pt idx="148">
                  <c:v>49.099999999999994</c:v>
                </c:pt>
                <c:pt idx="149">
                  <c:v>52.25</c:v>
                </c:pt>
                <c:pt idx="150">
                  <c:v>52.25</c:v>
                </c:pt>
                <c:pt idx="151">
                  <c:v>52.180000000000007</c:v>
                </c:pt>
                <c:pt idx="152">
                  <c:v>51.92</c:v>
                </c:pt>
                <c:pt idx="153">
                  <c:v>51.430000000000007</c:v>
                </c:pt>
                <c:pt idx="154">
                  <c:v>50.870000000000005</c:v>
                </c:pt>
                <c:pt idx="155">
                  <c:v>50.230000000000004</c:v>
                </c:pt>
                <c:pt idx="156">
                  <c:v>49.55</c:v>
                </c:pt>
                <c:pt idx="157">
                  <c:v>48.900000000000006</c:v>
                </c:pt>
                <c:pt idx="158">
                  <c:v>48.180000000000007</c:v>
                </c:pt>
                <c:pt idx="159">
                  <c:v>47.59</c:v>
                </c:pt>
                <c:pt idx="160">
                  <c:v>46.97</c:v>
                </c:pt>
                <c:pt idx="161">
                  <c:v>46.3</c:v>
                </c:pt>
                <c:pt idx="162">
                  <c:v>45.7</c:v>
                </c:pt>
                <c:pt idx="163">
                  <c:v>45.03</c:v>
                </c:pt>
                <c:pt idx="164">
                  <c:v>44.41</c:v>
                </c:pt>
                <c:pt idx="165">
                  <c:v>43.819999999999993</c:v>
                </c:pt>
                <c:pt idx="166">
                  <c:v>43.099999999999994</c:v>
                </c:pt>
                <c:pt idx="167">
                  <c:v>42.45</c:v>
                </c:pt>
                <c:pt idx="168">
                  <c:v>41.769999999999996</c:v>
                </c:pt>
                <c:pt idx="169">
                  <c:v>41.129999999999995</c:v>
                </c:pt>
                <c:pt idx="170">
                  <c:v>40.569999999999993</c:v>
                </c:pt>
                <c:pt idx="171">
                  <c:v>40.08</c:v>
                </c:pt>
                <c:pt idx="172">
                  <c:v>39.819999999999993</c:v>
                </c:pt>
                <c:pt idx="173">
                  <c:v>39.75</c:v>
                </c:pt>
                <c:pt idx="174">
                  <c:v>39.75</c:v>
                </c:pt>
                <c:pt idx="175">
                  <c:v>42.900000000000006</c:v>
                </c:pt>
                <c:pt idx="176">
                  <c:v>46</c:v>
                </c:pt>
                <c:pt idx="177">
                  <c:v>46</c:v>
                </c:pt>
                <c:pt idx="178">
                  <c:v>29.799999999999997</c:v>
                </c:pt>
                <c:pt idx="179">
                  <c:v>29.799999999999997</c:v>
                </c:pt>
                <c:pt idx="180">
                  <c:v>32.849999999999994</c:v>
                </c:pt>
                <c:pt idx="181">
                  <c:v>36</c:v>
                </c:pt>
                <c:pt idx="182">
                  <c:v>36</c:v>
                </c:pt>
                <c:pt idx="183">
                  <c:v>35.930000000000007</c:v>
                </c:pt>
                <c:pt idx="184">
                  <c:v>35.67</c:v>
                </c:pt>
                <c:pt idx="185">
                  <c:v>35.180000000000007</c:v>
                </c:pt>
                <c:pt idx="186">
                  <c:v>34.620000000000005</c:v>
                </c:pt>
                <c:pt idx="187">
                  <c:v>33.980000000000004</c:v>
                </c:pt>
                <c:pt idx="188">
                  <c:v>33.299999999999997</c:v>
                </c:pt>
                <c:pt idx="189">
                  <c:v>32.650000000000006</c:v>
                </c:pt>
                <c:pt idx="190">
                  <c:v>31.930000000000007</c:v>
                </c:pt>
                <c:pt idx="191">
                  <c:v>31.340000000000003</c:v>
                </c:pt>
                <c:pt idx="192">
                  <c:v>30.72</c:v>
                </c:pt>
                <c:pt idx="193">
                  <c:v>30.049999999999997</c:v>
                </c:pt>
                <c:pt idx="194">
                  <c:v>29.450000000000003</c:v>
                </c:pt>
                <c:pt idx="195">
                  <c:v>28.78</c:v>
                </c:pt>
                <c:pt idx="196">
                  <c:v>28.159999999999997</c:v>
                </c:pt>
                <c:pt idx="197">
                  <c:v>27.569999999999993</c:v>
                </c:pt>
                <c:pt idx="198">
                  <c:v>26.849999999999994</c:v>
                </c:pt>
                <c:pt idx="199">
                  <c:v>26.200000000000003</c:v>
                </c:pt>
                <c:pt idx="200">
                  <c:v>25.519999999999996</c:v>
                </c:pt>
                <c:pt idx="201">
                  <c:v>24.879999999999995</c:v>
                </c:pt>
                <c:pt idx="202">
                  <c:v>24.319999999999993</c:v>
                </c:pt>
                <c:pt idx="203">
                  <c:v>23.83</c:v>
                </c:pt>
                <c:pt idx="204">
                  <c:v>23.569999999999993</c:v>
                </c:pt>
                <c:pt idx="205">
                  <c:v>23.5</c:v>
                </c:pt>
                <c:pt idx="206">
                  <c:v>23.5</c:v>
                </c:pt>
                <c:pt idx="207">
                  <c:v>26.650000000000006</c:v>
                </c:pt>
                <c:pt idx="208">
                  <c:v>29.75</c:v>
                </c:pt>
                <c:pt idx="209">
                  <c:v>29.75</c:v>
                </c:pt>
                <c:pt idx="210">
                  <c:v>13.549999999999997</c:v>
                </c:pt>
                <c:pt idx="211">
                  <c:v>13.549999999999997</c:v>
                </c:pt>
                <c:pt idx="212">
                  <c:v>16.599999999999994</c:v>
                </c:pt>
                <c:pt idx="213">
                  <c:v>19.75</c:v>
                </c:pt>
                <c:pt idx="214">
                  <c:v>19.75</c:v>
                </c:pt>
                <c:pt idx="215">
                  <c:v>19.680000000000007</c:v>
                </c:pt>
                <c:pt idx="216">
                  <c:v>19.420000000000002</c:v>
                </c:pt>
                <c:pt idx="217">
                  <c:v>18.930000000000007</c:v>
                </c:pt>
                <c:pt idx="218">
                  <c:v>18.370000000000005</c:v>
                </c:pt>
                <c:pt idx="219">
                  <c:v>17.730000000000004</c:v>
                </c:pt>
                <c:pt idx="220">
                  <c:v>17.049999999999997</c:v>
                </c:pt>
                <c:pt idx="221">
                  <c:v>16.400000000000006</c:v>
                </c:pt>
                <c:pt idx="222">
                  <c:v>15.680000000000007</c:v>
                </c:pt>
                <c:pt idx="223">
                  <c:v>15.090000000000003</c:v>
                </c:pt>
                <c:pt idx="224">
                  <c:v>14.469999999999999</c:v>
                </c:pt>
                <c:pt idx="225">
                  <c:v>13.799999999999997</c:v>
                </c:pt>
                <c:pt idx="226">
                  <c:v>13.200000000000003</c:v>
                </c:pt>
                <c:pt idx="227">
                  <c:v>12.530000000000001</c:v>
                </c:pt>
                <c:pt idx="228">
                  <c:v>11.909999999999997</c:v>
                </c:pt>
                <c:pt idx="229">
                  <c:v>11.319999999999993</c:v>
                </c:pt>
                <c:pt idx="230">
                  <c:v>10.599999999999994</c:v>
                </c:pt>
                <c:pt idx="231">
                  <c:v>9.9500000000000028</c:v>
                </c:pt>
                <c:pt idx="232">
                  <c:v>9.269999999999996</c:v>
                </c:pt>
                <c:pt idx="233">
                  <c:v>8.6299999999999955</c:v>
                </c:pt>
                <c:pt idx="234">
                  <c:v>8.0699999999999932</c:v>
                </c:pt>
                <c:pt idx="235">
                  <c:v>7.5799999999999983</c:v>
                </c:pt>
                <c:pt idx="236">
                  <c:v>7.3199999999999932</c:v>
                </c:pt>
                <c:pt idx="237">
                  <c:v>7.25</c:v>
                </c:pt>
                <c:pt idx="238">
                  <c:v>7.25</c:v>
                </c:pt>
                <c:pt idx="239">
                  <c:v>10.4</c:v>
                </c:pt>
                <c:pt idx="240">
                  <c:v>13.5</c:v>
                </c:pt>
                <c:pt idx="241">
                  <c:v>13.5</c:v>
                </c:pt>
                <c:pt idx="242">
                  <c:v>0.95</c:v>
                </c:pt>
              </c:numCache>
            </c:numRef>
          </c:xVal>
          <c:yVal>
            <c:numRef>
              <c:f>'Propriedades geométricas LA '!$C$7:$C$249</c:f>
              <c:numCache>
                <c:formatCode>0.000</c:formatCode>
                <c:ptCount val="243"/>
                <c:pt idx="0">
                  <c:v>0</c:v>
                </c:pt>
                <c:pt idx="1">
                  <c:v>0.76</c:v>
                </c:pt>
                <c:pt idx="2">
                  <c:v>2.2000000000000002</c:v>
                </c:pt>
                <c:pt idx="3">
                  <c:v>5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21.5</c:v>
                </c:pt>
                <c:pt idx="13">
                  <c:v>19</c:v>
                </c:pt>
                <c:pt idx="14">
                  <c:v>5</c:v>
                </c:pt>
                <c:pt idx="15">
                  <c:v>2.2000000000000002</c:v>
                </c:pt>
                <c:pt idx="16">
                  <c:v>0.76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5.8</c:v>
                </c:pt>
                <c:pt idx="22">
                  <c:v>15.75</c:v>
                </c:pt>
                <c:pt idx="23">
                  <c:v>16.66</c:v>
                </c:pt>
                <c:pt idx="24">
                  <c:v>17.760000000000002</c:v>
                </c:pt>
                <c:pt idx="25">
                  <c:v>18.84</c:v>
                </c:pt>
                <c:pt idx="26">
                  <c:v>19.66</c:v>
                </c:pt>
                <c:pt idx="27">
                  <c:v>20.350000000000001</c:v>
                </c:pt>
                <c:pt idx="28">
                  <c:v>20.89</c:v>
                </c:pt>
                <c:pt idx="29">
                  <c:v>21.29</c:v>
                </c:pt>
                <c:pt idx="30">
                  <c:v>21.61</c:v>
                </c:pt>
                <c:pt idx="31">
                  <c:v>21.79</c:v>
                </c:pt>
                <c:pt idx="32">
                  <c:v>21.92</c:v>
                </c:pt>
                <c:pt idx="33">
                  <c:v>21.99</c:v>
                </c:pt>
                <c:pt idx="34">
                  <c:v>21.99</c:v>
                </c:pt>
                <c:pt idx="35">
                  <c:v>21.92</c:v>
                </c:pt>
                <c:pt idx="36">
                  <c:v>21.79</c:v>
                </c:pt>
                <c:pt idx="37">
                  <c:v>21.61</c:v>
                </c:pt>
                <c:pt idx="38">
                  <c:v>21.29</c:v>
                </c:pt>
                <c:pt idx="39">
                  <c:v>20.89</c:v>
                </c:pt>
                <c:pt idx="40">
                  <c:v>20.350000000000001</c:v>
                </c:pt>
                <c:pt idx="41">
                  <c:v>19.66</c:v>
                </c:pt>
                <c:pt idx="42">
                  <c:v>18.84</c:v>
                </c:pt>
                <c:pt idx="43">
                  <c:v>17.760000000000002</c:v>
                </c:pt>
                <c:pt idx="44">
                  <c:v>16.66</c:v>
                </c:pt>
                <c:pt idx="45">
                  <c:v>15.75</c:v>
                </c:pt>
                <c:pt idx="46">
                  <c:v>5.8</c:v>
                </c:pt>
                <c:pt idx="47">
                  <c:v>3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3</c:v>
                </c:pt>
                <c:pt idx="53">
                  <c:v>5.8</c:v>
                </c:pt>
                <c:pt idx="54">
                  <c:v>15.75</c:v>
                </c:pt>
                <c:pt idx="55">
                  <c:v>16.66</c:v>
                </c:pt>
                <c:pt idx="56">
                  <c:v>17.760000000000002</c:v>
                </c:pt>
                <c:pt idx="57">
                  <c:v>18.84</c:v>
                </c:pt>
                <c:pt idx="58">
                  <c:v>19.66</c:v>
                </c:pt>
                <c:pt idx="59">
                  <c:v>20.350000000000001</c:v>
                </c:pt>
                <c:pt idx="60">
                  <c:v>20.89</c:v>
                </c:pt>
                <c:pt idx="61">
                  <c:v>21.29</c:v>
                </c:pt>
                <c:pt idx="62">
                  <c:v>21.61</c:v>
                </c:pt>
                <c:pt idx="63">
                  <c:v>21.79</c:v>
                </c:pt>
                <c:pt idx="64">
                  <c:v>21.92</c:v>
                </c:pt>
                <c:pt idx="65">
                  <c:v>21.99</c:v>
                </c:pt>
                <c:pt idx="66">
                  <c:v>21.99</c:v>
                </c:pt>
                <c:pt idx="67">
                  <c:v>21.92</c:v>
                </c:pt>
                <c:pt idx="68">
                  <c:v>21.79</c:v>
                </c:pt>
                <c:pt idx="69">
                  <c:v>21.61</c:v>
                </c:pt>
                <c:pt idx="70">
                  <c:v>21.29</c:v>
                </c:pt>
                <c:pt idx="71">
                  <c:v>20.89</c:v>
                </c:pt>
                <c:pt idx="72">
                  <c:v>20.350000000000001</c:v>
                </c:pt>
                <c:pt idx="73">
                  <c:v>19.66</c:v>
                </c:pt>
                <c:pt idx="74">
                  <c:v>18.84</c:v>
                </c:pt>
                <c:pt idx="75">
                  <c:v>17.760000000000002</c:v>
                </c:pt>
                <c:pt idx="76">
                  <c:v>16.66</c:v>
                </c:pt>
                <c:pt idx="77">
                  <c:v>15.75</c:v>
                </c:pt>
                <c:pt idx="78">
                  <c:v>5.8</c:v>
                </c:pt>
                <c:pt idx="79">
                  <c:v>3</c:v>
                </c:pt>
                <c:pt idx="80">
                  <c:v>3</c:v>
                </c:pt>
                <c:pt idx="81">
                  <c:v>0</c:v>
                </c:pt>
                <c:pt idx="82">
                  <c:v>0</c:v>
                </c:pt>
                <c:pt idx="83">
                  <c:v>3</c:v>
                </c:pt>
                <c:pt idx="84">
                  <c:v>3</c:v>
                </c:pt>
                <c:pt idx="85">
                  <c:v>5.8</c:v>
                </c:pt>
                <c:pt idx="86">
                  <c:v>15.75</c:v>
                </c:pt>
                <c:pt idx="87">
                  <c:v>16.66</c:v>
                </c:pt>
                <c:pt idx="88">
                  <c:v>17.760000000000002</c:v>
                </c:pt>
                <c:pt idx="89">
                  <c:v>18.84</c:v>
                </c:pt>
                <c:pt idx="90">
                  <c:v>19.66</c:v>
                </c:pt>
                <c:pt idx="91">
                  <c:v>20.350000000000001</c:v>
                </c:pt>
                <c:pt idx="92">
                  <c:v>20.89</c:v>
                </c:pt>
                <c:pt idx="93">
                  <c:v>21.29</c:v>
                </c:pt>
                <c:pt idx="94">
                  <c:v>21.61</c:v>
                </c:pt>
                <c:pt idx="95">
                  <c:v>21.79</c:v>
                </c:pt>
                <c:pt idx="96">
                  <c:v>21.92</c:v>
                </c:pt>
                <c:pt idx="97">
                  <c:v>21.99</c:v>
                </c:pt>
                <c:pt idx="98">
                  <c:v>21.99</c:v>
                </c:pt>
                <c:pt idx="99">
                  <c:v>21.92</c:v>
                </c:pt>
                <c:pt idx="100">
                  <c:v>21.79</c:v>
                </c:pt>
                <c:pt idx="101">
                  <c:v>21.61</c:v>
                </c:pt>
                <c:pt idx="102">
                  <c:v>21.29</c:v>
                </c:pt>
                <c:pt idx="103">
                  <c:v>20.89</c:v>
                </c:pt>
                <c:pt idx="104">
                  <c:v>20.350000000000001</c:v>
                </c:pt>
                <c:pt idx="105">
                  <c:v>19.66</c:v>
                </c:pt>
                <c:pt idx="106">
                  <c:v>18.84</c:v>
                </c:pt>
                <c:pt idx="107">
                  <c:v>17.760000000000002</c:v>
                </c:pt>
                <c:pt idx="108">
                  <c:v>16.66</c:v>
                </c:pt>
                <c:pt idx="109">
                  <c:v>15.75</c:v>
                </c:pt>
                <c:pt idx="110">
                  <c:v>5.8</c:v>
                </c:pt>
                <c:pt idx="111">
                  <c:v>3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3</c:v>
                </c:pt>
                <c:pt idx="116">
                  <c:v>3</c:v>
                </c:pt>
                <c:pt idx="117">
                  <c:v>5.8</c:v>
                </c:pt>
                <c:pt idx="118">
                  <c:v>15.75</c:v>
                </c:pt>
                <c:pt idx="119">
                  <c:v>16.66</c:v>
                </c:pt>
                <c:pt idx="120">
                  <c:v>17.760000000000002</c:v>
                </c:pt>
                <c:pt idx="121">
                  <c:v>18.84</c:v>
                </c:pt>
                <c:pt idx="122">
                  <c:v>19.66</c:v>
                </c:pt>
                <c:pt idx="123">
                  <c:v>20.350000000000001</c:v>
                </c:pt>
                <c:pt idx="124">
                  <c:v>20.89</c:v>
                </c:pt>
                <c:pt idx="125">
                  <c:v>21.29</c:v>
                </c:pt>
                <c:pt idx="126">
                  <c:v>21.61</c:v>
                </c:pt>
                <c:pt idx="127">
                  <c:v>21.79</c:v>
                </c:pt>
                <c:pt idx="128">
                  <c:v>21.92</c:v>
                </c:pt>
                <c:pt idx="129">
                  <c:v>21.99</c:v>
                </c:pt>
                <c:pt idx="130">
                  <c:v>21.99</c:v>
                </c:pt>
                <c:pt idx="131">
                  <c:v>21.92</c:v>
                </c:pt>
                <c:pt idx="132">
                  <c:v>21.79</c:v>
                </c:pt>
                <c:pt idx="133">
                  <c:v>21.61</c:v>
                </c:pt>
                <c:pt idx="134">
                  <c:v>21.29</c:v>
                </c:pt>
                <c:pt idx="135">
                  <c:v>20.89</c:v>
                </c:pt>
                <c:pt idx="136">
                  <c:v>20.350000000000001</c:v>
                </c:pt>
                <c:pt idx="137">
                  <c:v>19.66</c:v>
                </c:pt>
                <c:pt idx="138">
                  <c:v>18.84</c:v>
                </c:pt>
                <c:pt idx="139">
                  <c:v>17.760000000000002</c:v>
                </c:pt>
                <c:pt idx="140">
                  <c:v>16.66</c:v>
                </c:pt>
                <c:pt idx="141">
                  <c:v>15.75</c:v>
                </c:pt>
                <c:pt idx="142">
                  <c:v>5.8</c:v>
                </c:pt>
                <c:pt idx="143">
                  <c:v>3</c:v>
                </c:pt>
                <c:pt idx="144">
                  <c:v>3</c:v>
                </c:pt>
                <c:pt idx="145">
                  <c:v>0</c:v>
                </c:pt>
                <c:pt idx="146">
                  <c:v>0</c:v>
                </c:pt>
                <c:pt idx="147">
                  <c:v>3</c:v>
                </c:pt>
                <c:pt idx="148">
                  <c:v>3</c:v>
                </c:pt>
                <c:pt idx="149">
                  <c:v>5.8</c:v>
                </c:pt>
                <c:pt idx="150">
                  <c:v>15.75</c:v>
                </c:pt>
                <c:pt idx="151">
                  <c:v>16.66</c:v>
                </c:pt>
                <c:pt idx="152">
                  <c:v>17.760000000000002</c:v>
                </c:pt>
                <c:pt idx="153">
                  <c:v>18.84</c:v>
                </c:pt>
                <c:pt idx="154">
                  <c:v>19.66</c:v>
                </c:pt>
                <c:pt idx="155">
                  <c:v>20.350000000000001</c:v>
                </c:pt>
                <c:pt idx="156">
                  <c:v>20.89</c:v>
                </c:pt>
                <c:pt idx="157">
                  <c:v>21.29</c:v>
                </c:pt>
                <c:pt idx="158">
                  <c:v>21.61</c:v>
                </c:pt>
                <c:pt idx="159">
                  <c:v>21.79</c:v>
                </c:pt>
                <c:pt idx="160">
                  <c:v>21.92</c:v>
                </c:pt>
                <c:pt idx="161">
                  <c:v>21.99</c:v>
                </c:pt>
                <c:pt idx="162">
                  <c:v>21.99</c:v>
                </c:pt>
                <c:pt idx="163">
                  <c:v>21.92</c:v>
                </c:pt>
                <c:pt idx="164">
                  <c:v>21.79</c:v>
                </c:pt>
                <c:pt idx="165">
                  <c:v>21.61</c:v>
                </c:pt>
                <c:pt idx="166">
                  <c:v>21.29</c:v>
                </c:pt>
                <c:pt idx="167">
                  <c:v>20.89</c:v>
                </c:pt>
                <c:pt idx="168">
                  <c:v>20.350000000000001</c:v>
                </c:pt>
                <c:pt idx="169">
                  <c:v>19.66</c:v>
                </c:pt>
                <c:pt idx="170">
                  <c:v>18.84</c:v>
                </c:pt>
                <c:pt idx="171">
                  <c:v>17.760000000000002</c:v>
                </c:pt>
                <c:pt idx="172">
                  <c:v>16.66</c:v>
                </c:pt>
                <c:pt idx="173">
                  <c:v>15.75</c:v>
                </c:pt>
                <c:pt idx="174">
                  <c:v>5.8</c:v>
                </c:pt>
                <c:pt idx="175">
                  <c:v>3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3</c:v>
                </c:pt>
                <c:pt idx="180">
                  <c:v>3</c:v>
                </c:pt>
                <c:pt idx="181">
                  <c:v>5.8</c:v>
                </c:pt>
                <c:pt idx="182">
                  <c:v>15.75</c:v>
                </c:pt>
                <c:pt idx="183">
                  <c:v>16.66</c:v>
                </c:pt>
                <c:pt idx="184">
                  <c:v>17.760000000000002</c:v>
                </c:pt>
                <c:pt idx="185">
                  <c:v>18.84</c:v>
                </c:pt>
                <c:pt idx="186">
                  <c:v>19.66</c:v>
                </c:pt>
                <c:pt idx="187">
                  <c:v>20.350000000000001</c:v>
                </c:pt>
                <c:pt idx="188">
                  <c:v>20.89</c:v>
                </c:pt>
                <c:pt idx="189">
                  <c:v>21.29</c:v>
                </c:pt>
                <c:pt idx="190">
                  <c:v>21.61</c:v>
                </c:pt>
                <c:pt idx="191">
                  <c:v>21.79</c:v>
                </c:pt>
                <c:pt idx="192">
                  <c:v>21.92</c:v>
                </c:pt>
                <c:pt idx="193">
                  <c:v>21.99</c:v>
                </c:pt>
                <c:pt idx="194">
                  <c:v>21.99</c:v>
                </c:pt>
                <c:pt idx="195">
                  <c:v>21.92</c:v>
                </c:pt>
                <c:pt idx="196">
                  <c:v>21.79</c:v>
                </c:pt>
                <c:pt idx="197">
                  <c:v>21.61</c:v>
                </c:pt>
                <c:pt idx="198">
                  <c:v>21.29</c:v>
                </c:pt>
                <c:pt idx="199">
                  <c:v>20.89</c:v>
                </c:pt>
                <c:pt idx="200">
                  <c:v>20.350000000000001</c:v>
                </c:pt>
                <c:pt idx="201">
                  <c:v>19.66</c:v>
                </c:pt>
                <c:pt idx="202">
                  <c:v>18.84</c:v>
                </c:pt>
                <c:pt idx="203">
                  <c:v>17.760000000000002</c:v>
                </c:pt>
                <c:pt idx="204">
                  <c:v>16.66</c:v>
                </c:pt>
                <c:pt idx="205">
                  <c:v>15.75</c:v>
                </c:pt>
                <c:pt idx="206">
                  <c:v>5.8</c:v>
                </c:pt>
                <c:pt idx="207">
                  <c:v>3</c:v>
                </c:pt>
                <c:pt idx="208">
                  <c:v>3</c:v>
                </c:pt>
                <c:pt idx="209">
                  <c:v>0</c:v>
                </c:pt>
                <c:pt idx="210">
                  <c:v>0</c:v>
                </c:pt>
                <c:pt idx="211">
                  <c:v>3</c:v>
                </c:pt>
                <c:pt idx="212">
                  <c:v>3</c:v>
                </c:pt>
                <c:pt idx="213">
                  <c:v>5.8</c:v>
                </c:pt>
                <c:pt idx="214">
                  <c:v>15.75</c:v>
                </c:pt>
                <c:pt idx="215">
                  <c:v>16.66</c:v>
                </c:pt>
                <c:pt idx="216">
                  <c:v>17.760000000000002</c:v>
                </c:pt>
                <c:pt idx="217">
                  <c:v>18.84</c:v>
                </c:pt>
                <c:pt idx="218">
                  <c:v>19.66</c:v>
                </c:pt>
                <c:pt idx="219">
                  <c:v>20.350000000000001</c:v>
                </c:pt>
                <c:pt idx="220">
                  <c:v>20.89</c:v>
                </c:pt>
                <c:pt idx="221">
                  <c:v>21.29</c:v>
                </c:pt>
                <c:pt idx="222">
                  <c:v>21.61</c:v>
                </c:pt>
                <c:pt idx="223">
                  <c:v>21.79</c:v>
                </c:pt>
                <c:pt idx="224">
                  <c:v>21.92</c:v>
                </c:pt>
                <c:pt idx="225">
                  <c:v>21.99</c:v>
                </c:pt>
                <c:pt idx="226">
                  <c:v>21.99</c:v>
                </c:pt>
                <c:pt idx="227">
                  <c:v>21.92</c:v>
                </c:pt>
                <c:pt idx="228">
                  <c:v>21.79</c:v>
                </c:pt>
                <c:pt idx="229">
                  <c:v>21.61</c:v>
                </c:pt>
                <c:pt idx="230">
                  <c:v>21.29</c:v>
                </c:pt>
                <c:pt idx="231">
                  <c:v>20.89</c:v>
                </c:pt>
                <c:pt idx="232">
                  <c:v>20.350000000000001</c:v>
                </c:pt>
                <c:pt idx="233">
                  <c:v>19.66</c:v>
                </c:pt>
                <c:pt idx="234">
                  <c:v>18.84</c:v>
                </c:pt>
                <c:pt idx="235">
                  <c:v>17.760000000000002</c:v>
                </c:pt>
                <c:pt idx="236">
                  <c:v>16.66</c:v>
                </c:pt>
                <c:pt idx="237">
                  <c:v>15.75</c:v>
                </c:pt>
                <c:pt idx="238">
                  <c:v>5.8</c:v>
                </c:pt>
                <c:pt idx="239">
                  <c:v>3</c:v>
                </c:pt>
                <c:pt idx="240">
                  <c:v>3</c:v>
                </c:pt>
                <c:pt idx="241">
                  <c:v>0</c:v>
                </c:pt>
                <c:pt idx="2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D-4167-B7BB-AA3C892BF62B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LA '!$L$14:$L$15</c:f>
              <c:numCache>
                <c:formatCode>General</c:formatCode>
                <c:ptCount val="2"/>
                <c:pt idx="0">
                  <c:v>0</c:v>
                </c:pt>
                <c:pt idx="1">
                  <c:v>124.5</c:v>
                </c:pt>
              </c:numCache>
            </c:numRef>
          </c:xVal>
          <c:yVal>
            <c:numRef>
              <c:f>'Propriedades geométricas LA '!$M$14:$M$15</c:f>
              <c:numCache>
                <c:formatCode>0.000</c:formatCode>
                <c:ptCount val="2"/>
                <c:pt idx="0">
                  <c:v>16.232764100106174</c:v>
                </c:pt>
                <c:pt idx="1">
                  <c:v>16.232764100106174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4-4DAC-9063-57BA9FD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4111"/>
        <c:axId val="922372751"/>
      </c:scatterChart>
      <c:valAx>
        <c:axId val="92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72751"/>
        <c:crosses val="autoZero"/>
        <c:crossBetween val="midCat"/>
      </c:valAx>
      <c:valAx>
        <c:axId val="922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 Alv. Preenc.'!$B$7:$B$224</c:f>
              <c:numCache>
                <c:formatCode>0.000</c:formatCode>
                <c:ptCount val="218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15.309441843966107</c:v>
                </c:pt>
                <c:pt idx="8">
                  <c:v>15.309441843966107</c:v>
                </c:pt>
                <c:pt idx="9">
                  <c:v>109.19055815603389</c:v>
                </c:pt>
                <c:pt idx="10">
                  <c:v>109.19055815603389</c:v>
                </c:pt>
                <c:pt idx="11">
                  <c:v>122.85</c:v>
                </c:pt>
                <c:pt idx="12">
                  <c:v>122.85</c:v>
                </c:pt>
                <c:pt idx="13">
                  <c:v>121.5</c:v>
                </c:pt>
                <c:pt idx="14">
                  <c:v>121.5</c:v>
                </c:pt>
                <c:pt idx="15">
                  <c:v>124.5</c:v>
                </c:pt>
                <c:pt idx="16">
                  <c:v>124.31</c:v>
                </c:pt>
                <c:pt idx="17">
                  <c:v>123.55</c:v>
                </c:pt>
                <c:pt idx="18">
                  <c:v>111.05</c:v>
                </c:pt>
                <c:pt idx="19">
                  <c:v>111.05</c:v>
                </c:pt>
                <c:pt idx="20">
                  <c:v>114.1</c:v>
                </c:pt>
                <c:pt idx="21">
                  <c:v>117.25</c:v>
                </c:pt>
                <c:pt idx="22">
                  <c:v>117.25</c:v>
                </c:pt>
                <c:pt idx="23">
                  <c:v>117.18</c:v>
                </c:pt>
                <c:pt idx="24">
                  <c:v>116.92</c:v>
                </c:pt>
                <c:pt idx="25">
                  <c:v>116.43</c:v>
                </c:pt>
                <c:pt idx="26">
                  <c:v>115.87</c:v>
                </c:pt>
                <c:pt idx="27">
                  <c:v>115.23</c:v>
                </c:pt>
                <c:pt idx="28">
                  <c:v>114.55</c:v>
                </c:pt>
                <c:pt idx="29">
                  <c:v>113.9</c:v>
                </c:pt>
                <c:pt idx="30">
                  <c:v>113.18</c:v>
                </c:pt>
                <c:pt idx="31">
                  <c:v>112.59</c:v>
                </c:pt>
                <c:pt idx="32">
                  <c:v>111.97</c:v>
                </c:pt>
                <c:pt idx="33">
                  <c:v>111.3</c:v>
                </c:pt>
                <c:pt idx="34">
                  <c:v>110.7</c:v>
                </c:pt>
                <c:pt idx="35">
                  <c:v>110.03</c:v>
                </c:pt>
                <c:pt idx="36">
                  <c:v>109.41</c:v>
                </c:pt>
                <c:pt idx="37">
                  <c:v>108.82</c:v>
                </c:pt>
                <c:pt idx="38">
                  <c:v>108.1</c:v>
                </c:pt>
                <c:pt idx="39">
                  <c:v>107.45</c:v>
                </c:pt>
                <c:pt idx="40">
                  <c:v>106.77</c:v>
                </c:pt>
                <c:pt idx="41">
                  <c:v>106.13</c:v>
                </c:pt>
                <c:pt idx="42">
                  <c:v>105.57</c:v>
                </c:pt>
                <c:pt idx="43">
                  <c:v>105.08</c:v>
                </c:pt>
                <c:pt idx="44">
                  <c:v>104.82</c:v>
                </c:pt>
                <c:pt idx="45">
                  <c:v>104.75</c:v>
                </c:pt>
                <c:pt idx="46">
                  <c:v>104.75</c:v>
                </c:pt>
                <c:pt idx="47">
                  <c:v>107.9</c:v>
                </c:pt>
                <c:pt idx="48">
                  <c:v>111</c:v>
                </c:pt>
                <c:pt idx="49">
                  <c:v>111</c:v>
                </c:pt>
                <c:pt idx="50">
                  <c:v>94.8</c:v>
                </c:pt>
                <c:pt idx="51">
                  <c:v>94.8</c:v>
                </c:pt>
                <c:pt idx="52">
                  <c:v>97.85</c:v>
                </c:pt>
                <c:pt idx="53">
                  <c:v>101</c:v>
                </c:pt>
                <c:pt idx="54">
                  <c:v>101</c:v>
                </c:pt>
                <c:pt idx="55">
                  <c:v>100.93</c:v>
                </c:pt>
                <c:pt idx="56">
                  <c:v>100.67</c:v>
                </c:pt>
                <c:pt idx="57">
                  <c:v>100.18</c:v>
                </c:pt>
                <c:pt idx="58">
                  <c:v>99.62</c:v>
                </c:pt>
                <c:pt idx="59">
                  <c:v>98.98</c:v>
                </c:pt>
                <c:pt idx="60">
                  <c:v>98.3</c:v>
                </c:pt>
                <c:pt idx="61">
                  <c:v>97.65</c:v>
                </c:pt>
                <c:pt idx="62">
                  <c:v>96.93</c:v>
                </c:pt>
                <c:pt idx="63">
                  <c:v>96.34</c:v>
                </c:pt>
                <c:pt idx="64">
                  <c:v>95.72</c:v>
                </c:pt>
                <c:pt idx="65">
                  <c:v>95.05</c:v>
                </c:pt>
                <c:pt idx="66">
                  <c:v>94.45</c:v>
                </c:pt>
                <c:pt idx="67">
                  <c:v>93.78</c:v>
                </c:pt>
                <c:pt idx="68">
                  <c:v>93.16</c:v>
                </c:pt>
                <c:pt idx="69">
                  <c:v>92.57</c:v>
                </c:pt>
                <c:pt idx="70">
                  <c:v>91.85</c:v>
                </c:pt>
                <c:pt idx="71">
                  <c:v>91.2</c:v>
                </c:pt>
                <c:pt idx="72">
                  <c:v>90.52</c:v>
                </c:pt>
                <c:pt idx="73">
                  <c:v>89.88</c:v>
                </c:pt>
                <c:pt idx="74">
                  <c:v>89.32</c:v>
                </c:pt>
                <c:pt idx="75">
                  <c:v>88.83</c:v>
                </c:pt>
                <c:pt idx="76">
                  <c:v>88.57</c:v>
                </c:pt>
                <c:pt idx="77">
                  <c:v>88.5</c:v>
                </c:pt>
                <c:pt idx="78">
                  <c:v>88.5</c:v>
                </c:pt>
                <c:pt idx="79">
                  <c:v>91.65</c:v>
                </c:pt>
                <c:pt idx="80">
                  <c:v>94.75</c:v>
                </c:pt>
                <c:pt idx="81">
                  <c:v>94.75</c:v>
                </c:pt>
                <c:pt idx="82">
                  <c:v>78.55</c:v>
                </c:pt>
                <c:pt idx="83">
                  <c:v>78.55</c:v>
                </c:pt>
                <c:pt idx="84">
                  <c:v>81.599999999999994</c:v>
                </c:pt>
                <c:pt idx="85">
                  <c:v>84.75</c:v>
                </c:pt>
                <c:pt idx="86">
                  <c:v>84.75</c:v>
                </c:pt>
                <c:pt idx="87">
                  <c:v>84.68</c:v>
                </c:pt>
                <c:pt idx="88">
                  <c:v>84.42</c:v>
                </c:pt>
                <c:pt idx="89">
                  <c:v>83.93</c:v>
                </c:pt>
                <c:pt idx="90">
                  <c:v>83.37</c:v>
                </c:pt>
                <c:pt idx="91">
                  <c:v>82.73</c:v>
                </c:pt>
                <c:pt idx="92">
                  <c:v>82.05</c:v>
                </c:pt>
                <c:pt idx="93">
                  <c:v>81.400000000000006</c:v>
                </c:pt>
                <c:pt idx="94">
                  <c:v>80.680000000000007</c:v>
                </c:pt>
                <c:pt idx="95">
                  <c:v>80.09</c:v>
                </c:pt>
                <c:pt idx="96">
                  <c:v>79.47</c:v>
                </c:pt>
                <c:pt idx="97">
                  <c:v>78.8</c:v>
                </c:pt>
                <c:pt idx="98">
                  <c:v>78.2</c:v>
                </c:pt>
                <c:pt idx="99">
                  <c:v>77.53</c:v>
                </c:pt>
                <c:pt idx="100">
                  <c:v>76.91</c:v>
                </c:pt>
                <c:pt idx="101">
                  <c:v>76.319999999999993</c:v>
                </c:pt>
                <c:pt idx="102">
                  <c:v>75.599999999999994</c:v>
                </c:pt>
                <c:pt idx="103">
                  <c:v>74.95</c:v>
                </c:pt>
                <c:pt idx="104">
                  <c:v>74.27</c:v>
                </c:pt>
                <c:pt idx="105">
                  <c:v>73.63</c:v>
                </c:pt>
                <c:pt idx="106">
                  <c:v>73.069999999999993</c:v>
                </c:pt>
                <c:pt idx="107">
                  <c:v>72.58</c:v>
                </c:pt>
                <c:pt idx="108">
                  <c:v>72.319999999999993</c:v>
                </c:pt>
                <c:pt idx="109">
                  <c:v>72.25</c:v>
                </c:pt>
                <c:pt idx="110">
                  <c:v>72.25</c:v>
                </c:pt>
                <c:pt idx="111">
                  <c:v>75.400000000000006</c:v>
                </c:pt>
                <c:pt idx="112">
                  <c:v>78.5</c:v>
                </c:pt>
                <c:pt idx="113">
                  <c:v>78.5</c:v>
                </c:pt>
                <c:pt idx="114">
                  <c:v>62.3</c:v>
                </c:pt>
                <c:pt idx="115">
                  <c:v>62.3</c:v>
                </c:pt>
                <c:pt idx="116">
                  <c:v>65.349999999999994</c:v>
                </c:pt>
                <c:pt idx="117">
                  <c:v>68.5</c:v>
                </c:pt>
                <c:pt idx="118">
                  <c:v>68.5</c:v>
                </c:pt>
                <c:pt idx="119">
                  <c:v>68.430000000000007</c:v>
                </c:pt>
                <c:pt idx="120">
                  <c:v>68.17</c:v>
                </c:pt>
                <c:pt idx="121">
                  <c:v>67.680000000000007</c:v>
                </c:pt>
                <c:pt idx="122">
                  <c:v>67.12</c:v>
                </c:pt>
                <c:pt idx="123">
                  <c:v>66.48</c:v>
                </c:pt>
                <c:pt idx="124">
                  <c:v>65.8</c:v>
                </c:pt>
                <c:pt idx="125">
                  <c:v>65.150000000000006</c:v>
                </c:pt>
                <c:pt idx="126">
                  <c:v>64.430000000000007</c:v>
                </c:pt>
                <c:pt idx="127">
                  <c:v>63.84</c:v>
                </c:pt>
                <c:pt idx="128">
                  <c:v>63.22</c:v>
                </c:pt>
                <c:pt idx="129">
                  <c:v>62.55</c:v>
                </c:pt>
                <c:pt idx="130">
                  <c:v>61.95</c:v>
                </c:pt>
                <c:pt idx="131">
                  <c:v>61.28</c:v>
                </c:pt>
                <c:pt idx="132">
                  <c:v>60.66</c:v>
                </c:pt>
                <c:pt idx="133">
                  <c:v>60.069999999999993</c:v>
                </c:pt>
                <c:pt idx="134">
                  <c:v>59.349999999999994</c:v>
                </c:pt>
                <c:pt idx="135">
                  <c:v>58.7</c:v>
                </c:pt>
                <c:pt idx="136">
                  <c:v>58.019999999999996</c:v>
                </c:pt>
                <c:pt idx="137">
                  <c:v>57.379999999999995</c:v>
                </c:pt>
                <c:pt idx="138">
                  <c:v>56.819999999999993</c:v>
                </c:pt>
                <c:pt idx="139">
                  <c:v>56.33</c:v>
                </c:pt>
                <c:pt idx="140">
                  <c:v>56.069999999999993</c:v>
                </c:pt>
                <c:pt idx="141">
                  <c:v>56</c:v>
                </c:pt>
                <c:pt idx="142">
                  <c:v>56</c:v>
                </c:pt>
                <c:pt idx="143">
                  <c:v>59.150000000000006</c:v>
                </c:pt>
                <c:pt idx="144">
                  <c:v>62.25</c:v>
                </c:pt>
                <c:pt idx="145">
                  <c:v>62.25</c:v>
                </c:pt>
                <c:pt idx="146">
                  <c:v>46.05</c:v>
                </c:pt>
                <c:pt idx="147">
                  <c:v>46.05</c:v>
                </c:pt>
                <c:pt idx="148">
                  <c:v>49.099999999999994</c:v>
                </c:pt>
                <c:pt idx="149">
                  <c:v>52.25</c:v>
                </c:pt>
                <c:pt idx="150">
                  <c:v>52.25</c:v>
                </c:pt>
                <c:pt idx="151">
                  <c:v>52.180000000000007</c:v>
                </c:pt>
                <c:pt idx="152">
                  <c:v>51.92</c:v>
                </c:pt>
                <c:pt idx="153">
                  <c:v>51.430000000000007</c:v>
                </c:pt>
                <c:pt idx="154">
                  <c:v>50.870000000000005</c:v>
                </c:pt>
                <c:pt idx="155">
                  <c:v>50.230000000000004</c:v>
                </c:pt>
                <c:pt idx="156">
                  <c:v>49.55</c:v>
                </c:pt>
                <c:pt idx="157">
                  <c:v>48.900000000000006</c:v>
                </c:pt>
                <c:pt idx="158">
                  <c:v>48.180000000000007</c:v>
                </c:pt>
                <c:pt idx="159">
                  <c:v>47.59</c:v>
                </c:pt>
                <c:pt idx="160">
                  <c:v>46.97</c:v>
                </c:pt>
                <c:pt idx="161">
                  <c:v>46.3</c:v>
                </c:pt>
                <c:pt idx="162">
                  <c:v>45.7</c:v>
                </c:pt>
                <c:pt idx="163">
                  <c:v>45.03</c:v>
                </c:pt>
                <c:pt idx="164">
                  <c:v>44.41</c:v>
                </c:pt>
                <c:pt idx="165">
                  <c:v>43.819999999999993</c:v>
                </c:pt>
                <c:pt idx="166">
                  <c:v>43.099999999999994</c:v>
                </c:pt>
                <c:pt idx="167">
                  <c:v>42.45</c:v>
                </c:pt>
                <c:pt idx="168">
                  <c:v>41.769999999999996</c:v>
                </c:pt>
                <c:pt idx="169">
                  <c:v>41.129999999999995</c:v>
                </c:pt>
                <c:pt idx="170">
                  <c:v>40.569999999999993</c:v>
                </c:pt>
                <c:pt idx="171">
                  <c:v>40.08</c:v>
                </c:pt>
                <c:pt idx="172">
                  <c:v>39.819999999999993</c:v>
                </c:pt>
                <c:pt idx="173">
                  <c:v>39.75</c:v>
                </c:pt>
                <c:pt idx="174">
                  <c:v>39.75</c:v>
                </c:pt>
                <c:pt idx="175">
                  <c:v>42.900000000000006</c:v>
                </c:pt>
                <c:pt idx="176">
                  <c:v>46</c:v>
                </c:pt>
                <c:pt idx="177">
                  <c:v>46</c:v>
                </c:pt>
                <c:pt idx="178">
                  <c:v>29.799999999999997</c:v>
                </c:pt>
                <c:pt idx="179">
                  <c:v>29.799999999999997</c:v>
                </c:pt>
                <c:pt idx="180">
                  <c:v>32.849999999999994</c:v>
                </c:pt>
                <c:pt idx="181">
                  <c:v>36</c:v>
                </c:pt>
                <c:pt idx="182">
                  <c:v>36</c:v>
                </c:pt>
                <c:pt idx="183">
                  <c:v>35.930000000000007</c:v>
                </c:pt>
                <c:pt idx="184">
                  <c:v>35.67</c:v>
                </c:pt>
                <c:pt idx="185">
                  <c:v>35.180000000000007</c:v>
                </c:pt>
                <c:pt idx="186">
                  <c:v>34.620000000000005</c:v>
                </c:pt>
                <c:pt idx="187">
                  <c:v>33.980000000000004</c:v>
                </c:pt>
                <c:pt idx="188">
                  <c:v>33.299999999999997</c:v>
                </c:pt>
                <c:pt idx="189">
                  <c:v>32.650000000000006</c:v>
                </c:pt>
                <c:pt idx="190">
                  <c:v>31.930000000000007</c:v>
                </c:pt>
                <c:pt idx="191">
                  <c:v>31.340000000000003</c:v>
                </c:pt>
                <c:pt idx="192">
                  <c:v>30.72</c:v>
                </c:pt>
                <c:pt idx="193">
                  <c:v>30.049999999999997</c:v>
                </c:pt>
                <c:pt idx="194">
                  <c:v>29.450000000000003</c:v>
                </c:pt>
                <c:pt idx="195">
                  <c:v>28.78</c:v>
                </c:pt>
                <c:pt idx="196">
                  <c:v>28.159999999999997</c:v>
                </c:pt>
                <c:pt idx="197">
                  <c:v>27.569999999999993</c:v>
                </c:pt>
                <c:pt idx="198">
                  <c:v>26.849999999999994</c:v>
                </c:pt>
                <c:pt idx="199">
                  <c:v>26.200000000000003</c:v>
                </c:pt>
                <c:pt idx="200">
                  <c:v>25.519999999999996</c:v>
                </c:pt>
                <c:pt idx="201">
                  <c:v>24.879999999999995</c:v>
                </c:pt>
                <c:pt idx="202">
                  <c:v>24.319999999999993</c:v>
                </c:pt>
                <c:pt idx="203">
                  <c:v>23.83</c:v>
                </c:pt>
                <c:pt idx="204">
                  <c:v>23.569999999999993</c:v>
                </c:pt>
                <c:pt idx="205">
                  <c:v>23.5</c:v>
                </c:pt>
                <c:pt idx="206">
                  <c:v>23.5</c:v>
                </c:pt>
                <c:pt idx="207">
                  <c:v>26.650000000000006</c:v>
                </c:pt>
                <c:pt idx="208">
                  <c:v>29.75</c:v>
                </c:pt>
                <c:pt idx="209">
                  <c:v>29.75</c:v>
                </c:pt>
                <c:pt idx="210">
                  <c:v>13.549999999999997</c:v>
                </c:pt>
                <c:pt idx="211">
                  <c:v>13.549999999999997</c:v>
                </c:pt>
                <c:pt idx="212">
                  <c:v>16.599999999999994</c:v>
                </c:pt>
                <c:pt idx="213">
                  <c:v>19.75</c:v>
                </c:pt>
                <c:pt idx="214">
                  <c:v>19.75</c:v>
                </c:pt>
                <c:pt idx="215">
                  <c:v>19.680000000000007</c:v>
                </c:pt>
                <c:pt idx="216">
                  <c:v>19.420000000000002</c:v>
                </c:pt>
                <c:pt idx="217">
                  <c:v>18.930000000000007</c:v>
                </c:pt>
              </c:numCache>
            </c:numRef>
          </c:xVal>
          <c:yVal>
            <c:numRef>
              <c:f>'Valores "A" e "Y" Alv. Preenc.'!$C$7:$C$224</c:f>
              <c:numCache>
                <c:formatCode>0.000</c:formatCode>
                <c:ptCount val="218"/>
                <c:pt idx="0">
                  <c:v>16.232764100106174</c:v>
                </c:pt>
                <c:pt idx="1">
                  <c:v>16.232764100106174</c:v>
                </c:pt>
                <c:pt idx="2">
                  <c:v>16.232764100106174</c:v>
                </c:pt>
                <c:pt idx="3">
                  <c:v>16.232764100106174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21.5</c:v>
                </c:pt>
                <c:pt idx="13">
                  <c:v>19</c:v>
                </c:pt>
                <c:pt idx="14">
                  <c:v>16.232764100106174</c:v>
                </c:pt>
                <c:pt idx="15">
                  <c:v>16.232764100106174</c:v>
                </c:pt>
                <c:pt idx="16">
                  <c:v>16.232764100106174</c:v>
                </c:pt>
                <c:pt idx="17">
                  <c:v>16.232764100106174</c:v>
                </c:pt>
                <c:pt idx="18">
                  <c:v>16.232764100106174</c:v>
                </c:pt>
                <c:pt idx="19">
                  <c:v>16.232764100106174</c:v>
                </c:pt>
                <c:pt idx="20">
                  <c:v>16.232764100106174</c:v>
                </c:pt>
                <c:pt idx="21">
                  <c:v>16.232764100106174</c:v>
                </c:pt>
                <c:pt idx="22">
                  <c:v>16.232764100106174</c:v>
                </c:pt>
                <c:pt idx="23">
                  <c:v>16.66</c:v>
                </c:pt>
                <c:pt idx="24">
                  <c:v>17.760000000000002</c:v>
                </c:pt>
                <c:pt idx="25">
                  <c:v>18.84</c:v>
                </c:pt>
                <c:pt idx="26">
                  <c:v>19.66</c:v>
                </c:pt>
                <c:pt idx="27">
                  <c:v>20.350000000000001</c:v>
                </c:pt>
                <c:pt idx="28">
                  <c:v>20.89</c:v>
                </c:pt>
                <c:pt idx="29">
                  <c:v>21.29</c:v>
                </c:pt>
                <c:pt idx="30">
                  <c:v>21.61</c:v>
                </c:pt>
                <c:pt idx="31">
                  <c:v>21.79</c:v>
                </c:pt>
                <c:pt idx="32">
                  <c:v>21.92</c:v>
                </c:pt>
                <c:pt idx="33">
                  <c:v>21.99</c:v>
                </c:pt>
                <c:pt idx="34">
                  <c:v>21.99</c:v>
                </c:pt>
                <c:pt idx="35">
                  <c:v>21.92</c:v>
                </c:pt>
                <c:pt idx="36">
                  <c:v>21.79</c:v>
                </c:pt>
                <c:pt idx="37">
                  <c:v>21.61</c:v>
                </c:pt>
                <c:pt idx="38">
                  <c:v>21.29</c:v>
                </c:pt>
                <c:pt idx="39">
                  <c:v>20.89</c:v>
                </c:pt>
                <c:pt idx="40">
                  <c:v>20.350000000000001</c:v>
                </c:pt>
                <c:pt idx="41">
                  <c:v>19.66</c:v>
                </c:pt>
                <c:pt idx="42">
                  <c:v>18.84</c:v>
                </c:pt>
                <c:pt idx="43">
                  <c:v>17.760000000000002</c:v>
                </c:pt>
                <c:pt idx="44">
                  <c:v>16.66</c:v>
                </c:pt>
                <c:pt idx="45">
                  <c:v>16.232764100106174</c:v>
                </c:pt>
                <c:pt idx="46">
                  <c:v>16.232764100106174</c:v>
                </c:pt>
                <c:pt idx="47">
                  <c:v>16.232764100106174</c:v>
                </c:pt>
                <c:pt idx="48">
                  <c:v>16.232764100106174</c:v>
                </c:pt>
                <c:pt idx="49">
                  <c:v>16.232764100106174</c:v>
                </c:pt>
                <c:pt idx="50">
                  <c:v>16.232764100106174</c:v>
                </c:pt>
                <c:pt idx="51">
                  <c:v>16.232764100106174</c:v>
                </c:pt>
                <c:pt idx="52">
                  <c:v>16.232764100106174</c:v>
                </c:pt>
                <c:pt idx="53">
                  <c:v>16.232764100106174</c:v>
                </c:pt>
                <c:pt idx="54">
                  <c:v>16.232764100106174</c:v>
                </c:pt>
                <c:pt idx="55">
                  <c:v>16.66</c:v>
                </c:pt>
                <c:pt idx="56">
                  <c:v>17.760000000000002</c:v>
                </c:pt>
                <c:pt idx="57">
                  <c:v>18.84</c:v>
                </c:pt>
                <c:pt idx="58">
                  <c:v>19.66</c:v>
                </c:pt>
                <c:pt idx="59">
                  <c:v>20.350000000000001</c:v>
                </c:pt>
                <c:pt idx="60">
                  <c:v>20.89</c:v>
                </c:pt>
                <c:pt idx="61">
                  <c:v>21.29</c:v>
                </c:pt>
                <c:pt idx="62">
                  <c:v>21.61</c:v>
                </c:pt>
                <c:pt idx="63">
                  <c:v>21.79</c:v>
                </c:pt>
                <c:pt idx="64">
                  <c:v>21.92</c:v>
                </c:pt>
                <c:pt idx="65">
                  <c:v>21.99</c:v>
                </c:pt>
                <c:pt idx="66">
                  <c:v>21.99</c:v>
                </c:pt>
                <c:pt idx="67">
                  <c:v>21.92</c:v>
                </c:pt>
                <c:pt idx="68">
                  <c:v>21.79</c:v>
                </c:pt>
                <c:pt idx="69">
                  <c:v>21.61</c:v>
                </c:pt>
                <c:pt idx="70">
                  <c:v>21.29</c:v>
                </c:pt>
                <c:pt idx="71">
                  <c:v>20.89</c:v>
                </c:pt>
                <c:pt idx="72">
                  <c:v>20.350000000000001</c:v>
                </c:pt>
                <c:pt idx="73">
                  <c:v>19.66</c:v>
                </c:pt>
                <c:pt idx="74">
                  <c:v>18.84</c:v>
                </c:pt>
                <c:pt idx="75">
                  <c:v>17.760000000000002</c:v>
                </c:pt>
                <c:pt idx="76">
                  <c:v>16.66</c:v>
                </c:pt>
                <c:pt idx="77">
                  <c:v>16.232764100106174</c:v>
                </c:pt>
                <c:pt idx="78">
                  <c:v>16.232764100106174</c:v>
                </c:pt>
                <c:pt idx="79">
                  <c:v>16.232764100106174</c:v>
                </c:pt>
                <c:pt idx="80">
                  <c:v>16.232764100106174</c:v>
                </c:pt>
                <c:pt idx="81">
                  <c:v>16.232764100106174</c:v>
                </c:pt>
                <c:pt idx="82">
                  <c:v>16.232764100106174</c:v>
                </c:pt>
                <c:pt idx="83">
                  <c:v>16.232764100106174</c:v>
                </c:pt>
                <c:pt idx="84">
                  <c:v>16.232764100106174</c:v>
                </c:pt>
                <c:pt idx="85">
                  <c:v>16.232764100106174</c:v>
                </c:pt>
                <c:pt idx="86">
                  <c:v>16.232764100106174</c:v>
                </c:pt>
                <c:pt idx="87">
                  <c:v>16.66</c:v>
                </c:pt>
                <c:pt idx="88">
                  <c:v>17.760000000000002</c:v>
                </c:pt>
                <c:pt idx="89">
                  <c:v>18.84</c:v>
                </c:pt>
                <c:pt idx="90">
                  <c:v>19.66</c:v>
                </c:pt>
                <c:pt idx="91">
                  <c:v>20.350000000000001</c:v>
                </c:pt>
                <c:pt idx="92">
                  <c:v>20.89</c:v>
                </c:pt>
                <c:pt idx="93">
                  <c:v>21.29</c:v>
                </c:pt>
                <c:pt idx="94">
                  <c:v>21.61</c:v>
                </c:pt>
                <c:pt idx="95">
                  <c:v>21.79</c:v>
                </c:pt>
                <c:pt idx="96">
                  <c:v>21.92</c:v>
                </c:pt>
                <c:pt idx="97">
                  <c:v>21.99</c:v>
                </c:pt>
                <c:pt idx="98">
                  <c:v>21.99</c:v>
                </c:pt>
                <c:pt idx="99">
                  <c:v>21.92</c:v>
                </c:pt>
                <c:pt idx="100">
                  <c:v>21.79</c:v>
                </c:pt>
                <c:pt idx="101">
                  <c:v>21.61</c:v>
                </c:pt>
                <c:pt idx="102">
                  <c:v>21.29</c:v>
                </c:pt>
                <c:pt idx="103">
                  <c:v>20.89</c:v>
                </c:pt>
                <c:pt idx="104">
                  <c:v>20.350000000000001</c:v>
                </c:pt>
                <c:pt idx="105">
                  <c:v>19.66</c:v>
                </c:pt>
                <c:pt idx="106">
                  <c:v>18.84</c:v>
                </c:pt>
                <c:pt idx="107">
                  <c:v>17.760000000000002</c:v>
                </c:pt>
                <c:pt idx="108">
                  <c:v>16.66</c:v>
                </c:pt>
                <c:pt idx="109">
                  <c:v>16.232764100106174</c:v>
                </c:pt>
                <c:pt idx="110">
                  <c:v>16.232764100106174</c:v>
                </c:pt>
                <c:pt idx="111">
                  <c:v>16.232764100106174</c:v>
                </c:pt>
                <c:pt idx="112">
                  <c:v>16.232764100106174</c:v>
                </c:pt>
                <c:pt idx="113">
                  <c:v>16.232764100106174</c:v>
                </c:pt>
                <c:pt idx="114">
                  <c:v>16.232764100106174</c:v>
                </c:pt>
                <c:pt idx="115">
                  <c:v>16.232764100106174</c:v>
                </c:pt>
                <c:pt idx="116">
                  <c:v>16.232764100106174</c:v>
                </c:pt>
                <c:pt idx="117">
                  <c:v>16.232764100106174</c:v>
                </c:pt>
                <c:pt idx="118">
                  <c:v>16.232764100106174</c:v>
                </c:pt>
                <c:pt idx="119">
                  <c:v>16.66</c:v>
                </c:pt>
                <c:pt idx="120">
                  <c:v>17.760000000000002</c:v>
                </c:pt>
                <c:pt idx="121">
                  <c:v>18.84</c:v>
                </c:pt>
                <c:pt idx="122">
                  <c:v>19.66</c:v>
                </c:pt>
                <c:pt idx="123">
                  <c:v>20.350000000000001</c:v>
                </c:pt>
                <c:pt idx="124">
                  <c:v>20.89</c:v>
                </c:pt>
                <c:pt idx="125">
                  <c:v>21.29</c:v>
                </c:pt>
                <c:pt idx="126">
                  <c:v>21.61</c:v>
                </c:pt>
                <c:pt idx="127">
                  <c:v>21.79</c:v>
                </c:pt>
                <c:pt idx="128">
                  <c:v>21.92</c:v>
                </c:pt>
                <c:pt idx="129">
                  <c:v>21.99</c:v>
                </c:pt>
                <c:pt idx="130">
                  <c:v>21.99</c:v>
                </c:pt>
                <c:pt idx="131">
                  <c:v>21.92</c:v>
                </c:pt>
                <c:pt idx="132">
                  <c:v>21.79</c:v>
                </c:pt>
                <c:pt idx="133">
                  <c:v>21.61</c:v>
                </c:pt>
                <c:pt idx="134">
                  <c:v>21.29</c:v>
                </c:pt>
                <c:pt idx="135">
                  <c:v>20.89</c:v>
                </c:pt>
                <c:pt idx="136">
                  <c:v>20.350000000000001</c:v>
                </c:pt>
                <c:pt idx="137">
                  <c:v>19.66</c:v>
                </c:pt>
                <c:pt idx="138">
                  <c:v>18.84</c:v>
                </c:pt>
                <c:pt idx="139">
                  <c:v>17.760000000000002</c:v>
                </c:pt>
                <c:pt idx="140">
                  <c:v>16.66</c:v>
                </c:pt>
                <c:pt idx="141">
                  <c:v>16.232764100106174</c:v>
                </c:pt>
                <c:pt idx="142">
                  <c:v>16.232764100106174</c:v>
                </c:pt>
                <c:pt idx="143">
                  <c:v>16.232764100106174</c:v>
                </c:pt>
                <c:pt idx="144">
                  <c:v>16.232764100106174</c:v>
                </c:pt>
                <c:pt idx="145">
                  <c:v>16.232764100106174</c:v>
                </c:pt>
                <c:pt idx="146">
                  <c:v>16.232764100106174</c:v>
                </c:pt>
                <c:pt idx="147">
                  <c:v>16.232764100106174</c:v>
                </c:pt>
                <c:pt idx="148">
                  <c:v>16.232764100106174</c:v>
                </c:pt>
                <c:pt idx="149">
                  <c:v>16.232764100106174</c:v>
                </c:pt>
                <c:pt idx="150">
                  <c:v>16.232764100106174</c:v>
                </c:pt>
                <c:pt idx="151">
                  <c:v>16.66</c:v>
                </c:pt>
                <c:pt idx="152">
                  <c:v>17.760000000000002</c:v>
                </c:pt>
                <c:pt idx="153">
                  <c:v>18.84</c:v>
                </c:pt>
                <c:pt idx="154">
                  <c:v>19.66</c:v>
                </c:pt>
                <c:pt idx="155">
                  <c:v>20.350000000000001</c:v>
                </c:pt>
                <c:pt idx="156">
                  <c:v>20.89</c:v>
                </c:pt>
                <c:pt idx="157">
                  <c:v>21.29</c:v>
                </c:pt>
                <c:pt idx="158">
                  <c:v>21.61</c:v>
                </c:pt>
                <c:pt idx="159">
                  <c:v>21.79</c:v>
                </c:pt>
                <c:pt idx="160">
                  <c:v>21.92</c:v>
                </c:pt>
                <c:pt idx="161">
                  <c:v>21.99</c:v>
                </c:pt>
                <c:pt idx="162">
                  <c:v>21.99</c:v>
                </c:pt>
                <c:pt idx="163">
                  <c:v>21.92</c:v>
                </c:pt>
                <c:pt idx="164">
                  <c:v>21.79</c:v>
                </c:pt>
                <c:pt idx="165">
                  <c:v>21.61</c:v>
                </c:pt>
                <c:pt idx="166">
                  <c:v>21.29</c:v>
                </c:pt>
                <c:pt idx="167">
                  <c:v>20.89</c:v>
                </c:pt>
                <c:pt idx="168">
                  <c:v>20.350000000000001</c:v>
                </c:pt>
                <c:pt idx="169">
                  <c:v>19.66</c:v>
                </c:pt>
                <c:pt idx="170">
                  <c:v>18.84</c:v>
                </c:pt>
                <c:pt idx="171">
                  <c:v>17.760000000000002</c:v>
                </c:pt>
                <c:pt idx="172">
                  <c:v>16.66</c:v>
                </c:pt>
                <c:pt idx="173">
                  <c:v>16.232764100106174</c:v>
                </c:pt>
                <c:pt idx="174">
                  <c:v>16.232764100106174</c:v>
                </c:pt>
                <c:pt idx="175">
                  <c:v>16.232764100106174</c:v>
                </c:pt>
                <c:pt idx="176">
                  <c:v>16.232764100106174</c:v>
                </c:pt>
                <c:pt idx="177">
                  <c:v>16.232764100106174</c:v>
                </c:pt>
                <c:pt idx="178">
                  <c:v>16.232764100106174</c:v>
                </c:pt>
                <c:pt idx="179">
                  <c:v>16.232764100106174</c:v>
                </c:pt>
                <c:pt idx="180">
                  <c:v>16.232764100106174</c:v>
                </c:pt>
                <c:pt idx="181">
                  <c:v>16.232764100106174</c:v>
                </c:pt>
                <c:pt idx="182">
                  <c:v>16.232764100106174</c:v>
                </c:pt>
                <c:pt idx="183">
                  <c:v>16.66</c:v>
                </c:pt>
                <c:pt idx="184">
                  <c:v>17.760000000000002</c:v>
                </c:pt>
                <c:pt idx="185">
                  <c:v>18.84</c:v>
                </c:pt>
                <c:pt idx="186">
                  <c:v>19.66</c:v>
                </c:pt>
                <c:pt idx="187">
                  <c:v>20.350000000000001</c:v>
                </c:pt>
                <c:pt idx="188">
                  <c:v>20.89</c:v>
                </c:pt>
                <c:pt idx="189">
                  <c:v>21.29</c:v>
                </c:pt>
                <c:pt idx="190">
                  <c:v>21.61</c:v>
                </c:pt>
                <c:pt idx="191">
                  <c:v>21.79</c:v>
                </c:pt>
                <c:pt idx="192">
                  <c:v>21.92</c:v>
                </c:pt>
                <c:pt idx="193">
                  <c:v>21.99</c:v>
                </c:pt>
                <c:pt idx="194">
                  <c:v>21.99</c:v>
                </c:pt>
                <c:pt idx="195">
                  <c:v>21.92</c:v>
                </c:pt>
                <c:pt idx="196">
                  <c:v>21.79</c:v>
                </c:pt>
                <c:pt idx="197">
                  <c:v>21.61</c:v>
                </c:pt>
                <c:pt idx="198">
                  <c:v>21.29</c:v>
                </c:pt>
                <c:pt idx="199">
                  <c:v>20.89</c:v>
                </c:pt>
                <c:pt idx="200">
                  <c:v>20.350000000000001</c:v>
                </c:pt>
                <c:pt idx="201">
                  <c:v>19.66</c:v>
                </c:pt>
                <c:pt idx="202">
                  <c:v>18.84</c:v>
                </c:pt>
                <c:pt idx="203">
                  <c:v>17.760000000000002</c:v>
                </c:pt>
                <c:pt idx="204">
                  <c:v>16.66</c:v>
                </c:pt>
                <c:pt idx="205">
                  <c:v>16.232764100106174</c:v>
                </c:pt>
                <c:pt idx="206">
                  <c:v>16.232764100106174</c:v>
                </c:pt>
                <c:pt idx="207">
                  <c:v>16.232764100106174</c:v>
                </c:pt>
                <c:pt idx="208">
                  <c:v>16.232764100106174</c:v>
                </c:pt>
                <c:pt idx="209">
                  <c:v>16.232764100106174</c:v>
                </c:pt>
                <c:pt idx="210">
                  <c:v>16.232764100106174</c:v>
                </c:pt>
                <c:pt idx="211">
                  <c:v>16.232764100106174</c:v>
                </c:pt>
                <c:pt idx="212">
                  <c:v>16.232764100106174</c:v>
                </c:pt>
                <c:pt idx="213">
                  <c:v>16.232764100106174</c:v>
                </c:pt>
                <c:pt idx="214">
                  <c:v>16.232764100106174</c:v>
                </c:pt>
                <c:pt idx="215">
                  <c:v>16.66</c:v>
                </c:pt>
                <c:pt idx="216">
                  <c:v>17.760000000000002</c:v>
                </c:pt>
                <c:pt idx="217">
                  <c:v>18.84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C-4917-9685-8B6281D6DDD8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 Alv. Preenc.'!$L$14:$L$15</c:f>
              <c:numCache>
                <c:formatCode>General</c:formatCode>
                <c:ptCount val="2"/>
                <c:pt idx="0">
                  <c:v>0</c:v>
                </c:pt>
                <c:pt idx="1">
                  <c:v>124.5</c:v>
                </c:pt>
              </c:numCache>
            </c:numRef>
          </c:xVal>
          <c:yVal>
            <c:numRef>
              <c:f>'Valores "A" e "Y" Alv. Preenc.'!$M$14:$M$15</c:f>
              <c:numCache>
                <c:formatCode>0.000</c:formatCode>
                <c:ptCount val="2"/>
                <c:pt idx="0">
                  <c:v>16.232764100106174</c:v>
                </c:pt>
                <c:pt idx="1">
                  <c:v>16.232764100106174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C-4917-9685-8B6281D6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4111"/>
        <c:axId val="922372751"/>
      </c:scatterChart>
      <c:valAx>
        <c:axId val="92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72751"/>
        <c:crosses val="autoZero"/>
        <c:crossBetween val="midCat"/>
      </c:valAx>
      <c:valAx>
        <c:axId val="922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 Alv. Preenc.'!$B$7:$B$194</c:f>
              <c:numCache>
                <c:formatCode>0.000</c:formatCode>
                <c:ptCount val="188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15.309441843966107</c:v>
                </c:pt>
                <c:pt idx="8">
                  <c:v>15.309441843966107</c:v>
                </c:pt>
                <c:pt idx="9">
                  <c:v>109.19055815603389</c:v>
                </c:pt>
                <c:pt idx="10">
                  <c:v>109.19055815603389</c:v>
                </c:pt>
                <c:pt idx="11">
                  <c:v>122.85</c:v>
                </c:pt>
                <c:pt idx="12">
                  <c:v>122.85</c:v>
                </c:pt>
                <c:pt idx="13">
                  <c:v>121.5</c:v>
                </c:pt>
                <c:pt idx="14">
                  <c:v>121.5</c:v>
                </c:pt>
                <c:pt idx="15">
                  <c:v>124.5</c:v>
                </c:pt>
                <c:pt idx="16">
                  <c:v>124.31</c:v>
                </c:pt>
                <c:pt idx="17">
                  <c:v>123.55</c:v>
                </c:pt>
                <c:pt idx="18">
                  <c:v>111.05</c:v>
                </c:pt>
                <c:pt idx="19">
                  <c:v>111.05</c:v>
                </c:pt>
                <c:pt idx="20">
                  <c:v>114.1</c:v>
                </c:pt>
                <c:pt idx="21">
                  <c:v>117.25</c:v>
                </c:pt>
                <c:pt idx="22">
                  <c:v>117.25</c:v>
                </c:pt>
                <c:pt idx="23">
                  <c:v>117.18</c:v>
                </c:pt>
                <c:pt idx="24">
                  <c:v>116.92</c:v>
                </c:pt>
                <c:pt idx="25">
                  <c:v>116.43</c:v>
                </c:pt>
                <c:pt idx="26">
                  <c:v>115.87</c:v>
                </c:pt>
                <c:pt idx="27">
                  <c:v>115.23</c:v>
                </c:pt>
                <c:pt idx="28">
                  <c:v>114.55</c:v>
                </c:pt>
                <c:pt idx="29">
                  <c:v>113.9</c:v>
                </c:pt>
                <c:pt idx="30">
                  <c:v>113.18</c:v>
                </c:pt>
                <c:pt idx="31">
                  <c:v>112.59</c:v>
                </c:pt>
                <c:pt idx="32">
                  <c:v>111.97</c:v>
                </c:pt>
                <c:pt idx="33">
                  <c:v>111.3</c:v>
                </c:pt>
                <c:pt idx="34">
                  <c:v>110.7</c:v>
                </c:pt>
                <c:pt idx="35">
                  <c:v>110.03</c:v>
                </c:pt>
                <c:pt idx="36">
                  <c:v>109.41</c:v>
                </c:pt>
                <c:pt idx="37">
                  <c:v>108.82</c:v>
                </c:pt>
                <c:pt idx="38">
                  <c:v>108.1</c:v>
                </c:pt>
                <c:pt idx="39">
                  <c:v>107.45</c:v>
                </c:pt>
                <c:pt idx="40">
                  <c:v>106.77</c:v>
                </c:pt>
                <c:pt idx="41">
                  <c:v>106.13</c:v>
                </c:pt>
                <c:pt idx="42">
                  <c:v>105.57</c:v>
                </c:pt>
                <c:pt idx="43">
                  <c:v>105.08</c:v>
                </c:pt>
                <c:pt idx="44">
                  <c:v>104.82</c:v>
                </c:pt>
                <c:pt idx="45">
                  <c:v>104.75</c:v>
                </c:pt>
                <c:pt idx="46">
                  <c:v>104.75</c:v>
                </c:pt>
                <c:pt idx="47">
                  <c:v>107.9</c:v>
                </c:pt>
                <c:pt idx="48">
                  <c:v>111</c:v>
                </c:pt>
                <c:pt idx="49">
                  <c:v>111</c:v>
                </c:pt>
                <c:pt idx="50">
                  <c:v>94.8</c:v>
                </c:pt>
                <c:pt idx="51">
                  <c:v>94.8</c:v>
                </c:pt>
                <c:pt idx="52">
                  <c:v>97.85</c:v>
                </c:pt>
                <c:pt idx="53">
                  <c:v>101</c:v>
                </c:pt>
                <c:pt idx="54">
                  <c:v>101</c:v>
                </c:pt>
                <c:pt idx="55">
                  <c:v>100.93</c:v>
                </c:pt>
                <c:pt idx="56">
                  <c:v>100.67</c:v>
                </c:pt>
                <c:pt idx="57">
                  <c:v>100.18</c:v>
                </c:pt>
                <c:pt idx="58">
                  <c:v>99.62</c:v>
                </c:pt>
                <c:pt idx="59">
                  <c:v>98.98</c:v>
                </c:pt>
                <c:pt idx="60">
                  <c:v>98.3</c:v>
                </c:pt>
                <c:pt idx="61">
                  <c:v>97.65</c:v>
                </c:pt>
                <c:pt idx="62">
                  <c:v>96.93</c:v>
                </c:pt>
                <c:pt idx="63">
                  <c:v>96.34</c:v>
                </c:pt>
                <c:pt idx="64">
                  <c:v>95.72</c:v>
                </c:pt>
                <c:pt idx="65">
                  <c:v>95.05</c:v>
                </c:pt>
                <c:pt idx="66">
                  <c:v>94.45</c:v>
                </c:pt>
                <c:pt idx="67">
                  <c:v>93.78</c:v>
                </c:pt>
                <c:pt idx="68">
                  <c:v>93.16</c:v>
                </c:pt>
                <c:pt idx="69">
                  <c:v>92.57</c:v>
                </c:pt>
                <c:pt idx="70">
                  <c:v>91.85</c:v>
                </c:pt>
                <c:pt idx="71">
                  <c:v>91.2</c:v>
                </c:pt>
                <c:pt idx="72">
                  <c:v>90.52</c:v>
                </c:pt>
                <c:pt idx="73">
                  <c:v>89.88</c:v>
                </c:pt>
                <c:pt idx="74">
                  <c:v>89.32</c:v>
                </c:pt>
                <c:pt idx="75">
                  <c:v>88.83</c:v>
                </c:pt>
                <c:pt idx="76">
                  <c:v>88.57</c:v>
                </c:pt>
                <c:pt idx="77">
                  <c:v>88.5</c:v>
                </c:pt>
                <c:pt idx="78">
                  <c:v>88.5</c:v>
                </c:pt>
                <c:pt idx="79">
                  <c:v>91.65</c:v>
                </c:pt>
                <c:pt idx="80">
                  <c:v>94.75</c:v>
                </c:pt>
                <c:pt idx="81">
                  <c:v>94.75</c:v>
                </c:pt>
                <c:pt idx="82">
                  <c:v>78.55</c:v>
                </c:pt>
                <c:pt idx="83">
                  <c:v>78.55</c:v>
                </c:pt>
                <c:pt idx="84">
                  <c:v>81.599999999999994</c:v>
                </c:pt>
                <c:pt idx="85">
                  <c:v>84.75</c:v>
                </c:pt>
                <c:pt idx="86">
                  <c:v>84.75</c:v>
                </c:pt>
                <c:pt idx="87">
                  <c:v>84.68</c:v>
                </c:pt>
                <c:pt idx="88">
                  <c:v>84.42</c:v>
                </c:pt>
                <c:pt idx="89">
                  <c:v>83.93</c:v>
                </c:pt>
                <c:pt idx="90">
                  <c:v>83.37</c:v>
                </c:pt>
                <c:pt idx="91">
                  <c:v>82.73</c:v>
                </c:pt>
                <c:pt idx="92">
                  <c:v>82.05</c:v>
                </c:pt>
                <c:pt idx="93">
                  <c:v>81.400000000000006</c:v>
                </c:pt>
                <c:pt idx="94">
                  <c:v>80.680000000000007</c:v>
                </c:pt>
                <c:pt idx="95">
                  <c:v>80.09</c:v>
                </c:pt>
                <c:pt idx="96">
                  <c:v>79.47</c:v>
                </c:pt>
                <c:pt idx="97">
                  <c:v>78.8</c:v>
                </c:pt>
                <c:pt idx="98">
                  <c:v>78.2</c:v>
                </c:pt>
                <c:pt idx="99">
                  <c:v>77.53</c:v>
                </c:pt>
                <c:pt idx="100">
                  <c:v>76.91</c:v>
                </c:pt>
                <c:pt idx="101">
                  <c:v>76.319999999999993</c:v>
                </c:pt>
                <c:pt idx="102">
                  <c:v>75.599999999999994</c:v>
                </c:pt>
                <c:pt idx="103">
                  <c:v>74.95</c:v>
                </c:pt>
                <c:pt idx="104">
                  <c:v>74.27</c:v>
                </c:pt>
                <c:pt idx="105">
                  <c:v>73.63</c:v>
                </c:pt>
                <c:pt idx="106">
                  <c:v>73.069999999999993</c:v>
                </c:pt>
                <c:pt idx="107">
                  <c:v>72.58</c:v>
                </c:pt>
                <c:pt idx="108">
                  <c:v>72.319999999999993</c:v>
                </c:pt>
                <c:pt idx="109">
                  <c:v>72.25</c:v>
                </c:pt>
                <c:pt idx="110">
                  <c:v>72.25</c:v>
                </c:pt>
                <c:pt idx="111">
                  <c:v>75.400000000000006</c:v>
                </c:pt>
                <c:pt idx="112">
                  <c:v>78.5</c:v>
                </c:pt>
                <c:pt idx="113">
                  <c:v>78.5</c:v>
                </c:pt>
                <c:pt idx="114">
                  <c:v>62.3</c:v>
                </c:pt>
                <c:pt idx="115">
                  <c:v>62.3</c:v>
                </c:pt>
                <c:pt idx="116">
                  <c:v>65.349999999999994</c:v>
                </c:pt>
                <c:pt idx="117">
                  <c:v>68.5</c:v>
                </c:pt>
                <c:pt idx="118">
                  <c:v>68.5</c:v>
                </c:pt>
                <c:pt idx="119">
                  <c:v>68.430000000000007</c:v>
                </c:pt>
                <c:pt idx="120">
                  <c:v>68.17</c:v>
                </c:pt>
                <c:pt idx="121">
                  <c:v>67.680000000000007</c:v>
                </c:pt>
                <c:pt idx="122">
                  <c:v>67.12</c:v>
                </c:pt>
                <c:pt idx="123">
                  <c:v>66.48</c:v>
                </c:pt>
                <c:pt idx="124">
                  <c:v>65.8</c:v>
                </c:pt>
                <c:pt idx="125">
                  <c:v>65.150000000000006</c:v>
                </c:pt>
                <c:pt idx="126">
                  <c:v>64.430000000000007</c:v>
                </c:pt>
                <c:pt idx="127">
                  <c:v>63.84</c:v>
                </c:pt>
                <c:pt idx="128">
                  <c:v>63.22</c:v>
                </c:pt>
                <c:pt idx="129">
                  <c:v>62.55</c:v>
                </c:pt>
                <c:pt idx="130">
                  <c:v>61.95</c:v>
                </c:pt>
                <c:pt idx="131">
                  <c:v>61.28</c:v>
                </c:pt>
                <c:pt idx="132">
                  <c:v>60.66</c:v>
                </c:pt>
                <c:pt idx="133">
                  <c:v>60.069999999999993</c:v>
                </c:pt>
                <c:pt idx="134">
                  <c:v>59.349999999999994</c:v>
                </c:pt>
                <c:pt idx="135">
                  <c:v>58.7</c:v>
                </c:pt>
                <c:pt idx="136">
                  <c:v>58.019999999999996</c:v>
                </c:pt>
                <c:pt idx="137">
                  <c:v>57.379999999999995</c:v>
                </c:pt>
                <c:pt idx="138">
                  <c:v>56.819999999999993</c:v>
                </c:pt>
                <c:pt idx="139">
                  <c:v>56.33</c:v>
                </c:pt>
                <c:pt idx="140">
                  <c:v>56.069999999999993</c:v>
                </c:pt>
                <c:pt idx="141">
                  <c:v>56</c:v>
                </c:pt>
                <c:pt idx="142">
                  <c:v>56</c:v>
                </c:pt>
                <c:pt idx="143">
                  <c:v>59.150000000000006</c:v>
                </c:pt>
                <c:pt idx="144">
                  <c:v>62.25</c:v>
                </c:pt>
                <c:pt idx="145">
                  <c:v>62.25</c:v>
                </c:pt>
                <c:pt idx="146">
                  <c:v>46.05</c:v>
                </c:pt>
                <c:pt idx="147">
                  <c:v>46.05</c:v>
                </c:pt>
                <c:pt idx="148">
                  <c:v>49.099999999999994</c:v>
                </c:pt>
                <c:pt idx="149">
                  <c:v>52.25</c:v>
                </c:pt>
                <c:pt idx="150">
                  <c:v>52.25</c:v>
                </c:pt>
                <c:pt idx="151">
                  <c:v>52.180000000000007</c:v>
                </c:pt>
                <c:pt idx="152">
                  <c:v>51.92</c:v>
                </c:pt>
                <c:pt idx="153">
                  <c:v>51.430000000000007</c:v>
                </c:pt>
                <c:pt idx="154">
                  <c:v>50.870000000000005</c:v>
                </c:pt>
                <c:pt idx="155">
                  <c:v>50.230000000000004</c:v>
                </c:pt>
                <c:pt idx="156">
                  <c:v>49.55</c:v>
                </c:pt>
                <c:pt idx="157">
                  <c:v>48.900000000000006</c:v>
                </c:pt>
                <c:pt idx="158">
                  <c:v>48.180000000000007</c:v>
                </c:pt>
                <c:pt idx="159">
                  <c:v>47.59</c:v>
                </c:pt>
                <c:pt idx="160">
                  <c:v>46.97</c:v>
                </c:pt>
                <c:pt idx="161">
                  <c:v>46.3</c:v>
                </c:pt>
                <c:pt idx="162">
                  <c:v>45.7</c:v>
                </c:pt>
                <c:pt idx="163">
                  <c:v>45.03</c:v>
                </c:pt>
                <c:pt idx="164">
                  <c:v>44.41</c:v>
                </c:pt>
                <c:pt idx="165">
                  <c:v>43.819999999999993</c:v>
                </c:pt>
                <c:pt idx="166">
                  <c:v>43.099999999999994</c:v>
                </c:pt>
                <c:pt idx="167">
                  <c:v>42.45</c:v>
                </c:pt>
                <c:pt idx="168">
                  <c:v>41.769999999999996</c:v>
                </c:pt>
                <c:pt idx="169">
                  <c:v>41.129999999999995</c:v>
                </c:pt>
                <c:pt idx="170">
                  <c:v>40.569999999999993</c:v>
                </c:pt>
                <c:pt idx="171">
                  <c:v>40.08</c:v>
                </c:pt>
                <c:pt idx="172">
                  <c:v>39.819999999999993</c:v>
                </c:pt>
                <c:pt idx="173">
                  <c:v>39.75</c:v>
                </c:pt>
                <c:pt idx="174">
                  <c:v>39.75</c:v>
                </c:pt>
                <c:pt idx="175">
                  <c:v>42.900000000000006</c:v>
                </c:pt>
                <c:pt idx="176">
                  <c:v>46</c:v>
                </c:pt>
                <c:pt idx="177">
                  <c:v>46</c:v>
                </c:pt>
                <c:pt idx="178">
                  <c:v>29.799999999999997</c:v>
                </c:pt>
                <c:pt idx="179">
                  <c:v>29.799999999999997</c:v>
                </c:pt>
                <c:pt idx="180">
                  <c:v>32.849999999999994</c:v>
                </c:pt>
                <c:pt idx="181">
                  <c:v>36</c:v>
                </c:pt>
                <c:pt idx="182">
                  <c:v>36</c:v>
                </c:pt>
                <c:pt idx="183">
                  <c:v>35.930000000000007</c:v>
                </c:pt>
                <c:pt idx="184">
                  <c:v>35.67</c:v>
                </c:pt>
                <c:pt idx="185">
                  <c:v>35.180000000000007</c:v>
                </c:pt>
                <c:pt idx="186">
                  <c:v>34.620000000000005</c:v>
                </c:pt>
                <c:pt idx="187">
                  <c:v>33.980000000000004</c:v>
                </c:pt>
              </c:numCache>
            </c:numRef>
          </c:xVal>
          <c:yVal>
            <c:numRef>
              <c:f>'Valores "A" e "Y" Alv. Preenc.'!$C$7:$C$194</c:f>
              <c:numCache>
                <c:formatCode>0.000</c:formatCode>
                <c:ptCount val="188"/>
                <c:pt idx="0">
                  <c:v>16.232764100106174</c:v>
                </c:pt>
                <c:pt idx="1">
                  <c:v>16.232764100106174</c:v>
                </c:pt>
                <c:pt idx="2">
                  <c:v>16.232764100106174</c:v>
                </c:pt>
                <c:pt idx="3">
                  <c:v>16.232764100106174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21.5</c:v>
                </c:pt>
                <c:pt idx="13">
                  <c:v>19</c:v>
                </c:pt>
                <c:pt idx="14">
                  <c:v>16.232764100106174</c:v>
                </c:pt>
                <c:pt idx="15">
                  <c:v>16.232764100106174</c:v>
                </c:pt>
                <c:pt idx="16">
                  <c:v>16.232764100106174</c:v>
                </c:pt>
                <c:pt idx="17">
                  <c:v>16.232764100106174</c:v>
                </c:pt>
                <c:pt idx="18">
                  <c:v>16.232764100106174</c:v>
                </c:pt>
                <c:pt idx="19">
                  <c:v>16.232764100106174</c:v>
                </c:pt>
                <c:pt idx="20">
                  <c:v>16.232764100106174</c:v>
                </c:pt>
                <c:pt idx="21">
                  <c:v>16.232764100106174</c:v>
                </c:pt>
                <c:pt idx="22">
                  <c:v>16.232764100106174</c:v>
                </c:pt>
                <c:pt idx="23">
                  <c:v>16.66</c:v>
                </c:pt>
                <c:pt idx="24">
                  <c:v>17.760000000000002</c:v>
                </c:pt>
                <c:pt idx="25">
                  <c:v>18.84</c:v>
                </c:pt>
                <c:pt idx="26">
                  <c:v>19.66</c:v>
                </c:pt>
                <c:pt idx="27">
                  <c:v>20.350000000000001</c:v>
                </c:pt>
                <c:pt idx="28">
                  <c:v>20.89</c:v>
                </c:pt>
                <c:pt idx="29">
                  <c:v>21.29</c:v>
                </c:pt>
                <c:pt idx="30">
                  <c:v>21.61</c:v>
                </c:pt>
                <c:pt idx="31">
                  <c:v>21.79</c:v>
                </c:pt>
                <c:pt idx="32">
                  <c:v>21.92</c:v>
                </c:pt>
                <c:pt idx="33">
                  <c:v>21.99</c:v>
                </c:pt>
                <c:pt idx="34">
                  <c:v>21.99</c:v>
                </c:pt>
                <c:pt idx="35">
                  <c:v>21.92</c:v>
                </c:pt>
                <c:pt idx="36">
                  <c:v>21.79</c:v>
                </c:pt>
                <c:pt idx="37">
                  <c:v>21.61</c:v>
                </c:pt>
                <c:pt idx="38">
                  <c:v>21.29</c:v>
                </c:pt>
                <c:pt idx="39">
                  <c:v>20.89</c:v>
                </c:pt>
                <c:pt idx="40">
                  <c:v>20.350000000000001</c:v>
                </c:pt>
                <c:pt idx="41">
                  <c:v>19.66</c:v>
                </c:pt>
                <c:pt idx="42">
                  <c:v>18.84</c:v>
                </c:pt>
                <c:pt idx="43">
                  <c:v>17.760000000000002</c:v>
                </c:pt>
                <c:pt idx="44">
                  <c:v>16.66</c:v>
                </c:pt>
                <c:pt idx="45">
                  <c:v>16.232764100106174</c:v>
                </c:pt>
                <c:pt idx="46">
                  <c:v>16.232764100106174</c:v>
                </c:pt>
                <c:pt idx="47">
                  <c:v>16.232764100106174</c:v>
                </c:pt>
                <c:pt idx="48">
                  <c:v>16.232764100106174</c:v>
                </c:pt>
                <c:pt idx="49">
                  <c:v>16.232764100106174</c:v>
                </c:pt>
                <c:pt idx="50">
                  <c:v>16.232764100106174</c:v>
                </c:pt>
                <c:pt idx="51">
                  <c:v>16.232764100106174</c:v>
                </c:pt>
                <c:pt idx="52">
                  <c:v>16.232764100106174</c:v>
                </c:pt>
                <c:pt idx="53">
                  <c:v>16.232764100106174</c:v>
                </c:pt>
                <c:pt idx="54">
                  <c:v>16.232764100106174</c:v>
                </c:pt>
                <c:pt idx="55">
                  <c:v>16.66</c:v>
                </c:pt>
                <c:pt idx="56">
                  <c:v>17.760000000000002</c:v>
                </c:pt>
                <c:pt idx="57">
                  <c:v>18.84</c:v>
                </c:pt>
                <c:pt idx="58">
                  <c:v>19.66</c:v>
                </c:pt>
                <c:pt idx="59">
                  <c:v>20.350000000000001</c:v>
                </c:pt>
                <c:pt idx="60">
                  <c:v>20.89</c:v>
                </c:pt>
                <c:pt idx="61">
                  <c:v>21.29</c:v>
                </c:pt>
                <c:pt idx="62">
                  <c:v>21.61</c:v>
                </c:pt>
                <c:pt idx="63">
                  <c:v>21.79</c:v>
                </c:pt>
                <c:pt idx="64">
                  <c:v>21.92</c:v>
                </c:pt>
                <c:pt idx="65">
                  <c:v>21.99</c:v>
                </c:pt>
                <c:pt idx="66">
                  <c:v>21.99</c:v>
                </c:pt>
                <c:pt idx="67">
                  <c:v>21.92</c:v>
                </c:pt>
                <c:pt idx="68">
                  <c:v>21.79</c:v>
                </c:pt>
                <c:pt idx="69">
                  <c:v>21.61</c:v>
                </c:pt>
                <c:pt idx="70">
                  <c:v>21.29</c:v>
                </c:pt>
                <c:pt idx="71">
                  <c:v>20.89</c:v>
                </c:pt>
                <c:pt idx="72">
                  <c:v>20.350000000000001</c:v>
                </c:pt>
                <c:pt idx="73">
                  <c:v>19.66</c:v>
                </c:pt>
                <c:pt idx="74">
                  <c:v>18.84</c:v>
                </c:pt>
                <c:pt idx="75">
                  <c:v>17.760000000000002</c:v>
                </c:pt>
                <c:pt idx="76">
                  <c:v>16.66</c:v>
                </c:pt>
                <c:pt idx="77">
                  <c:v>16.232764100106174</c:v>
                </c:pt>
                <c:pt idx="78">
                  <c:v>16.232764100106174</c:v>
                </c:pt>
                <c:pt idx="79">
                  <c:v>16.232764100106174</c:v>
                </c:pt>
                <c:pt idx="80">
                  <c:v>16.232764100106174</c:v>
                </c:pt>
                <c:pt idx="81">
                  <c:v>16.232764100106174</c:v>
                </c:pt>
                <c:pt idx="82">
                  <c:v>16.232764100106174</c:v>
                </c:pt>
                <c:pt idx="83">
                  <c:v>16.232764100106174</c:v>
                </c:pt>
                <c:pt idx="84">
                  <c:v>16.232764100106174</c:v>
                </c:pt>
                <c:pt idx="85">
                  <c:v>16.232764100106174</c:v>
                </c:pt>
                <c:pt idx="86">
                  <c:v>16.232764100106174</c:v>
                </c:pt>
                <c:pt idx="87">
                  <c:v>16.66</c:v>
                </c:pt>
                <c:pt idx="88">
                  <c:v>17.760000000000002</c:v>
                </c:pt>
                <c:pt idx="89">
                  <c:v>18.84</c:v>
                </c:pt>
                <c:pt idx="90">
                  <c:v>19.66</c:v>
                </c:pt>
                <c:pt idx="91">
                  <c:v>20.350000000000001</c:v>
                </c:pt>
                <c:pt idx="92">
                  <c:v>20.89</c:v>
                </c:pt>
                <c:pt idx="93">
                  <c:v>21.29</c:v>
                </c:pt>
                <c:pt idx="94">
                  <c:v>21.61</c:v>
                </c:pt>
                <c:pt idx="95">
                  <c:v>21.79</c:v>
                </c:pt>
                <c:pt idx="96">
                  <c:v>21.92</c:v>
                </c:pt>
                <c:pt idx="97">
                  <c:v>21.99</c:v>
                </c:pt>
                <c:pt idx="98">
                  <c:v>21.99</c:v>
                </c:pt>
                <c:pt idx="99">
                  <c:v>21.92</c:v>
                </c:pt>
                <c:pt idx="100">
                  <c:v>21.79</c:v>
                </c:pt>
                <c:pt idx="101">
                  <c:v>21.61</c:v>
                </c:pt>
                <c:pt idx="102">
                  <c:v>21.29</c:v>
                </c:pt>
                <c:pt idx="103">
                  <c:v>20.89</c:v>
                </c:pt>
                <c:pt idx="104">
                  <c:v>20.350000000000001</c:v>
                </c:pt>
                <c:pt idx="105">
                  <c:v>19.66</c:v>
                </c:pt>
                <c:pt idx="106">
                  <c:v>18.84</c:v>
                </c:pt>
                <c:pt idx="107">
                  <c:v>17.760000000000002</c:v>
                </c:pt>
                <c:pt idx="108">
                  <c:v>16.66</c:v>
                </c:pt>
                <c:pt idx="109">
                  <c:v>16.232764100106174</c:v>
                </c:pt>
                <c:pt idx="110">
                  <c:v>16.232764100106174</c:v>
                </c:pt>
                <c:pt idx="111">
                  <c:v>16.232764100106174</c:v>
                </c:pt>
                <c:pt idx="112">
                  <c:v>16.232764100106174</c:v>
                </c:pt>
                <c:pt idx="113">
                  <c:v>16.232764100106174</c:v>
                </c:pt>
                <c:pt idx="114">
                  <c:v>16.232764100106174</c:v>
                </c:pt>
                <c:pt idx="115">
                  <c:v>16.232764100106174</c:v>
                </c:pt>
                <c:pt idx="116">
                  <c:v>16.232764100106174</c:v>
                </c:pt>
                <c:pt idx="117">
                  <c:v>16.232764100106174</c:v>
                </c:pt>
                <c:pt idx="118">
                  <c:v>16.232764100106174</c:v>
                </c:pt>
                <c:pt idx="119">
                  <c:v>16.66</c:v>
                </c:pt>
                <c:pt idx="120">
                  <c:v>17.760000000000002</c:v>
                </c:pt>
                <c:pt idx="121">
                  <c:v>18.84</c:v>
                </c:pt>
                <c:pt idx="122">
                  <c:v>19.66</c:v>
                </c:pt>
                <c:pt idx="123">
                  <c:v>20.350000000000001</c:v>
                </c:pt>
                <c:pt idx="124">
                  <c:v>20.89</c:v>
                </c:pt>
                <c:pt idx="125">
                  <c:v>21.29</c:v>
                </c:pt>
                <c:pt idx="126">
                  <c:v>21.61</c:v>
                </c:pt>
                <c:pt idx="127">
                  <c:v>21.79</c:v>
                </c:pt>
                <c:pt idx="128">
                  <c:v>21.92</c:v>
                </c:pt>
                <c:pt idx="129">
                  <c:v>21.99</c:v>
                </c:pt>
                <c:pt idx="130">
                  <c:v>21.99</c:v>
                </c:pt>
                <c:pt idx="131">
                  <c:v>21.92</c:v>
                </c:pt>
                <c:pt idx="132">
                  <c:v>21.79</c:v>
                </c:pt>
                <c:pt idx="133">
                  <c:v>21.61</c:v>
                </c:pt>
                <c:pt idx="134">
                  <c:v>21.29</c:v>
                </c:pt>
                <c:pt idx="135">
                  <c:v>20.89</c:v>
                </c:pt>
                <c:pt idx="136">
                  <c:v>20.350000000000001</c:v>
                </c:pt>
                <c:pt idx="137">
                  <c:v>19.66</c:v>
                </c:pt>
                <c:pt idx="138">
                  <c:v>18.84</c:v>
                </c:pt>
                <c:pt idx="139">
                  <c:v>17.760000000000002</c:v>
                </c:pt>
                <c:pt idx="140">
                  <c:v>16.66</c:v>
                </c:pt>
                <c:pt idx="141">
                  <c:v>16.232764100106174</c:v>
                </c:pt>
                <c:pt idx="142">
                  <c:v>16.232764100106174</c:v>
                </c:pt>
                <c:pt idx="143">
                  <c:v>16.232764100106174</c:v>
                </c:pt>
                <c:pt idx="144">
                  <c:v>16.232764100106174</c:v>
                </c:pt>
                <c:pt idx="145">
                  <c:v>16.232764100106174</c:v>
                </c:pt>
                <c:pt idx="146">
                  <c:v>16.232764100106174</c:v>
                </c:pt>
                <c:pt idx="147">
                  <c:v>16.232764100106174</c:v>
                </c:pt>
                <c:pt idx="148">
                  <c:v>16.232764100106174</c:v>
                </c:pt>
                <c:pt idx="149">
                  <c:v>16.232764100106174</c:v>
                </c:pt>
                <c:pt idx="150">
                  <c:v>16.232764100106174</c:v>
                </c:pt>
                <c:pt idx="151">
                  <c:v>16.66</c:v>
                </c:pt>
                <c:pt idx="152">
                  <c:v>17.760000000000002</c:v>
                </c:pt>
                <c:pt idx="153">
                  <c:v>18.84</c:v>
                </c:pt>
                <c:pt idx="154">
                  <c:v>19.66</c:v>
                </c:pt>
                <c:pt idx="155">
                  <c:v>20.350000000000001</c:v>
                </c:pt>
                <c:pt idx="156">
                  <c:v>20.89</c:v>
                </c:pt>
                <c:pt idx="157">
                  <c:v>21.29</c:v>
                </c:pt>
                <c:pt idx="158">
                  <c:v>21.61</c:v>
                </c:pt>
                <c:pt idx="159">
                  <c:v>21.79</c:v>
                </c:pt>
                <c:pt idx="160">
                  <c:v>21.92</c:v>
                </c:pt>
                <c:pt idx="161">
                  <c:v>21.99</c:v>
                </c:pt>
                <c:pt idx="162">
                  <c:v>21.99</c:v>
                </c:pt>
                <c:pt idx="163">
                  <c:v>21.92</c:v>
                </c:pt>
                <c:pt idx="164">
                  <c:v>21.79</c:v>
                </c:pt>
                <c:pt idx="165">
                  <c:v>21.61</c:v>
                </c:pt>
                <c:pt idx="166">
                  <c:v>21.29</c:v>
                </c:pt>
                <c:pt idx="167">
                  <c:v>20.89</c:v>
                </c:pt>
                <c:pt idx="168">
                  <c:v>20.350000000000001</c:v>
                </c:pt>
                <c:pt idx="169">
                  <c:v>19.66</c:v>
                </c:pt>
                <c:pt idx="170">
                  <c:v>18.84</c:v>
                </c:pt>
                <c:pt idx="171">
                  <c:v>17.760000000000002</c:v>
                </c:pt>
                <c:pt idx="172">
                  <c:v>16.66</c:v>
                </c:pt>
                <c:pt idx="173">
                  <c:v>16.232764100106174</c:v>
                </c:pt>
                <c:pt idx="174">
                  <c:v>16.232764100106174</c:v>
                </c:pt>
                <c:pt idx="175">
                  <c:v>16.232764100106174</c:v>
                </c:pt>
                <c:pt idx="176">
                  <c:v>16.232764100106174</c:v>
                </c:pt>
                <c:pt idx="177">
                  <c:v>16.232764100106174</c:v>
                </c:pt>
                <c:pt idx="178">
                  <c:v>16.232764100106174</c:v>
                </c:pt>
                <c:pt idx="179">
                  <c:v>16.232764100106174</c:v>
                </c:pt>
                <c:pt idx="180">
                  <c:v>16.232764100106174</c:v>
                </c:pt>
                <c:pt idx="181">
                  <c:v>16.232764100106174</c:v>
                </c:pt>
                <c:pt idx="182">
                  <c:v>16.232764100106174</c:v>
                </c:pt>
                <c:pt idx="183">
                  <c:v>16.66</c:v>
                </c:pt>
                <c:pt idx="184">
                  <c:v>17.760000000000002</c:v>
                </c:pt>
                <c:pt idx="185">
                  <c:v>18.84</c:v>
                </c:pt>
                <c:pt idx="186">
                  <c:v>19.66</c:v>
                </c:pt>
                <c:pt idx="187">
                  <c:v>20.350000000000001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5-481E-8BA7-B26082CFC273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 Alv. Preenc.'!$L$14:$L$15</c:f>
              <c:numCache>
                <c:formatCode>General</c:formatCode>
                <c:ptCount val="2"/>
                <c:pt idx="0">
                  <c:v>0</c:v>
                </c:pt>
                <c:pt idx="1">
                  <c:v>124.5</c:v>
                </c:pt>
              </c:numCache>
            </c:numRef>
          </c:xVal>
          <c:yVal>
            <c:numRef>
              <c:f>'Valores "A" e "Y" Alv. Preenc.'!$M$14:$M$15</c:f>
              <c:numCache>
                <c:formatCode>0.000</c:formatCode>
                <c:ptCount val="2"/>
                <c:pt idx="0">
                  <c:v>16.232764100106174</c:v>
                </c:pt>
                <c:pt idx="1">
                  <c:v>16.232764100106174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5-481E-8BA7-B26082CF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4111"/>
        <c:axId val="922372751"/>
      </c:scatterChart>
      <c:valAx>
        <c:axId val="92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72751"/>
        <c:crosses val="autoZero"/>
        <c:crossBetween val="midCat"/>
      </c:valAx>
      <c:valAx>
        <c:axId val="922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"Y"'!$B$7:$B$224</c:f>
              <c:numCache>
                <c:formatCode>0.000</c:formatCode>
                <c:ptCount val="218"/>
                <c:pt idx="0">
                  <c:v>0.95</c:v>
                </c:pt>
                <c:pt idx="1">
                  <c:v>0.19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1.65</c:v>
                </c:pt>
                <c:pt idx="6">
                  <c:v>1.65</c:v>
                </c:pt>
                <c:pt idx="7">
                  <c:v>15.309441843966107</c:v>
                </c:pt>
                <c:pt idx="8">
                  <c:v>15.309441843966107</c:v>
                </c:pt>
                <c:pt idx="9">
                  <c:v>109.19055815603389</c:v>
                </c:pt>
                <c:pt idx="10">
                  <c:v>109.19055815603389</c:v>
                </c:pt>
                <c:pt idx="11">
                  <c:v>122.85</c:v>
                </c:pt>
                <c:pt idx="12">
                  <c:v>122.85</c:v>
                </c:pt>
                <c:pt idx="13">
                  <c:v>121.5</c:v>
                </c:pt>
                <c:pt idx="14">
                  <c:v>121.5</c:v>
                </c:pt>
                <c:pt idx="15">
                  <c:v>124.5</c:v>
                </c:pt>
                <c:pt idx="16">
                  <c:v>124.31</c:v>
                </c:pt>
                <c:pt idx="17">
                  <c:v>123.55</c:v>
                </c:pt>
                <c:pt idx="18">
                  <c:v>111.05</c:v>
                </c:pt>
                <c:pt idx="19">
                  <c:v>111.05</c:v>
                </c:pt>
                <c:pt idx="20">
                  <c:v>114.1</c:v>
                </c:pt>
                <c:pt idx="21">
                  <c:v>117.25</c:v>
                </c:pt>
                <c:pt idx="22">
                  <c:v>117.25</c:v>
                </c:pt>
                <c:pt idx="23">
                  <c:v>117.18</c:v>
                </c:pt>
                <c:pt idx="24">
                  <c:v>116.92</c:v>
                </c:pt>
                <c:pt idx="25">
                  <c:v>116.43</c:v>
                </c:pt>
                <c:pt idx="26">
                  <c:v>115.87</c:v>
                </c:pt>
                <c:pt idx="27">
                  <c:v>115.23</c:v>
                </c:pt>
                <c:pt idx="28">
                  <c:v>114.55</c:v>
                </c:pt>
                <c:pt idx="29">
                  <c:v>113.9</c:v>
                </c:pt>
                <c:pt idx="30">
                  <c:v>113.18</c:v>
                </c:pt>
                <c:pt idx="31">
                  <c:v>112.59</c:v>
                </c:pt>
                <c:pt idx="32">
                  <c:v>111.97</c:v>
                </c:pt>
                <c:pt idx="33">
                  <c:v>111.3</c:v>
                </c:pt>
                <c:pt idx="34">
                  <c:v>110.7</c:v>
                </c:pt>
                <c:pt idx="35">
                  <c:v>110.03</c:v>
                </c:pt>
                <c:pt idx="36">
                  <c:v>109.41</c:v>
                </c:pt>
                <c:pt idx="37">
                  <c:v>108.82</c:v>
                </c:pt>
                <c:pt idx="38">
                  <c:v>108.1</c:v>
                </c:pt>
                <c:pt idx="39">
                  <c:v>107.45</c:v>
                </c:pt>
                <c:pt idx="40">
                  <c:v>106.77</c:v>
                </c:pt>
                <c:pt idx="41">
                  <c:v>106.13</c:v>
                </c:pt>
                <c:pt idx="42">
                  <c:v>105.57</c:v>
                </c:pt>
                <c:pt idx="43">
                  <c:v>105.08</c:v>
                </c:pt>
                <c:pt idx="44">
                  <c:v>104.82</c:v>
                </c:pt>
                <c:pt idx="45">
                  <c:v>104.75</c:v>
                </c:pt>
                <c:pt idx="46">
                  <c:v>104.75</c:v>
                </c:pt>
                <c:pt idx="47">
                  <c:v>107.9</c:v>
                </c:pt>
                <c:pt idx="48">
                  <c:v>111</c:v>
                </c:pt>
                <c:pt idx="49">
                  <c:v>111</c:v>
                </c:pt>
                <c:pt idx="50">
                  <c:v>94.8</c:v>
                </c:pt>
                <c:pt idx="51">
                  <c:v>94.8</c:v>
                </c:pt>
                <c:pt idx="52">
                  <c:v>97.85</c:v>
                </c:pt>
                <c:pt idx="53">
                  <c:v>101</c:v>
                </c:pt>
                <c:pt idx="54">
                  <c:v>101</c:v>
                </c:pt>
                <c:pt idx="55">
                  <c:v>100.93</c:v>
                </c:pt>
                <c:pt idx="56">
                  <c:v>100.67</c:v>
                </c:pt>
                <c:pt idx="57">
                  <c:v>100.18</c:v>
                </c:pt>
                <c:pt idx="58">
                  <c:v>99.62</c:v>
                </c:pt>
                <c:pt idx="59">
                  <c:v>98.98</c:v>
                </c:pt>
                <c:pt idx="60">
                  <c:v>98.3</c:v>
                </c:pt>
                <c:pt idx="61">
                  <c:v>97.65</c:v>
                </c:pt>
                <c:pt idx="62">
                  <c:v>96.93</c:v>
                </c:pt>
                <c:pt idx="63">
                  <c:v>96.34</c:v>
                </c:pt>
                <c:pt idx="64">
                  <c:v>95.72</c:v>
                </c:pt>
                <c:pt idx="65">
                  <c:v>95.05</c:v>
                </c:pt>
                <c:pt idx="66">
                  <c:v>94.45</c:v>
                </c:pt>
                <c:pt idx="67">
                  <c:v>93.78</c:v>
                </c:pt>
                <c:pt idx="68">
                  <c:v>93.16</c:v>
                </c:pt>
                <c:pt idx="69">
                  <c:v>92.57</c:v>
                </c:pt>
                <c:pt idx="70">
                  <c:v>91.85</c:v>
                </c:pt>
                <c:pt idx="71">
                  <c:v>91.2</c:v>
                </c:pt>
                <c:pt idx="72">
                  <c:v>90.52</c:v>
                </c:pt>
                <c:pt idx="73">
                  <c:v>89.88</c:v>
                </c:pt>
                <c:pt idx="74">
                  <c:v>89.32</c:v>
                </c:pt>
                <c:pt idx="75">
                  <c:v>88.83</c:v>
                </c:pt>
                <c:pt idx="76">
                  <c:v>88.57</c:v>
                </c:pt>
                <c:pt idx="77">
                  <c:v>88.5</c:v>
                </c:pt>
                <c:pt idx="78">
                  <c:v>88.5</c:v>
                </c:pt>
                <c:pt idx="79">
                  <c:v>91.65</c:v>
                </c:pt>
                <c:pt idx="80">
                  <c:v>94.75</c:v>
                </c:pt>
                <c:pt idx="81">
                  <c:v>94.75</c:v>
                </c:pt>
                <c:pt idx="82">
                  <c:v>78.55</c:v>
                </c:pt>
                <c:pt idx="83">
                  <c:v>78.55</c:v>
                </c:pt>
                <c:pt idx="84">
                  <c:v>81.599999999999994</c:v>
                </c:pt>
                <c:pt idx="85">
                  <c:v>84.75</c:v>
                </c:pt>
                <c:pt idx="86">
                  <c:v>84.75</c:v>
                </c:pt>
                <c:pt idx="87">
                  <c:v>84.68</c:v>
                </c:pt>
                <c:pt idx="88">
                  <c:v>84.42</c:v>
                </c:pt>
                <c:pt idx="89">
                  <c:v>83.93</c:v>
                </c:pt>
                <c:pt idx="90">
                  <c:v>83.37</c:v>
                </c:pt>
                <c:pt idx="91">
                  <c:v>82.73</c:v>
                </c:pt>
                <c:pt idx="92">
                  <c:v>82.05</c:v>
                </c:pt>
                <c:pt idx="93">
                  <c:v>81.400000000000006</c:v>
                </c:pt>
                <c:pt idx="94">
                  <c:v>80.680000000000007</c:v>
                </c:pt>
                <c:pt idx="95">
                  <c:v>80.09</c:v>
                </c:pt>
                <c:pt idx="96">
                  <c:v>79.47</c:v>
                </c:pt>
                <c:pt idx="97">
                  <c:v>78.8</c:v>
                </c:pt>
                <c:pt idx="98">
                  <c:v>78.2</c:v>
                </c:pt>
                <c:pt idx="99">
                  <c:v>77.53</c:v>
                </c:pt>
                <c:pt idx="100">
                  <c:v>76.91</c:v>
                </c:pt>
                <c:pt idx="101">
                  <c:v>76.319999999999993</c:v>
                </c:pt>
                <c:pt idx="102">
                  <c:v>75.599999999999994</c:v>
                </c:pt>
                <c:pt idx="103">
                  <c:v>74.95</c:v>
                </c:pt>
                <c:pt idx="104">
                  <c:v>74.27</c:v>
                </c:pt>
                <c:pt idx="105">
                  <c:v>73.63</c:v>
                </c:pt>
                <c:pt idx="106">
                  <c:v>73.069999999999993</c:v>
                </c:pt>
                <c:pt idx="107">
                  <c:v>72.58</c:v>
                </c:pt>
                <c:pt idx="108">
                  <c:v>72.319999999999993</c:v>
                </c:pt>
                <c:pt idx="109">
                  <c:v>72.25</c:v>
                </c:pt>
                <c:pt idx="110">
                  <c:v>72.25</c:v>
                </c:pt>
                <c:pt idx="111">
                  <c:v>75.400000000000006</c:v>
                </c:pt>
                <c:pt idx="112">
                  <c:v>78.5</c:v>
                </c:pt>
                <c:pt idx="113">
                  <c:v>78.5</c:v>
                </c:pt>
                <c:pt idx="114">
                  <c:v>62.3</c:v>
                </c:pt>
                <c:pt idx="115">
                  <c:v>62.3</c:v>
                </c:pt>
                <c:pt idx="116">
                  <c:v>65.349999999999994</c:v>
                </c:pt>
                <c:pt idx="117">
                  <c:v>68.5</c:v>
                </c:pt>
                <c:pt idx="118">
                  <c:v>68.5</c:v>
                </c:pt>
                <c:pt idx="119">
                  <c:v>68.430000000000007</c:v>
                </c:pt>
                <c:pt idx="120">
                  <c:v>68.17</c:v>
                </c:pt>
                <c:pt idx="121">
                  <c:v>67.680000000000007</c:v>
                </c:pt>
                <c:pt idx="122">
                  <c:v>67.12</c:v>
                </c:pt>
                <c:pt idx="123">
                  <c:v>66.48</c:v>
                </c:pt>
                <c:pt idx="124">
                  <c:v>65.8</c:v>
                </c:pt>
                <c:pt idx="125">
                  <c:v>65.150000000000006</c:v>
                </c:pt>
                <c:pt idx="126">
                  <c:v>64.430000000000007</c:v>
                </c:pt>
                <c:pt idx="127">
                  <c:v>63.84</c:v>
                </c:pt>
                <c:pt idx="128">
                  <c:v>63.22</c:v>
                </c:pt>
                <c:pt idx="129">
                  <c:v>62.55</c:v>
                </c:pt>
                <c:pt idx="130">
                  <c:v>61.95</c:v>
                </c:pt>
                <c:pt idx="131">
                  <c:v>61.28</c:v>
                </c:pt>
                <c:pt idx="132">
                  <c:v>60.66</c:v>
                </c:pt>
                <c:pt idx="133">
                  <c:v>60.069999999999993</c:v>
                </c:pt>
                <c:pt idx="134">
                  <c:v>59.349999999999994</c:v>
                </c:pt>
                <c:pt idx="135">
                  <c:v>58.7</c:v>
                </c:pt>
                <c:pt idx="136">
                  <c:v>58.019999999999996</c:v>
                </c:pt>
                <c:pt idx="137">
                  <c:v>57.379999999999995</c:v>
                </c:pt>
                <c:pt idx="138">
                  <c:v>56.819999999999993</c:v>
                </c:pt>
                <c:pt idx="139">
                  <c:v>56.33</c:v>
                </c:pt>
                <c:pt idx="140">
                  <c:v>56.069999999999993</c:v>
                </c:pt>
                <c:pt idx="141">
                  <c:v>56</c:v>
                </c:pt>
                <c:pt idx="142">
                  <c:v>56</c:v>
                </c:pt>
                <c:pt idx="143">
                  <c:v>59.150000000000006</c:v>
                </c:pt>
                <c:pt idx="144">
                  <c:v>62.25</c:v>
                </c:pt>
                <c:pt idx="145">
                  <c:v>62.25</c:v>
                </c:pt>
                <c:pt idx="146">
                  <c:v>46.05</c:v>
                </c:pt>
                <c:pt idx="147">
                  <c:v>46.05</c:v>
                </c:pt>
                <c:pt idx="148">
                  <c:v>49.099999999999994</c:v>
                </c:pt>
                <c:pt idx="149">
                  <c:v>52.25</c:v>
                </c:pt>
                <c:pt idx="150">
                  <c:v>52.25</c:v>
                </c:pt>
                <c:pt idx="151">
                  <c:v>52.180000000000007</c:v>
                </c:pt>
                <c:pt idx="152">
                  <c:v>51.92</c:v>
                </c:pt>
                <c:pt idx="153">
                  <c:v>51.430000000000007</c:v>
                </c:pt>
                <c:pt idx="154">
                  <c:v>50.870000000000005</c:v>
                </c:pt>
                <c:pt idx="155">
                  <c:v>50.230000000000004</c:v>
                </c:pt>
                <c:pt idx="156">
                  <c:v>49.55</c:v>
                </c:pt>
                <c:pt idx="157">
                  <c:v>48.900000000000006</c:v>
                </c:pt>
                <c:pt idx="158">
                  <c:v>48.180000000000007</c:v>
                </c:pt>
                <c:pt idx="159">
                  <c:v>47.59</c:v>
                </c:pt>
                <c:pt idx="160">
                  <c:v>46.97</c:v>
                </c:pt>
                <c:pt idx="161">
                  <c:v>46.3</c:v>
                </c:pt>
                <c:pt idx="162">
                  <c:v>45.7</c:v>
                </c:pt>
                <c:pt idx="163">
                  <c:v>45.03</c:v>
                </c:pt>
                <c:pt idx="164">
                  <c:v>44.41</c:v>
                </c:pt>
                <c:pt idx="165">
                  <c:v>43.819999999999993</c:v>
                </c:pt>
                <c:pt idx="166">
                  <c:v>43.099999999999994</c:v>
                </c:pt>
                <c:pt idx="167">
                  <c:v>42.45</c:v>
                </c:pt>
                <c:pt idx="168">
                  <c:v>41.769999999999996</c:v>
                </c:pt>
                <c:pt idx="169">
                  <c:v>41.129999999999995</c:v>
                </c:pt>
                <c:pt idx="170">
                  <c:v>40.569999999999993</c:v>
                </c:pt>
                <c:pt idx="171">
                  <c:v>40.08</c:v>
                </c:pt>
                <c:pt idx="172">
                  <c:v>39.819999999999993</c:v>
                </c:pt>
                <c:pt idx="173">
                  <c:v>39.75</c:v>
                </c:pt>
                <c:pt idx="174">
                  <c:v>39.75</c:v>
                </c:pt>
                <c:pt idx="175">
                  <c:v>42.900000000000006</c:v>
                </c:pt>
                <c:pt idx="176">
                  <c:v>46</c:v>
                </c:pt>
                <c:pt idx="177">
                  <c:v>46</c:v>
                </c:pt>
                <c:pt idx="178">
                  <c:v>29.799999999999997</c:v>
                </c:pt>
                <c:pt idx="179">
                  <c:v>29.799999999999997</c:v>
                </c:pt>
                <c:pt idx="180">
                  <c:v>32.849999999999994</c:v>
                </c:pt>
                <c:pt idx="181">
                  <c:v>36</c:v>
                </c:pt>
                <c:pt idx="182">
                  <c:v>36</c:v>
                </c:pt>
                <c:pt idx="183">
                  <c:v>35.930000000000007</c:v>
                </c:pt>
                <c:pt idx="184">
                  <c:v>35.67</c:v>
                </c:pt>
                <c:pt idx="185">
                  <c:v>35.180000000000007</c:v>
                </c:pt>
                <c:pt idx="186">
                  <c:v>34.620000000000005</c:v>
                </c:pt>
                <c:pt idx="187">
                  <c:v>33.980000000000004</c:v>
                </c:pt>
                <c:pt idx="188">
                  <c:v>33.299999999999997</c:v>
                </c:pt>
                <c:pt idx="189">
                  <c:v>32.650000000000006</c:v>
                </c:pt>
                <c:pt idx="190">
                  <c:v>31.930000000000007</c:v>
                </c:pt>
                <c:pt idx="191">
                  <c:v>31.340000000000003</c:v>
                </c:pt>
                <c:pt idx="192">
                  <c:v>30.72</c:v>
                </c:pt>
                <c:pt idx="193">
                  <c:v>30.049999999999997</c:v>
                </c:pt>
                <c:pt idx="194">
                  <c:v>29.450000000000003</c:v>
                </c:pt>
                <c:pt idx="195">
                  <c:v>28.78</c:v>
                </c:pt>
                <c:pt idx="196">
                  <c:v>28.159999999999997</c:v>
                </c:pt>
                <c:pt idx="197">
                  <c:v>27.569999999999993</c:v>
                </c:pt>
                <c:pt idx="198">
                  <c:v>26.849999999999994</c:v>
                </c:pt>
                <c:pt idx="199">
                  <c:v>26.200000000000003</c:v>
                </c:pt>
                <c:pt idx="200">
                  <c:v>25.519999999999996</c:v>
                </c:pt>
                <c:pt idx="201">
                  <c:v>24.879999999999995</c:v>
                </c:pt>
                <c:pt idx="202">
                  <c:v>24.319999999999993</c:v>
                </c:pt>
                <c:pt idx="203">
                  <c:v>23.83</c:v>
                </c:pt>
                <c:pt idx="204">
                  <c:v>23.569999999999993</c:v>
                </c:pt>
                <c:pt idx="205">
                  <c:v>23.5</c:v>
                </c:pt>
                <c:pt idx="206">
                  <c:v>23.5</c:v>
                </c:pt>
                <c:pt idx="207">
                  <c:v>26.650000000000006</c:v>
                </c:pt>
                <c:pt idx="208">
                  <c:v>29.75</c:v>
                </c:pt>
                <c:pt idx="209">
                  <c:v>29.75</c:v>
                </c:pt>
                <c:pt idx="210">
                  <c:v>13.549999999999997</c:v>
                </c:pt>
                <c:pt idx="211">
                  <c:v>13.549999999999997</c:v>
                </c:pt>
                <c:pt idx="212">
                  <c:v>16.599999999999994</c:v>
                </c:pt>
                <c:pt idx="213">
                  <c:v>19.75</c:v>
                </c:pt>
                <c:pt idx="214">
                  <c:v>19.75</c:v>
                </c:pt>
                <c:pt idx="215">
                  <c:v>19.680000000000007</c:v>
                </c:pt>
                <c:pt idx="216">
                  <c:v>19.420000000000002</c:v>
                </c:pt>
                <c:pt idx="217">
                  <c:v>18.930000000000007</c:v>
                </c:pt>
              </c:numCache>
            </c:numRef>
          </c:xVal>
          <c:yVal>
            <c:numRef>
              <c:f>'Valores "A" e "Y"'!$C$7:$C$224</c:f>
              <c:numCache>
                <c:formatCode>0.000</c:formatCode>
                <c:ptCount val="218"/>
                <c:pt idx="0">
                  <c:v>16.232764100106174</c:v>
                </c:pt>
                <c:pt idx="1">
                  <c:v>16.232764100106174</c:v>
                </c:pt>
                <c:pt idx="2">
                  <c:v>16.232764100106174</c:v>
                </c:pt>
                <c:pt idx="3">
                  <c:v>16.232764100106174</c:v>
                </c:pt>
                <c:pt idx="4">
                  <c:v>19</c:v>
                </c:pt>
                <c:pt idx="5">
                  <c:v>21.5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21.5</c:v>
                </c:pt>
                <c:pt idx="13">
                  <c:v>19</c:v>
                </c:pt>
                <c:pt idx="14">
                  <c:v>16.232764100106174</c:v>
                </c:pt>
                <c:pt idx="15">
                  <c:v>16.232764100106174</c:v>
                </c:pt>
                <c:pt idx="16">
                  <c:v>16.232764100106174</c:v>
                </c:pt>
                <c:pt idx="17">
                  <c:v>16.232764100106174</c:v>
                </c:pt>
                <c:pt idx="18">
                  <c:v>16.232764100106174</c:v>
                </c:pt>
                <c:pt idx="19">
                  <c:v>16.232764100106174</c:v>
                </c:pt>
                <c:pt idx="20">
                  <c:v>16.232764100106174</c:v>
                </c:pt>
                <c:pt idx="21">
                  <c:v>16.232764100106174</c:v>
                </c:pt>
                <c:pt idx="22">
                  <c:v>16.232764100106174</c:v>
                </c:pt>
                <c:pt idx="23">
                  <c:v>16.66</c:v>
                </c:pt>
                <c:pt idx="24">
                  <c:v>17.760000000000002</c:v>
                </c:pt>
                <c:pt idx="25">
                  <c:v>18.84</c:v>
                </c:pt>
                <c:pt idx="26">
                  <c:v>19.66</c:v>
                </c:pt>
                <c:pt idx="27">
                  <c:v>20.350000000000001</c:v>
                </c:pt>
                <c:pt idx="28">
                  <c:v>20.89</c:v>
                </c:pt>
                <c:pt idx="29">
                  <c:v>21.29</c:v>
                </c:pt>
                <c:pt idx="30">
                  <c:v>21.61</c:v>
                </c:pt>
                <c:pt idx="31">
                  <c:v>21.79</c:v>
                </c:pt>
                <c:pt idx="32">
                  <c:v>21.92</c:v>
                </c:pt>
                <c:pt idx="33">
                  <c:v>21.99</c:v>
                </c:pt>
                <c:pt idx="34">
                  <c:v>21.99</c:v>
                </c:pt>
                <c:pt idx="35">
                  <c:v>21.92</c:v>
                </c:pt>
                <c:pt idx="36">
                  <c:v>21.79</c:v>
                </c:pt>
                <c:pt idx="37">
                  <c:v>21.61</c:v>
                </c:pt>
                <c:pt idx="38">
                  <c:v>21.29</c:v>
                </c:pt>
                <c:pt idx="39">
                  <c:v>20.89</c:v>
                </c:pt>
                <c:pt idx="40">
                  <c:v>20.350000000000001</c:v>
                </c:pt>
                <c:pt idx="41">
                  <c:v>19.66</c:v>
                </c:pt>
                <c:pt idx="42">
                  <c:v>18.84</c:v>
                </c:pt>
                <c:pt idx="43">
                  <c:v>17.760000000000002</c:v>
                </c:pt>
                <c:pt idx="44">
                  <c:v>16.66</c:v>
                </c:pt>
                <c:pt idx="45">
                  <c:v>16.232764100106174</c:v>
                </c:pt>
                <c:pt idx="46">
                  <c:v>16.232764100106174</c:v>
                </c:pt>
                <c:pt idx="47">
                  <c:v>16.232764100106174</c:v>
                </c:pt>
                <c:pt idx="48">
                  <c:v>16.232764100106174</c:v>
                </c:pt>
                <c:pt idx="49">
                  <c:v>16.232764100106174</c:v>
                </c:pt>
                <c:pt idx="50">
                  <c:v>16.232764100106174</c:v>
                </c:pt>
                <c:pt idx="51">
                  <c:v>16.232764100106174</c:v>
                </c:pt>
                <c:pt idx="52">
                  <c:v>16.232764100106174</c:v>
                </c:pt>
                <c:pt idx="53">
                  <c:v>16.232764100106174</c:v>
                </c:pt>
                <c:pt idx="54">
                  <c:v>16.232764100106174</c:v>
                </c:pt>
                <c:pt idx="55">
                  <c:v>16.66</c:v>
                </c:pt>
                <c:pt idx="56">
                  <c:v>17.760000000000002</c:v>
                </c:pt>
                <c:pt idx="57">
                  <c:v>18.84</c:v>
                </c:pt>
                <c:pt idx="58">
                  <c:v>19.66</c:v>
                </c:pt>
                <c:pt idx="59">
                  <c:v>20.350000000000001</c:v>
                </c:pt>
                <c:pt idx="60">
                  <c:v>20.89</c:v>
                </c:pt>
                <c:pt idx="61">
                  <c:v>21.29</c:v>
                </c:pt>
                <c:pt idx="62">
                  <c:v>21.61</c:v>
                </c:pt>
                <c:pt idx="63">
                  <c:v>21.79</c:v>
                </c:pt>
                <c:pt idx="64">
                  <c:v>21.92</c:v>
                </c:pt>
                <c:pt idx="65">
                  <c:v>21.99</c:v>
                </c:pt>
                <c:pt idx="66">
                  <c:v>21.99</c:v>
                </c:pt>
                <c:pt idx="67">
                  <c:v>21.92</c:v>
                </c:pt>
                <c:pt idx="68">
                  <c:v>21.79</c:v>
                </c:pt>
                <c:pt idx="69">
                  <c:v>21.61</c:v>
                </c:pt>
                <c:pt idx="70">
                  <c:v>21.29</c:v>
                </c:pt>
                <c:pt idx="71">
                  <c:v>20.89</c:v>
                </c:pt>
                <c:pt idx="72">
                  <c:v>20.350000000000001</c:v>
                </c:pt>
                <c:pt idx="73">
                  <c:v>19.66</c:v>
                </c:pt>
                <c:pt idx="74">
                  <c:v>18.84</c:v>
                </c:pt>
                <c:pt idx="75">
                  <c:v>17.760000000000002</c:v>
                </c:pt>
                <c:pt idx="76">
                  <c:v>16.66</c:v>
                </c:pt>
                <c:pt idx="77">
                  <c:v>16.232764100106174</c:v>
                </c:pt>
                <c:pt idx="78">
                  <c:v>16.232764100106174</c:v>
                </c:pt>
                <c:pt idx="79">
                  <c:v>16.232764100106174</c:v>
                </c:pt>
                <c:pt idx="80">
                  <c:v>16.232764100106174</c:v>
                </c:pt>
                <c:pt idx="81">
                  <c:v>16.232764100106174</c:v>
                </c:pt>
                <c:pt idx="82">
                  <c:v>16.232764100106174</c:v>
                </c:pt>
                <c:pt idx="83">
                  <c:v>16.232764100106174</c:v>
                </c:pt>
                <c:pt idx="84">
                  <c:v>16.232764100106174</c:v>
                </c:pt>
                <c:pt idx="85">
                  <c:v>16.232764100106174</c:v>
                </c:pt>
                <c:pt idx="86">
                  <c:v>16.232764100106174</c:v>
                </c:pt>
                <c:pt idx="87">
                  <c:v>16.66</c:v>
                </c:pt>
                <c:pt idx="88">
                  <c:v>17.760000000000002</c:v>
                </c:pt>
                <c:pt idx="89">
                  <c:v>18.84</c:v>
                </c:pt>
                <c:pt idx="90">
                  <c:v>19.66</c:v>
                </c:pt>
                <c:pt idx="91">
                  <c:v>20.350000000000001</c:v>
                </c:pt>
                <c:pt idx="92">
                  <c:v>20.89</c:v>
                </c:pt>
                <c:pt idx="93">
                  <c:v>21.29</c:v>
                </c:pt>
                <c:pt idx="94">
                  <c:v>21.61</c:v>
                </c:pt>
                <c:pt idx="95">
                  <c:v>21.79</c:v>
                </c:pt>
                <c:pt idx="96">
                  <c:v>21.92</c:v>
                </c:pt>
                <c:pt idx="97">
                  <c:v>21.99</c:v>
                </c:pt>
                <c:pt idx="98">
                  <c:v>21.99</c:v>
                </c:pt>
                <c:pt idx="99">
                  <c:v>21.92</c:v>
                </c:pt>
                <c:pt idx="100">
                  <c:v>21.79</c:v>
                </c:pt>
                <c:pt idx="101">
                  <c:v>21.61</c:v>
                </c:pt>
                <c:pt idx="102">
                  <c:v>21.29</c:v>
                </c:pt>
                <c:pt idx="103">
                  <c:v>20.89</c:v>
                </c:pt>
                <c:pt idx="104">
                  <c:v>20.350000000000001</c:v>
                </c:pt>
                <c:pt idx="105">
                  <c:v>19.66</c:v>
                </c:pt>
                <c:pt idx="106">
                  <c:v>18.84</c:v>
                </c:pt>
                <c:pt idx="107">
                  <c:v>17.760000000000002</c:v>
                </c:pt>
                <c:pt idx="108">
                  <c:v>16.66</c:v>
                </c:pt>
                <c:pt idx="109">
                  <c:v>16.232764100106174</c:v>
                </c:pt>
                <c:pt idx="110">
                  <c:v>16.232764100106174</c:v>
                </c:pt>
                <c:pt idx="111">
                  <c:v>16.232764100106174</c:v>
                </c:pt>
                <c:pt idx="112">
                  <c:v>16.232764100106174</c:v>
                </c:pt>
                <c:pt idx="113">
                  <c:v>16.232764100106174</c:v>
                </c:pt>
                <c:pt idx="114">
                  <c:v>16.232764100106174</c:v>
                </c:pt>
                <c:pt idx="115">
                  <c:v>16.232764100106174</c:v>
                </c:pt>
                <c:pt idx="116">
                  <c:v>16.232764100106174</c:v>
                </c:pt>
                <c:pt idx="117">
                  <c:v>16.232764100106174</c:v>
                </c:pt>
                <c:pt idx="118">
                  <c:v>16.232764100106174</c:v>
                </c:pt>
                <c:pt idx="119">
                  <c:v>16.66</c:v>
                </c:pt>
                <c:pt idx="120">
                  <c:v>17.760000000000002</c:v>
                </c:pt>
                <c:pt idx="121">
                  <c:v>18.84</c:v>
                </c:pt>
                <c:pt idx="122">
                  <c:v>19.66</c:v>
                </c:pt>
                <c:pt idx="123">
                  <c:v>20.350000000000001</c:v>
                </c:pt>
                <c:pt idx="124">
                  <c:v>20.89</c:v>
                </c:pt>
                <c:pt idx="125">
                  <c:v>21.29</c:v>
                </c:pt>
                <c:pt idx="126">
                  <c:v>21.61</c:v>
                </c:pt>
                <c:pt idx="127">
                  <c:v>21.79</c:v>
                </c:pt>
                <c:pt idx="128">
                  <c:v>21.92</c:v>
                </c:pt>
                <c:pt idx="129">
                  <c:v>21.99</c:v>
                </c:pt>
                <c:pt idx="130">
                  <c:v>21.99</c:v>
                </c:pt>
                <c:pt idx="131">
                  <c:v>21.92</c:v>
                </c:pt>
                <c:pt idx="132">
                  <c:v>21.79</c:v>
                </c:pt>
                <c:pt idx="133">
                  <c:v>21.61</c:v>
                </c:pt>
                <c:pt idx="134">
                  <c:v>21.29</c:v>
                </c:pt>
                <c:pt idx="135">
                  <c:v>20.89</c:v>
                </c:pt>
                <c:pt idx="136">
                  <c:v>20.350000000000001</c:v>
                </c:pt>
                <c:pt idx="137">
                  <c:v>19.66</c:v>
                </c:pt>
                <c:pt idx="138">
                  <c:v>18.84</c:v>
                </c:pt>
                <c:pt idx="139">
                  <c:v>17.760000000000002</c:v>
                </c:pt>
                <c:pt idx="140">
                  <c:v>16.66</c:v>
                </c:pt>
                <c:pt idx="141">
                  <c:v>16.232764100106174</c:v>
                </c:pt>
                <c:pt idx="142">
                  <c:v>16.232764100106174</c:v>
                </c:pt>
                <c:pt idx="143">
                  <c:v>16.232764100106174</c:v>
                </c:pt>
                <c:pt idx="144">
                  <c:v>16.232764100106174</c:v>
                </c:pt>
                <c:pt idx="145">
                  <c:v>16.232764100106174</c:v>
                </c:pt>
                <c:pt idx="146">
                  <c:v>16.232764100106174</c:v>
                </c:pt>
                <c:pt idx="147">
                  <c:v>16.232764100106174</c:v>
                </c:pt>
                <c:pt idx="148">
                  <c:v>16.232764100106174</c:v>
                </c:pt>
                <c:pt idx="149">
                  <c:v>16.232764100106174</c:v>
                </c:pt>
                <c:pt idx="150">
                  <c:v>16.232764100106174</c:v>
                </c:pt>
                <c:pt idx="151">
                  <c:v>16.66</c:v>
                </c:pt>
                <c:pt idx="152">
                  <c:v>17.760000000000002</c:v>
                </c:pt>
                <c:pt idx="153">
                  <c:v>18.84</c:v>
                </c:pt>
                <c:pt idx="154">
                  <c:v>19.66</c:v>
                </c:pt>
                <c:pt idx="155">
                  <c:v>20.350000000000001</c:v>
                </c:pt>
                <c:pt idx="156">
                  <c:v>20.89</c:v>
                </c:pt>
                <c:pt idx="157">
                  <c:v>21.29</c:v>
                </c:pt>
                <c:pt idx="158">
                  <c:v>21.61</c:v>
                </c:pt>
                <c:pt idx="159">
                  <c:v>21.79</c:v>
                </c:pt>
                <c:pt idx="160">
                  <c:v>21.92</c:v>
                </c:pt>
                <c:pt idx="161">
                  <c:v>21.99</c:v>
                </c:pt>
                <c:pt idx="162">
                  <c:v>21.99</c:v>
                </c:pt>
                <c:pt idx="163">
                  <c:v>21.92</c:v>
                </c:pt>
                <c:pt idx="164">
                  <c:v>21.79</c:v>
                </c:pt>
                <c:pt idx="165">
                  <c:v>21.61</c:v>
                </c:pt>
                <c:pt idx="166">
                  <c:v>21.29</c:v>
                </c:pt>
                <c:pt idx="167">
                  <c:v>20.89</c:v>
                </c:pt>
                <c:pt idx="168">
                  <c:v>20.350000000000001</c:v>
                </c:pt>
                <c:pt idx="169">
                  <c:v>19.66</c:v>
                </c:pt>
                <c:pt idx="170">
                  <c:v>18.84</c:v>
                </c:pt>
                <c:pt idx="171">
                  <c:v>17.760000000000002</c:v>
                </c:pt>
                <c:pt idx="172">
                  <c:v>16.66</c:v>
                </c:pt>
                <c:pt idx="173">
                  <c:v>16.232764100106174</c:v>
                </c:pt>
                <c:pt idx="174">
                  <c:v>16.232764100106174</c:v>
                </c:pt>
                <c:pt idx="175">
                  <c:v>16.232764100106174</c:v>
                </c:pt>
                <c:pt idx="176">
                  <c:v>16.232764100106174</c:v>
                </c:pt>
                <c:pt idx="177">
                  <c:v>16.232764100106174</c:v>
                </c:pt>
                <c:pt idx="178">
                  <c:v>16.232764100106174</c:v>
                </c:pt>
                <c:pt idx="179">
                  <c:v>16.232764100106174</c:v>
                </c:pt>
                <c:pt idx="180">
                  <c:v>16.232764100106174</c:v>
                </c:pt>
                <c:pt idx="181">
                  <c:v>16.232764100106174</c:v>
                </c:pt>
                <c:pt idx="182">
                  <c:v>16.232764100106174</c:v>
                </c:pt>
                <c:pt idx="183">
                  <c:v>16.66</c:v>
                </c:pt>
                <c:pt idx="184">
                  <c:v>17.760000000000002</c:v>
                </c:pt>
                <c:pt idx="185">
                  <c:v>18.84</c:v>
                </c:pt>
                <c:pt idx="186">
                  <c:v>19.66</c:v>
                </c:pt>
                <c:pt idx="187">
                  <c:v>20.350000000000001</c:v>
                </c:pt>
                <c:pt idx="188">
                  <c:v>20.89</c:v>
                </c:pt>
                <c:pt idx="189">
                  <c:v>21.29</c:v>
                </c:pt>
                <c:pt idx="190">
                  <c:v>21.61</c:v>
                </c:pt>
                <c:pt idx="191">
                  <c:v>21.79</c:v>
                </c:pt>
                <c:pt idx="192">
                  <c:v>21.92</c:v>
                </c:pt>
                <c:pt idx="193">
                  <c:v>21.99</c:v>
                </c:pt>
                <c:pt idx="194">
                  <c:v>21.99</c:v>
                </c:pt>
                <c:pt idx="195">
                  <c:v>21.92</c:v>
                </c:pt>
                <c:pt idx="196">
                  <c:v>21.79</c:v>
                </c:pt>
                <c:pt idx="197">
                  <c:v>21.61</c:v>
                </c:pt>
                <c:pt idx="198">
                  <c:v>21.29</c:v>
                </c:pt>
                <c:pt idx="199">
                  <c:v>20.89</c:v>
                </c:pt>
                <c:pt idx="200">
                  <c:v>20.350000000000001</c:v>
                </c:pt>
                <c:pt idx="201">
                  <c:v>19.66</c:v>
                </c:pt>
                <c:pt idx="202">
                  <c:v>18.84</c:v>
                </c:pt>
                <c:pt idx="203">
                  <c:v>17.760000000000002</c:v>
                </c:pt>
                <c:pt idx="204">
                  <c:v>16.66</c:v>
                </c:pt>
                <c:pt idx="205">
                  <c:v>16.232764100106174</c:v>
                </c:pt>
                <c:pt idx="206">
                  <c:v>16.232764100106174</c:v>
                </c:pt>
                <c:pt idx="207">
                  <c:v>16.232764100106174</c:v>
                </c:pt>
                <c:pt idx="208">
                  <c:v>16.232764100106174</c:v>
                </c:pt>
                <c:pt idx="209">
                  <c:v>16.232764100106174</c:v>
                </c:pt>
                <c:pt idx="210">
                  <c:v>16.232764100106174</c:v>
                </c:pt>
                <c:pt idx="211">
                  <c:v>16.232764100106174</c:v>
                </c:pt>
                <c:pt idx="212">
                  <c:v>16.232764100106174</c:v>
                </c:pt>
                <c:pt idx="213">
                  <c:v>16.232764100106174</c:v>
                </c:pt>
                <c:pt idx="214">
                  <c:v>16.232764100106174</c:v>
                </c:pt>
                <c:pt idx="215">
                  <c:v>16.66</c:v>
                </c:pt>
                <c:pt idx="216">
                  <c:v>17.760000000000002</c:v>
                </c:pt>
                <c:pt idx="217">
                  <c:v>18.84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8-4F48-9339-CE8061D276F4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'Valores "A" e "Y"'!$L$14:$L$15</c:f>
              <c:numCache>
                <c:formatCode>General</c:formatCode>
                <c:ptCount val="2"/>
                <c:pt idx="0">
                  <c:v>0</c:v>
                </c:pt>
                <c:pt idx="1">
                  <c:v>124.5</c:v>
                </c:pt>
              </c:numCache>
            </c:numRef>
          </c:xVal>
          <c:yVal>
            <c:numRef>
              <c:f>'Valores "A" e "Y"'!$M$14:$M$15</c:f>
              <c:numCache>
                <c:formatCode>0.000</c:formatCode>
                <c:ptCount val="2"/>
                <c:pt idx="0">
                  <c:v>16.232764100106174</c:v>
                </c:pt>
                <c:pt idx="1">
                  <c:v>16.232764100106174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8-4F48-9339-CE8061D2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4111"/>
        <c:axId val="922372751"/>
      </c:scatterChart>
      <c:valAx>
        <c:axId val="92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72751"/>
        <c:crosses val="autoZero"/>
        <c:crossBetween val="midCat"/>
      </c:valAx>
      <c:valAx>
        <c:axId val="922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'Seções '!$J$3:$J$245</c:f>
              <c:numCache>
                <c:formatCode>General</c:formatCode>
                <c:ptCount val="243"/>
                <c:pt idx="0">
                  <c:v>0</c:v>
                </c:pt>
                <c:pt idx="1">
                  <c:v>0.95</c:v>
                </c:pt>
                <c:pt idx="2">
                  <c:v>0.19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1.65</c:v>
                </c:pt>
                <c:pt idx="7">
                  <c:v>1.65</c:v>
                </c:pt>
                <c:pt idx="8">
                  <c:v>122.85</c:v>
                </c:pt>
                <c:pt idx="9">
                  <c:v>122.85</c:v>
                </c:pt>
                <c:pt idx="10">
                  <c:v>121.5</c:v>
                </c:pt>
                <c:pt idx="11">
                  <c:v>121.5</c:v>
                </c:pt>
                <c:pt idx="12">
                  <c:v>124.5</c:v>
                </c:pt>
                <c:pt idx="13">
                  <c:v>124.31</c:v>
                </c:pt>
                <c:pt idx="14">
                  <c:v>123.55</c:v>
                </c:pt>
                <c:pt idx="15">
                  <c:v>111.05</c:v>
                </c:pt>
                <c:pt idx="16">
                  <c:v>111.05</c:v>
                </c:pt>
                <c:pt idx="17">
                  <c:v>114.1</c:v>
                </c:pt>
                <c:pt idx="18">
                  <c:v>117.25</c:v>
                </c:pt>
                <c:pt idx="19">
                  <c:v>117.25</c:v>
                </c:pt>
                <c:pt idx="20">
                  <c:v>117.18</c:v>
                </c:pt>
                <c:pt idx="21">
                  <c:v>116.92</c:v>
                </c:pt>
                <c:pt idx="22">
                  <c:v>116.43</c:v>
                </c:pt>
                <c:pt idx="23">
                  <c:v>115.87</c:v>
                </c:pt>
                <c:pt idx="24">
                  <c:v>115.23</c:v>
                </c:pt>
                <c:pt idx="25">
                  <c:v>114.55</c:v>
                </c:pt>
                <c:pt idx="26">
                  <c:v>113.9</c:v>
                </c:pt>
                <c:pt idx="27">
                  <c:v>113.18</c:v>
                </c:pt>
                <c:pt idx="28">
                  <c:v>112.59</c:v>
                </c:pt>
                <c:pt idx="29">
                  <c:v>111.97</c:v>
                </c:pt>
                <c:pt idx="30">
                  <c:v>111.3</c:v>
                </c:pt>
                <c:pt idx="31">
                  <c:v>110.7</c:v>
                </c:pt>
                <c:pt idx="32">
                  <c:v>110.03</c:v>
                </c:pt>
                <c:pt idx="33">
                  <c:v>109.41</c:v>
                </c:pt>
                <c:pt idx="34">
                  <c:v>108.82</c:v>
                </c:pt>
                <c:pt idx="35">
                  <c:v>108.1</c:v>
                </c:pt>
                <c:pt idx="36">
                  <c:v>107.45</c:v>
                </c:pt>
                <c:pt idx="37">
                  <c:v>106.77</c:v>
                </c:pt>
                <c:pt idx="38">
                  <c:v>106.13</c:v>
                </c:pt>
                <c:pt idx="39">
                  <c:v>105.57</c:v>
                </c:pt>
                <c:pt idx="40">
                  <c:v>105.08</c:v>
                </c:pt>
                <c:pt idx="41">
                  <c:v>104.82</c:v>
                </c:pt>
                <c:pt idx="42">
                  <c:v>104.75</c:v>
                </c:pt>
                <c:pt idx="43">
                  <c:v>104.75</c:v>
                </c:pt>
                <c:pt idx="44">
                  <c:v>107.9</c:v>
                </c:pt>
                <c:pt idx="45">
                  <c:v>111</c:v>
                </c:pt>
                <c:pt idx="46">
                  <c:v>111</c:v>
                </c:pt>
                <c:pt idx="47">
                  <c:v>94.8</c:v>
                </c:pt>
                <c:pt idx="48">
                  <c:v>94.8</c:v>
                </c:pt>
                <c:pt idx="49">
                  <c:v>97.85</c:v>
                </c:pt>
                <c:pt idx="50">
                  <c:v>101</c:v>
                </c:pt>
                <c:pt idx="51">
                  <c:v>101</c:v>
                </c:pt>
                <c:pt idx="52">
                  <c:v>100.93</c:v>
                </c:pt>
                <c:pt idx="53">
                  <c:v>100.67</c:v>
                </c:pt>
                <c:pt idx="54">
                  <c:v>100.18</c:v>
                </c:pt>
                <c:pt idx="55">
                  <c:v>99.62</c:v>
                </c:pt>
                <c:pt idx="56">
                  <c:v>98.98</c:v>
                </c:pt>
                <c:pt idx="57">
                  <c:v>98.3</c:v>
                </c:pt>
                <c:pt idx="58">
                  <c:v>97.65</c:v>
                </c:pt>
                <c:pt idx="59">
                  <c:v>96.93</c:v>
                </c:pt>
                <c:pt idx="60">
                  <c:v>96.34</c:v>
                </c:pt>
                <c:pt idx="61">
                  <c:v>95.72</c:v>
                </c:pt>
                <c:pt idx="62">
                  <c:v>95.05</c:v>
                </c:pt>
                <c:pt idx="63">
                  <c:v>94.45</c:v>
                </c:pt>
                <c:pt idx="64">
                  <c:v>93.78</c:v>
                </c:pt>
                <c:pt idx="65">
                  <c:v>93.16</c:v>
                </c:pt>
                <c:pt idx="66">
                  <c:v>92.57</c:v>
                </c:pt>
                <c:pt idx="67">
                  <c:v>91.85</c:v>
                </c:pt>
                <c:pt idx="68">
                  <c:v>91.2</c:v>
                </c:pt>
                <c:pt idx="69">
                  <c:v>90.52</c:v>
                </c:pt>
                <c:pt idx="70">
                  <c:v>89.88</c:v>
                </c:pt>
                <c:pt idx="71">
                  <c:v>89.32</c:v>
                </c:pt>
                <c:pt idx="72">
                  <c:v>88.83</c:v>
                </c:pt>
                <c:pt idx="73">
                  <c:v>88.57</c:v>
                </c:pt>
                <c:pt idx="74">
                  <c:v>88.5</c:v>
                </c:pt>
                <c:pt idx="75">
                  <c:v>88.5</c:v>
                </c:pt>
                <c:pt idx="76">
                  <c:v>91.65</c:v>
                </c:pt>
                <c:pt idx="77">
                  <c:v>94.75</c:v>
                </c:pt>
                <c:pt idx="78">
                  <c:v>94.75</c:v>
                </c:pt>
                <c:pt idx="79">
                  <c:v>78.55</c:v>
                </c:pt>
                <c:pt idx="80">
                  <c:v>78.55</c:v>
                </c:pt>
                <c:pt idx="81">
                  <c:v>81.599999999999994</c:v>
                </c:pt>
                <c:pt idx="82">
                  <c:v>84.75</c:v>
                </c:pt>
                <c:pt idx="83">
                  <c:v>84.75</c:v>
                </c:pt>
                <c:pt idx="84">
                  <c:v>84.68</c:v>
                </c:pt>
                <c:pt idx="85">
                  <c:v>84.42</c:v>
                </c:pt>
                <c:pt idx="86">
                  <c:v>83.93</c:v>
                </c:pt>
                <c:pt idx="87">
                  <c:v>83.37</c:v>
                </c:pt>
                <c:pt idx="88">
                  <c:v>82.73</c:v>
                </c:pt>
                <c:pt idx="89">
                  <c:v>82.05</c:v>
                </c:pt>
                <c:pt idx="90">
                  <c:v>81.400000000000006</c:v>
                </c:pt>
                <c:pt idx="91">
                  <c:v>80.680000000000007</c:v>
                </c:pt>
                <c:pt idx="92">
                  <c:v>80.09</c:v>
                </c:pt>
                <c:pt idx="93">
                  <c:v>79.47</c:v>
                </c:pt>
                <c:pt idx="94">
                  <c:v>78.8</c:v>
                </c:pt>
                <c:pt idx="95">
                  <c:v>78.2</c:v>
                </c:pt>
                <c:pt idx="96">
                  <c:v>77.53</c:v>
                </c:pt>
                <c:pt idx="97">
                  <c:v>76.91</c:v>
                </c:pt>
                <c:pt idx="98">
                  <c:v>76.319999999999993</c:v>
                </c:pt>
                <c:pt idx="99">
                  <c:v>75.599999999999994</c:v>
                </c:pt>
                <c:pt idx="100">
                  <c:v>74.95</c:v>
                </c:pt>
                <c:pt idx="101">
                  <c:v>74.27</c:v>
                </c:pt>
                <c:pt idx="102">
                  <c:v>73.63</c:v>
                </c:pt>
                <c:pt idx="103">
                  <c:v>73.069999999999993</c:v>
                </c:pt>
                <c:pt idx="104">
                  <c:v>72.58</c:v>
                </c:pt>
                <c:pt idx="105">
                  <c:v>72.319999999999993</c:v>
                </c:pt>
                <c:pt idx="106">
                  <c:v>72.25</c:v>
                </c:pt>
                <c:pt idx="107">
                  <c:v>72.25</c:v>
                </c:pt>
                <c:pt idx="108">
                  <c:v>75.400000000000006</c:v>
                </c:pt>
                <c:pt idx="109">
                  <c:v>78.5</c:v>
                </c:pt>
                <c:pt idx="110">
                  <c:v>78.5</c:v>
                </c:pt>
                <c:pt idx="111">
                  <c:v>62.3</c:v>
                </c:pt>
                <c:pt idx="112">
                  <c:v>62.3</c:v>
                </c:pt>
                <c:pt idx="113">
                  <c:v>65.349999999999994</c:v>
                </c:pt>
                <c:pt idx="114">
                  <c:v>68.5</c:v>
                </c:pt>
                <c:pt idx="115">
                  <c:v>68.5</c:v>
                </c:pt>
                <c:pt idx="116">
                  <c:v>68.430000000000007</c:v>
                </c:pt>
                <c:pt idx="117">
                  <c:v>68.17</c:v>
                </c:pt>
                <c:pt idx="118">
                  <c:v>67.680000000000007</c:v>
                </c:pt>
                <c:pt idx="119">
                  <c:v>67.12</c:v>
                </c:pt>
                <c:pt idx="120">
                  <c:v>66.48</c:v>
                </c:pt>
                <c:pt idx="121">
                  <c:v>65.8</c:v>
                </c:pt>
                <c:pt idx="122">
                  <c:v>65.150000000000006</c:v>
                </c:pt>
                <c:pt idx="123">
                  <c:v>64.430000000000007</c:v>
                </c:pt>
                <c:pt idx="124">
                  <c:v>63.84</c:v>
                </c:pt>
                <c:pt idx="125">
                  <c:v>63.22</c:v>
                </c:pt>
                <c:pt idx="126">
                  <c:v>62.55</c:v>
                </c:pt>
                <c:pt idx="127">
                  <c:v>61.95</c:v>
                </c:pt>
                <c:pt idx="128">
                  <c:v>61.28</c:v>
                </c:pt>
                <c:pt idx="129">
                  <c:v>60.66</c:v>
                </c:pt>
                <c:pt idx="130">
                  <c:v>60.069999999999993</c:v>
                </c:pt>
                <c:pt idx="131">
                  <c:v>59.349999999999994</c:v>
                </c:pt>
                <c:pt idx="132">
                  <c:v>58.7</c:v>
                </c:pt>
                <c:pt idx="133">
                  <c:v>58.019999999999996</c:v>
                </c:pt>
                <c:pt idx="134">
                  <c:v>57.379999999999995</c:v>
                </c:pt>
                <c:pt idx="135">
                  <c:v>56.819999999999993</c:v>
                </c:pt>
                <c:pt idx="136">
                  <c:v>56.33</c:v>
                </c:pt>
                <c:pt idx="137">
                  <c:v>56.069999999999993</c:v>
                </c:pt>
                <c:pt idx="138">
                  <c:v>56</c:v>
                </c:pt>
                <c:pt idx="139">
                  <c:v>56</c:v>
                </c:pt>
                <c:pt idx="140">
                  <c:v>59.150000000000006</c:v>
                </c:pt>
                <c:pt idx="141">
                  <c:v>62.25</c:v>
                </c:pt>
                <c:pt idx="142">
                  <c:v>62.25</c:v>
                </c:pt>
                <c:pt idx="143">
                  <c:v>46.05</c:v>
                </c:pt>
                <c:pt idx="144">
                  <c:v>46.05</c:v>
                </c:pt>
                <c:pt idx="145">
                  <c:v>49.099999999999994</c:v>
                </c:pt>
                <c:pt idx="146">
                  <c:v>52.25</c:v>
                </c:pt>
                <c:pt idx="147">
                  <c:v>52.25</c:v>
                </c:pt>
                <c:pt idx="148">
                  <c:v>52.180000000000007</c:v>
                </c:pt>
                <c:pt idx="149">
                  <c:v>51.92</c:v>
                </c:pt>
                <c:pt idx="150">
                  <c:v>51.430000000000007</c:v>
                </c:pt>
                <c:pt idx="151">
                  <c:v>50.870000000000005</c:v>
                </c:pt>
                <c:pt idx="152">
                  <c:v>50.230000000000004</c:v>
                </c:pt>
                <c:pt idx="153">
                  <c:v>49.55</c:v>
                </c:pt>
                <c:pt idx="154">
                  <c:v>48.900000000000006</c:v>
                </c:pt>
                <c:pt idx="155">
                  <c:v>48.180000000000007</c:v>
                </c:pt>
                <c:pt idx="156">
                  <c:v>47.59</c:v>
                </c:pt>
                <c:pt idx="157">
                  <c:v>46.97</c:v>
                </c:pt>
                <c:pt idx="158">
                  <c:v>46.3</c:v>
                </c:pt>
                <c:pt idx="159">
                  <c:v>45.7</c:v>
                </c:pt>
                <c:pt idx="160">
                  <c:v>45.03</c:v>
                </c:pt>
                <c:pt idx="161">
                  <c:v>44.41</c:v>
                </c:pt>
                <c:pt idx="162">
                  <c:v>43.819999999999993</c:v>
                </c:pt>
                <c:pt idx="163">
                  <c:v>43.099999999999994</c:v>
                </c:pt>
                <c:pt idx="164">
                  <c:v>42.45</c:v>
                </c:pt>
                <c:pt idx="165">
                  <c:v>41.769999999999996</c:v>
                </c:pt>
                <c:pt idx="166">
                  <c:v>41.129999999999995</c:v>
                </c:pt>
                <c:pt idx="167">
                  <c:v>40.569999999999993</c:v>
                </c:pt>
                <c:pt idx="168">
                  <c:v>40.08</c:v>
                </c:pt>
                <c:pt idx="169">
                  <c:v>39.819999999999993</c:v>
                </c:pt>
                <c:pt idx="170">
                  <c:v>39.75</c:v>
                </c:pt>
                <c:pt idx="171">
                  <c:v>39.75</c:v>
                </c:pt>
                <c:pt idx="172">
                  <c:v>42.900000000000006</c:v>
                </c:pt>
                <c:pt idx="173">
                  <c:v>46</c:v>
                </c:pt>
                <c:pt idx="174">
                  <c:v>46</c:v>
                </c:pt>
                <c:pt idx="175">
                  <c:v>29.799999999999997</c:v>
                </c:pt>
                <c:pt idx="176">
                  <c:v>29.799999999999997</c:v>
                </c:pt>
                <c:pt idx="177">
                  <c:v>32.849999999999994</c:v>
                </c:pt>
                <c:pt idx="178">
                  <c:v>36</c:v>
                </c:pt>
                <c:pt idx="179">
                  <c:v>36</c:v>
                </c:pt>
                <c:pt idx="180">
                  <c:v>35.930000000000007</c:v>
                </c:pt>
                <c:pt idx="181">
                  <c:v>35.67</c:v>
                </c:pt>
                <c:pt idx="182">
                  <c:v>35.180000000000007</c:v>
                </c:pt>
                <c:pt idx="183">
                  <c:v>34.620000000000005</c:v>
                </c:pt>
                <c:pt idx="184">
                  <c:v>33.980000000000004</c:v>
                </c:pt>
                <c:pt idx="185">
                  <c:v>33.299999999999997</c:v>
                </c:pt>
                <c:pt idx="186">
                  <c:v>32.650000000000006</c:v>
                </c:pt>
                <c:pt idx="187">
                  <c:v>31.930000000000007</c:v>
                </c:pt>
                <c:pt idx="188">
                  <c:v>31.340000000000003</c:v>
                </c:pt>
                <c:pt idx="189">
                  <c:v>30.72</c:v>
                </c:pt>
                <c:pt idx="190">
                  <c:v>30.049999999999997</c:v>
                </c:pt>
                <c:pt idx="191">
                  <c:v>29.450000000000003</c:v>
                </c:pt>
                <c:pt idx="192">
                  <c:v>28.78</c:v>
                </c:pt>
                <c:pt idx="193">
                  <c:v>28.159999999999997</c:v>
                </c:pt>
                <c:pt idx="194">
                  <c:v>27.569999999999993</c:v>
                </c:pt>
                <c:pt idx="195">
                  <c:v>26.849999999999994</c:v>
                </c:pt>
                <c:pt idx="196">
                  <c:v>26.200000000000003</c:v>
                </c:pt>
                <c:pt idx="197">
                  <c:v>25.519999999999996</c:v>
                </c:pt>
                <c:pt idx="198">
                  <c:v>24.879999999999995</c:v>
                </c:pt>
                <c:pt idx="199">
                  <c:v>24.319999999999993</c:v>
                </c:pt>
                <c:pt idx="200">
                  <c:v>23.83</c:v>
                </c:pt>
                <c:pt idx="201">
                  <c:v>23.569999999999993</c:v>
                </c:pt>
                <c:pt idx="202">
                  <c:v>23.5</c:v>
                </c:pt>
                <c:pt idx="203">
                  <c:v>23.5</c:v>
                </c:pt>
                <c:pt idx="204">
                  <c:v>26.650000000000006</c:v>
                </c:pt>
                <c:pt idx="205">
                  <c:v>29.75</c:v>
                </c:pt>
                <c:pt idx="206">
                  <c:v>29.75</c:v>
                </c:pt>
                <c:pt idx="207">
                  <c:v>13.549999999999997</c:v>
                </c:pt>
                <c:pt idx="208">
                  <c:v>13.549999999999997</c:v>
                </c:pt>
                <c:pt idx="209">
                  <c:v>16.599999999999994</c:v>
                </c:pt>
                <c:pt idx="210">
                  <c:v>19.75</c:v>
                </c:pt>
                <c:pt idx="211">
                  <c:v>19.75</c:v>
                </c:pt>
                <c:pt idx="212">
                  <c:v>19.680000000000007</c:v>
                </c:pt>
                <c:pt idx="213">
                  <c:v>19.420000000000002</c:v>
                </c:pt>
                <c:pt idx="214">
                  <c:v>18.930000000000007</c:v>
                </c:pt>
                <c:pt idx="215">
                  <c:v>18.370000000000005</c:v>
                </c:pt>
                <c:pt idx="216">
                  <c:v>17.730000000000004</c:v>
                </c:pt>
                <c:pt idx="217">
                  <c:v>17.049999999999997</c:v>
                </c:pt>
                <c:pt idx="218">
                  <c:v>16.400000000000006</c:v>
                </c:pt>
                <c:pt idx="219">
                  <c:v>15.680000000000007</c:v>
                </c:pt>
                <c:pt idx="220">
                  <c:v>15.090000000000003</c:v>
                </c:pt>
                <c:pt idx="221">
                  <c:v>14.469999999999999</c:v>
                </c:pt>
                <c:pt idx="222">
                  <c:v>13.799999999999997</c:v>
                </c:pt>
                <c:pt idx="223">
                  <c:v>13.200000000000003</c:v>
                </c:pt>
                <c:pt idx="224">
                  <c:v>12.530000000000001</c:v>
                </c:pt>
                <c:pt idx="225">
                  <c:v>11.909999999999997</c:v>
                </c:pt>
                <c:pt idx="226">
                  <c:v>11.319999999999993</c:v>
                </c:pt>
                <c:pt idx="227">
                  <c:v>10.599999999999994</c:v>
                </c:pt>
                <c:pt idx="228">
                  <c:v>9.9500000000000028</c:v>
                </c:pt>
                <c:pt idx="229">
                  <c:v>9.269999999999996</c:v>
                </c:pt>
                <c:pt idx="230">
                  <c:v>8.6299999999999955</c:v>
                </c:pt>
                <c:pt idx="231">
                  <c:v>8.0699999999999932</c:v>
                </c:pt>
                <c:pt idx="232">
                  <c:v>7.5799999999999983</c:v>
                </c:pt>
                <c:pt idx="233">
                  <c:v>7.3199999999999932</c:v>
                </c:pt>
                <c:pt idx="234">
                  <c:v>7.25</c:v>
                </c:pt>
                <c:pt idx="235">
                  <c:v>7.25</c:v>
                </c:pt>
                <c:pt idx="236">
                  <c:v>10.4</c:v>
                </c:pt>
                <c:pt idx="237">
                  <c:v>13.5</c:v>
                </c:pt>
                <c:pt idx="238">
                  <c:v>13.5</c:v>
                </c:pt>
                <c:pt idx="239">
                  <c:v>0.95</c:v>
                </c:pt>
              </c:numCache>
            </c:numRef>
          </c:xVal>
          <c:yVal>
            <c:numRef>
              <c:f>'Seções '!$K$3:$K$245</c:f>
              <c:numCache>
                <c:formatCode>General</c:formatCode>
                <c:ptCount val="243"/>
                <c:pt idx="0">
                  <c:v>0</c:v>
                </c:pt>
                <c:pt idx="1">
                  <c:v>0</c:v>
                </c:pt>
                <c:pt idx="2">
                  <c:v>0.76</c:v>
                </c:pt>
                <c:pt idx="3">
                  <c:v>2.2000000000000002</c:v>
                </c:pt>
                <c:pt idx="4">
                  <c:v>5</c:v>
                </c:pt>
                <c:pt idx="5">
                  <c:v>14</c:v>
                </c:pt>
                <c:pt idx="6">
                  <c:v>16.5</c:v>
                </c:pt>
                <c:pt idx="7">
                  <c:v>20</c:v>
                </c:pt>
                <c:pt idx="8">
                  <c:v>20</c:v>
                </c:pt>
                <c:pt idx="9">
                  <c:v>16.5</c:v>
                </c:pt>
                <c:pt idx="10">
                  <c:v>14</c:v>
                </c:pt>
                <c:pt idx="11">
                  <c:v>5</c:v>
                </c:pt>
                <c:pt idx="12">
                  <c:v>2.2000000000000002</c:v>
                </c:pt>
                <c:pt idx="13">
                  <c:v>0.76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5.8</c:v>
                </c:pt>
                <c:pt idx="19">
                  <c:v>10.75</c:v>
                </c:pt>
                <c:pt idx="20">
                  <c:v>11.66</c:v>
                </c:pt>
                <c:pt idx="21">
                  <c:v>12.760000000000002</c:v>
                </c:pt>
                <c:pt idx="22">
                  <c:v>13.84</c:v>
                </c:pt>
                <c:pt idx="23">
                  <c:v>14.66</c:v>
                </c:pt>
                <c:pt idx="24">
                  <c:v>15.350000000000001</c:v>
                </c:pt>
                <c:pt idx="25">
                  <c:v>15.89</c:v>
                </c:pt>
                <c:pt idx="26">
                  <c:v>16.29</c:v>
                </c:pt>
                <c:pt idx="27">
                  <c:v>16.61</c:v>
                </c:pt>
                <c:pt idx="28">
                  <c:v>16.79</c:v>
                </c:pt>
                <c:pt idx="29">
                  <c:v>16.920000000000002</c:v>
                </c:pt>
                <c:pt idx="30">
                  <c:v>16.989999999999998</c:v>
                </c:pt>
                <c:pt idx="31">
                  <c:v>16.989999999999998</c:v>
                </c:pt>
                <c:pt idx="32">
                  <c:v>16.920000000000002</c:v>
                </c:pt>
                <c:pt idx="33">
                  <c:v>16.79</c:v>
                </c:pt>
                <c:pt idx="34">
                  <c:v>16.61</c:v>
                </c:pt>
                <c:pt idx="35">
                  <c:v>16.29</c:v>
                </c:pt>
                <c:pt idx="36">
                  <c:v>15.89</c:v>
                </c:pt>
                <c:pt idx="37">
                  <c:v>15.350000000000001</c:v>
                </c:pt>
                <c:pt idx="38">
                  <c:v>14.66</c:v>
                </c:pt>
                <c:pt idx="39">
                  <c:v>13.84</c:v>
                </c:pt>
                <c:pt idx="40">
                  <c:v>12.760000000000002</c:v>
                </c:pt>
                <c:pt idx="41">
                  <c:v>11.66</c:v>
                </c:pt>
                <c:pt idx="42">
                  <c:v>10.75</c:v>
                </c:pt>
                <c:pt idx="43">
                  <c:v>5.8</c:v>
                </c:pt>
                <c:pt idx="44">
                  <c:v>3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3</c:v>
                </c:pt>
                <c:pt idx="50">
                  <c:v>5.8</c:v>
                </c:pt>
                <c:pt idx="51">
                  <c:v>10.75</c:v>
                </c:pt>
                <c:pt idx="52">
                  <c:v>11.66</c:v>
                </c:pt>
                <c:pt idx="53">
                  <c:v>12.760000000000002</c:v>
                </c:pt>
                <c:pt idx="54">
                  <c:v>13.84</c:v>
                </c:pt>
                <c:pt idx="55">
                  <c:v>14.66</c:v>
                </c:pt>
                <c:pt idx="56">
                  <c:v>15.350000000000001</c:v>
                </c:pt>
                <c:pt idx="57">
                  <c:v>15.89</c:v>
                </c:pt>
                <c:pt idx="58">
                  <c:v>16.29</c:v>
                </c:pt>
                <c:pt idx="59">
                  <c:v>16.61</c:v>
                </c:pt>
                <c:pt idx="60">
                  <c:v>16.79</c:v>
                </c:pt>
                <c:pt idx="61">
                  <c:v>16.920000000000002</c:v>
                </c:pt>
                <c:pt idx="62">
                  <c:v>16.989999999999998</c:v>
                </c:pt>
                <c:pt idx="63">
                  <c:v>16.989999999999998</c:v>
                </c:pt>
                <c:pt idx="64">
                  <c:v>16.920000000000002</c:v>
                </c:pt>
                <c:pt idx="65">
                  <c:v>16.79</c:v>
                </c:pt>
                <c:pt idx="66">
                  <c:v>16.61</c:v>
                </c:pt>
                <c:pt idx="67">
                  <c:v>16.29</c:v>
                </c:pt>
                <c:pt idx="68">
                  <c:v>15.89</c:v>
                </c:pt>
                <c:pt idx="69">
                  <c:v>15.350000000000001</c:v>
                </c:pt>
                <c:pt idx="70">
                  <c:v>14.66</c:v>
                </c:pt>
                <c:pt idx="71">
                  <c:v>13.84</c:v>
                </c:pt>
                <c:pt idx="72">
                  <c:v>12.760000000000002</c:v>
                </c:pt>
                <c:pt idx="73">
                  <c:v>11.66</c:v>
                </c:pt>
                <c:pt idx="74">
                  <c:v>10.75</c:v>
                </c:pt>
                <c:pt idx="75">
                  <c:v>5.8</c:v>
                </c:pt>
                <c:pt idx="76">
                  <c:v>3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3</c:v>
                </c:pt>
                <c:pt idx="82">
                  <c:v>5.8</c:v>
                </c:pt>
                <c:pt idx="83">
                  <c:v>10.75</c:v>
                </c:pt>
                <c:pt idx="84">
                  <c:v>11.66</c:v>
                </c:pt>
                <c:pt idx="85">
                  <c:v>12.760000000000002</c:v>
                </c:pt>
                <c:pt idx="86">
                  <c:v>13.84</c:v>
                </c:pt>
                <c:pt idx="87">
                  <c:v>14.66</c:v>
                </c:pt>
                <c:pt idx="88">
                  <c:v>15.350000000000001</c:v>
                </c:pt>
                <c:pt idx="89">
                  <c:v>15.89</c:v>
                </c:pt>
                <c:pt idx="90">
                  <c:v>16.29</c:v>
                </c:pt>
                <c:pt idx="91">
                  <c:v>16.61</c:v>
                </c:pt>
                <c:pt idx="92">
                  <c:v>16.79</c:v>
                </c:pt>
                <c:pt idx="93">
                  <c:v>16.920000000000002</c:v>
                </c:pt>
                <c:pt idx="94">
                  <c:v>16.989999999999998</c:v>
                </c:pt>
                <c:pt idx="95">
                  <c:v>16.989999999999998</c:v>
                </c:pt>
                <c:pt idx="96">
                  <c:v>16.920000000000002</c:v>
                </c:pt>
                <c:pt idx="97">
                  <c:v>16.79</c:v>
                </c:pt>
                <c:pt idx="98">
                  <c:v>16.61</c:v>
                </c:pt>
                <c:pt idx="99">
                  <c:v>16.29</c:v>
                </c:pt>
                <c:pt idx="100">
                  <c:v>15.89</c:v>
                </c:pt>
                <c:pt idx="101">
                  <c:v>15.350000000000001</c:v>
                </c:pt>
                <c:pt idx="102">
                  <c:v>14.66</c:v>
                </c:pt>
                <c:pt idx="103">
                  <c:v>13.84</c:v>
                </c:pt>
                <c:pt idx="104">
                  <c:v>12.760000000000002</c:v>
                </c:pt>
                <c:pt idx="105">
                  <c:v>11.66</c:v>
                </c:pt>
                <c:pt idx="106">
                  <c:v>10.75</c:v>
                </c:pt>
                <c:pt idx="107">
                  <c:v>5.8</c:v>
                </c:pt>
                <c:pt idx="108">
                  <c:v>3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3</c:v>
                </c:pt>
                <c:pt idx="113">
                  <c:v>3</c:v>
                </c:pt>
                <c:pt idx="114">
                  <c:v>5.8</c:v>
                </c:pt>
                <c:pt idx="115">
                  <c:v>10.75</c:v>
                </c:pt>
                <c:pt idx="116">
                  <c:v>11.66</c:v>
                </c:pt>
                <c:pt idx="117">
                  <c:v>12.760000000000002</c:v>
                </c:pt>
                <c:pt idx="118">
                  <c:v>13.84</c:v>
                </c:pt>
                <c:pt idx="119">
                  <c:v>14.66</c:v>
                </c:pt>
                <c:pt idx="120">
                  <c:v>15.350000000000001</c:v>
                </c:pt>
                <c:pt idx="121">
                  <c:v>15.89</c:v>
                </c:pt>
                <c:pt idx="122">
                  <c:v>16.29</c:v>
                </c:pt>
                <c:pt idx="123">
                  <c:v>16.61</c:v>
                </c:pt>
                <c:pt idx="124">
                  <c:v>16.79</c:v>
                </c:pt>
                <c:pt idx="125">
                  <c:v>16.920000000000002</c:v>
                </c:pt>
                <c:pt idx="126">
                  <c:v>16.989999999999998</c:v>
                </c:pt>
                <c:pt idx="127">
                  <c:v>16.989999999999998</c:v>
                </c:pt>
                <c:pt idx="128">
                  <c:v>16.920000000000002</c:v>
                </c:pt>
                <c:pt idx="129">
                  <c:v>16.79</c:v>
                </c:pt>
                <c:pt idx="130">
                  <c:v>16.61</c:v>
                </c:pt>
                <c:pt idx="131">
                  <c:v>16.29</c:v>
                </c:pt>
                <c:pt idx="132">
                  <c:v>15.89</c:v>
                </c:pt>
                <c:pt idx="133">
                  <c:v>15.350000000000001</c:v>
                </c:pt>
                <c:pt idx="134">
                  <c:v>14.66</c:v>
                </c:pt>
                <c:pt idx="135">
                  <c:v>13.84</c:v>
                </c:pt>
                <c:pt idx="136">
                  <c:v>12.760000000000002</c:v>
                </c:pt>
                <c:pt idx="137">
                  <c:v>11.66</c:v>
                </c:pt>
                <c:pt idx="138">
                  <c:v>10.75</c:v>
                </c:pt>
                <c:pt idx="139">
                  <c:v>5.8</c:v>
                </c:pt>
                <c:pt idx="140">
                  <c:v>3</c:v>
                </c:pt>
                <c:pt idx="141">
                  <c:v>3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3</c:v>
                </c:pt>
                <c:pt idx="146">
                  <c:v>5.8</c:v>
                </c:pt>
                <c:pt idx="147">
                  <c:v>10.75</c:v>
                </c:pt>
                <c:pt idx="148">
                  <c:v>11.66</c:v>
                </c:pt>
                <c:pt idx="149">
                  <c:v>12.760000000000002</c:v>
                </c:pt>
                <c:pt idx="150">
                  <c:v>13.84</c:v>
                </c:pt>
                <c:pt idx="151">
                  <c:v>14.66</c:v>
                </c:pt>
                <c:pt idx="152">
                  <c:v>15.350000000000001</c:v>
                </c:pt>
                <c:pt idx="153">
                  <c:v>15.89</c:v>
                </c:pt>
                <c:pt idx="154">
                  <c:v>16.29</c:v>
                </c:pt>
                <c:pt idx="155">
                  <c:v>16.61</c:v>
                </c:pt>
                <c:pt idx="156">
                  <c:v>16.79</c:v>
                </c:pt>
                <c:pt idx="157">
                  <c:v>16.920000000000002</c:v>
                </c:pt>
                <c:pt idx="158">
                  <c:v>16.989999999999998</c:v>
                </c:pt>
                <c:pt idx="159">
                  <c:v>16.989999999999998</c:v>
                </c:pt>
                <c:pt idx="160">
                  <c:v>16.920000000000002</c:v>
                </c:pt>
                <c:pt idx="161">
                  <c:v>16.79</c:v>
                </c:pt>
                <c:pt idx="162">
                  <c:v>16.61</c:v>
                </c:pt>
                <c:pt idx="163">
                  <c:v>16.29</c:v>
                </c:pt>
                <c:pt idx="164">
                  <c:v>15.89</c:v>
                </c:pt>
                <c:pt idx="165">
                  <c:v>15.350000000000001</c:v>
                </c:pt>
                <c:pt idx="166">
                  <c:v>14.66</c:v>
                </c:pt>
                <c:pt idx="167">
                  <c:v>13.84</c:v>
                </c:pt>
                <c:pt idx="168">
                  <c:v>12.760000000000002</c:v>
                </c:pt>
                <c:pt idx="169">
                  <c:v>11.66</c:v>
                </c:pt>
                <c:pt idx="170">
                  <c:v>10.75</c:v>
                </c:pt>
                <c:pt idx="171">
                  <c:v>5.8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3</c:v>
                </c:pt>
                <c:pt idx="178">
                  <c:v>5.8</c:v>
                </c:pt>
                <c:pt idx="179">
                  <c:v>10.75</c:v>
                </c:pt>
                <c:pt idx="180">
                  <c:v>11.66</c:v>
                </c:pt>
                <c:pt idx="181">
                  <c:v>12.760000000000002</c:v>
                </c:pt>
                <c:pt idx="182">
                  <c:v>13.84</c:v>
                </c:pt>
                <c:pt idx="183">
                  <c:v>14.66</c:v>
                </c:pt>
                <c:pt idx="184">
                  <c:v>15.350000000000001</c:v>
                </c:pt>
                <c:pt idx="185">
                  <c:v>15.89</c:v>
                </c:pt>
                <c:pt idx="186">
                  <c:v>16.29</c:v>
                </c:pt>
                <c:pt idx="187">
                  <c:v>16.61</c:v>
                </c:pt>
                <c:pt idx="188">
                  <c:v>16.79</c:v>
                </c:pt>
                <c:pt idx="189">
                  <c:v>16.920000000000002</c:v>
                </c:pt>
                <c:pt idx="190">
                  <c:v>16.989999999999998</c:v>
                </c:pt>
                <c:pt idx="191">
                  <c:v>16.989999999999998</c:v>
                </c:pt>
                <c:pt idx="192">
                  <c:v>16.920000000000002</c:v>
                </c:pt>
                <c:pt idx="193">
                  <c:v>16.79</c:v>
                </c:pt>
                <c:pt idx="194">
                  <c:v>16.61</c:v>
                </c:pt>
                <c:pt idx="195">
                  <c:v>16.29</c:v>
                </c:pt>
                <c:pt idx="196">
                  <c:v>15.89</c:v>
                </c:pt>
                <c:pt idx="197">
                  <c:v>15.350000000000001</c:v>
                </c:pt>
                <c:pt idx="198">
                  <c:v>14.66</c:v>
                </c:pt>
                <c:pt idx="199">
                  <c:v>13.84</c:v>
                </c:pt>
                <c:pt idx="200">
                  <c:v>12.760000000000002</c:v>
                </c:pt>
                <c:pt idx="201">
                  <c:v>11.66</c:v>
                </c:pt>
                <c:pt idx="202">
                  <c:v>10.75</c:v>
                </c:pt>
                <c:pt idx="203">
                  <c:v>5.8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3</c:v>
                </c:pt>
                <c:pt idx="209">
                  <c:v>3</c:v>
                </c:pt>
                <c:pt idx="210">
                  <c:v>5.8</c:v>
                </c:pt>
                <c:pt idx="211">
                  <c:v>10.75</c:v>
                </c:pt>
                <c:pt idx="212">
                  <c:v>11.66</c:v>
                </c:pt>
                <c:pt idx="213">
                  <c:v>12.760000000000002</c:v>
                </c:pt>
                <c:pt idx="214">
                  <c:v>13.84</c:v>
                </c:pt>
                <c:pt idx="215">
                  <c:v>14.66</c:v>
                </c:pt>
                <c:pt idx="216">
                  <c:v>15.350000000000001</c:v>
                </c:pt>
                <c:pt idx="217">
                  <c:v>15.89</c:v>
                </c:pt>
                <c:pt idx="218">
                  <c:v>16.29</c:v>
                </c:pt>
                <c:pt idx="219">
                  <c:v>16.61</c:v>
                </c:pt>
                <c:pt idx="220">
                  <c:v>16.79</c:v>
                </c:pt>
                <c:pt idx="221">
                  <c:v>16.920000000000002</c:v>
                </c:pt>
                <c:pt idx="222">
                  <c:v>16.989999999999998</c:v>
                </c:pt>
                <c:pt idx="223">
                  <c:v>16.989999999999998</c:v>
                </c:pt>
                <c:pt idx="224">
                  <c:v>16.920000000000002</c:v>
                </c:pt>
                <c:pt idx="225">
                  <c:v>16.79</c:v>
                </c:pt>
                <c:pt idx="226">
                  <c:v>16.61</c:v>
                </c:pt>
                <c:pt idx="227">
                  <c:v>16.29</c:v>
                </c:pt>
                <c:pt idx="228">
                  <c:v>15.89</c:v>
                </c:pt>
                <c:pt idx="229">
                  <c:v>15.350000000000001</c:v>
                </c:pt>
                <c:pt idx="230">
                  <c:v>14.66</c:v>
                </c:pt>
                <c:pt idx="231">
                  <c:v>13.84</c:v>
                </c:pt>
                <c:pt idx="232">
                  <c:v>12.760000000000002</c:v>
                </c:pt>
                <c:pt idx="233">
                  <c:v>11.66</c:v>
                </c:pt>
                <c:pt idx="234">
                  <c:v>10.75</c:v>
                </c:pt>
                <c:pt idx="235">
                  <c:v>5.8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6B-4D7A-8B14-7EC0392D4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12160"/>
        <c:axId val="1673322240"/>
      </c:scatterChart>
      <c:valAx>
        <c:axId val="16733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22240"/>
        <c:crosses val="autoZero"/>
        <c:crossBetween val="midCat"/>
      </c:valAx>
      <c:valAx>
        <c:axId val="1673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3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'Propriedades geométricas chavet'!$B$6:$B$194</c:f>
              <c:numCache>
                <c:formatCode>0.000</c:formatCode>
                <c:ptCount val="189"/>
                <c:pt idx="0">
                  <c:v>0</c:v>
                </c:pt>
                <c:pt idx="1">
                  <c:v>3.01</c:v>
                </c:pt>
                <c:pt idx="2">
                  <c:v>3</c:v>
                </c:pt>
                <c:pt idx="3">
                  <c:v>3</c:v>
                </c:pt>
                <c:pt idx="4">
                  <c:v>1.65</c:v>
                </c:pt>
                <c:pt idx="5">
                  <c:v>1.65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xVal>
          <c:yVal>
            <c:numRef>
              <c:f>'Propriedades geométricas chavet'!$C$6:$C$194</c:f>
              <c:numCache>
                <c:formatCode>0.000</c:formatCode>
                <c:ptCount val="189"/>
                <c:pt idx="0">
                  <c:v>0</c:v>
                </c:pt>
                <c:pt idx="1">
                  <c:v>3.01</c:v>
                </c:pt>
                <c:pt idx="2">
                  <c:v>5.7</c:v>
                </c:pt>
                <c:pt idx="3">
                  <c:v>23.2</c:v>
                </c:pt>
                <c:pt idx="4">
                  <c:v>25.7</c:v>
                </c:pt>
                <c:pt idx="5">
                  <c:v>30</c:v>
                </c:pt>
                <c:pt idx="6">
                  <c:v>30</c:v>
                </c:pt>
                <c:pt idx="7">
                  <c:v>2.2000000000000002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F-4E4F-94AF-43F385CE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4111"/>
        <c:axId val="922372751"/>
      </c:scatterChart>
      <c:valAx>
        <c:axId val="92236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72751"/>
        <c:crosses val="autoZero"/>
        <c:crossBetween val="midCat"/>
      </c:valAx>
      <c:valAx>
        <c:axId val="9223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'Armadura Negativo LE'!$AL$10</c:f>
              <c:strCache>
                <c:ptCount val="1"/>
                <c:pt idx="0">
                  <c:v>Coeficiente 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xVal>
            <c:numRef>
              <c:f>'Armadura Negativo LE'!$AM$9:$AW$9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40</c:v>
                </c:pt>
                <c:pt idx="10">
                  <c:v>70</c:v>
                </c:pt>
              </c:numCache>
            </c:numRef>
          </c:xVal>
          <c:yVal>
            <c:numRef>
              <c:f>'Armadura Negativo LE'!$AM$10:$AW$10</c:f>
              <c:numCache>
                <c:formatCode>General</c:formatCode>
                <c:ptCount val="11"/>
                <c:pt idx="0">
                  <c:v>0</c:v>
                </c:pt>
                <c:pt idx="1">
                  <c:v>0.54</c:v>
                </c:pt>
                <c:pt idx="2">
                  <c:v>0.68</c:v>
                </c:pt>
                <c:pt idx="3">
                  <c:v>0.84</c:v>
                </c:pt>
                <c:pt idx="4">
                  <c:v>0.95</c:v>
                </c:pt>
                <c:pt idx="5">
                  <c:v>1.04</c:v>
                </c:pt>
                <c:pt idx="6">
                  <c:v>1.1200000000000001</c:v>
                </c:pt>
                <c:pt idx="7">
                  <c:v>1.36</c:v>
                </c:pt>
                <c:pt idx="8">
                  <c:v>1.64</c:v>
                </c:pt>
                <c:pt idx="9">
                  <c:v>1.89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78-4699-9680-EAB6F62A2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267376"/>
        <c:axId val="2075258128"/>
      </c:scatterChart>
      <c:valAx>
        <c:axId val="20752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258128"/>
        <c:crosses val="autoZero"/>
        <c:crossBetween val="midCat"/>
      </c:valAx>
      <c:valAx>
        <c:axId val="20752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26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'Armadura Negativo LD'!$AL$10</c:f>
              <c:strCache>
                <c:ptCount val="1"/>
                <c:pt idx="0">
                  <c:v>Coeficiente 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xVal>
            <c:numRef>
              <c:f>'Armadura Negativo LD'!$AM$9:$AW$9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40</c:v>
                </c:pt>
                <c:pt idx="10">
                  <c:v>70</c:v>
                </c:pt>
              </c:numCache>
            </c:numRef>
          </c:xVal>
          <c:yVal>
            <c:numRef>
              <c:f>'Armadura Negativo LD'!$AM$10:$AW$10</c:f>
              <c:numCache>
                <c:formatCode>General</c:formatCode>
                <c:ptCount val="11"/>
                <c:pt idx="0">
                  <c:v>0</c:v>
                </c:pt>
                <c:pt idx="1">
                  <c:v>0.54</c:v>
                </c:pt>
                <c:pt idx="2">
                  <c:v>0.68</c:v>
                </c:pt>
                <c:pt idx="3">
                  <c:v>0.84</c:v>
                </c:pt>
                <c:pt idx="4">
                  <c:v>0.95</c:v>
                </c:pt>
                <c:pt idx="5">
                  <c:v>1.04</c:v>
                </c:pt>
                <c:pt idx="6">
                  <c:v>1.1200000000000001</c:v>
                </c:pt>
                <c:pt idx="7">
                  <c:v>1.36</c:v>
                </c:pt>
                <c:pt idx="8">
                  <c:v>1.64</c:v>
                </c:pt>
                <c:pt idx="9">
                  <c:v>1.89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99-4BED-AA80-C5ACCB628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267376"/>
        <c:axId val="2075258128"/>
      </c:scatterChart>
      <c:valAx>
        <c:axId val="20752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258128"/>
        <c:crosses val="autoZero"/>
        <c:crossBetween val="midCat"/>
      </c:valAx>
      <c:valAx>
        <c:axId val="20752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26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5.png"/><Relationship Id="rId18" Type="http://schemas.openxmlformats.org/officeDocument/2006/relationships/image" Target="../media/image7.png"/><Relationship Id="rId26" Type="http://schemas.openxmlformats.org/officeDocument/2006/relationships/image" Target="../media/image9.png"/><Relationship Id="rId3" Type="http://schemas.openxmlformats.org/officeDocument/2006/relationships/chart" Target="../charts/chart3.xml"/><Relationship Id="rId21" Type="http://schemas.openxmlformats.org/officeDocument/2006/relationships/chart" Target="../charts/chart12.xml"/><Relationship Id="rId7" Type="http://schemas.openxmlformats.org/officeDocument/2006/relationships/chart" Target="../charts/chart7.xml"/><Relationship Id="rId12" Type="http://schemas.openxmlformats.org/officeDocument/2006/relationships/chart" Target="../charts/chart8.xml"/><Relationship Id="rId17" Type="http://schemas.openxmlformats.org/officeDocument/2006/relationships/chart" Target="../charts/chart10.xml"/><Relationship Id="rId25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9.xml"/><Relationship Id="rId20" Type="http://schemas.openxmlformats.org/officeDocument/2006/relationships/chart" Target="../charts/chart1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24" Type="http://schemas.openxmlformats.org/officeDocument/2006/relationships/chart" Target="../charts/chart15.xml"/><Relationship Id="rId5" Type="http://schemas.openxmlformats.org/officeDocument/2006/relationships/chart" Target="../charts/chart5.xml"/><Relationship Id="rId15" Type="http://schemas.openxmlformats.org/officeDocument/2006/relationships/hyperlink" Target="#Resumo!H1"/><Relationship Id="rId23" Type="http://schemas.openxmlformats.org/officeDocument/2006/relationships/chart" Target="../charts/chart14.xml"/><Relationship Id="rId10" Type="http://schemas.openxmlformats.org/officeDocument/2006/relationships/image" Target="../media/image3.png"/><Relationship Id="rId19" Type="http://schemas.openxmlformats.org/officeDocument/2006/relationships/image" Target="../media/image8.png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image" Target="../media/image6.png"/><Relationship Id="rId22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image" Target="../media/image9.png"/><Relationship Id="rId1" Type="http://schemas.openxmlformats.org/officeDocument/2006/relationships/chart" Target="../charts/chart18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chart" Target="../charts/chart44.xml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chart" Target="../charts/chart45.xml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134950</xdr:colOff>
      <xdr:row>9</xdr:row>
      <xdr:rowOff>170649</xdr:rowOff>
    </xdr:from>
    <xdr:to>
      <xdr:col>42</xdr:col>
      <xdr:colOff>163285</xdr:colOff>
      <xdr:row>32</xdr:row>
      <xdr:rowOff>143436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8601F4-4E9C-2120-7C74-CE927A90C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4802</xdr:colOff>
      <xdr:row>442</xdr:row>
      <xdr:rowOff>187699</xdr:rowOff>
    </xdr:from>
    <xdr:to>
      <xdr:col>14</xdr:col>
      <xdr:colOff>0</xdr:colOff>
      <xdr:row>473</xdr:row>
      <xdr:rowOff>112059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98E74C82-1BB2-9785-776B-AB1353E16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7328</xdr:colOff>
      <xdr:row>357</xdr:row>
      <xdr:rowOff>39943</xdr:rowOff>
    </xdr:from>
    <xdr:to>
      <xdr:col>13</xdr:col>
      <xdr:colOff>851648</xdr:colOff>
      <xdr:row>390</xdr:row>
      <xdr:rowOff>80844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426552D-A06D-47CF-A325-9414C3871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27214</xdr:colOff>
      <xdr:row>686</xdr:row>
      <xdr:rowOff>168090</xdr:rowOff>
    </xdr:from>
    <xdr:to>
      <xdr:col>14</xdr:col>
      <xdr:colOff>0</xdr:colOff>
      <xdr:row>711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E3E67-996E-4426-BA81-040826BF0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27216</xdr:colOff>
      <xdr:row>610</xdr:row>
      <xdr:rowOff>21134</xdr:rowOff>
    </xdr:from>
    <xdr:to>
      <xdr:col>14</xdr:col>
      <xdr:colOff>0</xdr:colOff>
      <xdr:row>636</xdr:row>
      <xdr:rowOff>92850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BD2927-CB01-4F78-BC03-8FA31D419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71720</xdr:colOff>
      <xdr:row>32</xdr:row>
      <xdr:rowOff>19369</xdr:rowOff>
    </xdr:from>
    <xdr:to>
      <xdr:col>42</xdr:col>
      <xdr:colOff>95250</xdr:colOff>
      <xdr:row>68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7DCD1AF-992F-4860-A61F-6BBE01644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27216</xdr:colOff>
      <xdr:row>797</xdr:row>
      <xdr:rowOff>96368</xdr:rowOff>
    </xdr:from>
    <xdr:to>
      <xdr:col>14</xdr:col>
      <xdr:colOff>1</xdr:colOff>
      <xdr:row>819</xdr:row>
      <xdr:rowOff>13607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0A78B2-2CAC-760D-AF94-C2FA51210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432546</xdr:colOff>
      <xdr:row>845</xdr:row>
      <xdr:rowOff>118783</xdr:rowOff>
    </xdr:from>
    <xdr:to>
      <xdr:col>11</xdr:col>
      <xdr:colOff>1102003</xdr:colOff>
      <xdr:row>849</xdr:row>
      <xdr:rowOff>352560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1BB0B06-61DB-889B-4FAD-DBA0CF314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3870" y="160206018"/>
          <a:ext cx="4905280" cy="1208689"/>
        </a:xfrm>
        <a:prstGeom prst="rect">
          <a:avLst/>
        </a:prstGeom>
      </xdr:spPr>
    </xdr:pic>
    <xdr:clientData/>
  </xdr:twoCellAnchor>
  <xdr:twoCellAnchor editAs="oneCell">
    <xdr:from>
      <xdr:col>9</xdr:col>
      <xdr:colOff>232123</xdr:colOff>
      <xdr:row>1041</xdr:row>
      <xdr:rowOff>12806</xdr:rowOff>
    </xdr:from>
    <xdr:to>
      <xdr:col>13</xdr:col>
      <xdr:colOff>456198</xdr:colOff>
      <xdr:row>1052</xdr:row>
      <xdr:rowOff>32151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D7F889A-F775-BB22-F6F0-4D749B2CA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87447" y="201203218"/>
          <a:ext cx="5412398" cy="2114845"/>
        </a:xfrm>
        <a:prstGeom prst="rect">
          <a:avLst/>
        </a:prstGeom>
      </xdr:spPr>
    </xdr:pic>
    <xdr:clientData/>
  </xdr:twoCellAnchor>
  <xdr:twoCellAnchor editAs="oneCell">
    <xdr:from>
      <xdr:col>8</xdr:col>
      <xdr:colOff>348184</xdr:colOff>
      <xdr:row>1059</xdr:row>
      <xdr:rowOff>88845</xdr:rowOff>
    </xdr:from>
    <xdr:to>
      <xdr:col>13</xdr:col>
      <xdr:colOff>153313</xdr:colOff>
      <xdr:row>1069</xdr:row>
      <xdr:rowOff>172130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A86701-D5E3-1013-3F72-F86B4E110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35537" y="145910992"/>
          <a:ext cx="6517452" cy="2021903"/>
        </a:xfrm>
        <a:prstGeom prst="rect">
          <a:avLst/>
        </a:prstGeom>
      </xdr:spPr>
    </xdr:pic>
    <xdr:clientData/>
  </xdr:twoCellAnchor>
  <xdr:twoCellAnchor editAs="oneCell">
    <xdr:from>
      <xdr:col>8</xdr:col>
      <xdr:colOff>481051</xdr:colOff>
      <xdr:row>1055</xdr:row>
      <xdr:rowOff>116059</xdr:rowOff>
    </xdr:from>
    <xdr:to>
      <xdr:col>12</xdr:col>
      <xdr:colOff>876626</xdr:colOff>
      <xdr:row>1059</xdr:row>
      <xdr:rowOff>116165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4E1B841-1118-C40B-309F-53556D613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12375" y="203614883"/>
          <a:ext cx="5774398" cy="762106"/>
        </a:xfrm>
        <a:prstGeom prst="rect">
          <a:avLst/>
        </a:prstGeom>
      </xdr:spPr>
    </xdr:pic>
    <xdr:clientData/>
  </xdr:twoCellAnchor>
  <xdr:twoCellAnchor>
    <xdr:from>
      <xdr:col>43</xdr:col>
      <xdr:colOff>236123</xdr:colOff>
      <xdr:row>62</xdr:row>
      <xdr:rowOff>112059</xdr:rowOff>
    </xdr:from>
    <xdr:to>
      <xdr:col>57</xdr:col>
      <xdr:colOff>499460</xdr:colOff>
      <xdr:row>78</xdr:row>
      <xdr:rowOff>84843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96CCE3C-2E61-4167-B5B4-40EF33CFB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13</xdr:col>
      <xdr:colOff>840443</xdr:colOff>
      <xdr:row>1070</xdr:row>
      <xdr:rowOff>78439</xdr:rowOff>
    </xdr:from>
    <xdr:to>
      <xdr:col>18</xdr:col>
      <xdr:colOff>347383</xdr:colOff>
      <xdr:row>1081</xdr:row>
      <xdr:rowOff>7009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6CA9AB4-6A95-9396-9082-5A496C87A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40119" y="146292792"/>
          <a:ext cx="4964205" cy="2057687"/>
        </a:xfrm>
        <a:prstGeom prst="rect">
          <a:avLst/>
        </a:prstGeom>
      </xdr:spPr>
    </xdr:pic>
    <xdr:clientData/>
  </xdr:twoCellAnchor>
  <xdr:twoCellAnchor editAs="oneCell">
    <xdr:from>
      <xdr:col>13</xdr:col>
      <xdr:colOff>851647</xdr:colOff>
      <xdr:row>1080</xdr:row>
      <xdr:rowOff>168089</xdr:rowOff>
    </xdr:from>
    <xdr:to>
      <xdr:col>18</xdr:col>
      <xdr:colOff>652916</xdr:colOff>
      <xdr:row>1091</xdr:row>
      <xdr:rowOff>187434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120BF90-C5CD-2613-8E40-ECA6CA18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51323" y="148321060"/>
          <a:ext cx="5258534" cy="2114845"/>
        </a:xfrm>
        <a:prstGeom prst="rect">
          <a:avLst/>
        </a:prstGeom>
      </xdr:spPr>
    </xdr:pic>
    <xdr:clientData/>
  </xdr:twoCellAnchor>
  <xdr:twoCellAnchor>
    <xdr:from>
      <xdr:col>9</xdr:col>
      <xdr:colOff>762000</xdr:colOff>
      <xdr:row>5</xdr:row>
      <xdr:rowOff>44824</xdr:rowOff>
    </xdr:from>
    <xdr:to>
      <xdr:col>10</xdr:col>
      <xdr:colOff>829236</xdr:colOff>
      <xdr:row>8</xdr:row>
      <xdr:rowOff>22412</xdr:rowOff>
    </xdr:to>
    <xdr:sp macro="" textlink="">
      <xdr:nvSpPr>
        <xdr:cNvPr id="7" name="Retângulo: Cantos Arredondados 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421F277-09FB-4CDA-B415-02B55013DDB1}"/>
            </a:ext>
          </a:extLst>
        </xdr:cNvPr>
        <xdr:cNvSpPr/>
      </xdr:nvSpPr>
      <xdr:spPr>
        <a:xfrm>
          <a:off x="8617324" y="425824"/>
          <a:ext cx="1176618" cy="560294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" panose="020B0604020202020204" pitchFamily="34" charset="0"/>
              <a:cs typeface="Arial" panose="020B0604020202020204" pitchFamily="34" charset="0"/>
            </a:rPr>
            <a:t>Resumo</a:t>
          </a:r>
        </a:p>
      </xdr:txBody>
    </xdr:sp>
    <xdr:clientData/>
  </xdr:twoCellAnchor>
  <xdr:twoCellAnchor>
    <xdr:from>
      <xdr:col>14</xdr:col>
      <xdr:colOff>56031</xdr:colOff>
      <xdr:row>118</xdr:row>
      <xdr:rowOff>0</xdr:rowOff>
    </xdr:from>
    <xdr:to>
      <xdr:col>21</xdr:col>
      <xdr:colOff>543492</xdr:colOff>
      <xdr:row>129</xdr:row>
      <xdr:rowOff>179293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763A8A7-3599-4EFF-9FD5-2CAD919F6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22412</xdr:colOff>
      <xdr:row>1250</xdr:row>
      <xdr:rowOff>168086</xdr:rowOff>
    </xdr:from>
    <xdr:to>
      <xdr:col>14</xdr:col>
      <xdr:colOff>0</xdr:colOff>
      <xdr:row>1265</xdr:row>
      <xdr:rowOff>154639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EFA0EC0-E855-443C-A660-86DB87C5A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6</xdr:col>
      <xdr:colOff>224118</xdr:colOff>
      <xdr:row>1270</xdr:row>
      <xdr:rowOff>22413</xdr:rowOff>
    </xdr:from>
    <xdr:to>
      <xdr:col>6</xdr:col>
      <xdr:colOff>1129119</xdr:colOff>
      <xdr:row>1272</xdr:row>
      <xdr:rowOff>155835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131B4EA-2109-44E5-AFFF-A98D4F1A6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10853" y="238349119"/>
          <a:ext cx="905001" cy="514422"/>
        </a:xfrm>
        <a:prstGeom prst="rect">
          <a:avLst/>
        </a:prstGeom>
      </xdr:spPr>
    </xdr:pic>
    <xdr:clientData/>
  </xdr:twoCellAnchor>
  <xdr:twoCellAnchor editAs="oneCell">
    <xdr:from>
      <xdr:col>8</xdr:col>
      <xdr:colOff>582705</xdr:colOff>
      <xdr:row>1269</xdr:row>
      <xdr:rowOff>179294</xdr:rowOff>
    </xdr:from>
    <xdr:to>
      <xdr:col>13</xdr:col>
      <xdr:colOff>666994</xdr:colOff>
      <xdr:row>1282</xdr:row>
      <xdr:rowOff>179292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50D6451-2BD6-4937-BCF9-EA55EE6A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970058" y="236410500"/>
          <a:ext cx="6796612" cy="2476498"/>
        </a:xfrm>
        <a:prstGeom prst="rect">
          <a:avLst/>
        </a:prstGeom>
      </xdr:spPr>
    </xdr:pic>
    <xdr:clientData/>
  </xdr:twoCellAnchor>
  <xdr:oneCellAnchor>
    <xdr:from>
      <xdr:col>6</xdr:col>
      <xdr:colOff>11206</xdr:colOff>
      <xdr:row>1296</xdr:row>
      <xdr:rowOff>145677</xdr:rowOff>
    </xdr:from>
    <xdr:ext cx="3444690" cy="2879460"/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B044CC90-E0A8-41F1-A57B-DAD4BD311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8</xdr:col>
      <xdr:colOff>755835</xdr:colOff>
      <xdr:row>1296</xdr:row>
      <xdr:rowOff>145677</xdr:rowOff>
    </xdr:from>
    <xdr:ext cx="3596530" cy="2879100"/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C273922E-A91B-4D6E-A4BF-8C59DE854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11</xdr:col>
      <xdr:colOff>114296</xdr:colOff>
      <xdr:row>1296</xdr:row>
      <xdr:rowOff>145677</xdr:rowOff>
    </xdr:from>
    <xdr:ext cx="3218336" cy="2879460"/>
    <xdr:graphicFrame macro="">
      <xdr:nvGraphicFramePr>
        <xdr:cNvPr id="21" name="Chart 4">
          <a:extLst>
            <a:ext uri="{FF2B5EF4-FFF2-40B4-BE49-F238E27FC236}">
              <a16:creationId xmlns:a16="http://schemas.microsoft.com/office/drawing/2014/main" id="{56F93A51-089B-45E6-A01A-3DC8C9F63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6</xdr:col>
      <xdr:colOff>12328</xdr:colOff>
      <xdr:row>1311</xdr:row>
      <xdr:rowOff>164727</xdr:rowOff>
    </xdr:from>
    <xdr:ext cx="3465980" cy="2879820"/>
    <xdr:graphicFrame macro="">
      <xdr:nvGraphicFramePr>
        <xdr:cNvPr id="22" name="Chart 5">
          <a:extLst>
            <a:ext uri="{FF2B5EF4-FFF2-40B4-BE49-F238E27FC236}">
              <a16:creationId xmlns:a16="http://schemas.microsoft.com/office/drawing/2014/main" id="{46496BEC-2472-4776-B008-AA374508A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8</xdr:col>
      <xdr:colOff>773202</xdr:colOff>
      <xdr:row>1311</xdr:row>
      <xdr:rowOff>164727</xdr:rowOff>
    </xdr:from>
    <xdr:ext cx="3489517" cy="2879460"/>
    <xdr:graphicFrame macro="">
      <xdr:nvGraphicFramePr>
        <xdr:cNvPr id="23" name="Chart 6">
          <a:extLst>
            <a:ext uri="{FF2B5EF4-FFF2-40B4-BE49-F238E27FC236}">
              <a16:creationId xmlns:a16="http://schemas.microsoft.com/office/drawing/2014/main" id="{64073084-0B58-465C-A83B-7200F0BD0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10</xdr:col>
      <xdr:colOff>1507752</xdr:colOff>
      <xdr:row>1311</xdr:row>
      <xdr:rowOff>164727</xdr:rowOff>
    </xdr:from>
    <xdr:ext cx="3427320" cy="2879460"/>
    <xdr:graphicFrame macro="">
      <xdr:nvGraphicFramePr>
        <xdr:cNvPr id="24" name="Chart 7">
          <a:extLst>
            <a:ext uri="{FF2B5EF4-FFF2-40B4-BE49-F238E27FC236}">
              <a16:creationId xmlns:a16="http://schemas.microsoft.com/office/drawing/2014/main" id="{99EB272E-169E-4070-BA4F-3717D36C1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twoCellAnchor editAs="oneCell">
    <xdr:from>
      <xdr:col>13</xdr:col>
      <xdr:colOff>862854</xdr:colOff>
      <xdr:row>1288</xdr:row>
      <xdr:rowOff>11205</xdr:rowOff>
    </xdr:from>
    <xdr:to>
      <xdr:col>18</xdr:col>
      <xdr:colOff>56030</xdr:colOff>
      <xdr:row>1298</xdr:row>
      <xdr:rowOff>123265</xdr:rowOff>
    </xdr:to>
    <xdr:pic>
      <xdr:nvPicPr>
        <xdr:cNvPr id="25" name="Imagem 2">
          <a:extLst>
            <a:ext uri="{FF2B5EF4-FFF2-40B4-BE49-F238E27FC236}">
              <a16:creationId xmlns:a16="http://schemas.microsoft.com/office/drawing/2014/main" id="{79AB7472-F980-4CDD-82FD-AF28BFF0F9F8}"/>
            </a:ext>
          </a:extLst>
        </xdr:cNvPr>
        <xdr:cNvPicPr/>
      </xdr:nvPicPr>
      <xdr:blipFill>
        <a:blip xmlns:r="http://schemas.openxmlformats.org/officeDocument/2006/relationships" r:embed="rId26"/>
        <a:srcRect r="17329" b="8504"/>
        <a:stretch/>
      </xdr:blipFill>
      <xdr:spPr>
        <a:xfrm>
          <a:off x="13962530" y="183193764"/>
          <a:ext cx="4650441" cy="221876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376197</xdr:colOff>
      <xdr:row>4</xdr:row>
      <xdr:rowOff>156082</xdr:rowOff>
    </xdr:from>
    <xdr:to>
      <xdr:col>15</xdr:col>
      <xdr:colOff>229772</xdr:colOff>
      <xdr:row>21</xdr:row>
      <xdr:rowOff>51758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C2B3E4-8493-43FF-9F55-BB8E7AF7F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5991" y="918082"/>
          <a:ext cx="2061134" cy="3134176"/>
        </a:xfrm>
        <a:prstGeom prst="rect">
          <a:avLst/>
        </a:prstGeom>
      </xdr:spPr>
    </xdr:pic>
    <xdr:clientData/>
  </xdr:twoCellAnchor>
  <xdr:twoCellAnchor editAs="oneCell">
    <xdr:from>
      <xdr:col>15</xdr:col>
      <xdr:colOff>164645</xdr:colOff>
      <xdr:row>2</xdr:row>
      <xdr:rowOff>172573</xdr:rowOff>
    </xdr:from>
    <xdr:to>
      <xdr:col>23</xdr:col>
      <xdr:colOff>370354</xdr:colOff>
      <xdr:row>21</xdr:row>
      <xdr:rowOff>53174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91A92A-EE18-40C7-BF08-464F7B0C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1998" y="553573"/>
          <a:ext cx="5046650" cy="3500101"/>
        </a:xfrm>
        <a:prstGeom prst="rect">
          <a:avLst/>
        </a:prstGeom>
      </xdr:spPr>
    </xdr:pic>
    <xdr:clientData/>
  </xdr:twoCellAnchor>
  <xdr:oneCellAnchor>
    <xdr:from>
      <xdr:col>12</xdr:col>
      <xdr:colOff>432227</xdr:colOff>
      <xdr:row>25</xdr:row>
      <xdr:rowOff>88848</xdr:rowOff>
    </xdr:from>
    <xdr:ext cx="2061134" cy="3134176"/>
    <xdr:pic>
      <xdr:nvPicPr>
        <xdr:cNvPr id="4" name="Imagem 3">
          <a:extLst>
            <a:ext uri="{FF2B5EF4-FFF2-40B4-BE49-F238E27FC236}">
              <a16:creationId xmlns:a16="http://schemas.microsoft.com/office/drawing/2014/main" id="{0B8FAF12-A63F-4F80-92E1-92A2F51E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2277" y="4851348"/>
          <a:ext cx="2061134" cy="3134176"/>
        </a:xfrm>
        <a:prstGeom prst="rect">
          <a:avLst/>
        </a:prstGeom>
      </xdr:spPr>
    </xdr:pic>
    <xdr:clientData/>
  </xdr:oneCellAnchor>
  <xdr:oneCellAnchor>
    <xdr:from>
      <xdr:col>15</xdr:col>
      <xdr:colOff>243086</xdr:colOff>
      <xdr:row>23</xdr:row>
      <xdr:rowOff>49308</xdr:rowOff>
    </xdr:from>
    <xdr:ext cx="5046650" cy="3500101"/>
    <xdr:pic>
      <xdr:nvPicPr>
        <xdr:cNvPr id="5" name="Imagem 4">
          <a:extLst>
            <a:ext uri="{FF2B5EF4-FFF2-40B4-BE49-F238E27FC236}">
              <a16:creationId xmlns:a16="http://schemas.microsoft.com/office/drawing/2014/main" id="{CEBB71E0-6DF4-4A13-A3C4-D717A4FF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82461" y="4430808"/>
          <a:ext cx="5046650" cy="35001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22412</xdr:rowOff>
    </xdr:from>
    <xdr:to>
      <xdr:col>16</xdr:col>
      <xdr:colOff>577903</xdr:colOff>
      <xdr:row>78</xdr:row>
      <xdr:rowOff>186180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3ACDB1-39BD-4310-9299-53EC06451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53</xdr:row>
      <xdr:rowOff>9525</xdr:rowOff>
    </xdr:from>
    <xdr:ext cx="4343400" cy="2879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C5EFE-3C00-442D-8980-7612CF5BE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520560</xdr:colOff>
      <xdr:row>12</xdr:row>
      <xdr:rowOff>19200</xdr:rowOff>
    </xdr:from>
    <xdr:ext cx="4859655" cy="1846440"/>
    <xdr:pic>
      <xdr:nvPicPr>
        <xdr:cNvPr id="3" name="Imagem 2">
          <a:extLst>
            <a:ext uri="{FF2B5EF4-FFF2-40B4-BE49-F238E27FC236}">
              <a16:creationId xmlns:a16="http://schemas.microsoft.com/office/drawing/2014/main" id="{3B0F1CC0-8D02-4CFA-9E69-6F1D6DA63F5F}"/>
            </a:ext>
          </a:extLst>
        </xdr:cNvPr>
        <xdr:cNvPicPr/>
      </xdr:nvPicPr>
      <xdr:blipFill>
        <a:blip xmlns:r="http://schemas.openxmlformats.org/officeDocument/2006/relationships" r:embed="rId2"/>
        <a:srcRect r="17329" b="8504"/>
        <a:stretch/>
      </xdr:blipFill>
      <xdr:spPr>
        <a:xfrm>
          <a:off x="5987910" y="2571900"/>
          <a:ext cx="4859655" cy="18464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9</xdr:col>
      <xdr:colOff>0</xdr:colOff>
      <xdr:row>131</xdr:row>
      <xdr:rowOff>0</xdr:rowOff>
    </xdr:from>
    <xdr:ext cx="3444690" cy="287946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19030183-CFF8-41C7-B847-AA24A0AEC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368672</xdr:colOff>
      <xdr:row>131</xdr:row>
      <xdr:rowOff>0</xdr:rowOff>
    </xdr:from>
    <xdr:ext cx="3596530" cy="2879100"/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B71AD5C-CE41-4144-8DA5-3ABAC8560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20</xdr:col>
      <xdr:colOff>305356</xdr:colOff>
      <xdr:row>131</xdr:row>
      <xdr:rowOff>0</xdr:rowOff>
    </xdr:from>
    <xdr:ext cx="3218336" cy="2879460"/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B059BE63-5FF5-48EA-A01A-E3C5ED298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1122</xdr:colOff>
      <xdr:row>146</xdr:row>
      <xdr:rowOff>19050</xdr:rowOff>
    </xdr:from>
    <xdr:ext cx="3465980" cy="2879820"/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B230589-8940-4D6A-B169-EF845CDA1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14</xdr:col>
      <xdr:colOff>386039</xdr:colOff>
      <xdr:row>146</xdr:row>
      <xdr:rowOff>19050</xdr:rowOff>
    </xdr:from>
    <xdr:ext cx="3489517" cy="2879460"/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166308F9-D405-4485-89FD-F4CF5B0F5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20</xdr:col>
      <xdr:colOff>96371</xdr:colOff>
      <xdr:row>146</xdr:row>
      <xdr:rowOff>19050</xdr:rowOff>
    </xdr:from>
    <xdr:ext cx="3427320" cy="2879460"/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99E4212D-970D-4367-96D7-61F0E6295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16566</xdr:colOff>
      <xdr:row>95</xdr:row>
      <xdr:rowOff>19050</xdr:rowOff>
    </xdr:from>
    <xdr:to>
      <xdr:col>16</xdr:col>
      <xdr:colOff>596347</xdr:colOff>
      <xdr:row>117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2B4D89-8715-4AD3-8360-E01953EA0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17809</xdr:colOff>
      <xdr:row>117</xdr:row>
      <xdr:rowOff>9525</xdr:rowOff>
    </xdr:from>
    <xdr:to>
      <xdr:col>16</xdr:col>
      <xdr:colOff>597591</xdr:colOff>
      <xdr:row>139</xdr:row>
      <xdr:rowOff>176420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78B7D6-23C0-4AB7-9B65-CC49ABE1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16566</xdr:colOff>
      <xdr:row>142</xdr:row>
      <xdr:rowOff>57151</xdr:rowOff>
    </xdr:from>
    <xdr:to>
      <xdr:col>16</xdr:col>
      <xdr:colOff>588065</xdr:colOff>
      <xdr:row>165</xdr:row>
      <xdr:rowOff>50111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E884C5-7C16-45C4-9A90-BC7706F73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16565</xdr:colOff>
      <xdr:row>165</xdr:row>
      <xdr:rowOff>48866</xdr:rowOff>
    </xdr:from>
    <xdr:to>
      <xdr:col>16</xdr:col>
      <xdr:colOff>590550</xdr:colOff>
      <xdr:row>187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016F79-8AE5-413A-8797-A31040B83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187</xdr:row>
      <xdr:rowOff>171450</xdr:rowOff>
    </xdr:from>
    <xdr:to>
      <xdr:col>16</xdr:col>
      <xdr:colOff>590550</xdr:colOff>
      <xdr:row>210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BD7061-EAC2-41F9-9D94-C8C112A19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19051</xdr:colOff>
      <xdr:row>48</xdr:row>
      <xdr:rowOff>19051</xdr:rowOff>
    </xdr:from>
    <xdr:to>
      <xdr:col>16</xdr:col>
      <xdr:colOff>600076</xdr:colOff>
      <xdr:row>60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9C13EA-73EE-4C7B-851D-3582680B9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22413</xdr:colOff>
      <xdr:row>22</xdr:row>
      <xdr:rowOff>180415</xdr:rowOff>
    </xdr:from>
    <xdr:to>
      <xdr:col>11</xdr:col>
      <xdr:colOff>0</xdr:colOff>
      <xdr:row>37</xdr:row>
      <xdr:rowOff>66115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B5FB9D-E7E3-4495-B0D0-3248BD010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16809</xdr:colOff>
      <xdr:row>37</xdr:row>
      <xdr:rowOff>45944</xdr:rowOff>
    </xdr:from>
    <xdr:to>
      <xdr:col>10</xdr:col>
      <xdr:colOff>16809</xdr:colOff>
      <xdr:row>51</xdr:row>
      <xdr:rowOff>122144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2ECB4-9BC4-4AFB-B727-A10EA7977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56031</xdr:colOff>
      <xdr:row>24</xdr:row>
      <xdr:rowOff>90768</xdr:rowOff>
    </xdr:from>
    <xdr:to>
      <xdr:col>22</xdr:col>
      <xdr:colOff>280149</xdr:colOff>
      <xdr:row>38</xdr:row>
      <xdr:rowOff>166968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54BE5D-C2E0-417A-B6D5-5FB6033DA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61632</xdr:colOff>
      <xdr:row>38</xdr:row>
      <xdr:rowOff>169208</xdr:rowOff>
    </xdr:from>
    <xdr:to>
      <xdr:col>21</xdr:col>
      <xdr:colOff>61631</xdr:colOff>
      <xdr:row>53</xdr:row>
      <xdr:rowOff>54908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A6B7F8-FFB2-41C2-B1DA-5C360C9B1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257736</xdr:colOff>
      <xdr:row>23</xdr:row>
      <xdr:rowOff>12327</xdr:rowOff>
    </xdr:from>
    <xdr:to>
      <xdr:col>33</xdr:col>
      <xdr:colOff>481854</xdr:colOff>
      <xdr:row>37</xdr:row>
      <xdr:rowOff>88527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2B13C2-F5F5-4BED-B229-BD32DA3A8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44824</xdr:colOff>
      <xdr:row>39</xdr:row>
      <xdr:rowOff>56029</xdr:rowOff>
    </xdr:from>
    <xdr:to>
      <xdr:col>32</xdr:col>
      <xdr:colOff>44823</xdr:colOff>
      <xdr:row>53</xdr:row>
      <xdr:rowOff>132229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AFA1DF0-4735-49DB-A6B1-6C13E2799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74</xdr:row>
      <xdr:rowOff>104775</xdr:rowOff>
    </xdr:from>
    <xdr:to>
      <xdr:col>5</xdr:col>
      <xdr:colOff>400050</xdr:colOff>
      <xdr:row>78</xdr:row>
      <xdr:rowOff>133350</xdr:rowOff>
    </xdr:to>
    <xdr:sp macro="" textlink="">
      <xdr:nvSpPr>
        <xdr:cNvPr id="2" name="Text Box 16">
          <a:extLst>
            <a:ext uri="{FF2B5EF4-FFF2-40B4-BE49-F238E27FC236}">
              <a16:creationId xmlns:a16="http://schemas.microsoft.com/office/drawing/2014/main" id="{1CDAEE54-7339-422A-A708-F4FF33C20862}"/>
            </a:ext>
          </a:extLst>
        </xdr:cNvPr>
        <xdr:cNvSpPr txBox="1">
          <a:spLocks noChangeArrowheads="1"/>
        </xdr:cNvSpPr>
      </xdr:nvSpPr>
      <xdr:spPr bwMode="auto">
        <a:xfrm>
          <a:off x="1981200" y="14239875"/>
          <a:ext cx="1466850" cy="790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Continue typing below, number of input lines is unlimited</a:t>
          </a:r>
        </a:p>
      </xdr:txBody>
    </xdr:sp>
    <xdr:clientData/>
  </xdr:twoCellAnchor>
  <xdr:twoCellAnchor>
    <xdr:from>
      <xdr:col>3</xdr:col>
      <xdr:colOff>498656</xdr:colOff>
      <xdr:row>18</xdr:row>
      <xdr:rowOff>112058</xdr:rowOff>
    </xdr:from>
    <xdr:to>
      <xdr:col>16</xdr:col>
      <xdr:colOff>504264</xdr:colOff>
      <xdr:row>31</xdr:row>
      <xdr:rowOff>44822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B30D10-E55C-41C2-A460-237435006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588307</xdr:colOff>
      <xdr:row>18</xdr:row>
      <xdr:rowOff>96370</xdr:rowOff>
    </xdr:from>
    <xdr:to>
      <xdr:col>15</xdr:col>
      <xdr:colOff>557893</xdr:colOff>
      <xdr:row>32</xdr:row>
      <xdr:rowOff>172570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E5A70-B08A-4F1C-8E98-0D78E6A46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588304</xdr:colOff>
      <xdr:row>20</xdr:row>
      <xdr:rowOff>174809</xdr:rowOff>
    </xdr:from>
    <xdr:to>
      <xdr:col>16</xdr:col>
      <xdr:colOff>557890</xdr:colOff>
      <xdr:row>35</xdr:row>
      <xdr:rowOff>60509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1952C3-9E96-47CF-ADF8-F2AD916E3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257734</xdr:colOff>
      <xdr:row>130</xdr:row>
      <xdr:rowOff>33617</xdr:rowOff>
    </xdr:from>
    <xdr:to>
      <xdr:col>17</xdr:col>
      <xdr:colOff>462643</xdr:colOff>
      <xdr:row>144</xdr:row>
      <xdr:rowOff>109817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CE7570-5C0E-4A40-9700-5F2D58ED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74</xdr:row>
      <xdr:rowOff>104775</xdr:rowOff>
    </xdr:from>
    <xdr:to>
      <xdr:col>5</xdr:col>
      <xdr:colOff>400050</xdr:colOff>
      <xdr:row>78</xdr:row>
      <xdr:rowOff>133350</xdr:rowOff>
    </xdr:to>
    <xdr:sp macro="" textlink="">
      <xdr:nvSpPr>
        <xdr:cNvPr id="2" name="Text Box 16">
          <a:extLst>
            <a:ext uri="{FF2B5EF4-FFF2-40B4-BE49-F238E27FC236}">
              <a16:creationId xmlns:a16="http://schemas.microsoft.com/office/drawing/2014/main" id="{5E420B20-4664-42F1-90ED-7F5F58FD9005}"/>
            </a:ext>
          </a:extLst>
        </xdr:cNvPr>
        <xdr:cNvSpPr txBox="1">
          <a:spLocks noChangeArrowheads="1"/>
        </xdr:cNvSpPr>
      </xdr:nvSpPr>
      <xdr:spPr bwMode="auto">
        <a:xfrm>
          <a:off x="1981200" y="14239875"/>
          <a:ext cx="1466850" cy="790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Continue typing below, number of input lines is unlimited</a:t>
          </a:r>
        </a:p>
      </xdr:txBody>
    </xdr:sp>
    <xdr:clientData/>
  </xdr:twoCellAnchor>
  <xdr:twoCellAnchor>
    <xdr:from>
      <xdr:col>4</xdr:col>
      <xdr:colOff>588304</xdr:colOff>
      <xdr:row>20</xdr:row>
      <xdr:rowOff>174809</xdr:rowOff>
    </xdr:from>
    <xdr:to>
      <xdr:col>16</xdr:col>
      <xdr:colOff>557890</xdr:colOff>
      <xdr:row>35</xdr:row>
      <xdr:rowOff>60509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0F7E29-2E35-4B34-AC59-89F9985D1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95252</xdr:colOff>
      <xdr:row>5</xdr:row>
      <xdr:rowOff>12326</xdr:rowOff>
    </xdr:from>
    <xdr:to>
      <xdr:col>20</xdr:col>
      <xdr:colOff>431428</xdr:colOff>
      <xdr:row>19</xdr:row>
      <xdr:rowOff>88526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C5492-9460-4102-989F-C141CFAB9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74</xdr:row>
      <xdr:rowOff>104775</xdr:rowOff>
    </xdr:from>
    <xdr:to>
      <xdr:col>5</xdr:col>
      <xdr:colOff>400050</xdr:colOff>
      <xdr:row>78</xdr:row>
      <xdr:rowOff>133350</xdr:rowOff>
    </xdr:to>
    <xdr:sp macro="" textlink="">
      <xdr:nvSpPr>
        <xdr:cNvPr id="2" name="Text Box 16">
          <a:extLst>
            <a:ext uri="{FF2B5EF4-FFF2-40B4-BE49-F238E27FC236}">
              <a16:creationId xmlns:a16="http://schemas.microsoft.com/office/drawing/2014/main" id="{B67AA870-7B52-4FFA-9F4A-2EE9D12E499B}"/>
            </a:ext>
          </a:extLst>
        </xdr:cNvPr>
        <xdr:cNvSpPr txBox="1">
          <a:spLocks noChangeArrowheads="1"/>
        </xdr:cNvSpPr>
      </xdr:nvSpPr>
      <xdr:spPr bwMode="auto">
        <a:xfrm>
          <a:off x="1981200" y="14239875"/>
          <a:ext cx="1466850" cy="790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Continue typing below, number of input lines is unlimited</a:t>
          </a:r>
        </a:p>
      </xdr:txBody>
    </xdr:sp>
    <xdr:clientData/>
  </xdr:twoCellAnchor>
  <xdr:twoCellAnchor>
    <xdr:from>
      <xdr:col>3</xdr:col>
      <xdr:colOff>588307</xdr:colOff>
      <xdr:row>18</xdr:row>
      <xdr:rowOff>96370</xdr:rowOff>
    </xdr:from>
    <xdr:to>
      <xdr:col>13</xdr:col>
      <xdr:colOff>302558</xdr:colOff>
      <xdr:row>32</xdr:row>
      <xdr:rowOff>172570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079AC0-29D6-4F99-9FA4-E92D17340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296741</xdr:colOff>
      <xdr:row>19</xdr:row>
      <xdr:rowOff>226401</xdr:rowOff>
    </xdr:from>
    <xdr:ext cx="1161490" cy="215411"/>
    <xdr:pic>
      <xdr:nvPicPr>
        <xdr:cNvPr id="2" name="Imagem 1">
          <a:extLst>
            <a:ext uri="{FF2B5EF4-FFF2-40B4-BE49-F238E27FC236}">
              <a16:creationId xmlns:a16="http://schemas.microsoft.com/office/drawing/2014/main" id="{9862F266-C800-43D3-B878-643C2D647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041" y="4007826"/>
          <a:ext cx="1161490" cy="215411"/>
        </a:xfrm>
        <a:prstGeom prst="rect">
          <a:avLst/>
        </a:prstGeom>
      </xdr:spPr>
    </xdr:pic>
    <xdr:clientData/>
  </xdr:oneCellAnchor>
  <xdr:oneCellAnchor>
    <xdr:from>
      <xdr:col>7</xdr:col>
      <xdr:colOff>467457</xdr:colOff>
      <xdr:row>21</xdr:row>
      <xdr:rowOff>135692</xdr:rowOff>
    </xdr:from>
    <xdr:ext cx="2730358" cy="505369"/>
    <xdr:pic>
      <xdr:nvPicPr>
        <xdr:cNvPr id="3" name="Imagem 2">
          <a:extLst>
            <a:ext uri="{FF2B5EF4-FFF2-40B4-BE49-F238E27FC236}">
              <a16:creationId xmlns:a16="http://schemas.microsoft.com/office/drawing/2014/main" id="{F448D068-540C-4C51-BA8C-4E69AF718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7557" y="4345742"/>
          <a:ext cx="2730358" cy="505369"/>
        </a:xfrm>
        <a:prstGeom prst="rect">
          <a:avLst/>
        </a:prstGeom>
      </xdr:spPr>
    </xdr:pic>
    <xdr:clientData/>
  </xdr:oneCellAnchor>
  <xdr:oneCellAnchor>
    <xdr:from>
      <xdr:col>4</xdr:col>
      <xdr:colOff>324583</xdr:colOff>
      <xdr:row>25</xdr:row>
      <xdr:rowOff>0</xdr:rowOff>
    </xdr:from>
    <xdr:ext cx="633133" cy="441256"/>
    <xdr:pic>
      <xdr:nvPicPr>
        <xdr:cNvPr id="4" name="Imagem 3">
          <a:extLst>
            <a:ext uri="{FF2B5EF4-FFF2-40B4-BE49-F238E27FC236}">
              <a16:creationId xmlns:a16="http://schemas.microsoft.com/office/drawing/2014/main" id="{3E574744-259B-487B-B2B2-220FC769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983" y="4972050"/>
          <a:ext cx="633133" cy="441256"/>
        </a:xfrm>
        <a:prstGeom prst="rect">
          <a:avLst/>
        </a:prstGeom>
      </xdr:spPr>
    </xdr:pic>
    <xdr:clientData/>
  </xdr:oneCellAnchor>
  <xdr:oneCellAnchor>
    <xdr:from>
      <xdr:col>5</xdr:col>
      <xdr:colOff>278424</xdr:colOff>
      <xdr:row>28</xdr:row>
      <xdr:rowOff>106830</xdr:rowOff>
    </xdr:from>
    <xdr:ext cx="1464092" cy="344046"/>
    <xdr:pic>
      <xdr:nvPicPr>
        <xdr:cNvPr id="5" name="Imagem 4">
          <a:extLst>
            <a:ext uri="{FF2B5EF4-FFF2-40B4-BE49-F238E27FC236}">
              <a16:creationId xmlns:a16="http://schemas.microsoft.com/office/drawing/2014/main" id="{B922B8F4-5249-405C-81CE-E7C2B7FA0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0724" y="5698005"/>
          <a:ext cx="1464092" cy="344046"/>
        </a:xfrm>
        <a:prstGeom prst="rect">
          <a:avLst/>
        </a:prstGeom>
      </xdr:spPr>
    </xdr:pic>
    <xdr:clientData/>
  </xdr:oneCellAnchor>
  <xdr:oneCellAnchor>
    <xdr:from>
      <xdr:col>5</xdr:col>
      <xdr:colOff>168520</xdr:colOff>
      <xdr:row>31</xdr:row>
      <xdr:rowOff>105229</xdr:rowOff>
    </xdr:from>
    <xdr:ext cx="1471419" cy="354435"/>
    <xdr:pic>
      <xdr:nvPicPr>
        <xdr:cNvPr id="6" name="Imagem 5">
          <a:extLst>
            <a:ext uri="{FF2B5EF4-FFF2-40B4-BE49-F238E27FC236}">
              <a16:creationId xmlns:a16="http://schemas.microsoft.com/office/drawing/2014/main" id="{F4E3156F-A11B-470C-8DCB-B218CD1A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0820" y="6315529"/>
          <a:ext cx="1471419" cy="354435"/>
        </a:xfrm>
        <a:prstGeom prst="rect">
          <a:avLst/>
        </a:prstGeom>
      </xdr:spPr>
    </xdr:pic>
    <xdr:clientData/>
  </xdr:oneCellAnchor>
  <xdr:twoCellAnchor>
    <xdr:from>
      <xdr:col>36</xdr:col>
      <xdr:colOff>339587</xdr:colOff>
      <xdr:row>16</xdr:row>
      <xdr:rowOff>197954</xdr:rowOff>
    </xdr:from>
    <xdr:to>
      <xdr:col>43</xdr:col>
      <xdr:colOff>372717</xdr:colOff>
      <xdr:row>31</xdr:row>
      <xdr:rowOff>50523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905598-6C97-45F9-AB15-C14B4A0F4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296741</xdr:colOff>
      <xdr:row>19</xdr:row>
      <xdr:rowOff>226401</xdr:rowOff>
    </xdr:from>
    <xdr:ext cx="1161490" cy="215411"/>
    <xdr:pic>
      <xdr:nvPicPr>
        <xdr:cNvPr id="2" name="Imagem 1">
          <a:extLst>
            <a:ext uri="{FF2B5EF4-FFF2-40B4-BE49-F238E27FC236}">
              <a16:creationId xmlns:a16="http://schemas.microsoft.com/office/drawing/2014/main" id="{C05D3CEC-46C5-45B3-BE6B-B60718430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041" y="4007826"/>
          <a:ext cx="1161490" cy="215411"/>
        </a:xfrm>
        <a:prstGeom prst="rect">
          <a:avLst/>
        </a:prstGeom>
      </xdr:spPr>
    </xdr:pic>
    <xdr:clientData/>
  </xdr:oneCellAnchor>
  <xdr:oneCellAnchor>
    <xdr:from>
      <xdr:col>7</xdr:col>
      <xdr:colOff>467457</xdr:colOff>
      <xdr:row>21</xdr:row>
      <xdr:rowOff>135692</xdr:rowOff>
    </xdr:from>
    <xdr:ext cx="2730358" cy="505369"/>
    <xdr:pic>
      <xdr:nvPicPr>
        <xdr:cNvPr id="3" name="Imagem 2">
          <a:extLst>
            <a:ext uri="{FF2B5EF4-FFF2-40B4-BE49-F238E27FC236}">
              <a16:creationId xmlns:a16="http://schemas.microsoft.com/office/drawing/2014/main" id="{A302FBC2-9ED8-4334-BC07-43A1234D0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7557" y="4345742"/>
          <a:ext cx="2730358" cy="505369"/>
        </a:xfrm>
        <a:prstGeom prst="rect">
          <a:avLst/>
        </a:prstGeom>
      </xdr:spPr>
    </xdr:pic>
    <xdr:clientData/>
  </xdr:oneCellAnchor>
  <xdr:oneCellAnchor>
    <xdr:from>
      <xdr:col>4</xdr:col>
      <xdr:colOff>324583</xdr:colOff>
      <xdr:row>25</xdr:row>
      <xdr:rowOff>0</xdr:rowOff>
    </xdr:from>
    <xdr:ext cx="633133" cy="441256"/>
    <xdr:pic>
      <xdr:nvPicPr>
        <xdr:cNvPr id="4" name="Imagem 3">
          <a:extLst>
            <a:ext uri="{FF2B5EF4-FFF2-40B4-BE49-F238E27FC236}">
              <a16:creationId xmlns:a16="http://schemas.microsoft.com/office/drawing/2014/main" id="{849D7289-628A-4D7F-9249-E4520003E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983" y="4972050"/>
          <a:ext cx="633133" cy="441256"/>
        </a:xfrm>
        <a:prstGeom prst="rect">
          <a:avLst/>
        </a:prstGeom>
      </xdr:spPr>
    </xdr:pic>
    <xdr:clientData/>
  </xdr:oneCellAnchor>
  <xdr:oneCellAnchor>
    <xdr:from>
      <xdr:col>5</xdr:col>
      <xdr:colOff>278424</xdr:colOff>
      <xdr:row>28</xdr:row>
      <xdr:rowOff>106830</xdr:rowOff>
    </xdr:from>
    <xdr:ext cx="1464092" cy="344046"/>
    <xdr:pic>
      <xdr:nvPicPr>
        <xdr:cNvPr id="5" name="Imagem 4">
          <a:extLst>
            <a:ext uri="{FF2B5EF4-FFF2-40B4-BE49-F238E27FC236}">
              <a16:creationId xmlns:a16="http://schemas.microsoft.com/office/drawing/2014/main" id="{D2C53A8A-ECD4-4E1B-BA3A-8C7DE99E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0724" y="5698005"/>
          <a:ext cx="1464092" cy="344046"/>
        </a:xfrm>
        <a:prstGeom prst="rect">
          <a:avLst/>
        </a:prstGeom>
      </xdr:spPr>
    </xdr:pic>
    <xdr:clientData/>
  </xdr:oneCellAnchor>
  <xdr:oneCellAnchor>
    <xdr:from>
      <xdr:col>5</xdr:col>
      <xdr:colOff>168520</xdr:colOff>
      <xdr:row>31</xdr:row>
      <xdr:rowOff>57604</xdr:rowOff>
    </xdr:from>
    <xdr:ext cx="1471419" cy="354435"/>
    <xdr:pic>
      <xdr:nvPicPr>
        <xdr:cNvPr id="6" name="Imagem 5">
          <a:extLst>
            <a:ext uri="{FF2B5EF4-FFF2-40B4-BE49-F238E27FC236}">
              <a16:creationId xmlns:a16="http://schemas.microsoft.com/office/drawing/2014/main" id="{D43C103F-43CF-43F8-A151-057CF6862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0820" y="6267904"/>
          <a:ext cx="1471419" cy="354435"/>
        </a:xfrm>
        <a:prstGeom prst="rect">
          <a:avLst/>
        </a:prstGeom>
      </xdr:spPr>
    </xdr:pic>
    <xdr:clientData/>
  </xdr:oneCellAnchor>
  <xdr:twoCellAnchor>
    <xdr:from>
      <xdr:col>36</xdr:col>
      <xdr:colOff>339587</xdr:colOff>
      <xdr:row>16</xdr:row>
      <xdr:rowOff>197954</xdr:rowOff>
    </xdr:from>
    <xdr:to>
      <xdr:col>43</xdr:col>
      <xdr:colOff>372717</xdr:colOff>
      <xdr:row>31</xdr:row>
      <xdr:rowOff>50523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DCE773C-D49D-496E-A65C-6B305D422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s.ferreira\Downloads\VERIFICAC&#807;A&#771;O%20COMPLETA%20-%20LAJE%20ALVEOLAR%20-%20NBR%2014861-2022%20(1).xlsx" TargetMode="External"/><Relationship Id="rId1" Type="http://schemas.openxmlformats.org/officeDocument/2006/relationships/externalLinkPath" Target="VERIFICAC&#807;A&#771;O%20COMPLETA%20-%20LAJE%20ALVEOLAR%20-%20NBR%2014861-202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"/>
      <sheetName val="Frequência"/>
      <sheetName val="Tabelas"/>
      <sheetName val="Resumo"/>
      <sheetName val="Armadura Capa"/>
      <sheetName val="Det. Capa"/>
      <sheetName val="Det. Recorte e Furos"/>
      <sheetName val="Det. Juntas"/>
      <sheetName val="Posição Cordoalhas"/>
      <sheetName val="Dados Lajes"/>
      <sheetName val="Propriedades Lajes"/>
      <sheetName val="Armadura Negativo LD"/>
      <sheetName val="Armadura Negativo LE"/>
      <sheetName val="Laje hiperestática"/>
      <sheetName val="Auxílio"/>
      <sheetName val="Apoio Mínimo"/>
      <sheetName val="Dados de Entrada"/>
      <sheetName val="ELS-Tensões"/>
      <sheetName val="Gráficos Tensões"/>
      <sheetName val="ELU-Flexão"/>
      <sheetName val="ELS-Deformação"/>
      <sheetName val="ELU-Cisalhamento"/>
      <sheetName val="Perdas de protensão"/>
      <sheetName val="Fluência e Retração"/>
      <sheetName val="Alça de içamento"/>
    </sheetNames>
    <sheetDataSet>
      <sheetData sheetId="0">
        <row r="993">
          <cell r="K993">
            <v>0.56966490701150641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 t="str">
            <v>LP15</v>
          </cell>
          <cell r="B4">
            <v>15</v>
          </cell>
          <cell r="C4">
            <v>1112.2081000000001</v>
          </cell>
          <cell r="D4">
            <v>7.6429</v>
          </cell>
          <cell r="E4">
            <v>7.3571</v>
          </cell>
          <cell r="F4">
            <v>29552.530900000002</v>
          </cell>
          <cell r="G4">
            <v>3866.6646037498858</v>
          </cell>
          <cell r="H4">
            <v>4016.8722594500555</v>
          </cell>
          <cell r="I4">
            <v>2.5</v>
          </cell>
          <cell r="J4">
            <v>2.5</v>
          </cell>
          <cell r="K4">
            <v>4.25</v>
          </cell>
          <cell r="L4">
            <v>3.75</v>
          </cell>
          <cell r="M4">
            <v>7</v>
          </cell>
          <cell r="N4">
            <v>31</v>
          </cell>
          <cell r="O4">
            <v>12.5</v>
          </cell>
          <cell r="P4">
            <v>36.381399999999999</v>
          </cell>
          <cell r="Q4">
            <v>99.796700000000001</v>
          </cell>
          <cell r="R4">
            <v>277.74430000000001</v>
          </cell>
          <cell r="S4">
            <v>14.444900000000001</v>
          </cell>
          <cell r="T4">
            <v>121.2</v>
          </cell>
          <cell r="U4">
            <v>532.41409999999996</v>
          </cell>
          <cell r="V4">
            <v>382.32429999999999</v>
          </cell>
          <cell r="W4">
            <v>254.98939999999999</v>
          </cell>
          <cell r="X4">
            <v>191.32194999999999</v>
          </cell>
          <cell r="Y4">
            <v>127.65449999999998</v>
          </cell>
          <cell r="Z4">
            <v>61.975000000000001</v>
          </cell>
          <cell r="AA4">
            <v>118.5</v>
          </cell>
          <cell r="AB4">
            <v>0</v>
          </cell>
          <cell r="AC4">
            <v>0</v>
          </cell>
          <cell r="AD4">
            <v>10</v>
          </cell>
          <cell r="AE4">
            <v>6.25</v>
          </cell>
        </row>
        <row r="5">
          <cell r="A5" t="str">
            <v>LP20</v>
          </cell>
          <cell r="B5">
            <v>20</v>
          </cell>
          <cell r="C5">
            <v>1357.3855999999998</v>
          </cell>
          <cell r="D5">
            <v>10.163399999999999</v>
          </cell>
          <cell r="E5">
            <v>9.8366000000000007</v>
          </cell>
          <cell r="F5">
            <v>67122.200240000006</v>
          </cell>
          <cell r="G5">
            <v>6604.3056693626158</v>
          </cell>
          <cell r="H5">
            <v>6823.7196023016086</v>
          </cell>
          <cell r="I5">
            <v>3</v>
          </cell>
          <cell r="J5">
            <v>3</v>
          </cell>
          <cell r="K5">
            <v>4.25</v>
          </cell>
          <cell r="L5">
            <v>3.75</v>
          </cell>
          <cell r="M5">
            <v>7</v>
          </cell>
          <cell r="N5">
            <v>31</v>
          </cell>
          <cell r="O5">
            <v>12.5</v>
          </cell>
          <cell r="P5">
            <v>44.164099999999998</v>
          </cell>
          <cell r="Q5">
            <v>149.41419999999999</v>
          </cell>
          <cell r="R5">
            <v>287.74430000000001</v>
          </cell>
          <cell r="S5">
            <v>19.444900000000001</v>
          </cell>
          <cell r="T5">
            <v>121.2</v>
          </cell>
          <cell r="U5">
            <v>596.89300000000003</v>
          </cell>
          <cell r="V5">
            <v>436.80320000000006</v>
          </cell>
          <cell r="W5">
            <v>282.22885000000008</v>
          </cell>
          <cell r="X5">
            <v>204.94167500000006</v>
          </cell>
          <cell r="Y5">
            <v>127.6545000000001</v>
          </cell>
          <cell r="Z5">
            <v>94.474999999999994</v>
          </cell>
          <cell r="AA5">
            <v>118.5</v>
          </cell>
          <cell r="AB5">
            <v>0</v>
          </cell>
          <cell r="AC5">
            <v>0</v>
          </cell>
          <cell r="AD5">
            <v>14</v>
          </cell>
          <cell r="AE5">
            <v>5.8</v>
          </cell>
        </row>
        <row r="6">
          <cell r="A6" t="str">
            <v>LP25</v>
          </cell>
          <cell r="B6">
            <v>25</v>
          </cell>
          <cell r="C6">
            <v>1512.3855999999998</v>
          </cell>
          <cell r="D6">
            <v>12.7262</v>
          </cell>
          <cell r="E6">
            <v>12.2738</v>
          </cell>
          <cell r="F6">
            <v>120094.71799999999</v>
          </cell>
          <cell r="G6">
            <v>9436.8089453253906</v>
          </cell>
          <cell r="H6">
            <v>9784.6402907005158</v>
          </cell>
          <cell r="I6">
            <v>3</v>
          </cell>
          <cell r="J6">
            <v>3</v>
          </cell>
          <cell r="K6">
            <v>4.25</v>
          </cell>
          <cell r="L6">
            <v>3.75</v>
          </cell>
          <cell r="M6">
            <v>7</v>
          </cell>
          <cell r="N6">
            <v>31</v>
          </cell>
          <cell r="O6">
            <v>12.5</v>
          </cell>
          <cell r="P6">
            <v>54.164099999999998</v>
          </cell>
          <cell r="Q6">
            <v>211.91419999999999</v>
          </cell>
          <cell r="R6">
            <v>297.74430000000001</v>
          </cell>
          <cell r="S6">
            <v>24.444900000000001</v>
          </cell>
          <cell r="T6">
            <v>121.2</v>
          </cell>
          <cell r="U6">
            <v>676.89300000000003</v>
          </cell>
          <cell r="V6">
            <v>506.8032</v>
          </cell>
          <cell r="W6">
            <v>317.22885000000002</v>
          </cell>
          <cell r="X6">
            <v>222.44167499999998</v>
          </cell>
          <cell r="Y6">
            <v>127.65450000000004</v>
          </cell>
          <cell r="Z6">
            <v>126.97499999999999</v>
          </cell>
          <cell r="AA6">
            <v>118.5</v>
          </cell>
          <cell r="AB6">
            <v>773.25379999999996</v>
          </cell>
          <cell r="AC6">
            <v>8.0387000000000004</v>
          </cell>
          <cell r="AD6">
            <v>19</v>
          </cell>
          <cell r="AE6">
            <v>5.8</v>
          </cell>
        </row>
        <row r="7">
          <cell r="A7" t="str">
            <v>LP30</v>
          </cell>
          <cell r="B7">
            <v>30</v>
          </cell>
          <cell r="C7">
            <v>1811.6405999999999</v>
          </cell>
          <cell r="D7">
            <v>14.9747</v>
          </cell>
          <cell r="E7">
            <v>15.0253</v>
          </cell>
          <cell r="F7">
            <v>207551.86040000001</v>
          </cell>
          <cell r="G7">
            <v>13860.16817699186</v>
          </cell>
          <cell r="H7">
            <v>13813.49193693304</v>
          </cell>
          <cell r="I7">
            <v>3.5</v>
          </cell>
          <cell r="J7">
            <v>3.5</v>
          </cell>
          <cell r="K7">
            <v>4.25</v>
          </cell>
          <cell r="L7">
            <v>3.75</v>
          </cell>
          <cell r="M7">
            <v>7</v>
          </cell>
          <cell r="N7">
            <v>31</v>
          </cell>
          <cell r="O7">
            <v>12.5</v>
          </cell>
          <cell r="P7">
            <v>60.901899999999998</v>
          </cell>
          <cell r="Q7">
            <v>254.44139999999999</v>
          </cell>
          <cell r="R7">
            <v>307.45760000000001</v>
          </cell>
          <cell r="S7">
            <v>29.251000000000001</v>
          </cell>
          <cell r="T7">
            <v>121.2</v>
          </cell>
          <cell r="U7">
            <v>733.77089999999998</v>
          </cell>
          <cell r="V7">
            <v>554.06889999999999</v>
          </cell>
          <cell r="W7">
            <v>340.91224999999997</v>
          </cell>
          <cell r="X7">
            <v>234.33392500000002</v>
          </cell>
          <cell r="Y7">
            <v>127.75560000000002</v>
          </cell>
          <cell r="Z7">
            <v>155.215</v>
          </cell>
          <cell r="AA7">
            <v>118.5</v>
          </cell>
          <cell r="AB7">
            <v>904.54089999999997</v>
          </cell>
          <cell r="AC7">
            <v>9.8848000000000003</v>
          </cell>
          <cell r="AD7">
            <v>23</v>
          </cell>
          <cell r="AE7">
            <v>7.5</v>
          </cell>
        </row>
        <row r="8">
          <cell r="A8" t="str">
            <v>HC16</v>
          </cell>
          <cell r="B8">
            <v>16</v>
          </cell>
          <cell r="C8">
            <v>1115.58</v>
          </cell>
          <cell r="D8">
            <v>7.9081000000000001</v>
          </cell>
          <cell r="E8">
            <v>8.091899999999999</v>
          </cell>
          <cell r="F8">
            <v>34854.639999999999</v>
          </cell>
          <cell r="G8">
            <v>4407.4607048469288</v>
          </cell>
          <cell r="H8">
            <v>4307.3493246332755</v>
          </cell>
          <cell r="I8">
            <v>2.2999999999999998</v>
          </cell>
          <cell r="J8">
            <v>2.2999999999999998</v>
          </cell>
          <cell r="K8">
            <v>3.4</v>
          </cell>
          <cell r="L8">
            <v>3</v>
          </cell>
          <cell r="M8">
            <v>8</v>
          </cell>
          <cell r="N8">
            <v>27.8</v>
          </cell>
          <cell r="O8">
            <v>11.4</v>
          </cell>
          <cell r="P8">
            <v>35.814156250923645</v>
          </cell>
          <cell r="Q8">
            <v>102.07034531513239</v>
          </cell>
          <cell r="R8">
            <v>277.62349999999998</v>
          </cell>
          <cell r="S8">
            <v>15.2447</v>
          </cell>
          <cell r="T8">
            <v>120</v>
          </cell>
          <cell r="U8">
            <v>564.13675000738908</v>
          </cell>
          <cell r="V8">
            <v>413.64735000738909</v>
          </cell>
          <cell r="W8">
            <v>270.39072500369451</v>
          </cell>
          <cell r="X8">
            <v>198.76241250184722</v>
          </cell>
          <cell r="Y8">
            <v>127.13409999999993</v>
          </cell>
          <cell r="Z8">
            <v>65.961299999999994</v>
          </cell>
          <cell r="AA8">
            <v>118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 t="str">
            <v>HC21</v>
          </cell>
          <cell r="B9">
            <v>21</v>
          </cell>
          <cell r="C9">
            <v>1401.4817</v>
          </cell>
          <cell r="D9">
            <v>10.3409</v>
          </cell>
          <cell r="E9">
            <v>10.6591</v>
          </cell>
          <cell r="F9">
            <v>76687.826499999996</v>
          </cell>
          <cell r="G9">
            <v>7415.9721590964036</v>
          </cell>
          <cell r="H9">
            <v>7194.5873948081917</v>
          </cell>
          <cell r="I9">
            <v>2.7</v>
          </cell>
          <cell r="J9">
            <v>2.8</v>
          </cell>
          <cell r="K9">
            <v>4.4000000000000004</v>
          </cell>
          <cell r="L9">
            <v>3.5</v>
          </cell>
          <cell r="M9">
            <v>6</v>
          </cell>
          <cell r="N9">
            <v>26.3</v>
          </cell>
          <cell r="O9">
            <v>15.5</v>
          </cell>
          <cell r="P9">
            <v>48.694686130641792</v>
          </cell>
          <cell r="Q9">
            <v>188.69190875623696</v>
          </cell>
          <cell r="R9">
            <v>287.62329999999997</v>
          </cell>
          <cell r="S9">
            <v>20.142800000000001</v>
          </cell>
          <cell r="T9">
            <v>120</v>
          </cell>
          <cell r="U9">
            <v>579.79141678385076</v>
          </cell>
          <cell r="V9">
            <v>419.50581678385078</v>
          </cell>
          <cell r="W9">
            <v>273.42175839192544</v>
          </cell>
          <cell r="X9">
            <v>200.37972919596274</v>
          </cell>
          <cell r="Y9">
            <v>127.33770000000004</v>
          </cell>
          <cell r="Z9">
            <v>89.446700000000007</v>
          </cell>
          <cell r="AA9">
            <v>118</v>
          </cell>
          <cell r="AB9">
            <v>687.38720000000001</v>
          </cell>
          <cell r="AC9">
            <v>7.0038999999999998</v>
          </cell>
          <cell r="AD9">
            <v>15.5</v>
          </cell>
          <cell r="AE9">
            <v>10.55</v>
          </cell>
        </row>
        <row r="10">
          <cell r="A10" t="str">
            <v>HC26</v>
          </cell>
          <cell r="B10">
            <v>26</v>
          </cell>
          <cell r="C10">
            <v>1626.7959000000001</v>
          </cell>
          <cell r="D10">
            <v>12.8424</v>
          </cell>
          <cell r="E10">
            <v>13.1576</v>
          </cell>
          <cell r="F10">
            <v>141423.76560000001</v>
          </cell>
          <cell r="G10">
            <v>11012.253597458421</v>
          </cell>
          <cell r="H10">
            <v>10748.446950811698</v>
          </cell>
          <cell r="I10">
            <v>3.2</v>
          </cell>
          <cell r="J10">
            <v>3.2</v>
          </cell>
          <cell r="K10">
            <v>4</v>
          </cell>
          <cell r="L10">
            <v>3.4</v>
          </cell>
          <cell r="M10">
            <v>5</v>
          </cell>
          <cell r="N10">
            <v>21.6</v>
          </cell>
          <cell r="O10">
            <v>19.600000000000001</v>
          </cell>
          <cell r="P10">
            <v>61.575216010359952</v>
          </cell>
          <cell r="Q10">
            <v>301.71855845076379</v>
          </cell>
          <cell r="R10">
            <v>297.56240000000003</v>
          </cell>
          <cell r="S10">
            <v>25.088200000000001</v>
          </cell>
          <cell r="T10">
            <v>120</v>
          </cell>
          <cell r="U10">
            <v>605.43848005179984</v>
          </cell>
          <cell r="V10">
            <v>435.26208005179984</v>
          </cell>
          <cell r="W10">
            <v>281.32404002589999</v>
          </cell>
          <cell r="X10">
            <v>204.35502001295004</v>
          </cell>
          <cell r="Y10">
            <v>127.38600000000008</v>
          </cell>
          <cell r="Z10">
            <v>112.544</v>
          </cell>
          <cell r="AA10">
            <v>118</v>
          </cell>
          <cell r="AB10">
            <v>800.82410000000004</v>
          </cell>
          <cell r="AC10">
            <v>8.8506999999999998</v>
          </cell>
          <cell r="AD10">
            <v>19.600000000000001</v>
          </cell>
          <cell r="AE10">
            <v>13</v>
          </cell>
        </row>
        <row r="11">
          <cell r="A11" t="str">
            <v>HC32</v>
          </cell>
          <cell r="B11">
            <v>32</v>
          </cell>
          <cell r="C11">
            <v>1972.0948096827265</v>
          </cell>
          <cell r="D11">
            <v>15.8019</v>
          </cell>
          <cell r="E11">
            <v>16.1981</v>
          </cell>
          <cell r="F11">
            <v>260105.61559999999</v>
          </cell>
          <cell r="G11">
            <v>16460.401318828746</v>
          </cell>
          <cell r="H11">
            <v>16057.785518054587</v>
          </cell>
          <cell r="I11">
            <v>3.75</v>
          </cell>
          <cell r="J11">
            <v>3.75</v>
          </cell>
          <cell r="K11">
            <v>3.86</v>
          </cell>
          <cell r="L11">
            <v>4.7</v>
          </cell>
          <cell r="M11">
            <v>4</v>
          </cell>
          <cell r="N11">
            <v>21.82</v>
          </cell>
          <cell r="O11">
            <v>24.5</v>
          </cell>
          <cell r="P11">
            <v>76.969020012949926</v>
          </cell>
          <cell r="Q11">
            <v>471.43524757931834</v>
          </cell>
          <cell r="R11">
            <v>309.47449999999998</v>
          </cell>
          <cell r="S11">
            <v>31.0382</v>
          </cell>
          <cell r="T11">
            <v>120</v>
          </cell>
          <cell r="U11">
            <v>617.35058005179962</v>
          </cell>
          <cell r="V11">
            <v>435.27418005179965</v>
          </cell>
          <cell r="W11">
            <v>281.33614002589979</v>
          </cell>
          <cell r="X11">
            <v>204.36712001294987</v>
          </cell>
          <cell r="Y11">
            <v>127.39809999999994</v>
          </cell>
          <cell r="Z11">
            <v>140.27760000000001</v>
          </cell>
          <cell r="AA11">
            <v>118</v>
          </cell>
          <cell r="AB11">
            <v>970.62300000000005</v>
          </cell>
          <cell r="AC11">
            <v>10.8933</v>
          </cell>
          <cell r="AD11">
            <v>24.5</v>
          </cell>
          <cell r="AE11">
            <v>16</v>
          </cell>
        </row>
      </sheetData>
      <sheetData sheetId="10"/>
      <sheetData sheetId="11"/>
      <sheetData sheetId="12"/>
      <sheetData sheetId="13"/>
      <sheetData sheetId="14">
        <row r="4">
          <cell r="N4" t="str">
            <v>Basalto</v>
          </cell>
          <cell r="O4">
            <v>1.2</v>
          </cell>
        </row>
        <row r="5">
          <cell r="N5" t="str">
            <v>Diabásio</v>
          </cell>
          <cell r="O5">
            <v>1.2</v>
          </cell>
        </row>
        <row r="6">
          <cell r="N6" t="str">
            <v>Granito</v>
          </cell>
          <cell r="O6">
            <v>1</v>
          </cell>
          <cell r="Z6" t="str">
            <v>Sim</v>
          </cell>
        </row>
        <row r="7">
          <cell r="N7" t="str">
            <v>Gnaisse</v>
          </cell>
          <cell r="O7">
            <v>1</v>
          </cell>
        </row>
        <row r="8">
          <cell r="N8" t="str">
            <v>Cálcário</v>
          </cell>
          <cell r="O8">
            <v>0.9</v>
          </cell>
        </row>
        <row r="9">
          <cell r="N9" t="str">
            <v>Arenito</v>
          </cell>
          <cell r="O9">
            <v>0.7</v>
          </cell>
        </row>
      </sheetData>
      <sheetData sheetId="15"/>
      <sheetData sheetId="16">
        <row r="3">
          <cell r="C3" t="str">
            <v>LP30</v>
          </cell>
        </row>
        <row r="5">
          <cell r="C5">
            <v>14</v>
          </cell>
        </row>
        <row r="8">
          <cell r="C8">
            <v>121.2</v>
          </cell>
        </row>
        <row r="56">
          <cell r="C56">
            <v>30</v>
          </cell>
        </row>
        <row r="59">
          <cell r="F59">
            <v>35</v>
          </cell>
        </row>
      </sheetData>
      <sheetData sheetId="17">
        <row r="11">
          <cell r="C11">
            <v>117.04000000000002</v>
          </cell>
          <cell r="G11">
            <v>91.218050000000019</v>
          </cell>
        </row>
        <row r="26">
          <cell r="C26">
            <v>3</v>
          </cell>
        </row>
        <row r="27">
          <cell r="C27">
            <v>0.98699999999999999</v>
          </cell>
        </row>
        <row r="28">
          <cell r="C28">
            <v>9.8699999999999992</v>
          </cell>
        </row>
        <row r="39">
          <cell r="C39">
            <v>2.1924142287881931</v>
          </cell>
        </row>
        <row r="78">
          <cell r="C78">
            <v>0</v>
          </cell>
        </row>
        <row r="186">
          <cell r="C186">
            <v>71.084256617825332</v>
          </cell>
          <cell r="G186">
            <v>63.607909037953391</v>
          </cell>
        </row>
        <row r="287">
          <cell r="G287">
            <v>10</v>
          </cell>
        </row>
        <row r="297">
          <cell r="O297">
            <v>90.718741273742197</v>
          </cell>
        </row>
        <row r="301">
          <cell r="O301">
            <v>895.39397637183549</v>
          </cell>
        </row>
        <row r="416">
          <cell r="Y416">
            <v>0.21591394564517474</v>
          </cell>
          <cell r="Z416">
            <v>0.23184206258116258</v>
          </cell>
        </row>
        <row r="417">
          <cell r="Y417">
            <v>6.362590091564968E-2</v>
          </cell>
          <cell r="Z417">
            <v>6.5607871413660312E-2</v>
          </cell>
        </row>
        <row r="418">
          <cell r="Y418">
            <v>38.23726325070367</v>
          </cell>
        </row>
        <row r="422">
          <cell r="Y422">
            <v>377.40178828444522</v>
          </cell>
        </row>
      </sheetData>
      <sheetData sheetId="18"/>
      <sheetData sheetId="19">
        <row r="9">
          <cell r="F9">
            <v>3662.8131265463162</v>
          </cell>
        </row>
        <row r="43">
          <cell r="E43">
            <v>0.8</v>
          </cell>
          <cell r="J43">
            <v>32</v>
          </cell>
        </row>
        <row r="51">
          <cell r="F51">
            <v>8.7770897214474353</v>
          </cell>
        </row>
        <row r="67">
          <cell r="E67">
            <v>156.957470760425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9D45-9A69-406C-B560-0C3F52DD6983}">
  <dimension ref="B1:L313"/>
  <sheetViews>
    <sheetView showGridLines="0" topLeftCell="B36" zoomScale="85" zoomScaleNormal="85" workbookViewId="0">
      <selection activeCell="D67" sqref="D67"/>
    </sheetView>
  </sheetViews>
  <sheetFormatPr defaultColWidth="18.7109375" defaultRowHeight="15" x14ac:dyDescent="0.25"/>
  <cols>
    <col min="1" max="2" width="18.7109375" style="215"/>
    <col min="3" max="3" width="22.85546875" style="215" bestFit="1" customWidth="1"/>
    <col min="4" max="4" width="45.28515625" style="215" bestFit="1" customWidth="1"/>
    <col min="5" max="16384" width="18.7109375" style="215"/>
  </cols>
  <sheetData>
    <row r="1" spans="3:10" ht="15.75" thickBot="1" x14ac:dyDescent="0.3"/>
    <row r="2" spans="3:10" ht="15.75" thickBot="1" x14ac:dyDescent="0.3">
      <c r="C2" s="764" t="s">
        <v>1284</v>
      </c>
      <c r="D2" s="765"/>
      <c r="F2" s="766" t="s">
        <v>1285</v>
      </c>
      <c r="G2" s="767"/>
      <c r="I2" s="768"/>
      <c r="J2" s="768"/>
    </row>
    <row r="3" spans="3:10" ht="18" x14ac:dyDescent="0.35">
      <c r="C3" s="3" t="s">
        <v>1286</v>
      </c>
      <c r="D3" s="563">
        <f ca="1">Geometria!I73</f>
        <v>3.8972078942723636</v>
      </c>
      <c r="F3" s="564" t="s">
        <v>1287</v>
      </c>
      <c r="G3" s="565">
        <f>Geometria!K51</f>
        <v>1.3</v>
      </c>
      <c r="I3" s="1"/>
      <c r="J3" s="566"/>
    </row>
    <row r="4" spans="3:10" ht="18" x14ac:dyDescent="0.35">
      <c r="C4" s="3" t="s">
        <v>1288</v>
      </c>
      <c r="D4" s="563">
        <f ca="1">Geometria!I75+Geometria!I74</f>
        <v>2.3825525000000001</v>
      </c>
      <c r="F4" s="567" t="s">
        <v>1289</v>
      </c>
      <c r="G4" s="155">
        <f>Geometria!K52</f>
        <v>1.4</v>
      </c>
      <c r="I4" s="1"/>
      <c r="J4" s="566"/>
    </row>
    <row r="5" spans="3:10" ht="18" x14ac:dyDescent="0.35">
      <c r="C5" s="3" t="s">
        <v>1290</v>
      </c>
      <c r="D5" s="563">
        <f>Geometria!I76</f>
        <v>3.75</v>
      </c>
      <c r="F5" s="567" t="s">
        <v>1291</v>
      </c>
      <c r="G5" s="155">
        <f>G4</f>
        <v>1.4</v>
      </c>
      <c r="I5" s="1"/>
      <c r="J5" s="566"/>
    </row>
    <row r="6" spans="3:10" ht="18" x14ac:dyDescent="0.35">
      <c r="C6" s="3" t="s">
        <v>1292</v>
      </c>
      <c r="D6" s="563">
        <f>Geometria!I77</f>
        <v>0</v>
      </c>
      <c r="F6" s="567" t="s">
        <v>1293</v>
      </c>
      <c r="G6" s="155">
        <f>G5</f>
        <v>1.4</v>
      </c>
      <c r="I6" s="1"/>
      <c r="J6" s="566"/>
    </row>
    <row r="7" spans="3:10" ht="18" x14ac:dyDescent="0.35">
      <c r="C7" s="3" t="s">
        <v>1294</v>
      </c>
      <c r="D7" s="563"/>
      <c r="F7" s="567" t="s">
        <v>1295</v>
      </c>
      <c r="G7" s="155">
        <f>G3</f>
        <v>1.3</v>
      </c>
      <c r="I7" s="1"/>
      <c r="J7" s="566"/>
    </row>
    <row r="8" spans="3:10" ht="18" x14ac:dyDescent="0.35">
      <c r="C8" s="3" t="s">
        <v>1296</v>
      </c>
      <c r="D8" s="563">
        <f>Geometria!I78</f>
        <v>4.75</v>
      </c>
      <c r="F8" s="567" t="s">
        <v>1297</v>
      </c>
      <c r="G8" s="155">
        <f>G5</f>
        <v>1.4</v>
      </c>
      <c r="I8" s="1"/>
      <c r="J8" s="566"/>
    </row>
    <row r="9" spans="3:10" ht="18.75" thickBot="1" x14ac:dyDescent="0.4">
      <c r="C9" s="568" t="s">
        <v>1298</v>
      </c>
      <c r="D9" s="563">
        <v>0</v>
      </c>
      <c r="F9" s="567" t="s">
        <v>1299</v>
      </c>
      <c r="G9" s="155">
        <v>1.1000000000000001</v>
      </c>
      <c r="I9" s="1"/>
      <c r="J9" s="566"/>
    </row>
    <row r="10" spans="3:10" ht="18.75" thickBot="1" x14ac:dyDescent="0.4">
      <c r="C10" s="569" t="s">
        <v>1300</v>
      </c>
      <c r="D10" s="570">
        <f ca="1">SUM(D3:D9)</f>
        <v>14.779760394272364</v>
      </c>
      <c r="F10" s="571" t="s">
        <v>1301</v>
      </c>
      <c r="G10" s="167">
        <v>0.9</v>
      </c>
      <c r="I10" s="1"/>
      <c r="J10" s="566"/>
    </row>
    <row r="12" spans="3:10" x14ac:dyDescent="0.25">
      <c r="C12" s="533" t="s">
        <v>1302</v>
      </c>
    </row>
    <row r="14" spans="3:10" x14ac:dyDescent="0.25">
      <c r="C14" s="215" t="s">
        <v>72</v>
      </c>
      <c r="D14" s="572">
        <v>0.45</v>
      </c>
      <c r="F14" s="573" t="s">
        <v>1303</v>
      </c>
      <c r="G14" s="574">
        <f>[1]Entrada!K993</f>
        <v>0.56966490701150641</v>
      </c>
    </row>
    <row r="15" spans="3:10" ht="18" x14ac:dyDescent="0.25">
      <c r="C15" s="215" t="s">
        <v>1304</v>
      </c>
      <c r="D15" s="215">
        <f>Geometria!H59</f>
        <v>30</v>
      </c>
      <c r="F15" s="215" t="s">
        <v>3</v>
      </c>
      <c r="G15" s="575">
        <f>Geometria!H23</f>
        <v>25</v>
      </c>
    </row>
    <row r="16" spans="3:10" ht="18" x14ac:dyDescent="0.35">
      <c r="C16" s="1" t="s">
        <v>1305</v>
      </c>
      <c r="D16" s="576">
        <f>0.3*D15^(2/3)</f>
        <v>2.896468153816889</v>
      </c>
      <c r="F16" s="215" t="s">
        <v>1306</v>
      </c>
      <c r="G16" s="575">
        <f>0.5*G15</f>
        <v>12.5</v>
      </c>
    </row>
    <row r="17" spans="3:7" ht="18" x14ac:dyDescent="0.35">
      <c r="C17" s="1" t="s">
        <v>1307</v>
      </c>
      <c r="D17" s="576">
        <f>2.12*LN(1+0.1*(D15+8))</f>
        <v>3.3254657459773527</v>
      </c>
      <c r="F17" s="215" t="s">
        <v>1308</v>
      </c>
      <c r="G17" s="577">
        <f ca="1">(D3*G3+D4*G4+(D5+D6+D7)*G5+G6*(D8+D9))*(D30-2*G16)/200</f>
        <v>97.144800903821235</v>
      </c>
    </row>
    <row r="18" spans="3:7" ht="18" x14ac:dyDescent="0.35">
      <c r="C18" s="1" t="s">
        <v>1309</v>
      </c>
      <c r="D18" s="576">
        <f>IF(D15&lt;=50,D16,D17)</f>
        <v>2.896468153816889</v>
      </c>
      <c r="F18" s="215" t="s">
        <v>1310</v>
      </c>
      <c r="G18" s="575">
        <f>Geometria!H23+Geometria!H33-Geometria!N52</f>
        <v>26.5</v>
      </c>
    </row>
    <row r="19" spans="3:7" ht="18" x14ac:dyDescent="0.35">
      <c r="C19" s="1" t="s">
        <v>1311</v>
      </c>
      <c r="D19" s="576">
        <f>0.7*D18</f>
        <v>2.0275277076718221</v>
      </c>
      <c r="F19" s="215" t="s">
        <v>1312</v>
      </c>
      <c r="G19" s="575">
        <f>G18-('[1]ELU-Flexão'!E43*'[1]ELU-Flexão'!F51*0.5)</f>
        <v>22.989164111421026</v>
      </c>
    </row>
    <row r="20" spans="3:7" ht="18" x14ac:dyDescent="0.35">
      <c r="C20" s="1" t="s">
        <v>1313</v>
      </c>
      <c r="D20" s="576">
        <f>D19/G4</f>
        <v>1.4482340769084445</v>
      </c>
      <c r="F20" s="215" t="s">
        <v>1314</v>
      </c>
      <c r="G20" s="575">
        <f>'[1]Dados de Entrada'!C8</f>
        <v>121.2</v>
      </c>
    </row>
    <row r="21" spans="3:7" ht="18" x14ac:dyDescent="0.35">
      <c r="C21" s="1" t="s">
        <v>1313</v>
      </c>
      <c r="D21" s="578">
        <f>D20/10</f>
        <v>0.14482340769084445</v>
      </c>
      <c r="F21" s="579" t="s">
        <v>1315</v>
      </c>
      <c r="G21" s="580">
        <f ca="1">G14*G17/(G19*G20)</f>
        <v>1.9861554148788679E-2</v>
      </c>
    </row>
    <row r="22" spans="3:7" ht="18" x14ac:dyDescent="0.25">
      <c r="C22" s="579" t="s">
        <v>1316</v>
      </c>
      <c r="D22" s="580">
        <f>D21*D14</f>
        <v>6.5170533460880004E-2</v>
      </c>
      <c r="F22" s="215" t="s">
        <v>1270</v>
      </c>
      <c r="G22" s="533" t="str">
        <f ca="1">IF(G21&lt;=D22,"Pode-se considerar seção composta!","Considerar laje sem capa!")</f>
        <v>Pode-se considerar seção composta!</v>
      </c>
    </row>
    <row r="24" spans="3:7" x14ac:dyDescent="0.25">
      <c r="C24" s="420" t="s">
        <v>1317</v>
      </c>
      <c r="D24" s="572" t="s">
        <v>1318</v>
      </c>
    </row>
    <row r="26" spans="3:7" ht="17.25" x14ac:dyDescent="0.25">
      <c r="C26" s="581" t="s">
        <v>1319</v>
      </c>
    </row>
    <row r="27" spans="3:7" x14ac:dyDescent="0.25">
      <c r="C27" s="581"/>
    </row>
    <row r="28" spans="3:7" x14ac:dyDescent="0.25">
      <c r="C28" s="533" t="s">
        <v>1320</v>
      </c>
    </row>
    <row r="29" spans="3:7" x14ac:dyDescent="0.25">
      <c r="C29" s="581"/>
    </row>
    <row r="30" spans="3:7" x14ac:dyDescent="0.25">
      <c r="C30" s="215" t="s">
        <v>1321</v>
      </c>
      <c r="D30" s="575">
        <f>Geometria!H21</f>
        <v>982</v>
      </c>
    </row>
    <row r="31" spans="3:7" x14ac:dyDescent="0.25">
      <c r="C31" s="215" t="s">
        <v>1322</v>
      </c>
      <c r="D31" s="575">
        <v>0</v>
      </c>
    </row>
    <row r="32" spans="3:7" x14ac:dyDescent="0.25">
      <c r="C32" s="215" t="s">
        <v>3</v>
      </c>
      <c r="D32" s="575">
        <f>Geometria!H23</f>
        <v>25</v>
      </c>
    </row>
    <row r="33" spans="3:7" x14ac:dyDescent="0.25">
      <c r="C33" s="215" t="s">
        <v>1306</v>
      </c>
      <c r="D33" s="575">
        <f>0.5*D32</f>
        <v>12.5</v>
      </c>
    </row>
    <row r="34" spans="3:7" ht="15.75" thickBot="1" x14ac:dyDescent="0.3">
      <c r="C34" s="215" t="s">
        <v>1323</v>
      </c>
      <c r="D34" s="575">
        <f>D30-D31-2*D33</f>
        <v>957</v>
      </c>
    </row>
    <row r="35" spans="3:7" ht="18.75" thickBot="1" x14ac:dyDescent="0.3">
      <c r="C35" s="582" t="s">
        <v>1324</v>
      </c>
      <c r="D35" s="583">
        <f ca="1">(D34)*0.01*(G3*D3+G4*D4+G5*(D5+D6+D7)+G6*(D8+D9))*0.5</f>
        <v>97.144800903821235</v>
      </c>
    </row>
    <row r="36" spans="3:7" x14ac:dyDescent="0.25">
      <c r="D36" s="584"/>
    </row>
    <row r="37" spans="3:7" x14ac:dyDescent="0.25">
      <c r="C37" s="533" t="s">
        <v>1325</v>
      </c>
      <c r="D37" s="584"/>
    </row>
    <row r="38" spans="3:7" x14ac:dyDescent="0.25">
      <c r="D38" s="584"/>
    </row>
    <row r="39" spans="3:7" x14ac:dyDescent="0.25">
      <c r="C39" s="533" t="s">
        <v>1326</v>
      </c>
    </row>
    <row r="41" spans="3:7" x14ac:dyDescent="0.25">
      <c r="C41" s="215" t="s">
        <v>1327</v>
      </c>
      <c r="D41" s="575">
        <f>Geometria!H23-Geometria!N52</f>
        <v>21.5</v>
      </c>
      <c r="F41" s="585"/>
      <c r="G41" s="120"/>
    </row>
    <row r="42" spans="3:7" ht="18" x14ac:dyDescent="0.25">
      <c r="C42" s="215" t="s">
        <v>1328</v>
      </c>
      <c r="D42" s="586">
        <f>Geometria!H58</f>
        <v>50</v>
      </c>
    </row>
    <row r="43" spans="3:7" x14ac:dyDescent="0.25">
      <c r="C43" s="573" t="s">
        <v>1329</v>
      </c>
      <c r="D43" s="451">
        <f>IF(0.7-D42/200&lt;0.5,0.5,0.7-D42/200)</f>
        <v>0.5</v>
      </c>
    </row>
    <row r="44" spans="3:7" ht="18" x14ac:dyDescent="0.25">
      <c r="C44" s="573" t="s">
        <v>1330</v>
      </c>
      <c r="D44" s="586">
        <f>D42/G7</f>
        <v>38.46153846153846</v>
      </c>
    </row>
    <row r="45" spans="3:7" ht="18" x14ac:dyDescent="0.25">
      <c r="C45" s="573" t="s">
        <v>1331</v>
      </c>
      <c r="D45" s="575">
        <f>Geometria!H27</f>
        <v>31</v>
      </c>
    </row>
    <row r="46" spans="3:7" ht="18" x14ac:dyDescent="0.25">
      <c r="C46" s="215" t="s">
        <v>1332</v>
      </c>
      <c r="D46" s="584">
        <f>0.5*D43*(D44/10)*0.9*D41*D45</f>
        <v>576.77884615384608</v>
      </c>
    </row>
    <row r="47" spans="3:7" x14ac:dyDescent="0.25">
      <c r="C47" s="215" t="s">
        <v>1270</v>
      </c>
      <c r="D47" s="584" t="str">
        <f ca="1">IF(D46&gt;=D35,"Ok, Resiste!","Não Ok!""")</f>
        <v>Ok, Resiste!</v>
      </c>
    </row>
    <row r="49" spans="3:5" x14ac:dyDescent="0.25">
      <c r="C49" s="215" t="s">
        <v>1333</v>
      </c>
      <c r="D49" s="575">
        <f>G18</f>
        <v>26.5</v>
      </c>
    </row>
    <row r="50" spans="3:5" ht="18" x14ac:dyDescent="0.25">
      <c r="C50" s="215" t="s">
        <v>1328</v>
      </c>
      <c r="D50" s="586">
        <f>D42</f>
        <v>50</v>
      </c>
    </row>
    <row r="51" spans="3:5" x14ac:dyDescent="0.25">
      <c r="C51" s="573" t="s">
        <v>1329</v>
      </c>
      <c r="D51" s="451">
        <f>IF(0.7-D50/200&lt;0.5,0.5,0.7-D50/200)</f>
        <v>0.5</v>
      </c>
    </row>
    <row r="52" spans="3:5" ht="18" x14ac:dyDescent="0.25">
      <c r="C52" s="573" t="s">
        <v>1330</v>
      </c>
      <c r="D52" s="586">
        <f>D50/G7</f>
        <v>38.46153846153846</v>
      </c>
    </row>
    <row r="53" spans="3:5" ht="18" x14ac:dyDescent="0.25">
      <c r="C53" s="573" t="s">
        <v>1334</v>
      </c>
      <c r="D53" s="575">
        <f>D45</f>
        <v>31</v>
      </c>
    </row>
    <row r="54" spans="3:5" ht="18" x14ac:dyDescent="0.25">
      <c r="C54" s="587" t="s">
        <v>1335</v>
      </c>
      <c r="D54" s="588">
        <f>0.5*D51*(D52/10)*0.9*D49*D53</f>
        <v>710.91346153846155</v>
      </c>
      <c r="E54" s="587" t="str">
        <f ca="1">IF(D54&gt;=D35,"Ok, Resiste!","Não Ok!""")</f>
        <v>Ok, Resiste!</v>
      </c>
    </row>
    <row r="56" spans="3:5" x14ac:dyDescent="0.25">
      <c r="C56" s="533" t="s">
        <v>1336</v>
      </c>
    </row>
    <row r="58" spans="3:5" ht="18" x14ac:dyDescent="0.25">
      <c r="C58" s="215" t="s">
        <v>1337</v>
      </c>
      <c r="D58" s="575">
        <f>G18</f>
        <v>26.5</v>
      </c>
    </row>
    <row r="59" spans="3:5" ht="18" x14ac:dyDescent="0.25">
      <c r="C59" s="587" t="s">
        <v>1338</v>
      </c>
      <c r="D59" s="588">
        <f>0.5*D51*(D52/10)*0.9*D58*D53</f>
        <v>710.91346153846155</v>
      </c>
      <c r="E59" s="587" t="str">
        <f ca="1">IF(D59&gt;=D35,"Ok, Resiste!","Não Ok!""")</f>
        <v>Ok, Resiste!</v>
      </c>
    </row>
    <row r="61" spans="3:5" x14ac:dyDescent="0.25">
      <c r="C61" s="533" t="s">
        <v>1339</v>
      </c>
    </row>
    <row r="63" spans="3:5" x14ac:dyDescent="0.25">
      <c r="C63" s="215" t="s">
        <v>1340</v>
      </c>
      <c r="D63" s="572">
        <v>2</v>
      </c>
    </row>
    <row r="64" spans="3:5" x14ac:dyDescent="0.25">
      <c r="C64" s="215" t="s">
        <v>1341</v>
      </c>
      <c r="D64" s="589">
        <f>Geometria!H58</f>
        <v>50</v>
      </c>
    </row>
    <row r="65" spans="3:5" x14ac:dyDescent="0.25">
      <c r="C65" s="1" t="s">
        <v>1342</v>
      </c>
      <c r="D65" s="590" t="s">
        <v>1343</v>
      </c>
    </row>
    <row r="66" spans="3:5" ht="18" x14ac:dyDescent="0.25">
      <c r="C66" s="573" t="s">
        <v>1344</v>
      </c>
      <c r="D66" s="575">
        <f>D53</f>
        <v>31</v>
      </c>
    </row>
    <row r="67" spans="3:5" ht="18" x14ac:dyDescent="0.25">
      <c r="C67" s="573" t="s">
        <v>1345</v>
      </c>
      <c r="D67" s="575">
        <f>D108*VLOOKUP('[1]Dados de Entrada'!C3,'[1]Dados Lajes'!A4:O11,15,FALSE)</f>
        <v>25</v>
      </c>
    </row>
    <row r="68" spans="3:5" ht="16.5" x14ac:dyDescent="0.3">
      <c r="C68" s="591" t="s">
        <v>1346</v>
      </c>
      <c r="D68" s="1">
        <v>1.2</v>
      </c>
    </row>
    <row r="69" spans="3:5" ht="16.5" x14ac:dyDescent="0.25">
      <c r="C69" s="592" t="s">
        <v>1347</v>
      </c>
      <c r="D69" s="586">
        <f>D68*5600*SQRT(D64)</f>
        <v>47517.575695735999</v>
      </c>
    </row>
    <row r="70" spans="3:5" ht="16.5" x14ac:dyDescent="0.25">
      <c r="C70" s="592" t="s">
        <v>1348</v>
      </c>
      <c r="D70" s="586">
        <f>21500*D68*(D64/10+1.25)^(1/3)</f>
        <v>47524.006332460987</v>
      </c>
    </row>
    <row r="71" spans="3:5" ht="16.5" x14ac:dyDescent="0.25">
      <c r="C71" s="592" t="s">
        <v>1349</v>
      </c>
      <c r="D71" s="586">
        <f>IF(D64&gt;50,D70,D69)</f>
        <v>47517.575695735999</v>
      </c>
    </row>
    <row r="72" spans="3:5" ht="16.5" x14ac:dyDescent="0.25">
      <c r="C72" s="592" t="s">
        <v>1350</v>
      </c>
      <c r="D72" s="215">
        <f>IF(0.8+0.2*D64/80&gt;1,1,0.8+0.2*D64/80)</f>
        <v>0.92500000000000004</v>
      </c>
    </row>
    <row r="73" spans="3:5" ht="18" x14ac:dyDescent="0.25">
      <c r="C73" s="573" t="s">
        <v>1351</v>
      </c>
      <c r="D73" s="593">
        <f>D72*D71/10</f>
        <v>4395.3757518555803</v>
      </c>
    </row>
    <row r="74" spans="3:5" ht="18" x14ac:dyDescent="0.25">
      <c r="C74" s="573" t="s">
        <v>1352</v>
      </c>
      <c r="D74" s="593">
        <f>Geometria!H867*100</f>
        <v>3662.8131265463162</v>
      </c>
    </row>
    <row r="75" spans="3:5" ht="18" x14ac:dyDescent="0.25">
      <c r="C75" s="573" t="s">
        <v>1353</v>
      </c>
      <c r="D75" s="575">
        <f>D66+0.5*D67*D73/D74</f>
        <v>46</v>
      </c>
    </row>
    <row r="76" spans="3:5" ht="18" x14ac:dyDescent="0.25">
      <c r="C76" s="587" t="s">
        <v>1338</v>
      </c>
      <c r="D76" s="588">
        <f>0.5*D51*(D52/10)*0.9*D58*D75</f>
        <v>1054.9038461538462</v>
      </c>
      <c r="E76" s="587" t="str">
        <f>IF(D76&gt;=D52,"Ok, Resiste!","Não Ok!""")</f>
        <v>Ok, Resiste!</v>
      </c>
    </row>
    <row r="78" spans="3:5" x14ac:dyDescent="0.25">
      <c r="C78" s="533" t="s">
        <v>1354</v>
      </c>
    </row>
    <row r="80" spans="3:5" x14ac:dyDescent="0.25">
      <c r="C80" s="533" t="s">
        <v>1355</v>
      </c>
    </row>
    <row r="82" spans="2:12" x14ac:dyDescent="0.25">
      <c r="C82" s="215" t="s">
        <v>476</v>
      </c>
      <c r="D82" s="594">
        <v>0</v>
      </c>
    </row>
    <row r="83" spans="2:12" x14ac:dyDescent="0.25">
      <c r="C83" s="215" t="s">
        <v>220</v>
      </c>
      <c r="D83" s="595">
        <f>'[1]ELS-Tensões'!C28</f>
        <v>9.8699999999999992</v>
      </c>
    </row>
    <row r="84" spans="2:12" ht="18" x14ac:dyDescent="0.25">
      <c r="C84" s="215" t="s">
        <v>1356</v>
      </c>
      <c r="D84" s="596">
        <f>'[1]ELS-Tensões'!C39/10</f>
        <v>0.21924142287881931</v>
      </c>
    </row>
    <row r="85" spans="2:12" ht="18" x14ac:dyDescent="0.25">
      <c r="C85" s="573" t="s">
        <v>1331</v>
      </c>
      <c r="D85" s="575">
        <f>VLOOKUP('[1]Dados de Entrada'!C3,'[1]Dados Lajes'!A4:N11,14,FALSE)</f>
        <v>31</v>
      </c>
    </row>
    <row r="86" spans="2:12" x14ac:dyDescent="0.25">
      <c r="B86" s="419"/>
      <c r="C86" s="215" t="s">
        <v>1333</v>
      </c>
      <c r="D86" s="575">
        <f>IF(D24=[1]Auxílio!Z6,'[1]Dados de Entrada'!F59-'[1]ELS-Tensões'!C26,'[1]Dados de Entrada'!C56-'[1]ELS-Tensões'!C26)</f>
        <v>32</v>
      </c>
    </row>
    <row r="87" spans="2:12" ht="18" x14ac:dyDescent="0.25">
      <c r="C87" s="573" t="s">
        <v>1357</v>
      </c>
      <c r="D87" s="597">
        <f>(D82+D83)/(D85*D86)</f>
        <v>9.9495967741935476E-3</v>
      </c>
      <c r="J87" s="587"/>
      <c r="K87" s="587"/>
      <c r="L87" s="587"/>
    </row>
    <row r="88" spans="2:12" x14ac:dyDescent="0.25">
      <c r="C88" s="215" t="s">
        <v>1132</v>
      </c>
      <c r="D88" s="451">
        <f>IF((1.6-D86/100)&lt;1,1,1.6-D86/100)</f>
        <v>1.28</v>
      </c>
    </row>
    <row r="89" spans="2:12" ht="18" x14ac:dyDescent="0.25">
      <c r="C89" s="215" t="s">
        <v>1358</v>
      </c>
      <c r="D89" s="577">
        <f>0.25*D84*D88*(1.2+40*D87)*D85*D86</f>
        <v>111.21328113520138</v>
      </c>
    </row>
    <row r="91" spans="2:12" ht="18" x14ac:dyDescent="0.25">
      <c r="C91" s="215" t="s">
        <v>1359</v>
      </c>
      <c r="D91" s="595">
        <f>'[1]ELS-Tensões'!Y422/'[1]ELS-Tensões'!Y418</f>
        <v>9.8699999999999992</v>
      </c>
    </row>
    <row r="92" spans="2:12" ht="18" x14ac:dyDescent="0.25">
      <c r="C92" s="215" t="s">
        <v>1360</v>
      </c>
      <c r="D92" s="595">
        <f>'[1]ELS-Tensões'!C78</f>
        <v>0</v>
      </c>
    </row>
    <row r="93" spans="2:12" ht="18" x14ac:dyDescent="0.25">
      <c r="C93" s="215" t="s">
        <v>1361</v>
      </c>
      <c r="D93" s="596">
        <f>'[1]ELS-Tensões'!C11</f>
        <v>117.04000000000002</v>
      </c>
    </row>
    <row r="94" spans="2:12" ht="18" x14ac:dyDescent="0.25">
      <c r="C94" s="215" t="s">
        <v>1362</v>
      </c>
      <c r="D94" s="596">
        <f>'[1]ELS-Tensões'!G11</f>
        <v>91.218050000000019</v>
      </c>
    </row>
    <row r="95" spans="2:12" ht="18" x14ac:dyDescent="0.25">
      <c r="C95" s="215" t="s">
        <v>1363</v>
      </c>
      <c r="D95" s="598">
        <f>D93*D91</f>
        <v>1155.1848000000002</v>
      </c>
    </row>
    <row r="96" spans="2:12" ht="18" x14ac:dyDescent="0.25">
      <c r="C96" s="215" t="s">
        <v>1364</v>
      </c>
      <c r="D96" s="598">
        <f>D94*D92</f>
        <v>0</v>
      </c>
    </row>
    <row r="97" spans="3:5" x14ac:dyDescent="0.25">
      <c r="C97" s="215" t="s">
        <v>1365</v>
      </c>
      <c r="D97" s="599">
        <f>'[1]ELS-Tensões'!Y416</f>
        <v>0.21591394564517474</v>
      </c>
    </row>
    <row r="98" spans="3:5" x14ac:dyDescent="0.25">
      <c r="C98" s="215" t="s">
        <v>1366</v>
      </c>
      <c r="D98" s="599">
        <f>'[1]ELS-Tensões'!Y417</f>
        <v>6.362590091564968E-2</v>
      </c>
    </row>
    <row r="99" spans="3:5" ht="18" x14ac:dyDescent="0.25">
      <c r="C99" s="215" t="s">
        <v>1367</v>
      </c>
      <c r="D99" s="577">
        <f>D95*(1-D97)+D96*(1-D98)</f>
        <v>905.76429188266809</v>
      </c>
    </row>
    <row r="100" spans="3:5" ht="18" x14ac:dyDescent="0.25">
      <c r="C100" s="215" t="s">
        <v>296</v>
      </c>
      <c r="D100" s="595">
        <f>VLOOKUP('[1]Dados de Entrada'!C3,'[1]Dados Lajes'!A4:C11,3,FALSE)</f>
        <v>1811.6405999999999</v>
      </c>
    </row>
    <row r="101" spans="3:5" ht="18" x14ac:dyDescent="0.25">
      <c r="C101" s="573" t="s">
        <v>1368</v>
      </c>
      <c r="D101" s="596">
        <f>D99/D100</f>
        <v>0.49996908431102072</v>
      </c>
    </row>
    <row r="102" spans="3:5" ht="18" x14ac:dyDescent="0.25">
      <c r="C102" s="215" t="s">
        <v>1369</v>
      </c>
      <c r="D102" s="577">
        <f>0.15*D101*D85*D86</f>
        <v>74.395399745479878</v>
      </c>
    </row>
    <row r="104" spans="3:5" ht="18" x14ac:dyDescent="0.25">
      <c r="C104" s="587" t="s">
        <v>1370</v>
      </c>
      <c r="D104" s="600">
        <f>D102+D89</f>
        <v>185.60868088068128</v>
      </c>
      <c r="E104" s="587" t="str">
        <f ca="1">IF(D104&gt;=D35,"Ok!","Não Ok!")</f>
        <v>Ok!</v>
      </c>
    </row>
    <row r="106" spans="3:5" x14ac:dyDescent="0.25">
      <c r="C106" s="533" t="s">
        <v>1371</v>
      </c>
    </row>
    <row r="108" spans="3:5" x14ac:dyDescent="0.25">
      <c r="C108" s="215" t="s">
        <v>1340</v>
      </c>
      <c r="D108" s="572">
        <v>2</v>
      </c>
    </row>
    <row r="109" spans="3:5" ht="18" x14ac:dyDescent="0.25">
      <c r="C109" s="215" t="s">
        <v>1372</v>
      </c>
      <c r="D109" s="589">
        <v>50</v>
      </c>
    </row>
    <row r="110" spans="3:5" x14ac:dyDescent="0.25">
      <c r="C110" s="1" t="s">
        <v>1373</v>
      </c>
      <c r="D110" s="590" t="s">
        <v>1343</v>
      </c>
    </row>
    <row r="111" spans="3:5" ht="18" x14ac:dyDescent="0.25">
      <c r="C111" s="215" t="s">
        <v>1374</v>
      </c>
      <c r="D111" s="594">
        <v>0</v>
      </c>
    </row>
    <row r="112" spans="3:5" ht="18" x14ac:dyDescent="0.25">
      <c r="C112" s="215" t="s">
        <v>1375</v>
      </c>
      <c r="D112" s="595">
        <f>D83</f>
        <v>9.8699999999999992</v>
      </c>
    </row>
    <row r="113" spans="3:4" ht="18" x14ac:dyDescent="0.25">
      <c r="C113" s="215" t="s">
        <v>1356</v>
      </c>
      <c r="D113" s="596">
        <f>D84</f>
        <v>0.21924142287881931</v>
      </c>
    </row>
    <row r="114" spans="3:4" ht="18" x14ac:dyDescent="0.25">
      <c r="C114" s="573" t="s">
        <v>1344</v>
      </c>
      <c r="D114" s="575">
        <f>VLOOKUP('[1]Dados de Entrada'!C3,'[1]Dados Lajes'!A4:O11,14,FALSE)</f>
        <v>31</v>
      </c>
    </row>
    <row r="115" spans="3:4" ht="18" x14ac:dyDescent="0.25">
      <c r="C115" s="573" t="s">
        <v>1345</v>
      </c>
      <c r="D115" s="575">
        <f>D108*VLOOKUP('[1]Dados de Entrada'!C3,'[1]Dados Lajes'!A4:O11,15,FALSE)</f>
        <v>25</v>
      </c>
    </row>
    <row r="116" spans="3:4" ht="16.5" x14ac:dyDescent="0.3">
      <c r="C116" s="591" t="s">
        <v>1346</v>
      </c>
      <c r="D116" s="1">
        <f>VLOOKUP(D110,[1]Auxílio!N4:O9,2,FALSE)</f>
        <v>1.2</v>
      </c>
    </row>
    <row r="117" spans="3:4" ht="16.5" x14ac:dyDescent="0.25">
      <c r="C117" s="592" t="s">
        <v>1347</v>
      </c>
      <c r="D117" s="586">
        <f>D116*5600*SQRT(D109)</f>
        <v>47517.575695735999</v>
      </c>
    </row>
    <row r="118" spans="3:4" ht="16.5" x14ac:dyDescent="0.25">
      <c r="C118" s="592" t="s">
        <v>1348</v>
      </c>
      <c r="D118" s="586">
        <f>21500*D116*(D109/10+1.25)^(1/3)</f>
        <v>47524.006332460987</v>
      </c>
    </row>
    <row r="119" spans="3:4" ht="16.5" x14ac:dyDescent="0.25">
      <c r="C119" s="592" t="s">
        <v>1349</v>
      </c>
      <c r="D119" s="586">
        <f>IF(D109&gt;50,D118,D117)</f>
        <v>47517.575695735999</v>
      </c>
    </row>
    <row r="120" spans="3:4" ht="16.5" x14ac:dyDescent="0.25">
      <c r="C120" s="592" t="s">
        <v>1350</v>
      </c>
      <c r="D120" s="215">
        <f>IF(0.8+0.2*D109/80&gt;1,1,0.8+0.2*D109/80)</f>
        <v>0.92500000000000004</v>
      </c>
    </row>
    <row r="121" spans="3:4" ht="18" x14ac:dyDescent="0.25">
      <c r="C121" s="573" t="s">
        <v>1351</v>
      </c>
      <c r="D121" s="593">
        <f>D120*D119/10</f>
        <v>4395.3757518555803</v>
      </c>
    </row>
    <row r="122" spans="3:4" ht="18" x14ac:dyDescent="0.25">
      <c r="C122" s="573" t="s">
        <v>1352</v>
      </c>
      <c r="D122" s="593">
        <f>'[1]ELU-Flexão'!F9</f>
        <v>3662.8131265463162</v>
      </c>
    </row>
    <row r="123" spans="3:4" ht="18" x14ac:dyDescent="0.25">
      <c r="C123" s="573" t="s">
        <v>1353</v>
      </c>
      <c r="D123" s="575">
        <f>D114+0.5*D115*D121/D122</f>
        <v>46</v>
      </c>
    </row>
    <row r="124" spans="3:4" x14ac:dyDescent="0.25">
      <c r="C124" s="215" t="s">
        <v>1333</v>
      </c>
      <c r="D124" s="575">
        <f>D86</f>
        <v>32</v>
      </c>
    </row>
    <row r="125" spans="3:4" ht="18" x14ac:dyDescent="0.25">
      <c r="C125" s="573" t="s">
        <v>1376</v>
      </c>
      <c r="D125" s="601">
        <f>(D111+D112)/(D123*D124)</f>
        <v>6.7051630434782602E-3</v>
      </c>
    </row>
    <row r="126" spans="3:4" x14ac:dyDescent="0.25">
      <c r="C126" s="215" t="s">
        <v>1132</v>
      </c>
      <c r="D126" s="451">
        <f>IF((1.6-D124/100)&lt;1,1,1.6-D124/100)</f>
        <v>1.28</v>
      </c>
    </row>
    <row r="127" spans="3:4" ht="18" x14ac:dyDescent="0.25">
      <c r="C127" s="215" t="s">
        <v>1358</v>
      </c>
      <c r="D127" s="577">
        <f>0.25*D113*D126*(1.2+40*D125)*D123*D124</f>
        <v>151.62386020022538</v>
      </c>
    </row>
    <row r="129" spans="3:5" ht="18" x14ac:dyDescent="0.25">
      <c r="C129" s="215" t="s">
        <v>1367</v>
      </c>
      <c r="D129" s="577">
        <f>D99</f>
        <v>905.76429188266809</v>
      </c>
    </row>
    <row r="130" spans="3:5" ht="18" x14ac:dyDescent="0.25">
      <c r="C130" s="215" t="s">
        <v>1377</v>
      </c>
      <c r="D130" s="595">
        <f>VLOOKUP('[1]Dados de Entrada'!C3,'[1]Dados Lajes'!A4:C11,3,FALSE)+D108*VLOOKUP('[1]Dados de Entrada'!C3,'[1]Dados Lajes'!A4:Q11,17,FALSE)</f>
        <v>2320.5234</v>
      </c>
    </row>
    <row r="131" spans="3:5" ht="18" x14ac:dyDescent="0.25">
      <c r="C131" s="573" t="s">
        <v>1378</v>
      </c>
      <c r="D131" s="596">
        <f>D129/D130</f>
        <v>0.39032758380401078</v>
      </c>
    </row>
    <row r="132" spans="3:5" ht="18" x14ac:dyDescent="0.25">
      <c r="C132" s="215" t="s">
        <v>1379</v>
      </c>
      <c r="D132" s="577">
        <f>0.15*D131*D123*D124</f>
        <v>86.18433050392558</v>
      </c>
    </row>
    <row r="134" spans="3:5" ht="18" x14ac:dyDescent="0.25">
      <c r="C134" s="587" t="s">
        <v>1370</v>
      </c>
      <c r="D134" s="600">
        <f>D132+D127</f>
        <v>237.80819070415095</v>
      </c>
      <c r="E134" s="587" t="str">
        <f ca="1">IF(D134&gt;=D35,"Ok!","Não Ok!")</f>
        <v>Ok!</v>
      </c>
    </row>
    <row r="135" spans="3:5" x14ac:dyDescent="0.25">
      <c r="D135" s="577"/>
    </row>
    <row r="136" spans="3:5" x14ac:dyDescent="0.25">
      <c r="C136" s="533" t="s">
        <v>1380</v>
      </c>
      <c r="D136" s="577"/>
    </row>
    <row r="137" spans="3:5" x14ac:dyDescent="0.25">
      <c r="D137" s="577"/>
    </row>
    <row r="138" spans="3:5" x14ac:dyDescent="0.25">
      <c r="C138" s="215" t="s">
        <v>1340</v>
      </c>
      <c r="D138" s="572">
        <v>2</v>
      </c>
    </row>
    <row r="139" spans="3:5" ht="18" x14ac:dyDescent="0.25">
      <c r="C139" s="215" t="s">
        <v>1372</v>
      </c>
      <c r="D139" s="589">
        <v>50</v>
      </c>
    </row>
    <row r="140" spans="3:5" x14ac:dyDescent="0.25">
      <c r="C140" s="1" t="s">
        <v>1373</v>
      </c>
      <c r="D140" s="590" t="s">
        <v>1343</v>
      </c>
    </row>
    <row r="141" spans="3:5" ht="18" x14ac:dyDescent="0.25">
      <c r="C141" s="215" t="s">
        <v>1374</v>
      </c>
      <c r="D141" s="594">
        <v>0</v>
      </c>
    </row>
    <row r="142" spans="3:5" ht="18" x14ac:dyDescent="0.25">
      <c r="C142" s="215" t="s">
        <v>1375</v>
      </c>
      <c r="D142" s="595">
        <f>D112</f>
        <v>9.8699999999999992</v>
      </c>
    </row>
    <row r="143" spans="3:5" ht="18" x14ac:dyDescent="0.25">
      <c r="C143" s="215" t="s">
        <v>1356</v>
      </c>
      <c r="D143" s="596">
        <f>D113</f>
        <v>0.21924142287881931</v>
      </c>
    </row>
    <row r="144" spans="3:5" ht="18" x14ac:dyDescent="0.25">
      <c r="C144" s="573" t="s">
        <v>1344</v>
      </c>
      <c r="D144" s="575">
        <f>VLOOKUP('[1]Dados de Entrada'!C3,'[1]Dados Lajes'!A4:O11,14,FALSE)</f>
        <v>31</v>
      </c>
    </row>
    <row r="145" spans="3:4" ht="18" x14ac:dyDescent="0.25">
      <c r="C145" s="573" t="s">
        <v>1345</v>
      </c>
      <c r="D145" s="575">
        <f>D138*VLOOKUP('[1]Dados de Entrada'!C3,'[1]Dados Lajes'!A4:O11,15,FALSE)</f>
        <v>25</v>
      </c>
    </row>
    <row r="146" spans="3:4" ht="16.5" x14ac:dyDescent="0.3">
      <c r="C146" s="591" t="s">
        <v>1346</v>
      </c>
      <c r="D146" s="1">
        <f>VLOOKUP(D140,[1]Auxílio!N4:O9,2,FALSE)</f>
        <v>1.2</v>
      </c>
    </row>
    <row r="147" spans="3:4" ht="16.5" x14ac:dyDescent="0.25">
      <c r="C147" s="592" t="s">
        <v>1347</v>
      </c>
      <c r="D147" s="586">
        <f>D146*5600*SQRT(D139)</f>
        <v>47517.575695735999</v>
      </c>
    </row>
    <row r="148" spans="3:4" ht="16.5" x14ac:dyDescent="0.25">
      <c r="C148" s="592" t="s">
        <v>1348</v>
      </c>
      <c r="D148" s="586">
        <f>21500*D146*(D139/10+1.25)^(1/3)</f>
        <v>47524.006332460987</v>
      </c>
    </row>
    <row r="149" spans="3:4" ht="16.5" x14ac:dyDescent="0.25">
      <c r="C149" s="592" t="s">
        <v>1349</v>
      </c>
      <c r="D149" s="586">
        <f>IF(D139&gt;50,D148,D147)</f>
        <v>47517.575695735999</v>
      </c>
    </row>
    <row r="150" spans="3:4" ht="16.5" x14ac:dyDescent="0.25">
      <c r="C150" s="592" t="s">
        <v>1350</v>
      </c>
      <c r="D150" s="215">
        <f>IF(0.8+0.2*D139/80&gt;1,1,0.8+0.2*D139/80)</f>
        <v>0.92500000000000004</v>
      </c>
    </row>
    <row r="151" spans="3:4" ht="18" x14ac:dyDescent="0.25">
      <c r="C151" s="573" t="s">
        <v>1351</v>
      </c>
      <c r="D151" s="593">
        <f>D150*D149/10</f>
        <v>4395.3757518555803</v>
      </c>
    </row>
    <row r="152" spans="3:4" ht="18" x14ac:dyDescent="0.25">
      <c r="C152" s="573" t="s">
        <v>1352</v>
      </c>
      <c r="D152" s="593">
        <f>D122</f>
        <v>3662.8131265463162</v>
      </c>
    </row>
    <row r="153" spans="3:4" ht="18" x14ac:dyDescent="0.25">
      <c r="C153" s="573" t="s">
        <v>1353</v>
      </c>
      <c r="D153" s="575">
        <f>D144+0.5*D145*D151/D152</f>
        <v>46</v>
      </c>
    </row>
    <row r="154" spans="3:4" x14ac:dyDescent="0.25">
      <c r="C154" s="215" t="s">
        <v>1333</v>
      </c>
      <c r="D154" s="575">
        <f>D124</f>
        <v>32</v>
      </c>
    </row>
    <row r="155" spans="3:4" ht="18" x14ac:dyDescent="0.25">
      <c r="C155" s="573" t="s">
        <v>1376</v>
      </c>
      <c r="D155" s="601">
        <f>(D141+D142)/(D153*D154)</f>
        <v>6.7051630434782602E-3</v>
      </c>
    </row>
    <row r="156" spans="3:4" x14ac:dyDescent="0.25">
      <c r="C156" s="215" t="s">
        <v>1132</v>
      </c>
      <c r="D156" s="451">
        <f>IF((1.6-D154/100)&lt;1,1,1.6-D154/100)</f>
        <v>1.28</v>
      </c>
    </row>
    <row r="157" spans="3:4" ht="18" x14ac:dyDescent="0.25">
      <c r="C157" s="215" t="s">
        <v>1358</v>
      </c>
      <c r="D157" s="577">
        <f>0.25*D143*D156*(1.2+40*D155)*D153*D154</f>
        <v>151.62386020022538</v>
      </c>
    </row>
    <row r="159" spans="3:4" ht="18" x14ac:dyDescent="0.25">
      <c r="C159" s="215" t="s">
        <v>1367</v>
      </c>
      <c r="D159" s="577">
        <f>D129</f>
        <v>905.76429188266809</v>
      </c>
    </row>
    <row r="160" spans="3:4" ht="18" x14ac:dyDescent="0.25">
      <c r="C160" s="215" t="s">
        <v>1377</v>
      </c>
      <c r="D160" s="595">
        <f>D100</f>
        <v>1811.6405999999999</v>
      </c>
    </row>
    <row r="161" spans="3:5" ht="18" x14ac:dyDescent="0.25">
      <c r="C161" s="573" t="s">
        <v>1368</v>
      </c>
      <c r="D161" s="596">
        <f>D159/D160</f>
        <v>0.49996908431102072</v>
      </c>
    </row>
    <row r="162" spans="3:5" ht="18" x14ac:dyDescent="0.25">
      <c r="C162" s="215" t="s">
        <v>1369</v>
      </c>
      <c r="D162" s="577">
        <f>0.15*D161*D45*D154</f>
        <v>74.395399745479878</v>
      </c>
    </row>
    <row r="164" spans="3:5" ht="18" x14ac:dyDescent="0.25">
      <c r="C164" s="587" t="s">
        <v>1370</v>
      </c>
      <c r="D164" s="600">
        <f>D162+D157</f>
        <v>226.01925994570524</v>
      </c>
      <c r="E164" s="587" t="str">
        <f ca="1">IF(D164&gt;=D35,"Ok!","Não Ok!")</f>
        <v>Ok!</v>
      </c>
    </row>
    <row r="165" spans="3:5" x14ac:dyDescent="0.25">
      <c r="D165" s="577"/>
    </row>
    <row r="166" spans="3:5" x14ac:dyDescent="0.25">
      <c r="C166" s="533" t="s">
        <v>1381</v>
      </c>
    </row>
    <row r="168" spans="3:5" x14ac:dyDescent="0.25">
      <c r="C168" s="215" t="s">
        <v>1382</v>
      </c>
      <c r="D168" s="215">
        <f>D30-'[1]Dados de Entrada'!C5</f>
        <v>968</v>
      </c>
    </row>
    <row r="169" spans="3:5" x14ac:dyDescent="0.25">
      <c r="C169" s="215" t="s">
        <v>183</v>
      </c>
      <c r="D169" s="602">
        <f>D33</f>
        <v>12.5</v>
      </c>
    </row>
    <row r="170" spans="3:5" ht="18" x14ac:dyDescent="0.25">
      <c r="C170" s="215" t="s">
        <v>1383</v>
      </c>
      <c r="D170" s="603">
        <f ca="1">((D3*G3+D4*G4+(D5+D6+D7)*G5+G6*(D8+D9))*D168*D169/2-(D3*G3+D4*G4+(D5+D6+D7)*G5+G6*(D8+D9))*D169^2/2)/10000</f>
        <v>12.124067040700259</v>
      </c>
    </row>
    <row r="171" spans="3:5" x14ac:dyDescent="0.25">
      <c r="C171" s="215" t="s">
        <v>1333</v>
      </c>
      <c r="D171" s="575">
        <f>'[1]ELU-Flexão'!J43</f>
        <v>32</v>
      </c>
    </row>
    <row r="172" spans="3:5" ht="18" x14ac:dyDescent="0.25">
      <c r="C172" s="215" t="s">
        <v>1308</v>
      </c>
      <c r="D172" s="577">
        <f ca="1">(D3*G3+D4*G4+(D5+D6+D7)*G5+G6*(D8+D9))*(D168-2*D169)/200</f>
        <v>95.723664840442453</v>
      </c>
    </row>
    <row r="173" spans="3:5" ht="18" x14ac:dyDescent="0.25">
      <c r="C173" s="215" t="s">
        <v>1384</v>
      </c>
      <c r="D173" s="603">
        <f ca="1">D170+1.35*D171*D172/100</f>
        <v>53.476690251771402</v>
      </c>
    </row>
    <row r="174" spans="3:5" ht="18" x14ac:dyDescent="0.25">
      <c r="C174" s="215" t="s">
        <v>1385</v>
      </c>
      <c r="D174" s="604">
        <f>D134</f>
        <v>237.80819070415095</v>
      </c>
    </row>
    <row r="175" spans="3:5" ht="18" x14ac:dyDescent="0.25">
      <c r="C175" s="215" t="s">
        <v>1375</v>
      </c>
      <c r="D175" s="594">
        <f>'[1]ELS-Tensões'!G287*'[1]ELS-Tensões'!C27</f>
        <v>9.8699999999999992</v>
      </c>
    </row>
    <row r="176" spans="3:5" ht="18" x14ac:dyDescent="0.25">
      <c r="C176" s="573" t="s">
        <v>1386</v>
      </c>
      <c r="D176" s="605">
        <f>'[1]ELU-Flexão'!E67</f>
        <v>156.957470760425</v>
      </c>
    </row>
    <row r="177" spans="3:4" x14ac:dyDescent="0.25">
      <c r="C177" s="215" t="s">
        <v>1333</v>
      </c>
      <c r="D177" s="602">
        <f>'[1]ELU-Flexão'!J43</f>
        <v>32</v>
      </c>
    </row>
    <row r="178" spans="3:4" ht="18" x14ac:dyDescent="0.25">
      <c r="C178" s="215" t="s">
        <v>1387</v>
      </c>
      <c r="D178" s="603">
        <f>D175*D176*0.9*D177/100</f>
        <v>446.1610280847537</v>
      </c>
    </row>
    <row r="180" spans="3:4" ht="18" x14ac:dyDescent="0.25">
      <c r="C180" s="579" t="s">
        <v>1388</v>
      </c>
      <c r="D180" s="606">
        <f ca="1">((D172/D174)^4+(D173/D178)^4)^(1/4)</f>
        <v>0.40331349517238652</v>
      </c>
    </row>
    <row r="181" spans="3:4" ht="18" x14ac:dyDescent="0.25">
      <c r="C181" s="579" t="s">
        <v>1389</v>
      </c>
      <c r="D181" s="607">
        <v>1</v>
      </c>
    </row>
    <row r="182" spans="3:4" x14ac:dyDescent="0.25">
      <c r="C182" s="587" t="s">
        <v>1270</v>
      </c>
      <c r="D182" s="587" t="str">
        <f ca="1">IF(D180&lt;=D181,"Ok!","Não Ok!")</f>
        <v>Ok!</v>
      </c>
    </row>
    <row r="184" spans="3:4" x14ac:dyDescent="0.25">
      <c r="C184" s="533" t="s">
        <v>1390</v>
      </c>
    </row>
    <row r="186" spans="3:4" x14ac:dyDescent="0.25">
      <c r="C186" s="533" t="s">
        <v>1391</v>
      </c>
    </row>
    <row r="188" spans="3:4" x14ac:dyDescent="0.25">
      <c r="C188" s="215" t="s">
        <v>1321</v>
      </c>
      <c r="D188" s="575">
        <f>D30</f>
        <v>982</v>
      </c>
    </row>
    <row r="189" spans="3:4" x14ac:dyDescent="0.25">
      <c r="C189" s="215" t="s">
        <v>3</v>
      </c>
      <c r="D189" s="575">
        <f>VLOOKUP('[1]Dados de Entrada'!C3,'[1]Dados Lajes'!A4:B11,2,FALSE)</f>
        <v>30</v>
      </c>
    </row>
    <row r="190" spans="3:4" x14ac:dyDescent="0.25">
      <c r="C190" s="215" t="s">
        <v>1322</v>
      </c>
      <c r="D190" s="575">
        <f>'[1]Dados de Entrada'!C5</f>
        <v>14</v>
      </c>
    </row>
    <row r="191" spans="3:4" ht="18" x14ac:dyDescent="0.25">
      <c r="C191" s="215" t="s">
        <v>1392</v>
      </c>
      <c r="D191" s="575">
        <f>VLOOKUP('[1]Dados de Entrada'!C3,'[1]Dados Lajes'!A4:AE11,31,FALSE)</f>
        <v>7.5</v>
      </c>
    </row>
    <row r="192" spans="3:4" ht="18" x14ac:dyDescent="0.25">
      <c r="C192" s="215" t="s">
        <v>1393</v>
      </c>
      <c r="D192" s="575">
        <f>D191/TAN(RADIANS(30))</f>
        <v>12.99038105676658</v>
      </c>
    </row>
    <row r="193" spans="3:4" ht="15.75" thickBot="1" x14ac:dyDescent="0.3">
      <c r="C193" s="215" t="s">
        <v>1323</v>
      </c>
      <c r="D193" s="575">
        <f>D188-D190-D192*2</f>
        <v>942.01923788646684</v>
      </c>
    </row>
    <row r="194" spans="3:4" ht="18.75" thickBot="1" x14ac:dyDescent="0.3">
      <c r="C194" s="582" t="s">
        <v>1324</v>
      </c>
      <c r="D194" s="583">
        <f ca="1">(D193)*0.01*(G3*D3+G4*D4+G5*(D5+D6+D7)+G6*(D8+D9))*0.5</f>
        <v>95.62410795407547</v>
      </c>
    </row>
    <row r="196" spans="3:4" x14ac:dyDescent="0.25">
      <c r="C196" s="533" t="s">
        <v>1394</v>
      </c>
    </row>
    <row r="197" spans="3:4" x14ac:dyDescent="0.25">
      <c r="C197" s="533"/>
    </row>
    <row r="198" spans="3:4" ht="18" x14ac:dyDescent="0.25">
      <c r="C198" s="215" t="s">
        <v>1395</v>
      </c>
      <c r="D198" s="584">
        <f ca="1">(D193)*0.01*(G3*D3+G4*D4)*0.5</f>
        <v>39.573963299830702</v>
      </c>
    </row>
    <row r="199" spans="3:4" ht="18" x14ac:dyDescent="0.25">
      <c r="C199" s="215" t="s">
        <v>1396</v>
      </c>
      <c r="D199" s="584">
        <f>(D193)*0.01*(G5*(D5+D6+D7)+G6*(D8+D9))*0.5</f>
        <v>56.050144654244768</v>
      </c>
    </row>
    <row r="200" spans="3:4" x14ac:dyDescent="0.25">
      <c r="C200" s="215" t="s">
        <v>109</v>
      </c>
      <c r="D200" s="595">
        <f>VLOOKUP('[1]Dados de Entrada'!C3,'[1]Dados Lajes'!A4:AC11,28,FALSE)</f>
        <v>904.54089999999997</v>
      </c>
    </row>
    <row r="201" spans="3:4" x14ac:dyDescent="0.25">
      <c r="C201" s="215" t="s">
        <v>398</v>
      </c>
      <c r="D201" s="608">
        <f>VLOOKUP('[1]Dados de Entrada'!C3,'[1]Dados Lajes'!A4:AC11,29,FALSE)</f>
        <v>9.8848000000000003</v>
      </c>
    </row>
    <row r="202" spans="3:4" x14ac:dyDescent="0.25">
      <c r="C202" s="215" t="s">
        <v>1397</v>
      </c>
      <c r="D202" s="609">
        <f>D200*D201</f>
        <v>8941.2058883200007</v>
      </c>
    </row>
    <row r="203" spans="3:4" x14ac:dyDescent="0.25">
      <c r="C203" s="215" t="s">
        <v>1056</v>
      </c>
      <c r="D203" s="610">
        <f>VLOOKUP('[1]Dados de Entrada'!C3,'[1]Dados Lajes'!A4:F11,6,FALSE)</f>
        <v>207551.86040000001</v>
      </c>
    </row>
    <row r="204" spans="3:4" x14ac:dyDescent="0.25">
      <c r="C204" s="215" t="s">
        <v>115</v>
      </c>
      <c r="D204" s="594">
        <v>1191.4762000000001</v>
      </c>
    </row>
    <row r="205" spans="3:4" x14ac:dyDescent="0.25">
      <c r="C205" s="215" t="s">
        <v>1398</v>
      </c>
      <c r="D205" s="611">
        <v>9.9438999999999993</v>
      </c>
    </row>
    <row r="206" spans="3:4" x14ac:dyDescent="0.25">
      <c r="C206" s="215" t="s">
        <v>1399</v>
      </c>
      <c r="D206" s="609">
        <f>D204*D205</f>
        <v>11847.920185179999</v>
      </c>
    </row>
    <row r="207" spans="3:4" x14ac:dyDescent="0.25">
      <c r="C207" s="215" t="s">
        <v>1400</v>
      </c>
      <c r="D207" s="612">
        <v>305315.92229999998</v>
      </c>
    </row>
    <row r="208" spans="3:4" ht="18" x14ac:dyDescent="0.25">
      <c r="C208" s="215" t="s">
        <v>1401</v>
      </c>
      <c r="D208" s="575">
        <f>VLOOKUP('[1]Dados de Entrada'!C3,'[1]Dados Lajes'!A4:N11,14,FALSE)</f>
        <v>31</v>
      </c>
    </row>
    <row r="209" spans="3:4" ht="18" x14ac:dyDescent="0.25">
      <c r="C209" s="613" t="s">
        <v>1402</v>
      </c>
      <c r="D209" s="614">
        <f ca="1">D198*D202/(D203*D208)+D199*D206/(D207*D208)</f>
        <v>0.12515718326909195</v>
      </c>
    </row>
    <row r="211" spans="3:4" ht="18" x14ac:dyDescent="0.25">
      <c r="C211" s="215" t="s">
        <v>1356</v>
      </c>
      <c r="D211" s="596">
        <f>D280</f>
        <v>0.21924142287881931</v>
      </c>
    </row>
    <row r="212" spans="3:4" ht="18" x14ac:dyDescent="0.25">
      <c r="C212" s="215" t="s">
        <v>1403</v>
      </c>
      <c r="D212" s="575">
        <f>D192+D190</f>
        <v>26.99038105676658</v>
      </c>
    </row>
    <row r="213" spans="3:4" ht="18" x14ac:dyDescent="0.25">
      <c r="C213" s="215" t="s">
        <v>1404</v>
      </c>
      <c r="D213" s="575">
        <f>'[1]ELS-Tensões'!C186</f>
        <v>71.084256617825332</v>
      </c>
    </row>
    <row r="214" spans="3:4" ht="18" x14ac:dyDescent="0.25">
      <c r="C214" s="215" t="s">
        <v>1405</v>
      </c>
      <c r="D214" s="575">
        <f>'[1]ELS-Tensões'!G186</f>
        <v>63.607909037953391</v>
      </c>
    </row>
    <row r="215" spans="3:4" ht="18" x14ac:dyDescent="0.25">
      <c r="C215" s="215" t="s">
        <v>1406</v>
      </c>
      <c r="D215" s="598">
        <f>D212/D213</f>
        <v>0.37969562236370608</v>
      </c>
    </row>
    <row r="216" spans="3:4" ht="18" x14ac:dyDescent="0.25">
      <c r="C216" s="215" t="s">
        <v>1407</v>
      </c>
      <c r="D216" s="598">
        <f>D212/D214</f>
        <v>0.42432429339348404</v>
      </c>
    </row>
    <row r="217" spans="3:4" ht="18" x14ac:dyDescent="0.25">
      <c r="C217" s="215" t="s">
        <v>1359</v>
      </c>
      <c r="D217" s="595">
        <f>D283</f>
        <v>9.870000000000001</v>
      </c>
    </row>
    <row r="218" spans="3:4" ht="18" x14ac:dyDescent="0.25">
      <c r="C218" s="215" t="s">
        <v>1360</v>
      </c>
      <c r="D218" s="595">
        <f>D284</f>
        <v>0</v>
      </c>
    </row>
    <row r="219" spans="3:4" ht="18" x14ac:dyDescent="0.25">
      <c r="C219" s="215" t="s">
        <v>1361</v>
      </c>
      <c r="D219" s="596">
        <f>D285</f>
        <v>117.04000000000002</v>
      </c>
    </row>
    <row r="220" spans="3:4" ht="18" x14ac:dyDescent="0.25">
      <c r="C220" s="215" t="s">
        <v>1362</v>
      </c>
      <c r="D220" s="596">
        <f>D286</f>
        <v>91.218050000000019</v>
      </c>
    </row>
    <row r="221" spans="3:4" ht="18" x14ac:dyDescent="0.25">
      <c r="C221" s="215" t="s">
        <v>1363</v>
      </c>
      <c r="D221" s="598">
        <f>D219*D217</f>
        <v>1155.1848000000002</v>
      </c>
    </row>
    <row r="222" spans="3:4" ht="18" x14ac:dyDescent="0.25">
      <c r="C222" s="215" t="s">
        <v>1364</v>
      </c>
      <c r="D222" s="598">
        <f>D220*D218</f>
        <v>0</v>
      </c>
    </row>
    <row r="223" spans="3:4" x14ac:dyDescent="0.25">
      <c r="C223" s="215" t="s">
        <v>1365</v>
      </c>
      <c r="D223" s="599">
        <f>'[1]ELS-Tensões'!Z416</f>
        <v>0.23184206258116258</v>
      </c>
    </row>
    <row r="224" spans="3:4" x14ac:dyDescent="0.25">
      <c r="C224" s="215" t="s">
        <v>1408</v>
      </c>
      <c r="D224" s="599">
        <f>'[1]ELS-Tensões'!Z417</f>
        <v>6.5607871413660312E-2</v>
      </c>
    </row>
    <row r="225" spans="3:5" ht="18" x14ac:dyDescent="0.25">
      <c r="C225" s="215" t="s">
        <v>296</v>
      </c>
      <c r="D225" s="595">
        <f>VLOOKUP('[1]Dados de Entrada'!C3,'[1]Dados Lajes'!A4:C11,3,FALSE)</f>
        <v>1811.6405999999999</v>
      </c>
    </row>
    <row r="226" spans="3:5" ht="18" x14ac:dyDescent="0.25">
      <c r="C226" s="573" t="s">
        <v>1409</v>
      </c>
      <c r="D226" s="596">
        <f>(D221*(1-D223)*D215+D222*(1-D224)*D216)/D225</f>
        <v>0.18597969596488781</v>
      </c>
    </row>
    <row r="227" spans="3:5" x14ac:dyDescent="0.25">
      <c r="C227" s="573"/>
      <c r="D227" s="596"/>
    </row>
    <row r="228" spans="3:5" x14ac:dyDescent="0.25">
      <c r="C228" s="533" t="s">
        <v>1410</v>
      </c>
    </row>
    <row r="230" spans="3:5" ht="18" x14ac:dyDescent="0.25">
      <c r="C230" s="615" t="s">
        <v>1411</v>
      </c>
      <c r="D230" s="596">
        <f>SQRT(D211^2+D226*D211)</f>
        <v>0.2980625012909901</v>
      </c>
      <c r="E230" s="587" t="str">
        <f ca="1">IF(D230&gt;=D209,"Ok!","Não Ok!")</f>
        <v>Ok!</v>
      </c>
    </row>
    <row r="231" spans="3:5" x14ac:dyDescent="0.25">
      <c r="C231" s="615"/>
      <c r="D231" s="596"/>
      <c r="E231" s="587"/>
    </row>
    <row r="232" spans="3:5" x14ac:dyDescent="0.25">
      <c r="C232" s="215" t="s">
        <v>1270</v>
      </c>
      <c r="D232" s="533" t="str">
        <f ca="1">IF(G21&lt;=D22,IF(D230&gt;=D209,"Pode-se considerar seção composta!","Considerar laje sem capa!"),"Considerar laje sem capa!")</f>
        <v>Pode-se considerar seção composta!</v>
      </c>
      <c r="E232" s="587"/>
    </row>
    <row r="234" spans="3:5" x14ac:dyDescent="0.25">
      <c r="C234" s="533" t="s">
        <v>1412</v>
      </c>
    </row>
    <row r="235" spans="3:5" x14ac:dyDescent="0.25">
      <c r="C235" s="533"/>
    </row>
    <row r="236" spans="3:5" ht="18" x14ac:dyDescent="0.25">
      <c r="C236" s="615" t="s">
        <v>1411</v>
      </c>
      <c r="D236" s="596">
        <f>SQRT(D211^2+0.9*D226*D211)</f>
        <v>0.29114224935390309</v>
      </c>
      <c r="E236" s="587" t="str">
        <f ca="1">IF(D236&gt;=D209,"Ok!","Não Ok!")</f>
        <v>Ok!</v>
      </c>
    </row>
    <row r="237" spans="3:5" x14ac:dyDescent="0.25">
      <c r="C237" s="615"/>
      <c r="D237" s="596"/>
      <c r="E237" s="587"/>
    </row>
    <row r="238" spans="3:5" x14ac:dyDescent="0.25">
      <c r="C238" s="215" t="s">
        <v>1270</v>
      </c>
      <c r="D238" s="533" t="str">
        <f ca="1">IF(G21&lt;=D22,IF(D236&gt;=D209,"Pode-se considerar seção composta!","Considerar laje sem capa!"),"Considerar laje sem capa!")</f>
        <v>Pode-se considerar seção composta!</v>
      </c>
      <c r="E238" s="587"/>
    </row>
    <row r="239" spans="3:5" x14ac:dyDescent="0.25">
      <c r="C239" s="533"/>
    </row>
    <row r="240" spans="3:5" x14ac:dyDescent="0.25">
      <c r="C240" s="420" t="s">
        <v>1317</v>
      </c>
      <c r="D240" s="572" t="s">
        <v>1318</v>
      </c>
    </row>
    <row r="242" spans="3:5" x14ac:dyDescent="0.25">
      <c r="C242" s="533" t="s">
        <v>1413</v>
      </c>
    </row>
    <row r="244" spans="3:5" x14ac:dyDescent="0.25">
      <c r="C244" s="533" t="s">
        <v>1414</v>
      </c>
    </row>
    <row r="245" spans="3:5" x14ac:dyDescent="0.25">
      <c r="C245" s="533"/>
    </row>
    <row r="246" spans="3:5" ht="18.75" x14ac:dyDescent="0.25">
      <c r="C246" s="573" t="s">
        <v>1415</v>
      </c>
      <c r="D246" s="215">
        <f>IF(0.5+D191/D189&lt;=1,0.5+D191/D189,1)</f>
        <v>0.75</v>
      </c>
    </row>
    <row r="247" spans="3:5" x14ac:dyDescent="0.25">
      <c r="C247" s="215" t="s">
        <v>1056</v>
      </c>
      <c r="D247" s="610">
        <f>VLOOKUP('[1]Dados de Entrada'!C3,'[1]Dados Lajes'!A4:F11,6,FALSE)</f>
        <v>207551.86040000001</v>
      </c>
    </row>
    <row r="248" spans="3:5" ht="18" x14ac:dyDescent="0.25">
      <c r="C248" s="215" t="s">
        <v>1401</v>
      </c>
      <c r="D248" s="575">
        <f>D276</f>
        <v>31</v>
      </c>
    </row>
    <row r="249" spans="3:5" x14ac:dyDescent="0.25">
      <c r="C249" s="215" t="s">
        <v>1397</v>
      </c>
      <c r="D249" s="609">
        <f>D202</f>
        <v>8941.2058883200007</v>
      </c>
    </row>
    <row r="251" spans="3:5" ht="18" x14ac:dyDescent="0.25">
      <c r="C251" s="215" t="s">
        <v>1416</v>
      </c>
      <c r="D251" s="584">
        <f>(D246*D247*D248/D249)*SQRT(D211^2+0.9*D226*D211)</f>
        <v>157.1298606467706</v>
      </c>
      <c r="E251" s="587" t="str">
        <f ca="1">IF(D251&gt;=$D$194,"Ok!","Não Ok!")</f>
        <v>Ok!</v>
      </c>
    </row>
    <row r="253" spans="3:5" x14ac:dyDescent="0.25">
      <c r="C253" s="533" t="s">
        <v>1417</v>
      </c>
    </row>
    <row r="255" spans="3:5" x14ac:dyDescent="0.25">
      <c r="C255" s="215" t="s">
        <v>1340</v>
      </c>
      <c r="D255" s="572">
        <v>2</v>
      </c>
    </row>
    <row r="256" spans="3:5" ht="18" x14ac:dyDescent="0.25">
      <c r="C256" s="215" t="s">
        <v>1418</v>
      </c>
      <c r="D256" s="378">
        <f>VLOOKUP('[1]Dados de Entrada'!C3,'[1]Dados Lajes'!A4:O11,15,FALSE)</f>
        <v>12.5</v>
      </c>
    </row>
    <row r="257" spans="3:11" ht="18" x14ac:dyDescent="0.25">
      <c r="C257" s="215" t="s">
        <v>1419</v>
      </c>
      <c r="D257" s="378">
        <f>VLOOKUP('[1]Dados de Entrada'!C3,'[1]Dados Lajes'!A4:AD11,30,FALSE)</f>
        <v>23</v>
      </c>
    </row>
    <row r="258" spans="3:11" ht="18" x14ac:dyDescent="0.25">
      <c r="C258" s="215" t="s">
        <v>1420</v>
      </c>
      <c r="D258" s="588">
        <f>D251+(2/3)*D255*D256*D257*D211</f>
        <v>241.17240608365131</v>
      </c>
      <c r="E258" s="587" t="str">
        <f ca="1">IF(D258&gt;=$D$194,"Ok!","Não Ok!")</f>
        <v>Ok!</v>
      </c>
    </row>
    <row r="260" spans="3:11" x14ac:dyDescent="0.25">
      <c r="C260" s="533" t="s">
        <v>1421</v>
      </c>
      <c r="J260" s="616"/>
      <c r="K260" s="451"/>
    </row>
    <row r="261" spans="3:11" x14ac:dyDescent="0.25">
      <c r="J261" s="617"/>
    </row>
    <row r="262" spans="3:11" ht="18" x14ac:dyDescent="0.25">
      <c r="C262" s="215" t="s">
        <v>1422</v>
      </c>
      <c r="D262" s="577">
        <f ca="1">D304</f>
        <v>39.573963299830709</v>
      </c>
      <c r="J262" s="617"/>
    </row>
    <row r="263" spans="3:11" x14ac:dyDescent="0.25">
      <c r="C263" s="215" t="s">
        <v>1400</v>
      </c>
      <c r="D263" s="610">
        <f>D207</f>
        <v>305315.92229999998</v>
      </c>
      <c r="J263" s="457"/>
    </row>
    <row r="264" spans="3:11" x14ac:dyDescent="0.25">
      <c r="C264" s="215" t="s">
        <v>1399</v>
      </c>
      <c r="D264" s="609">
        <f>D206</f>
        <v>11847.920185179999</v>
      </c>
      <c r="J264" s="378"/>
      <c r="K264" s="378"/>
    </row>
    <row r="265" spans="3:11" ht="18" x14ac:dyDescent="0.25">
      <c r="C265" s="215" t="s">
        <v>1423</v>
      </c>
      <c r="D265" s="588">
        <f ca="1">D251*D249*D263/(D264*D247)+D262*(1-D249*D263/(D264*D247))</f>
        <v>170.07718089712665</v>
      </c>
      <c r="E265" s="587" t="str">
        <f ca="1">IF(D265&gt;=$D$194,"Ok!","Não Ok!")</f>
        <v>Ok!</v>
      </c>
      <c r="K265" s="378"/>
    </row>
    <row r="267" spans="3:11" x14ac:dyDescent="0.25">
      <c r="C267" s="533" t="s">
        <v>1424</v>
      </c>
    </row>
    <row r="269" spans="3:11" ht="18" x14ac:dyDescent="0.25">
      <c r="C269" s="587" t="s">
        <v>1425</v>
      </c>
      <c r="D269" s="588">
        <f ca="1">D251+D258+D265-2*D251</f>
        <v>254.11972633400745</v>
      </c>
      <c r="E269" s="587" t="str">
        <f ca="1">IF(D269&gt;=$D$194,"Ok!","Não Ok!")</f>
        <v>Ok!</v>
      </c>
      <c r="G269" s="618"/>
    </row>
    <row r="271" spans="3:11" x14ac:dyDescent="0.25">
      <c r="C271" s="533" t="s">
        <v>1426</v>
      </c>
    </row>
    <row r="272" spans="3:11" x14ac:dyDescent="0.25">
      <c r="C272" s="533"/>
    </row>
    <row r="273" spans="2:4" x14ac:dyDescent="0.25">
      <c r="C273" s="533" t="s">
        <v>1427</v>
      </c>
    </row>
    <row r="275" spans="2:4" x14ac:dyDescent="0.25">
      <c r="C275" s="215" t="s">
        <v>1056</v>
      </c>
      <c r="D275" s="610">
        <f>VLOOKUP('[1]Dados de Entrada'!C3,'[1]Dados Lajes'!A4:F11,6,FALSE)</f>
        <v>207551.86040000001</v>
      </c>
    </row>
    <row r="276" spans="2:4" ht="18" x14ac:dyDescent="0.25">
      <c r="C276" s="215" t="s">
        <v>1401</v>
      </c>
      <c r="D276" s="575">
        <f>VLOOKUP('[1]Dados de Entrada'!C3,'[1]Dados Lajes'!A4:N11,14,FALSE)</f>
        <v>31</v>
      </c>
    </row>
    <row r="277" spans="2:4" x14ac:dyDescent="0.25">
      <c r="C277" s="215" t="s">
        <v>109</v>
      </c>
      <c r="D277" s="595">
        <f>VLOOKUP('[1]Dados de Entrada'!C3,'[1]Dados Lajes'!A4:AC11,28,FALSE)</f>
        <v>904.54089999999997</v>
      </c>
    </row>
    <row r="278" spans="2:4" x14ac:dyDescent="0.25">
      <c r="C278" s="215" t="s">
        <v>398</v>
      </c>
      <c r="D278" s="575">
        <f>VLOOKUP('[1]Dados de Entrada'!C3,'[1]Dados Lajes'!A4:AC11,29,FALSE)</f>
        <v>9.8848000000000003</v>
      </c>
    </row>
    <row r="279" spans="2:4" x14ac:dyDescent="0.25">
      <c r="B279" s="457"/>
      <c r="C279" s="215" t="s">
        <v>1397</v>
      </c>
      <c r="D279" s="609">
        <f>D278*D277</f>
        <v>8941.2058883200007</v>
      </c>
    </row>
    <row r="280" spans="2:4" ht="18" x14ac:dyDescent="0.25">
      <c r="C280" s="215" t="s">
        <v>1356</v>
      </c>
      <c r="D280" s="596">
        <f>D84</f>
        <v>0.21924142287881931</v>
      </c>
    </row>
    <row r="281" spans="2:4" ht="18" x14ac:dyDescent="0.25">
      <c r="C281" s="215" t="s">
        <v>1406</v>
      </c>
      <c r="D281" s="598">
        <f>D212/D213</f>
        <v>0.37969562236370608</v>
      </c>
    </row>
    <row r="282" spans="2:4" ht="18" x14ac:dyDescent="0.25">
      <c r="C282" s="215" t="s">
        <v>1407</v>
      </c>
      <c r="D282" s="598">
        <f>D212/D214</f>
        <v>0.42432429339348404</v>
      </c>
    </row>
    <row r="283" spans="2:4" ht="18" x14ac:dyDescent="0.25">
      <c r="C283" s="215" t="s">
        <v>1359</v>
      </c>
      <c r="D283" s="595">
        <f>'[1]ELS-Tensões'!O301/'[1]ELS-Tensões'!O297</f>
        <v>9.870000000000001</v>
      </c>
    </row>
    <row r="284" spans="2:4" ht="18" x14ac:dyDescent="0.25">
      <c r="C284" s="215" t="s">
        <v>1360</v>
      </c>
      <c r="D284" s="595">
        <f>'[1]ELS-Tensões'!C78</f>
        <v>0</v>
      </c>
    </row>
    <row r="285" spans="2:4" ht="18" x14ac:dyDescent="0.25">
      <c r="C285" s="215" t="s">
        <v>1361</v>
      </c>
      <c r="D285" s="596">
        <f>'[1]ELS-Tensões'!C11</f>
        <v>117.04000000000002</v>
      </c>
    </row>
    <row r="286" spans="2:4" ht="18" x14ac:dyDescent="0.25">
      <c r="C286" s="215" t="s">
        <v>1362</v>
      </c>
      <c r="D286" s="596">
        <f>'[1]ELS-Tensões'!G11</f>
        <v>91.218050000000019</v>
      </c>
    </row>
    <row r="287" spans="2:4" ht="18" x14ac:dyDescent="0.25">
      <c r="C287" s="215" t="s">
        <v>1363</v>
      </c>
      <c r="D287" s="598">
        <f>D285*D283</f>
        <v>1155.1848000000002</v>
      </c>
    </row>
    <row r="288" spans="2:4" ht="18" x14ac:dyDescent="0.25">
      <c r="C288" s="215" t="s">
        <v>1364</v>
      </c>
      <c r="D288" s="598">
        <f>D286*D284</f>
        <v>0</v>
      </c>
    </row>
    <row r="289" spans="3:5" x14ac:dyDescent="0.25">
      <c r="C289" s="215" t="s">
        <v>1365</v>
      </c>
      <c r="D289" s="599">
        <f>'[1]ELS-Tensões'!Z416</f>
        <v>0.23184206258116258</v>
      </c>
    </row>
    <row r="290" spans="3:5" x14ac:dyDescent="0.25">
      <c r="C290" s="215" t="s">
        <v>1408</v>
      </c>
      <c r="D290" s="599">
        <f>'[1]ELS-Tensões'!Z417</f>
        <v>6.5607871413660312E-2</v>
      </c>
    </row>
    <row r="291" spans="3:5" ht="18" x14ac:dyDescent="0.25">
      <c r="C291" s="215" t="s">
        <v>296</v>
      </c>
      <c r="D291" s="595">
        <f>VLOOKUP('[1]Dados de Entrada'!C3,'[1]Dados Lajes'!A4:C11,3,FALSE)</f>
        <v>1811.6405999999999</v>
      </c>
    </row>
    <row r="292" spans="3:5" ht="18" x14ac:dyDescent="0.25">
      <c r="C292" s="215" t="s">
        <v>1428</v>
      </c>
      <c r="D292" s="596">
        <f>(D287*(1-D289)*D281+D288*(1-D290)*D282)/D291</f>
        <v>0.18597969596488781</v>
      </c>
    </row>
    <row r="293" spans="3:5" ht="18" x14ac:dyDescent="0.25">
      <c r="C293" s="587" t="s">
        <v>1429</v>
      </c>
      <c r="D293" s="588">
        <f>(0.95*D275*D276/D279)*SQRT(D280^2+D292*D280)</f>
        <v>203.76199115048672</v>
      </c>
      <c r="E293" s="587" t="str">
        <f ca="1">IF(D293&gt;=$D$194,"Ok!","Não Ok!")</f>
        <v>Ok!</v>
      </c>
    </row>
    <row r="294" spans="3:5" x14ac:dyDescent="0.25">
      <c r="D294" s="584"/>
    </row>
    <row r="295" spans="3:5" x14ac:dyDescent="0.25">
      <c r="C295" s="533" t="s">
        <v>1430</v>
      </c>
      <c r="D295" s="584"/>
    </row>
    <row r="296" spans="3:5" x14ac:dyDescent="0.25">
      <c r="D296" s="584"/>
    </row>
    <row r="297" spans="3:5" x14ac:dyDescent="0.25">
      <c r="C297" s="215" t="s">
        <v>1340</v>
      </c>
      <c r="D297" s="572">
        <v>2</v>
      </c>
    </row>
    <row r="298" spans="3:5" ht="18" x14ac:dyDescent="0.25">
      <c r="C298" s="215" t="s">
        <v>1418</v>
      </c>
      <c r="D298" s="378">
        <f>VLOOKUP('[1]Dados de Entrada'!C3,'[1]Dados Lajes'!A4:O11,15,FALSE)</f>
        <v>12.5</v>
      </c>
    </row>
    <row r="299" spans="3:5" ht="18" x14ac:dyDescent="0.25">
      <c r="C299" s="215" t="s">
        <v>1419</v>
      </c>
      <c r="D299" s="378">
        <f>VLOOKUP('[1]Dados de Entrada'!C3,'[1]Dados Lajes'!A4:AD11,30,FALSE)</f>
        <v>23</v>
      </c>
    </row>
    <row r="300" spans="3:5" ht="18" x14ac:dyDescent="0.25">
      <c r="C300" s="587" t="s">
        <v>1431</v>
      </c>
      <c r="D300" s="588">
        <f>D293+(2/3)*D297*D298*D299*D280</f>
        <v>287.80453658736747</v>
      </c>
    </row>
    <row r="301" spans="3:5" x14ac:dyDescent="0.25">
      <c r="D301" s="584"/>
    </row>
    <row r="302" spans="3:5" x14ac:dyDescent="0.25">
      <c r="C302" s="533" t="s">
        <v>1432</v>
      </c>
      <c r="D302" s="584"/>
    </row>
    <row r="303" spans="3:5" x14ac:dyDescent="0.25">
      <c r="D303" s="584"/>
    </row>
    <row r="304" spans="3:5" ht="18" x14ac:dyDescent="0.25">
      <c r="C304" s="215" t="s">
        <v>1422</v>
      </c>
      <c r="D304" s="577">
        <f ca="1">(G3*D3+G4*D4)*D193*0.5/100</f>
        <v>39.573963299830709</v>
      </c>
    </row>
    <row r="305" spans="3:5" x14ac:dyDescent="0.25">
      <c r="C305" s="215" t="s">
        <v>1400</v>
      </c>
      <c r="D305" s="612">
        <v>0</v>
      </c>
    </row>
    <row r="306" spans="3:5" x14ac:dyDescent="0.25">
      <c r="C306" s="215" t="s">
        <v>115</v>
      </c>
      <c r="D306" s="612">
        <v>0</v>
      </c>
    </row>
    <row r="307" spans="3:5" x14ac:dyDescent="0.25">
      <c r="C307" s="215" t="s">
        <v>1398</v>
      </c>
      <c r="D307" s="612">
        <v>0</v>
      </c>
    </row>
    <row r="308" spans="3:5" x14ac:dyDescent="0.25">
      <c r="C308" s="215" t="s">
        <v>1399</v>
      </c>
      <c r="D308" s="609">
        <f>D307*D306</f>
        <v>0</v>
      </c>
    </row>
    <row r="309" spans="3:5" ht="18" x14ac:dyDescent="0.25">
      <c r="C309" s="587" t="s">
        <v>1433</v>
      </c>
      <c r="D309" s="588" t="e">
        <f ca="1">D293*D279*D305/(D308*D275)+D304*(1-D279*D305/(D308*D275))</f>
        <v>#DIV/0!</v>
      </c>
      <c r="E309" s="587" t="e">
        <f ca="1">IF(D309&gt;=$D$194,"Ok!","Não Ok!")</f>
        <v>#DIV/0!</v>
      </c>
    </row>
    <row r="310" spans="3:5" x14ac:dyDescent="0.25">
      <c r="D310" s="609"/>
    </row>
    <row r="311" spans="3:5" x14ac:dyDescent="0.25">
      <c r="C311" s="533" t="s">
        <v>1434</v>
      </c>
    </row>
    <row r="313" spans="3:5" ht="18" x14ac:dyDescent="0.25">
      <c r="C313" s="587" t="s">
        <v>1425</v>
      </c>
      <c r="D313" s="587" t="e">
        <f ca="1">D293+D300+D309-2*D293</f>
        <v>#DIV/0!</v>
      </c>
      <c r="E313" s="587" t="e">
        <f ca="1">IF(D313&gt;=$D$194,"Ok!","Não Ok!")</f>
        <v>#DIV/0!</v>
      </c>
    </row>
  </sheetData>
  <mergeCells count="3">
    <mergeCell ref="C2:D2"/>
    <mergeCell ref="F2:G2"/>
    <mergeCell ref="I2:J2"/>
  </mergeCells>
  <conditionalFormatting sqref="D104 D134 D164">
    <cfRule type="cellIs" dxfId="64" priority="15" operator="lessThan">
      <formula>$D$35</formula>
    </cfRule>
  </conditionalFormatting>
  <conditionalFormatting sqref="D182:D183">
    <cfRule type="cellIs" dxfId="63" priority="14" operator="equal">
      <formula>"Não Ok!"</formula>
    </cfRule>
  </conditionalFormatting>
  <conditionalFormatting sqref="D232 D238">
    <cfRule type="cellIs" dxfId="62" priority="1" operator="equal">
      <formula>"Considerar laje sem capa!"</formula>
    </cfRule>
  </conditionalFormatting>
  <conditionalFormatting sqref="D251 D265 D309">
    <cfRule type="cellIs" dxfId="61" priority="16" operator="lessThan">
      <formula>$D$194</formula>
    </cfRule>
  </conditionalFormatting>
  <conditionalFormatting sqref="E104">
    <cfRule type="cellIs" dxfId="60" priority="13" operator="equal">
      <formula>"Não Ok!"</formula>
    </cfRule>
  </conditionalFormatting>
  <conditionalFormatting sqref="E134">
    <cfRule type="cellIs" dxfId="59" priority="11" operator="equal">
      <formula>"Não Ok!"</formula>
    </cfRule>
  </conditionalFormatting>
  <conditionalFormatting sqref="E164">
    <cfRule type="cellIs" dxfId="58" priority="12" operator="equal">
      <formula>"Não Ok!"</formula>
    </cfRule>
  </conditionalFormatting>
  <conditionalFormatting sqref="E230:E232">
    <cfRule type="cellIs" dxfId="57" priority="3" operator="equal">
      <formula>"Não Ok!"</formula>
    </cfRule>
  </conditionalFormatting>
  <conditionalFormatting sqref="E236:E238">
    <cfRule type="cellIs" dxfId="56" priority="2" operator="equal">
      <formula>"Não Ok!"</formula>
    </cfRule>
  </conditionalFormatting>
  <conditionalFormatting sqref="E251">
    <cfRule type="cellIs" dxfId="55" priority="9" operator="equal">
      <formula>"Não Ok!"</formula>
    </cfRule>
  </conditionalFormatting>
  <conditionalFormatting sqref="E258">
    <cfRule type="cellIs" dxfId="54" priority="6" operator="equal">
      <formula>"Não Ok!"</formula>
    </cfRule>
  </conditionalFormatting>
  <conditionalFormatting sqref="E265">
    <cfRule type="cellIs" dxfId="53" priority="8" operator="equal">
      <formula>"Não Ok!"</formula>
    </cfRule>
  </conditionalFormatting>
  <conditionalFormatting sqref="E269">
    <cfRule type="cellIs" dxfId="52" priority="5" operator="equal">
      <formula>"Não Ok!"</formula>
    </cfRule>
  </conditionalFormatting>
  <conditionalFormatting sqref="E293">
    <cfRule type="cellIs" dxfId="51" priority="10" operator="equal">
      <formula>"Não Ok!"</formula>
    </cfRule>
  </conditionalFormatting>
  <conditionalFormatting sqref="E309">
    <cfRule type="cellIs" dxfId="50" priority="7" operator="equal">
      <formula>"Não Ok!"</formula>
    </cfRule>
  </conditionalFormatting>
  <conditionalFormatting sqref="E313">
    <cfRule type="cellIs" dxfId="49" priority="4" operator="equal">
      <formula>"Não Ok!"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19B8-ED07-48E2-96B8-9BB9A52CA97B}">
  <sheetPr>
    <pageSetUpPr fitToPage="1"/>
  </sheetPr>
  <dimension ref="C1:BH1327"/>
  <sheetViews>
    <sheetView showGridLines="0" tabSelected="1" view="pageBreakPreview" topLeftCell="C1" zoomScale="85" zoomScaleNormal="85" zoomScaleSheetLayoutView="85" workbookViewId="0">
      <pane ySplit="3" topLeftCell="A4" activePane="bottomLeft" state="frozen"/>
      <selection pane="bottomLeft" activeCell="H1291" sqref="H1291"/>
    </sheetView>
  </sheetViews>
  <sheetFormatPr defaultColWidth="9.140625" defaultRowHeight="15" x14ac:dyDescent="0.25"/>
  <cols>
    <col min="1" max="4" width="9.140625" style="115"/>
    <col min="5" max="5" width="9.85546875" style="115" bestFit="1" customWidth="1"/>
    <col min="6" max="6" width="9.140625" style="115" customWidth="1"/>
    <col min="7" max="7" width="21" style="115" customWidth="1"/>
    <col min="8" max="8" width="19.5703125" style="115" customWidth="1"/>
    <col min="9" max="9" width="22.85546875" style="115" customWidth="1"/>
    <col min="10" max="10" width="16.5703125" style="115" customWidth="1"/>
    <col min="11" max="11" width="24" style="115" customWidth="1"/>
    <col min="12" max="12" width="17.140625" style="115" customWidth="1"/>
    <col min="13" max="13" width="20" style="115" customWidth="1"/>
    <col min="14" max="14" width="13.140625" style="115" customWidth="1"/>
    <col min="15" max="15" width="17.85546875" style="115" customWidth="1"/>
    <col min="16" max="16" width="15" style="115" customWidth="1"/>
    <col min="17" max="17" width="17.28515625" style="115" bestFit="1" customWidth="1"/>
    <col min="18" max="18" width="18.5703125" style="115" customWidth="1"/>
    <col min="19" max="19" width="15.28515625" style="115" bestFit="1" customWidth="1"/>
    <col min="20" max="20" width="12.85546875" style="115" customWidth="1"/>
    <col min="21" max="21" width="23.140625" style="115" bestFit="1" customWidth="1"/>
    <col min="22" max="22" width="14" style="115" customWidth="1"/>
    <col min="23" max="23" width="18.42578125" style="115" bestFit="1" customWidth="1"/>
    <col min="24" max="24" width="10.28515625" style="115" bestFit="1" customWidth="1"/>
    <col min="25" max="25" width="12.42578125" style="115" bestFit="1" customWidth="1"/>
    <col min="26" max="28" width="9.140625" style="115"/>
    <col min="29" max="29" width="9.5703125" style="115" customWidth="1"/>
    <col min="30" max="30" width="8.28515625" style="115" bestFit="1" customWidth="1"/>
    <col min="31" max="16384" width="9.140625" style="115"/>
  </cols>
  <sheetData>
    <row r="1" spans="7:36" ht="28.5" x14ac:dyDescent="0.25">
      <c r="G1" s="739" t="s">
        <v>759</v>
      </c>
      <c r="H1" s="742" t="b">
        <v>1</v>
      </c>
      <c r="I1" s="745" t="s">
        <v>689</v>
      </c>
      <c r="J1" s="746"/>
      <c r="K1" s="524">
        <f ca="1">L1000</f>
        <v>-1.4113561193636532</v>
      </c>
      <c r="L1" s="416" t="str">
        <f>IF(H23=20,"CALCULAR PELO MÉTODO ANTIGO","Método de cálculo")</f>
        <v>Método de cálculo</v>
      </c>
      <c r="M1" s="747" t="s">
        <v>964</v>
      </c>
      <c r="N1" s="748"/>
    </row>
    <row r="2" spans="7:36" x14ac:dyDescent="0.25">
      <c r="G2" s="740"/>
      <c r="H2" s="743"/>
      <c r="I2" s="749" t="s">
        <v>690</v>
      </c>
      <c r="J2" s="750"/>
      <c r="K2" s="405">
        <f ca="1">H1000</f>
        <v>0.14922692212103428</v>
      </c>
      <c r="L2" s="406" t="s">
        <v>760</v>
      </c>
      <c r="M2" s="751">
        <f ca="1">M13</f>
        <v>96.579745340747735</v>
      </c>
      <c r="N2" s="752"/>
    </row>
    <row r="3" spans="7:36" ht="15.75" thickBot="1" x14ac:dyDescent="0.3">
      <c r="G3" s="741"/>
      <c r="H3" s="744"/>
      <c r="I3" s="753" t="s">
        <v>476</v>
      </c>
      <c r="J3" s="754"/>
      <c r="K3" s="408" t="str">
        <f>CONCATENATE(L24, " + ",L20)</f>
        <v>8Ø12,7mm + 0</v>
      </c>
      <c r="L3" s="407" t="s">
        <v>761</v>
      </c>
      <c r="M3" s="755">
        <f ca="1">M15</f>
        <v>136.86824411829372</v>
      </c>
      <c r="N3" s="756"/>
    </row>
    <row r="5" spans="7:36" x14ac:dyDescent="0.25">
      <c r="G5" s="646" t="s">
        <v>430</v>
      </c>
      <c r="H5" s="699"/>
      <c r="I5" s="646"/>
    </row>
    <row r="6" spans="7:36" x14ac:dyDescent="0.25">
      <c r="G6" s="124" t="s">
        <v>27</v>
      </c>
      <c r="H6" s="333">
        <v>300</v>
      </c>
      <c r="I6" s="124" t="s">
        <v>21</v>
      </c>
      <c r="L6" s="634" t="str">
        <f ca="1">H857</f>
        <v>Domínio 3</v>
      </c>
      <c r="M6" s="689"/>
    </row>
    <row r="7" spans="7:36" x14ac:dyDescent="0.25">
      <c r="G7" s="115" t="s">
        <v>46</v>
      </c>
      <c r="H7" s="333"/>
      <c r="I7" s="115" t="s">
        <v>21</v>
      </c>
      <c r="L7" s="689"/>
      <c r="M7" s="689"/>
      <c r="O7" s="181"/>
    </row>
    <row r="8" spans="7:36" ht="15.75" thickBot="1" x14ac:dyDescent="0.3">
      <c r="G8" s="115" t="s">
        <v>22</v>
      </c>
      <c r="H8" s="333">
        <v>300</v>
      </c>
      <c r="I8" s="115" t="s">
        <v>21</v>
      </c>
      <c r="L8" s="143"/>
      <c r="M8" s="143"/>
    </row>
    <row r="9" spans="7:36" ht="15" customHeight="1" x14ac:dyDescent="0.25">
      <c r="G9" s="133" t="s">
        <v>23</v>
      </c>
      <c r="H9" s="334">
        <f>H11/100*H12*H13/100</f>
        <v>0</v>
      </c>
      <c r="I9" s="133" t="s">
        <v>25</v>
      </c>
      <c r="L9" s="629" t="s">
        <v>704</v>
      </c>
      <c r="M9" s="631" t="str">
        <f>IF(L1="CALCULAR PELO MÉTODO ANTIGO","NBR 14861/2002",M1)</f>
        <v>NBR 14861/2022</v>
      </c>
    </row>
    <row r="10" spans="7:36" ht="14.25" customHeight="1" thickBot="1" x14ac:dyDescent="0.3">
      <c r="L10" s="630"/>
      <c r="M10" s="632"/>
    </row>
    <row r="11" spans="7:36" ht="14.25" customHeight="1" x14ac:dyDescent="0.25">
      <c r="G11" s="115" t="s">
        <v>437</v>
      </c>
      <c r="H11" s="333">
        <v>0</v>
      </c>
      <c r="I11" s="115" t="s">
        <v>80</v>
      </c>
      <c r="L11" s="636" t="s">
        <v>688</v>
      </c>
      <c r="M11" s="631">
        <v>0</v>
      </c>
    </row>
    <row r="12" spans="7:36" ht="18" customHeight="1" thickBot="1" x14ac:dyDescent="0.3">
      <c r="G12" s="115" t="s">
        <v>436</v>
      </c>
      <c r="H12" s="335">
        <v>1800</v>
      </c>
      <c r="I12" s="115" t="s">
        <v>21</v>
      </c>
      <c r="L12" s="637"/>
      <c r="M12" s="632"/>
    </row>
    <row r="13" spans="7:36" ht="14.25" customHeight="1" x14ac:dyDescent="0.25">
      <c r="G13" s="115" t="s">
        <v>438</v>
      </c>
      <c r="H13" s="333">
        <v>220</v>
      </c>
      <c r="I13" s="115" t="s">
        <v>80</v>
      </c>
      <c r="L13" s="758" t="s">
        <v>495</v>
      </c>
      <c r="M13" s="762">
        <f ca="1">IF(M9="NBR 14861/2022",'Cisalhamento 14861'!$C$132,((I73*K51)+(I74+I75+I76+I77+I78)*K52)*(H21/100)/2)</f>
        <v>96.579745340747735</v>
      </c>
    </row>
    <row r="14" spans="7:36" ht="14.25" customHeight="1" thickBot="1" x14ac:dyDescent="0.3">
      <c r="G14" s="119"/>
      <c r="H14" s="134"/>
      <c r="L14" s="759"/>
      <c r="M14" s="763"/>
    </row>
    <row r="15" spans="7:36" ht="14.25" customHeight="1" x14ac:dyDescent="0.25">
      <c r="G15" s="760" t="s">
        <v>355</v>
      </c>
      <c r="H15" s="760"/>
      <c r="I15" s="333" t="s">
        <v>732</v>
      </c>
      <c r="L15" s="758" t="s">
        <v>1449</v>
      </c>
      <c r="M15" s="762">
        <f ca="1">IF(M9="NBR 14861/2022",'Cisalhamento 14861'!$C$133,H1214)</f>
        <v>136.86824411829372</v>
      </c>
      <c r="N15" s="118"/>
    </row>
    <row r="16" spans="7:36" ht="14.25" customHeight="1" thickBot="1" x14ac:dyDescent="0.3">
      <c r="G16" s="761" t="s">
        <v>259</v>
      </c>
      <c r="H16" s="761"/>
      <c r="I16" s="333" t="s">
        <v>473</v>
      </c>
      <c r="L16" s="759"/>
      <c r="M16" s="763"/>
      <c r="N16" s="329"/>
      <c r="AC16"/>
      <c r="AD16"/>
      <c r="AE16"/>
      <c r="AF16"/>
      <c r="AG16"/>
      <c r="AH16"/>
      <c r="AI16"/>
      <c r="AJ16"/>
    </row>
    <row r="17" spans="5:43" ht="14.25" customHeight="1" x14ac:dyDescent="0.25">
      <c r="G17" s="638" t="s">
        <v>483</v>
      </c>
      <c r="H17" s="717"/>
      <c r="I17" s="333" t="s">
        <v>605</v>
      </c>
      <c r="L17" s="718" t="str">
        <f ca="1">IF(M9="NBR 14861/2022",IF('Cisalhamento 14861'!$C$135="Ok!","Cisalhamento Ok","Reprova no cisalhamento"),IF(M13&gt;M15,"Reprova no cisalhamento","Cisalhamento Ok"))</f>
        <v>Cisalhamento Ok</v>
      </c>
      <c r="M17" s="718"/>
      <c r="AC17"/>
      <c r="AD17" s="123" t="s">
        <v>417</v>
      </c>
      <c r="AH17"/>
      <c r="AI17"/>
      <c r="AJ17"/>
    </row>
    <row r="18" spans="5:43" ht="14.25" customHeight="1" x14ac:dyDescent="0.25">
      <c r="L18" s="719"/>
      <c r="M18" s="719"/>
      <c r="AC18"/>
      <c r="AD18" s="123"/>
      <c r="AH18"/>
      <c r="AI18"/>
      <c r="AJ18"/>
    </row>
    <row r="19" spans="5:43" ht="14.25" customHeight="1" x14ac:dyDescent="0.25">
      <c r="G19" s="638" t="s">
        <v>431</v>
      </c>
      <c r="H19" s="638"/>
      <c r="I19" s="638"/>
      <c r="L19" s="633" t="s">
        <v>474</v>
      </c>
      <c r="M19" s="633"/>
      <c r="AC19"/>
      <c r="AH19"/>
      <c r="AI19"/>
      <c r="AJ19"/>
    </row>
    <row r="20" spans="5:43" ht="14.25" customHeight="1" x14ac:dyDescent="0.25">
      <c r="G20" s="119"/>
      <c r="H20" s="119" t="s">
        <v>0</v>
      </c>
      <c r="I20" s="119" t="s">
        <v>1</v>
      </c>
      <c r="L20" s="689">
        <f>IF(SUM(J131,J133,J135,J137)&gt;0,(CONCATENATE(SUM(J131,J133,J135,J137),"Ø",H138,"mm")),)</f>
        <v>0</v>
      </c>
      <c r="M20" s="689"/>
      <c r="Y20"/>
      <c r="Z20"/>
      <c r="AA20"/>
      <c r="AJ20"/>
      <c r="AK20" s="671" t="s">
        <v>418</v>
      </c>
      <c r="AL20" s="686" t="s">
        <v>419</v>
      </c>
      <c r="AM20" s="687"/>
      <c r="AN20" s="688"/>
      <c r="AO20"/>
      <c r="AP20"/>
      <c r="AQ20"/>
    </row>
    <row r="21" spans="5:43" ht="14.25" customHeight="1" x14ac:dyDescent="0.25">
      <c r="G21" s="119" t="s">
        <v>2</v>
      </c>
      <c r="H21" s="336">
        <v>982</v>
      </c>
      <c r="J21" s="231" t="s">
        <v>505</v>
      </c>
      <c r="L21" s="689"/>
      <c r="M21" s="689"/>
      <c r="Y21"/>
      <c r="Z21"/>
      <c r="AA21"/>
      <c r="AJ21"/>
      <c r="AK21" s="671"/>
      <c r="AL21" s="137" t="s">
        <v>53</v>
      </c>
      <c r="AM21" s="137" t="s">
        <v>54</v>
      </c>
      <c r="AN21" s="137" t="s">
        <v>55</v>
      </c>
      <c r="AO21"/>
      <c r="AP21"/>
      <c r="AQ21"/>
    </row>
    <row r="22" spans="5:43" ht="14.25" customHeight="1" x14ac:dyDescent="0.25">
      <c r="G22" s="119" t="s">
        <v>10</v>
      </c>
      <c r="H22" s="336">
        <v>125</v>
      </c>
      <c r="J22" s="231" t="s">
        <v>506</v>
      </c>
      <c r="L22" s="143"/>
      <c r="M22" s="143"/>
      <c r="Y22"/>
      <c r="Z22"/>
      <c r="AA22"/>
      <c r="AJ22"/>
      <c r="AK22" s="671" t="s">
        <v>420</v>
      </c>
      <c r="AL22" s="671"/>
      <c r="AM22" s="671"/>
      <c r="AN22" s="671"/>
      <c r="AO22"/>
      <c r="AP22"/>
      <c r="AQ22"/>
    </row>
    <row r="23" spans="5:43" x14ac:dyDescent="0.25">
      <c r="G23" s="119" t="s">
        <v>3</v>
      </c>
      <c r="H23" s="337">
        <v>25</v>
      </c>
      <c r="J23" s="115" t="s">
        <v>507</v>
      </c>
      <c r="L23" s="690" t="s">
        <v>476</v>
      </c>
      <c r="M23" s="691"/>
      <c r="Y23"/>
      <c r="Z23"/>
      <c r="AA23"/>
      <c r="AJ23"/>
      <c r="AK23" s="692" t="s">
        <v>421</v>
      </c>
      <c r="AL23" s="672">
        <v>0.5</v>
      </c>
      <c r="AM23" s="672">
        <v>0.4</v>
      </c>
      <c r="AN23" s="672">
        <v>0.3</v>
      </c>
      <c r="AO23"/>
      <c r="AP23"/>
      <c r="AQ23"/>
    </row>
    <row r="24" spans="5:43" x14ac:dyDescent="0.25">
      <c r="F24" s="141"/>
      <c r="G24" s="122" t="s">
        <v>15</v>
      </c>
      <c r="H24" s="339">
        <f ca="1">IF(H1=TRUE,Homogeneização!L13,'Propriedades geométricas VI'!M7)</f>
        <v>12.451123729495164</v>
      </c>
      <c r="I24" s="339">
        <f ca="1">IF(H1=TRUE,Homogeneização!L34,IF(I15="1 - Sim",'Propriedades geométricas LA '!M7,H24))</f>
        <v>16.001789149588475</v>
      </c>
      <c r="J24" s="232" t="s">
        <v>508</v>
      </c>
      <c r="L24" s="677" t="str">
        <f>CONCATENATE(SUM(J118,J120,J122,J124),"Ø",H121,"mm")</f>
        <v>8Ø12,7mm</v>
      </c>
      <c r="M24" s="678"/>
      <c r="Y24"/>
      <c r="Z24"/>
      <c r="AA24"/>
      <c r="AJ24"/>
      <c r="AK24" s="692"/>
      <c r="AL24" s="673"/>
      <c r="AM24" s="673"/>
      <c r="AN24" s="673"/>
      <c r="AO24"/>
      <c r="AP24"/>
      <c r="AQ24"/>
    </row>
    <row r="25" spans="5:43" x14ac:dyDescent="0.25">
      <c r="F25" s="141"/>
      <c r="G25" s="122" t="s">
        <v>16</v>
      </c>
      <c r="H25" s="339">
        <f ca="1">IF(H1=TRUE,Homogeneização!L12,'Propriedades geométricas VI'!M8)</f>
        <v>12.548876270504836</v>
      </c>
      <c r="I25" s="339">
        <f ca="1">IF(H1=TRUE,Homogeneização!L33,IF(I15="1 - Sim",'Propriedades geométricas LA '!M8,H25))</f>
        <v>13.998210850411525</v>
      </c>
      <c r="J25" s="232" t="s">
        <v>509</v>
      </c>
      <c r="L25" s="679"/>
      <c r="M25" s="680"/>
      <c r="Y25"/>
      <c r="Z25"/>
      <c r="AA25"/>
      <c r="AJ25"/>
      <c r="AK25" s="692"/>
      <c r="AL25" s="673"/>
      <c r="AM25" s="673"/>
      <c r="AN25" s="673"/>
      <c r="AO25"/>
      <c r="AP25"/>
      <c r="AQ25"/>
    </row>
    <row r="26" spans="5:43" x14ac:dyDescent="0.25">
      <c r="G26" s="119" t="s">
        <v>480</v>
      </c>
      <c r="H26" s="338">
        <v>14</v>
      </c>
      <c r="J26" s="232" t="s">
        <v>510</v>
      </c>
      <c r="M26" s="143"/>
      <c r="P26" s="143"/>
      <c r="Y26"/>
      <c r="Z26"/>
      <c r="AA26"/>
      <c r="AB26" s="203"/>
      <c r="AC26" s="203"/>
      <c r="AD26" s="203"/>
      <c r="AE26"/>
      <c r="AJ26"/>
      <c r="AK26" s="692"/>
      <c r="AL26" s="674"/>
      <c r="AM26" s="674"/>
      <c r="AN26" s="674"/>
      <c r="AO26"/>
      <c r="AP26"/>
      <c r="AQ26"/>
    </row>
    <row r="27" spans="5:43" x14ac:dyDescent="0.25">
      <c r="G27" s="119" t="s">
        <v>485</v>
      </c>
      <c r="H27" s="336">
        <v>31</v>
      </c>
      <c r="J27" s="232" t="s">
        <v>511</v>
      </c>
      <c r="L27" s="633" t="s">
        <v>689</v>
      </c>
      <c r="M27" s="633"/>
      <c r="P27" s="143"/>
      <c r="Y27"/>
      <c r="Z27"/>
      <c r="AA27"/>
      <c r="AB27" s="203"/>
      <c r="AC27" s="203"/>
      <c r="AD27" s="203"/>
      <c r="AE27"/>
      <c r="AF27"/>
      <c r="AG27"/>
      <c r="AH27"/>
      <c r="AI27"/>
      <c r="AJ27"/>
      <c r="AK27" s="681" t="s">
        <v>422</v>
      </c>
      <c r="AL27" s="672">
        <v>0.7</v>
      </c>
      <c r="AM27" s="672">
        <v>0.6</v>
      </c>
      <c r="AN27" s="672">
        <v>0.4</v>
      </c>
      <c r="AO27"/>
      <c r="AP27"/>
      <c r="AQ27"/>
    </row>
    <row r="28" spans="5:43" x14ac:dyDescent="0.25">
      <c r="F28" s="232"/>
      <c r="G28" s="232"/>
      <c r="H28" s="232"/>
      <c r="I28" s="232"/>
      <c r="J28" s="232"/>
      <c r="K28" s="143"/>
      <c r="L28" s="634">
        <f ca="1">L1000</f>
        <v>-1.4113561193636532</v>
      </c>
      <c r="M28" s="634"/>
      <c r="P28" s="143"/>
      <c r="Y28"/>
      <c r="Z28"/>
      <c r="AA28"/>
      <c r="AB28" s="203"/>
      <c r="AC28" s="203"/>
      <c r="AD28" s="203"/>
      <c r="AE28"/>
      <c r="AF28"/>
      <c r="AG28"/>
      <c r="AH28"/>
      <c r="AI28"/>
      <c r="AJ28"/>
      <c r="AK28" s="682"/>
      <c r="AL28" s="674"/>
      <c r="AM28" s="674"/>
      <c r="AN28" s="674"/>
      <c r="AO28"/>
      <c r="AP28"/>
      <c r="AQ28"/>
    </row>
    <row r="29" spans="5:43" x14ac:dyDescent="0.25">
      <c r="G29" s="638" t="s">
        <v>356</v>
      </c>
      <c r="H29" s="665"/>
      <c r="I29" s="638"/>
      <c r="J29" s="232"/>
      <c r="K29" s="143"/>
      <c r="L29" s="634"/>
      <c r="M29" s="634"/>
      <c r="P29" s="143"/>
      <c r="Y29"/>
      <c r="Z29"/>
      <c r="AA29"/>
      <c r="AB29" s="202"/>
      <c r="AC29" s="202"/>
      <c r="AD29"/>
      <c r="AE29"/>
      <c r="AF29"/>
      <c r="AG29"/>
      <c r="AH29"/>
      <c r="AI29"/>
      <c r="AJ29"/>
      <c r="AK29" s="672" t="s">
        <v>423</v>
      </c>
      <c r="AL29" s="672">
        <v>0.8</v>
      </c>
      <c r="AM29" s="672">
        <v>0.7</v>
      </c>
      <c r="AN29" s="672">
        <v>0.6</v>
      </c>
      <c r="AO29"/>
      <c r="AP29"/>
      <c r="AQ29"/>
    </row>
    <row r="30" spans="5:43" x14ac:dyDescent="0.25">
      <c r="G30" s="119" t="s">
        <v>11</v>
      </c>
      <c r="H30" s="269">
        <f>H23</f>
        <v>25</v>
      </c>
      <c r="J30" s="232" t="s">
        <v>507</v>
      </c>
      <c r="K30" s="143"/>
      <c r="P30" s="143"/>
      <c r="Y30"/>
      <c r="Z30"/>
      <c r="AA30"/>
      <c r="AB30" s="202"/>
      <c r="AC30" s="202"/>
      <c r="AD30"/>
      <c r="AE30"/>
      <c r="AF30"/>
      <c r="AG30"/>
      <c r="AH30"/>
      <c r="AI30"/>
      <c r="AJ30"/>
      <c r="AK30" s="674"/>
      <c r="AL30" s="674"/>
      <c r="AM30" s="674"/>
      <c r="AN30" s="674"/>
      <c r="AO30"/>
      <c r="AP30"/>
      <c r="AQ30"/>
    </row>
    <row r="31" spans="5:43" x14ac:dyDescent="0.25">
      <c r="G31" s="119" t="s">
        <v>12</v>
      </c>
      <c r="H31" s="269">
        <f>'Seções '!B10-'Seções '!B9</f>
        <v>121.19</v>
      </c>
      <c r="I31" s="340">
        <f>IF(I15="1 - Sim",H31*H67,0)</f>
        <v>93.873370345375378</v>
      </c>
      <c r="J31" s="232" t="s">
        <v>512</v>
      </c>
      <c r="K31" s="143"/>
      <c r="L31" s="633" t="s">
        <v>690</v>
      </c>
      <c r="M31" s="633"/>
      <c r="P31" s="143"/>
      <c r="Y31"/>
      <c r="Z31"/>
      <c r="AA31"/>
      <c r="AD31"/>
      <c r="AE31"/>
      <c r="AF31"/>
      <c r="AG31"/>
      <c r="AH31"/>
      <c r="AI31"/>
      <c r="AJ31"/>
      <c r="AK31" s="686" t="s">
        <v>424</v>
      </c>
      <c r="AL31" s="687"/>
      <c r="AM31" s="687"/>
      <c r="AN31" s="688"/>
      <c r="AO31"/>
      <c r="AP31"/>
      <c r="AQ31"/>
    </row>
    <row r="32" spans="5:43" x14ac:dyDescent="0.25">
      <c r="E32" s="382"/>
      <c r="G32" s="119" t="s">
        <v>52</v>
      </c>
      <c r="H32" s="269">
        <f>H22</f>
        <v>125</v>
      </c>
      <c r="I32" s="340">
        <f>IF(I15="1 - Sim",H32*H67,0)</f>
        <v>96.824583655185421</v>
      </c>
      <c r="J32" s="232" t="s">
        <v>513</v>
      </c>
      <c r="K32" s="143"/>
      <c r="L32" s="634">
        <f ca="1">H1000</f>
        <v>0.14922692212103428</v>
      </c>
      <c r="M32" s="634"/>
      <c r="P32" s="143"/>
      <c r="Q32" s="143"/>
      <c r="Y32"/>
      <c r="Z32"/>
      <c r="AA32"/>
      <c r="AD32"/>
      <c r="AE32"/>
      <c r="AF32"/>
      <c r="AG32"/>
      <c r="AH32"/>
      <c r="AI32"/>
      <c r="AJ32"/>
      <c r="AK32" s="672" t="s">
        <v>425</v>
      </c>
      <c r="AL32" s="683">
        <v>0.6</v>
      </c>
      <c r="AM32" s="683">
        <v>0.3</v>
      </c>
      <c r="AN32" s="683">
        <v>0</v>
      </c>
      <c r="AO32"/>
      <c r="AP32"/>
      <c r="AQ32"/>
    </row>
    <row r="33" spans="7:46" x14ac:dyDescent="0.25">
      <c r="G33" s="119" t="s">
        <v>13</v>
      </c>
      <c r="H33" s="338">
        <v>5</v>
      </c>
      <c r="J33" s="232" t="s">
        <v>514</v>
      </c>
      <c r="L33" s="634"/>
      <c r="M33" s="634"/>
      <c r="Q33" s="143"/>
      <c r="Y33"/>
      <c r="Z33"/>
      <c r="AA33"/>
      <c r="AD33"/>
      <c r="AE33"/>
      <c r="AF33"/>
      <c r="AG33"/>
      <c r="AH33"/>
      <c r="AI33"/>
      <c r="AJ33"/>
      <c r="AK33" s="674"/>
      <c r="AL33" s="684"/>
      <c r="AM33" s="684"/>
      <c r="AN33" s="684"/>
      <c r="AO33"/>
      <c r="AP33"/>
      <c r="AQ33"/>
    </row>
    <row r="34" spans="7:46" x14ac:dyDescent="0.25">
      <c r="G34" s="119" t="s">
        <v>439</v>
      </c>
      <c r="H34" s="336">
        <v>7</v>
      </c>
      <c r="I34" s="336">
        <f>H33+3</f>
        <v>8</v>
      </c>
      <c r="J34" s="232" t="s">
        <v>515</v>
      </c>
      <c r="Q34" s="143"/>
      <c r="Z34"/>
      <c r="AA34"/>
      <c r="AD34"/>
      <c r="AE34"/>
      <c r="AF34"/>
      <c r="AG34"/>
      <c r="AH34"/>
      <c r="AI34"/>
      <c r="AJ34"/>
      <c r="AK34" s="686" t="s">
        <v>426</v>
      </c>
      <c r="AL34" s="687"/>
      <c r="AM34" s="687"/>
      <c r="AN34" s="688"/>
      <c r="AO34"/>
      <c r="AP34"/>
      <c r="AQ34"/>
    </row>
    <row r="35" spans="7:46" x14ac:dyDescent="0.25">
      <c r="G35" s="638" t="s">
        <v>358</v>
      </c>
      <c r="H35" s="643"/>
      <c r="I35" s="643"/>
      <c r="J35" s="232"/>
      <c r="Q35" s="143"/>
      <c r="Z35"/>
      <c r="AA35"/>
      <c r="AD35"/>
      <c r="AE35"/>
      <c r="AF35"/>
      <c r="AG35"/>
      <c r="AH35"/>
      <c r="AI35"/>
      <c r="AJ35"/>
      <c r="AK35" s="705" t="s">
        <v>427</v>
      </c>
      <c r="AL35" s="672">
        <v>0.6</v>
      </c>
      <c r="AM35" s="672">
        <v>0.5</v>
      </c>
      <c r="AN35" s="672">
        <v>0.3</v>
      </c>
      <c r="AO35"/>
      <c r="AP35"/>
      <c r="AQ35"/>
    </row>
    <row r="36" spans="7:46" x14ac:dyDescent="0.25">
      <c r="G36" s="119" t="s">
        <v>4</v>
      </c>
      <c r="H36" s="248">
        <f ca="1">IF(H1=TRUE,Homogeneização!L9,'Propriedades geométricas VI'!M6)</f>
        <v>1558.8831577089454</v>
      </c>
      <c r="I36" s="248">
        <f ca="1">IF(H1=TRUE,Homogeneização!L30,IF(I15="1 - Sim",'Propriedades geométricas LA '!M6,H36))</f>
        <v>2017.6941842186334</v>
      </c>
      <c r="J36" s="232" t="s">
        <v>516</v>
      </c>
      <c r="Q36" s="143"/>
      <c r="Z36"/>
      <c r="AA36"/>
      <c r="AD36"/>
      <c r="AE36"/>
      <c r="AF36"/>
      <c r="AG36"/>
      <c r="AH36"/>
      <c r="AI36"/>
      <c r="AJ36"/>
      <c r="AK36" s="706"/>
      <c r="AL36" s="674"/>
      <c r="AM36" s="674"/>
      <c r="AN36" s="674"/>
      <c r="AO36"/>
      <c r="AP36"/>
      <c r="AQ36"/>
    </row>
    <row r="37" spans="7:46" x14ac:dyDescent="0.25">
      <c r="G37" s="119" t="s">
        <v>5</v>
      </c>
      <c r="H37" s="341">
        <f ca="1">IF(H1=TRUE,Homogeneização!L15,'Propriedades geométricas VI'!M9)</f>
        <v>124422.69607647101</v>
      </c>
      <c r="I37" s="340">
        <f ca="1">IF(H1=TRUE,Homogeneização!L36,IF(I15="1 - Sim",'Propriedades geométricas LA '!M9,H37))</f>
        <v>205322.41571678265</v>
      </c>
      <c r="J37" s="232" t="s">
        <v>517</v>
      </c>
      <c r="Q37" s="143"/>
      <c r="Z37"/>
      <c r="AA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7:46" x14ac:dyDescent="0.25">
      <c r="G38" s="119" t="s">
        <v>73</v>
      </c>
      <c r="H38" s="342">
        <f ca="1">H167/100</f>
        <v>9.4511237294951644E-2</v>
      </c>
      <c r="I38" s="120"/>
      <c r="J38" s="231" t="s">
        <v>521</v>
      </c>
      <c r="N38" s="206"/>
      <c r="Y38"/>
      <c r="Z38"/>
      <c r="AA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 spans="7:46" x14ac:dyDescent="0.25">
      <c r="G39" s="119" t="s">
        <v>74</v>
      </c>
      <c r="H39" s="342">
        <f ca="1">H169/100</f>
        <v>0.12548876270504836</v>
      </c>
      <c r="I39" s="120"/>
      <c r="J39" s="231" t="s">
        <v>522</v>
      </c>
      <c r="N39" s="206"/>
      <c r="W39"/>
      <c r="X39"/>
      <c r="AA39"/>
      <c r="AD39"/>
      <c r="AE39"/>
      <c r="AF39"/>
      <c r="AG39"/>
      <c r="AH39"/>
      <c r="AI39"/>
      <c r="AJ39"/>
      <c r="AK39"/>
      <c r="AL39"/>
      <c r="AM39"/>
      <c r="AN39"/>
    </row>
    <row r="40" spans="7:46" x14ac:dyDescent="0.25">
      <c r="G40" s="119" t="s">
        <v>434</v>
      </c>
      <c r="H40" s="343">
        <f ca="1">IF(H1=TRUE,Homogeneização!L20,'Propriedades geométricas VI'!M11)</f>
        <v>9915.0468451838151</v>
      </c>
      <c r="I40" s="343">
        <f ca="1">IF(H1=TRUE,Homogeneização!L41,IF(I15="1 - Sim",'Propriedades geométricas LA '!M11,H40))</f>
        <v>14667.761323994238</v>
      </c>
      <c r="J40" s="231" t="s">
        <v>523</v>
      </c>
      <c r="N40" s="206"/>
      <c r="W40" s="141"/>
    </row>
    <row r="41" spans="7:46" x14ac:dyDescent="0.25">
      <c r="G41" s="119" t="s">
        <v>435</v>
      </c>
      <c r="H41" s="343">
        <f ca="1">IF(H1=TRUE,Homogeneização!L21,'Propriedades geométricas VI'!M10)</f>
        <v>9992.8888973875601</v>
      </c>
      <c r="I41" s="343">
        <f ca="1">IF(H1=TRUE,Homogeneização!L42,IF(I15="1 - Sim",'Propriedades geométricas LA '!M10,H41))</f>
        <v>12831.216171978058</v>
      </c>
      <c r="J41" s="231" t="s">
        <v>524</v>
      </c>
      <c r="N41" s="116"/>
    </row>
    <row r="42" spans="7:46" x14ac:dyDescent="0.25">
      <c r="G42" s="119" t="s">
        <v>6</v>
      </c>
      <c r="H42" s="269">
        <f ca="1">H41/H36</f>
        <v>6.4102872931630603</v>
      </c>
      <c r="J42" s="231" t="s">
        <v>525</v>
      </c>
      <c r="K42" s="143"/>
      <c r="N42" s="206"/>
    </row>
    <row r="43" spans="7:46" x14ac:dyDescent="0.25">
      <c r="G43" s="119" t="s">
        <v>7</v>
      </c>
      <c r="H43" s="269">
        <f ca="1">H40/H36</f>
        <v>6.3603527924156484</v>
      </c>
      <c r="J43" s="231" t="s">
        <v>526</v>
      </c>
      <c r="K43" s="143"/>
    </row>
    <row r="44" spans="7:46" x14ac:dyDescent="0.25">
      <c r="G44" s="119" t="s">
        <v>8</v>
      </c>
      <c r="H44" s="344">
        <f ca="1">(H43+H42)/H23</f>
        <v>0.51082560342314831</v>
      </c>
      <c r="J44" s="231" t="s">
        <v>527</v>
      </c>
      <c r="K44" s="143"/>
      <c r="W44" s="121"/>
      <c r="X44" s="121"/>
    </row>
    <row r="45" spans="7:46" x14ac:dyDescent="0.25">
      <c r="G45" s="122" t="s">
        <v>9</v>
      </c>
      <c r="H45" s="345">
        <v>1.3</v>
      </c>
      <c r="J45" s="231" t="s">
        <v>528</v>
      </c>
      <c r="K45" s="143"/>
    </row>
    <row r="46" spans="7:46" x14ac:dyDescent="0.25">
      <c r="J46" s="232"/>
      <c r="K46" s="143"/>
      <c r="P46" s="121"/>
      <c r="Q46" s="121"/>
    </row>
    <row r="47" spans="7:46" x14ac:dyDescent="0.25">
      <c r="K47" s="143"/>
    </row>
    <row r="48" spans="7:46" x14ac:dyDescent="0.25">
      <c r="G48" s="635" t="s">
        <v>529</v>
      </c>
      <c r="H48" s="685"/>
      <c r="I48" s="685"/>
      <c r="J48" s="685"/>
      <c r="K48" s="685"/>
      <c r="L48" s="685"/>
      <c r="M48" s="685"/>
      <c r="N48" s="685"/>
    </row>
    <row r="49" spans="7:14" x14ac:dyDescent="0.25">
      <c r="K49" s="143"/>
    </row>
    <row r="50" spans="7:14" x14ac:dyDescent="0.25">
      <c r="G50" s="646" t="s">
        <v>428</v>
      </c>
      <c r="H50" s="646"/>
      <c r="J50" s="676" t="s">
        <v>429</v>
      </c>
      <c r="K50" s="676"/>
      <c r="M50" s="646" t="s">
        <v>357</v>
      </c>
      <c r="N50" s="646"/>
    </row>
    <row r="51" spans="7:14" x14ac:dyDescent="0.25">
      <c r="G51" s="119" t="s">
        <v>53</v>
      </c>
      <c r="H51" s="125">
        <v>0.7</v>
      </c>
      <c r="J51" s="126" t="s">
        <v>207</v>
      </c>
      <c r="K51" s="127">
        <v>1.3</v>
      </c>
      <c r="M51" s="122" t="s">
        <v>225</v>
      </c>
      <c r="N51" s="125">
        <v>1.3</v>
      </c>
    </row>
    <row r="52" spans="7:14" x14ac:dyDescent="0.25">
      <c r="G52" s="119" t="s">
        <v>54</v>
      </c>
      <c r="H52" s="128">
        <v>0.6</v>
      </c>
      <c r="J52" s="129" t="s">
        <v>208</v>
      </c>
      <c r="K52" s="130">
        <v>1.4</v>
      </c>
      <c r="M52" s="131" t="s">
        <v>72</v>
      </c>
      <c r="N52" s="136">
        <v>3.5</v>
      </c>
    </row>
    <row r="53" spans="7:14" x14ac:dyDescent="0.25">
      <c r="G53" s="131" t="s">
        <v>55</v>
      </c>
      <c r="H53" s="132">
        <v>0.4</v>
      </c>
      <c r="K53" s="143"/>
    </row>
    <row r="54" spans="7:14" x14ac:dyDescent="0.25">
      <c r="K54" s="143"/>
    </row>
    <row r="55" spans="7:14" x14ac:dyDescent="0.25">
      <c r="G55" s="635" t="s">
        <v>530</v>
      </c>
      <c r="H55" s="635"/>
      <c r="I55" s="635"/>
      <c r="J55" s="635"/>
      <c r="K55" s="635"/>
      <c r="L55" s="635"/>
      <c r="M55" s="635"/>
      <c r="N55" s="635"/>
    </row>
    <row r="56" spans="7:14" x14ac:dyDescent="0.25">
      <c r="K56" s="143"/>
    </row>
    <row r="57" spans="7:14" x14ac:dyDescent="0.25">
      <c r="G57" s="209" t="s">
        <v>531</v>
      </c>
      <c r="H57" s="333">
        <v>500</v>
      </c>
      <c r="I57" s="115" t="s">
        <v>60</v>
      </c>
      <c r="J57" s="235" t="s">
        <v>537</v>
      </c>
      <c r="K57" s="143"/>
    </row>
    <row r="58" spans="7:14" x14ac:dyDescent="0.25">
      <c r="G58" s="209" t="s">
        <v>532</v>
      </c>
      <c r="H58" s="333">
        <v>50</v>
      </c>
      <c r="I58" s="115" t="s">
        <v>60</v>
      </c>
      <c r="J58" s="235" t="s">
        <v>538</v>
      </c>
      <c r="K58" s="143"/>
    </row>
    <row r="59" spans="7:14" x14ac:dyDescent="0.25">
      <c r="G59" s="209" t="s">
        <v>544</v>
      </c>
      <c r="H59" s="333">
        <v>30</v>
      </c>
      <c r="I59" s="115" t="s">
        <v>60</v>
      </c>
      <c r="J59" s="235" t="s">
        <v>539</v>
      </c>
      <c r="K59" s="143"/>
    </row>
    <row r="60" spans="7:14" x14ac:dyDescent="0.25">
      <c r="G60" s="209" t="s">
        <v>533</v>
      </c>
      <c r="H60" s="240">
        <f>H58*0.7</f>
        <v>35</v>
      </c>
      <c r="I60" s="115" t="s">
        <v>60</v>
      </c>
      <c r="J60" s="235" t="s">
        <v>540</v>
      </c>
      <c r="K60" s="143"/>
    </row>
    <row r="61" spans="7:14" x14ac:dyDescent="0.25">
      <c r="G61" s="209" t="s">
        <v>534</v>
      </c>
      <c r="H61" s="333">
        <v>130</v>
      </c>
      <c r="I61" s="115" t="s">
        <v>83</v>
      </c>
      <c r="J61" s="231" t="s">
        <v>541</v>
      </c>
      <c r="K61" s="143"/>
    </row>
    <row r="62" spans="7:14" x14ac:dyDescent="0.25">
      <c r="G62" s="209" t="s">
        <v>535</v>
      </c>
      <c r="H62" s="333" t="s">
        <v>302</v>
      </c>
      <c r="J62" s="231" t="s">
        <v>542</v>
      </c>
      <c r="K62" s="143"/>
    </row>
    <row r="63" spans="7:14" x14ac:dyDescent="0.25">
      <c r="G63" s="209" t="s">
        <v>536</v>
      </c>
      <c r="H63" s="333" t="s">
        <v>303</v>
      </c>
      <c r="J63" s="231" t="s">
        <v>543</v>
      </c>
      <c r="K63" s="143"/>
    </row>
    <row r="64" spans="7:14" x14ac:dyDescent="0.25">
      <c r="K64" s="143"/>
    </row>
    <row r="65" spans="3:25" x14ac:dyDescent="0.25">
      <c r="G65" s="635" t="s">
        <v>545</v>
      </c>
      <c r="H65" s="635"/>
      <c r="I65" s="635"/>
      <c r="J65" s="635"/>
      <c r="K65" s="635"/>
      <c r="L65" s="635"/>
      <c r="M65" s="635"/>
      <c r="N65" s="635"/>
    </row>
    <row r="66" spans="3:25" ht="15" customHeight="1" x14ac:dyDescent="0.25">
      <c r="C66" s="118"/>
      <c r="E66" s="118"/>
      <c r="I66" s="201"/>
      <c r="J66" s="201"/>
      <c r="K66" s="143"/>
      <c r="R66" s="121"/>
      <c r="S66" s="121"/>
    </row>
    <row r="67" spans="3:25" ht="15" customHeight="1" x14ac:dyDescent="0.25">
      <c r="E67" s="118"/>
      <c r="G67" s="209" t="s">
        <v>546</v>
      </c>
      <c r="H67" s="237">
        <f>H882/H866</f>
        <v>0.7745966692414834</v>
      </c>
      <c r="I67" s="272" t="s">
        <v>51</v>
      </c>
      <c r="J67" s="201"/>
      <c r="L67" s="201"/>
      <c r="Y67" s="118"/>
    </row>
    <row r="68" spans="3:25" x14ac:dyDescent="0.25">
      <c r="K68" s="143"/>
    </row>
    <row r="69" spans="3:25" x14ac:dyDescent="0.25">
      <c r="G69" s="635" t="s">
        <v>472</v>
      </c>
      <c r="H69" s="635"/>
      <c r="I69" s="635"/>
      <c r="J69" s="635"/>
      <c r="K69" s="635"/>
      <c r="L69" s="635"/>
      <c r="M69" s="635"/>
      <c r="N69" s="635"/>
    </row>
    <row r="70" spans="3:25" x14ac:dyDescent="0.25">
      <c r="H70" s="120"/>
      <c r="I70" s="115">
        <f ca="1">(('Propriedades geométricas chavet'!M6/100^2)*25)</f>
        <v>0.19505250000000002</v>
      </c>
    </row>
    <row r="72" spans="3:25" x14ac:dyDescent="0.25">
      <c r="H72" s="638" t="s">
        <v>18</v>
      </c>
      <c r="I72" s="638"/>
      <c r="J72" s="638"/>
      <c r="K72" s="638" t="s">
        <v>720</v>
      </c>
      <c r="L72" s="638"/>
      <c r="M72" s="638"/>
    </row>
    <row r="73" spans="3:25" x14ac:dyDescent="0.25">
      <c r="H73" s="119" t="s">
        <v>17</v>
      </c>
      <c r="I73" s="237">
        <f ca="1">(H36/100^2)*25+K73</f>
        <v>3.8972078942723636</v>
      </c>
      <c r="J73" s="273" t="s">
        <v>47</v>
      </c>
      <c r="K73" s="266">
        <v>0</v>
      </c>
      <c r="L73" s="273" t="s">
        <v>47</v>
      </c>
      <c r="M73" s="231" t="s">
        <v>36</v>
      </c>
    </row>
    <row r="74" spans="3:25" x14ac:dyDescent="0.25">
      <c r="H74" s="119" t="s">
        <v>19</v>
      </c>
      <c r="I74" s="237">
        <f ca="1">H1212/(H21/100)+K74+(('Propriedades geométricas chavet'!M6/100^2)*25)</f>
        <v>0.19505250000000002</v>
      </c>
      <c r="J74" s="273" t="s">
        <v>47</v>
      </c>
      <c r="K74" s="266">
        <v>0</v>
      </c>
      <c r="L74" s="273" t="s">
        <v>47</v>
      </c>
      <c r="M74" s="231" t="s">
        <v>1262</v>
      </c>
    </row>
    <row r="75" spans="3:25" x14ac:dyDescent="0.25">
      <c r="H75" s="119" t="s">
        <v>20</v>
      </c>
      <c r="I75" s="237">
        <f>(H34/100)*(H22/100)*25+K75</f>
        <v>2.1875</v>
      </c>
      <c r="J75" s="273" t="s">
        <v>47</v>
      </c>
      <c r="K75" s="333">
        <v>0</v>
      </c>
      <c r="L75" s="273" t="s">
        <v>47</v>
      </c>
      <c r="M75" s="231" t="s">
        <v>38</v>
      </c>
    </row>
    <row r="76" spans="3:25" x14ac:dyDescent="0.25">
      <c r="H76" s="119" t="s">
        <v>24</v>
      </c>
      <c r="I76" s="237">
        <f>(H8/100)*(H22/100)+K76</f>
        <v>3.75</v>
      </c>
      <c r="J76" s="273" t="s">
        <v>47</v>
      </c>
      <c r="K76" s="333">
        <v>0</v>
      </c>
      <c r="L76" s="273" t="s">
        <v>47</v>
      </c>
      <c r="M76" s="231" t="s">
        <v>37</v>
      </c>
    </row>
    <row r="77" spans="3:25" x14ac:dyDescent="0.25">
      <c r="H77" s="119" t="s">
        <v>45</v>
      </c>
      <c r="I77" s="237">
        <f>H9+K77</f>
        <v>0</v>
      </c>
      <c r="J77" s="273" t="s">
        <v>47</v>
      </c>
      <c r="K77" s="333">
        <v>0</v>
      </c>
      <c r="L77" s="273" t="s">
        <v>47</v>
      </c>
      <c r="M77" s="231" t="s">
        <v>39</v>
      </c>
    </row>
    <row r="78" spans="3:25" x14ac:dyDescent="0.25">
      <c r="H78" s="131" t="s">
        <v>26</v>
      </c>
      <c r="I78" s="237">
        <f>(H6/100)*(H32/100)+K78</f>
        <v>4.75</v>
      </c>
      <c r="J78" s="274" t="s">
        <v>47</v>
      </c>
      <c r="K78" s="333">
        <v>1</v>
      </c>
      <c r="L78" s="274" t="s">
        <v>47</v>
      </c>
      <c r="M78" s="275" t="s">
        <v>40</v>
      </c>
    </row>
    <row r="79" spans="3:25" x14ac:dyDescent="0.25">
      <c r="I79" s="118">
        <f ca="1">SUM(I73:I78)</f>
        <v>14.779760394272364</v>
      </c>
    </row>
    <row r="80" spans="3:25" x14ac:dyDescent="0.25">
      <c r="I80" s="675" t="s">
        <v>28</v>
      </c>
      <c r="J80" s="675"/>
      <c r="K80" s="675"/>
      <c r="L80" s="675"/>
      <c r="M80" s="675"/>
    </row>
    <row r="81" spans="7:32" x14ac:dyDescent="0.25">
      <c r="G81" s="117" t="s">
        <v>41</v>
      </c>
      <c r="H81" s="240">
        <f>K51</f>
        <v>1.3</v>
      </c>
      <c r="I81" s="126" t="s">
        <v>29</v>
      </c>
      <c r="J81" s="258">
        <f ca="1">(I73*(H21/100)^2)/8</f>
        <v>46.977138817953787</v>
      </c>
      <c r="K81" s="276" t="s">
        <v>33</v>
      </c>
      <c r="L81" s="126">
        <f t="shared" ref="L81:L86" ca="1" si="0">J81*100</f>
        <v>4697.7138817953783</v>
      </c>
      <c r="M81" s="276" t="s">
        <v>35</v>
      </c>
    </row>
    <row r="82" spans="7:32" x14ac:dyDescent="0.25">
      <c r="G82" s="190" t="s">
        <v>41</v>
      </c>
      <c r="H82" s="240">
        <f>K52</f>
        <v>1.4</v>
      </c>
      <c r="I82" s="126" t="s">
        <v>30</v>
      </c>
      <c r="J82" s="258">
        <f ca="1">(I74*(H21/100)^2)/8</f>
        <v>2.3511725876250003</v>
      </c>
      <c r="K82" s="276" t="s">
        <v>33</v>
      </c>
      <c r="L82" s="126">
        <f t="shared" ca="1" si="0"/>
        <v>235.11725876250003</v>
      </c>
      <c r="M82" s="276" t="s">
        <v>35</v>
      </c>
    </row>
    <row r="83" spans="7:32" x14ac:dyDescent="0.25">
      <c r="G83" s="190" t="s">
        <v>49</v>
      </c>
      <c r="H83" s="240">
        <f>K51</f>
        <v>1.3</v>
      </c>
      <c r="I83" s="126" t="s">
        <v>31</v>
      </c>
      <c r="J83" s="258">
        <f>(I75*(H21/100)^2)/8</f>
        <v>26.368234375</v>
      </c>
      <c r="K83" s="276" t="s">
        <v>33</v>
      </c>
      <c r="L83" s="126">
        <f t="shared" si="0"/>
        <v>2636.8234375000002</v>
      </c>
      <c r="M83" s="276" t="s">
        <v>35</v>
      </c>
    </row>
    <row r="84" spans="7:32" x14ac:dyDescent="0.25">
      <c r="G84" s="190" t="s">
        <v>42</v>
      </c>
      <c r="H84" s="240">
        <f>K52</f>
        <v>1.4</v>
      </c>
      <c r="I84" s="126" t="s">
        <v>32</v>
      </c>
      <c r="J84" s="258">
        <f>(I76*(H21/100)^2)/8</f>
        <v>45.202687500000003</v>
      </c>
      <c r="K84" s="276" t="s">
        <v>33</v>
      </c>
      <c r="L84" s="126">
        <f t="shared" si="0"/>
        <v>4520.2687500000002</v>
      </c>
      <c r="M84" s="276" t="s">
        <v>35</v>
      </c>
    </row>
    <row r="85" spans="7:32" x14ac:dyDescent="0.25">
      <c r="G85" s="213" t="s">
        <v>44</v>
      </c>
      <c r="H85" s="240">
        <f>H52</f>
        <v>0.6</v>
      </c>
      <c r="I85" s="126" t="s">
        <v>48</v>
      </c>
      <c r="J85" s="239">
        <f>(I77*(H21/100)^2)/8</f>
        <v>0</v>
      </c>
      <c r="K85" s="276" t="s">
        <v>33</v>
      </c>
      <c r="L85" s="126">
        <f t="shared" si="0"/>
        <v>0</v>
      </c>
      <c r="M85" s="276" t="s">
        <v>35</v>
      </c>
    </row>
    <row r="86" spans="7:32" x14ac:dyDescent="0.25">
      <c r="G86" s="234" t="s">
        <v>43</v>
      </c>
      <c r="H86" s="240">
        <f>H53</f>
        <v>0.4</v>
      </c>
      <c r="I86" s="129" t="s">
        <v>34</v>
      </c>
      <c r="J86" s="258">
        <f>(I78*(H21/100)^2)/8</f>
        <v>57.2567375</v>
      </c>
      <c r="K86" s="277" t="s">
        <v>33</v>
      </c>
      <c r="L86" s="129">
        <f t="shared" si="0"/>
        <v>5725.6737499999999</v>
      </c>
      <c r="M86" s="277" t="s">
        <v>35</v>
      </c>
    </row>
    <row r="87" spans="7:32" x14ac:dyDescent="0.25">
      <c r="J87" s="144">
        <f ca="1">SUM(J81:J86)</f>
        <v>178.1559707805788</v>
      </c>
    </row>
    <row r="90" spans="7:32" x14ac:dyDescent="0.25">
      <c r="G90" s="635" t="s">
        <v>56</v>
      </c>
      <c r="H90" s="635"/>
      <c r="I90" s="635"/>
      <c r="J90" s="635"/>
      <c r="K90" s="635"/>
      <c r="L90" s="635"/>
      <c r="M90" s="635"/>
      <c r="N90" s="635"/>
    </row>
    <row r="91" spans="7:32" x14ac:dyDescent="0.25">
      <c r="G91" s="210"/>
      <c r="H91" s="210"/>
      <c r="I91" s="210"/>
      <c r="J91" s="210"/>
    </row>
    <row r="92" spans="7:32" x14ac:dyDescent="0.25">
      <c r="G92" s="115" t="s">
        <v>57</v>
      </c>
    </row>
    <row r="93" spans="7:32" x14ac:dyDescent="0.25">
      <c r="Y93" s="118"/>
      <c r="AB93" s="219"/>
      <c r="AC93" s="219"/>
      <c r="AD93" s="219"/>
      <c r="AE93" s="219"/>
      <c r="AF93" s="219"/>
    </row>
    <row r="94" spans="7:32" x14ac:dyDescent="0.25">
      <c r="H94" s="644" t="s">
        <v>547</v>
      </c>
      <c r="I94" s="237">
        <f>(0.21*(H58*H58)^(1/3))</f>
        <v>2.8501384974246515</v>
      </c>
      <c r="J94" s="231" t="s">
        <v>50</v>
      </c>
      <c r="K94" s="693" t="s">
        <v>548</v>
      </c>
      <c r="L94" s="237">
        <f>(0.21*(H60*H60)^(1/3))</f>
        <v>2.2469737091866659</v>
      </c>
      <c r="M94" s="231" t="s">
        <v>50</v>
      </c>
      <c r="AB94" s="220">
        <f>'Propriedades geométricas VI'!B7</f>
        <v>0.95</v>
      </c>
      <c r="AC94" s="220">
        <f>'Propriedades geométricas VI'!C7</f>
        <v>0</v>
      </c>
      <c r="AD94" s="219"/>
      <c r="AE94" s="219">
        <f>'Propriedades geométricas LA '!B7</f>
        <v>0.95</v>
      </c>
      <c r="AF94" s="219">
        <f>'Propriedades geométricas LA '!C7</f>
        <v>0</v>
      </c>
    </row>
    <row r="95" spans="7:32" x14ac:dyDescent="0.25">
      <c r="H95" s="644"/>
      <c r="I95" s="239">
        <f>I94*1000</f>
        <v>2850.1384974246516</v>
      </c>
      <c r="J95" s="231" t="s">
        <v>63</v>
      </c>
      <c r="K95" s="693"/>
      <c r="L95" s="239">
        <f>L94*1000</f>
        <v>2246.9737091866659</v>
      </c>
      <c r="M95" s="231" t="s">
        <v>63</v>
      </c>
      <c r="AB95" s="220">
        <f>'Propriedades geométricas VI'!B8</f>
        <v>0.19</v>
      </c>
      <c r="AC95" s="220">
        <f>'Propriedades geométricas VI'!C8</f>
        <v>0.76</v>
      </c>
      <c r="AD95" s="219"/>
      <c r="AE95" s="219">
        <f>'Propriedades geométricas LA '!B8</f>
        <v>0.19</v>
      </c>
      <c r="AF95" s="219">
        <f>'Propriedades geométricas LA '!C8</f>
        <v>0.76</v>
      </c>
    </row>
    <row r="96" spans="7:32" ht="15.75" thickBot="1" x14ac:dyDescent="0.3">
      <c r="G96" s="126"/>
      <c r="H96" s="144"/>
      <c r="AB96" s="220">
        <f>'Propriedades geométricas VI'!B9</f>
        <v>0</v>
      </c>
      <c r="AC96" s="220">
        <f>'Propriedades geométricas VI'!C9</f>
        <v>2.2000000000000002</v>
      </c>
      <c r="AD96" s="219"/>
      <c r="AE96" s="219">
        <f>'Propriedades geométricas LA '!B9</f>
        <v>0</v>
      </c>
      <c r="AF96" s="219">
        <f>'Propriedades geométricas LA '!C9</f>
        <v>2.2000000000000002</v>
      </c>
    </row>
    <row r="97" spans="7:50" ht="15.75" thickBot="1" x14ac:dyDescent="0.3">
      <c r="G97" s="115" t="s">
        <v>58</v>
      </c>
      <c r="AB97" s="220">
        <f>'Propriedades geométricas VI'!B10</f>
        <v>3</v>
      </c>
      <c r="AC97" s="220">
        <f>'Propriedades geométricas VI'!C10</f>
        <v>5</v>
      </c>
      <c r="AD97" s="219"/>
      <c r="AE97" s="219">
        <f>'Propriedades geométricas LA '!B10</f>
        <v>3</v>
      </c>
      <c r="AF97" s="219">
        <f>'Propriedades geométricas LA '!C10</f>
        <v>5</v>
      </c>
      <c r="AQ97" s="721" t="s">
        <v>497</v>
      </c>
      <c r="AR97" s="722"/>
      <c r="AS97" s="722"/>
      <c r="AT97" s="723"/>
      <c r="AU97" s="721" t="s">
        <v>498</v>
      </c>
      <c r="AV97" s="722"/>
      <c r="AW97" s="722"/>
      <c r="AX97" s="723"/>
    </row>
    <row r="98" spans="7:50" x14ac:dyDescent="0.25">
      <c r="AB98" s="220">
        <f>'Propriedades geométricas VI'!B11</f>
        <v>3</v>
      </c>
      <c r="AC98" s="220">
        <f>'Propriedades geométricas VI'!C11</f>
        <v>19</v>
      </c>
      <c r="AD98" s="219"/>
      <c r="AE98" s="219">
        <f>'Propriedades geométricas LA '!B11</f>
        <v>3</v>
      </c>
      <c r="AF98" s="219">
        <f>'Propriedades geométricas LA '!C11</f>
        <v>19</v>
      </c>
      <c r="AQ98" s="224">
        <v>3.5</v>
      </c>
      <c r="AR98" s="219">
        <v>5.13</v>
      </c>
      <c r="AS98" s="219">
        <f t="shared" ref="AS98:AS107" si="1">IF(AQ98=0,NA(),AQ98)</f>
        <v>3.5</v>
      </c>
      <c r="AT98" s="225">
        <f>AR98</f>
        <v>5.13</v>
      </c>
      <c r="AU98" s="229">
        <f>IF(J137=0,0,(H23-L137))</f>
        <v>0</v>
      </c>
      <c r="AV98" s="219">
        <v>5.13</v>
      </c>
      <c r="AW98" s="219" t="e">
        <f t="shared" ref="AW98:AW107" si="2">IF(AU98=0,NA(),AU98)</f>
        <v>#N/A</v>
      </c>
      <c r="AX98" s="225">
        <f>AV98</f>
        <v>5.13</v>
      </c>
    </row>
    <row r="99" spans="7:50" x14ac:dyDescent="0.25">
      <c r="G99" s="635" t="s">
        <v>440</v>
      </c>
      <c r="H99" s="635"/>
      <c r="I99" s="635"/>
      <c r="J99" s="635"/>
      <c r="K99" s="635"/>
      <c r="L99" s="635"/>
      <c r="M99" s="635"/>
      <c r="N99" s="635"/>
      <c r="W99" s="126"/>
      <c r="AB99" s="220">
        <f>'Propriedades geométricas VI'!B12</f>
        <v>1.65</v>
      </c>
      <c r="AC99" s="220">
        <f>'Propriedades geométricas VI'!C12</f>
        <v>21.5</v>
      </c>
      <c r="AD99" s="221"/>
      <c r="AE99" s="219">
        <f>'Propriedades geométricas LA '!B12</f>
        <v>1.65</v>
      </c>
      <c r="AF99" s="219">
        <f>'Propriedades geométricas LA '!C12</f>
        <v>21.5</v>
      </c>
      <c r="AQ99" s="224">
        <f>IF(AT99=0,,3.5)</f>
        <v>3.5</v>
      </c>
      <c r="AR99" s="219">
        <v>21.63</v>
      </c>
      <c r="AS99" s="219">
        <f t="shared" si="1"/>
        <v>3.5</v>
      </c>
      <c r="AT99" s="225">
        <f>IF(J124=4,NA(),AR99)</f>
        <v>21.63</v>
      </c>
      <c r="AU99" s="224">
        <f>IF(J137=0,0,(IF(AX99=0,,H23-L137)))</f>
        <v>0</v>
      </c>
      <c r="AV99" s="219">
        <v>21.63</v>
      </c>
      <c r="AW99" s="219" t="e">
        <f t="shared" si="2"/>
        <v>#N/A</v>
      </c>
      <c r="AX99" s="225">
        <f>IF(J137=4,NA(),AR99)</f>
        <v>21.63</v>
      </c>
    </row>
    <row r="100" spans="7:50" x14ac:dyDescent="0.25">
      <c r="AB100" s="220">
        <f>'Propriedades geométricas VI'!B13</f>
        <v>1.65</v>
      </c>
      <c r="AC100" s="220">
        <f>'Propriedades geométricas VI'!C13</f>
        <v>25</v>
      </c>
      <c r="AD100" s="221"/>
      <c r="AE100" s="219">
        <f>'Propriedades geométricas LA '!B13</f>
        <v>1.65</v>
      </c>
      <c r="AF100" s="219">
        <f>'Propriedades geométricas LA '!C13</f>
        <v>25</v>
      </c>
      <c r="AQ100" s="224">
        <v>3.5</v>
      </c>
      <c r="AR100" s="219">
        <v>37.880000000000003</v>
      </c>
      <c r="AS100" s="219">
        <f t="shared" si="1"/>
        <v>3.5</v>
      </c>
      <c r="AT100" s="225">
        <f>AR100</f>
        <v>37.880000000000003</v>
      </c>
      <c r="AU100" s="224">
        <f>IF(J137=0,0,(IF(AX100=0,,H23-L137)))</f>
        <v>0</v>
      </c>
      <c r="AV100" s="219">
        <v>37.880000000000003</v>
      </c>
      <c r="AW100" s="219" t="e">
        <f t="shared" si="2"/>
        <v>#N/A</v>
      </c>
      <c r="AX100" s="225">
        <f>AV100</f>
        <v>37.880000000000003</v>
      </c>
    </row>
    <row r="101" spans="7:50" x14ac:dyDescent="0.25">
      <c r="I101" s="240">
        <f>0.77*1900</f>
        <v>1463</v>
      </c>
      <c r="J101" s="231" t="s">
        <v>50</v>
      </c>
      <c r="K101" s="704" t="s">
        <v>550</v>
      </c>
      <c r="L101" s="643" t="s">
        <v>675</v>
      </c>
      <c r="M101" s="643"/>
      <c r="N101" s="643"/>
      <c r="AB101" s="220">
        <f>'Propriedades geométricas VI'!B14</f>
        <v>122.85</v>
      </c>
      <c r="AC101" s="220">
        <f>'Propriedades geométricas VI'!C14</f>
        <v>25</v>
      </c>
      <c r="AD101" s="221"/>
      <c r="AE101" s="219">
        <f>'Propriedades geométricas LA '!B14</f>
        <v>15.309441843966107</v>
      </c>
      <c r="AF101" s="219">
        <f>'Propriedades geométricas LA '!C14</f>
        <v>25</v>
      </c>
      <c r="AQ101" s="224">
        <f>IF(AT101=FALSE,,3.5)</f>
        <v>3.5</v>
      </c>
      <c r="AR101" s="219">
        <v>52.45</v>
      </c>
      <c r="AS101" s="219">
        <f t="shared" si="1"/>
        <v>3.5</v>
      </c>
      <c r="AT101" s="225">
        <f>IF(J124=8,(AR101+AR102)/2,IF(J124=4,NA(),IF(J124=10,AR101)))</f>
        <v>54.125</v>
      </c>
      <c r="AU101" s="224">
        <f>IF(AX101=FALSE,,H23-L124)</f>
        <v>0</v>
      </c>
      <c r="AV101" s="219">
        <v>52.45</v>
      </c>
      <c r="AW101" s="219" t="e">
        <f t="shared" si="2"/>
        <v>#N/A</v>
      </c>
      <c r="AX101" s="225" t="b">
        <f>IF(J137=8,(AV101+AV102)/2,IF(J137=4,NA(),IF(J137=10,AV101)))</f>
        <v>0</v>
      </c>
    </row>
    <row r="102" spans="7:50" x14ac:dyDescent="0.25">
      <c r="H102" s="380"/>
      <c r="I102" s="119"/>
      <c r="J102" s="231"/>
      <c r="K102" s="704"/>
      <c r="AB102" s="220">
        <f>'Propriedades geométricas VI'!B15</f>
        <v>122.85</v>
      </c>
      <c r="AC102" s="220">
        <f>'Propriedades geométricas VI'!C15</f>
        <v>21.5</v>
      </c>
      <c r="AD102" s="219"/>
      <c r="AE102" s="219">
        <f>'Propriedades geométricas LA '!B15</f>
        <v>15.309441843966107</v>
      </c>
      <c r="AF102" s="219">
        <f>'Propriedades geométricas LA '!C15</f>
        <v>30</v>
      </c>
      <c r="AQ102" s="224">
        <f>IF(AT102=FALSE,,3.5)</f>
        <v>3.5</v>
      </c>
      <c r="AR102" s="219">
        <v>55.8</v>
      </c>
      <c r="AS102" s="219">
        <f t="shared" si="1"/>
        <v>3.5</v>
      </c>
      <c r="AT102" s="225">
        <f>IF(J124=8,(AR101+AR102)/2,IF(J124=4,NA(),IF(J124=10,AR102)))</f>
        <v>54.125</v>
      </c>
      <c r="AU102" s="224">
        <f>IF(AX102=FALSE,,H23-L124)</f>
        <v>0</v>
      </c>
      <c r="AV102" s="219">
        <v>55.8</v>
      </c>
      <c r="AW102" s="219" t="e">
        <f t="shared" si="2"/>
        <v>#N/A</v>
      </c>
      <c r="AX102" s="225" t="b">
        <f>IF(J137=8,(AV101+AV102)/2,IF(J137=4,NA(),IF(J137=10,AV102)))</f>
        <v>0</v>
      </c>
    </row>
    <row r="103" spans="7:50" x14ac:dyDescent="0.25">
      <c r="H103" s="380" t="s">
        <v>741</v>
      </c>
      <c r="I103" s="240">
        <v>80</v>
      </c>
      <c r="J103" s="231" t="s">
        <v>641</v>
      </c>
      <c r="K103" s="704"/>
      <c r="M103" s="231"/>
      <c r="AB103" s="220">
        <f>'Propriedades geométricas VI'!B16</f>
        <v>121.5</v>
      </c>
      <c r="AC103" s="220">
        <f>'Propriedades geométricas VI'!C16</f>
        <v>19</v>
      </c>
      <c r="AD103" s="219"/>
      <c r="AE103" s="219">
        <f>'Propriedades geométricas LA '!B16</f>
        <v>109.19055815603389</v>
      </c>
      <c r="AF103" s="219">
        <f>'Propriedades geométricas LA '!C16</f>
        <v>30</v>
      </c>
      <c r="AQ103" s="224">
        <f>IF(AT103=FALSE,,3.5)</f>
        <v>3.5</v>
      </c>
      <c r="AR103" s="219">
        <v>68.7</v>
      </c>
      <c r="AS103" s="219">
        <f t="shared" si="1"/>
        <v>3.5</v>
      </c>
      <c r="AT103" s="225">
        <f>IF(J124=8,(AR103+AR104)/2,IF(J124=4,NA(),IF(J124=10,AR104)))</f>
        <v>70.375</v>
      </c>
      <c r="AU103" s="224">
        <f>IF(AX103=FALSE,,H23-L137)</f>
        <v>0</v>
      </c>
      <c r="AV103" s="219">
        <v>68.7</v>
      </c>
      <c r="AW103" s="219" t="e">
        <f t="shared" si="2"/>
        <v>#N/A</v>
      </c>
      <c r="AX103" s="225" t="b">
        <f>IF(J137=8,(AV103+AV104)/2,IF(J137=4,NA(),IF(J137=10,AV104)))</f>
        <v>0</v>
      </c>
    </row>
    <row r="104" spans="7:50" x14ac:dyDescent="0.25">
      <c r="H104" s="381" t="s">
        <v>549</v>
      </c>
      <c r="I104" s="333">
        <f>MIN(I101)</f>
        <v>1463</v>
      </c>
      <c r="J104" s="231" t="s">
        <v>50</v>
      </c>
      <c r="K104" s="704"/>
      <c r="L104" s="333">
        <f>L105*10</f>
        <v>500</v>
      </c>
      <c r="M104" s="231" t="s">
        <v>50</v>
      </c>
      <c r="AB104" s="220">
        <f>'Propriedades geométricas VI'!B17</f>
        <v>121.5</v>
      </c>
      <c r="AC104" s="220">
        <f>'Propriedades geométricas VI'!C17</f>
        <v>5</v>
      </c>
      <c r="AD104" s="219"/>
      <c r="AE104" s="219">
        <f>'Propriedades geométricas LA '!B17</f>
        <v>109.19055815603389</v>
      </c>
      <c r="AF104" s="219">
        <f>'Propriedades geométricas LA '!C17</f>
        <v>25</v>
      </c>
      <c r="AQ104" s="224">
        <f>IF(AT104=FALSE,,3.5)</f>
        <v>3.5</v>
      </c>
      <c r="AR104" s="219">
        <v>72.05</v>
      </c>
      <c r="AS104" s="219">
        <f t="shared" si="1"/>
        <v>3.5</v>
      </c>
      <c r="AT104" s="225">
        <f>IF(J124=8,(AR103+AR104)/2,IF(J124=4,NA(),IF(J124=10,AR103)))</f>
        <v>70.375</v>
      </c>
      <c r="AU104" s="224">
        <f>IF(AX104=FALSE,,H23-L137)</f>
        <v>0</v>
      </c>
      <c r="AV104" s="219">
        <v>72.05</v>
      </c>
      <c r="AW104" s="219" t="e">
        <f t="shared" si="2"/>
        <v>#N/A</v>
      </c>
      <c r="AX104" s="225" t="b">
        <f>IF(J137=8,(AV103+AV104)/2,IF(J137=4,NA(),IF(J137=10,AV103)))</f>
        <v>0</v>
      </c>
    </row>
    <row r="105" spans="7:50" x14ac:dyDescent="0.25">
      <c r="H105" s="381" t="s">
        <v>742</v>
      </c>
      <c r="I105" s="333">
        <f>(I104/10)*(I103/100)</f>
        <v>117.04000000000002</v>
      </c>
      <c r="J105" s="231" t="s">
        <v>61</v>
      </c>
      <c r="K105" s="704"/>
      <c r="L105" s="333">
        <v>50</v>
      </c>
      <c r="M105" s="231" t="s">
        <v>61</v>
      </c>
      <c r="AB105" s="220">
        <f>'Propriedades geométricas VI'!B18</f>
        <v>124.5</v>
      </c>
      <c r="AC105" s="220">
        <f>'Propriedades geométricas VI'!C18</f>
        <v>2.2000000000000002</v>
      </c>
      <c r="AD105" s="219"/>
      <c r="AE105" s="219">
        <f>'Propriedades geométricas LA '!B18</f>
        <v>122.85</v>
      </c>
      <c r="AF105" s="219">
        <f>'Propriedades geométricas LA '!C18</f>
        <v>25</v>
      </c>
      <c r="AQ105" s="224">
        <v>3.5</v>
      </c>
      <c r="AR105" s="219">
        <v>86.63</v>
      </c>
      <c r="AS105" s="219">
        <f t="shared" si="1"/>
        <v>3.5</v>
      </c>
      <c r="AT105" s="225">
        <f>AR105</f>
        <v>86.63</v>
      </c>
      <c r="AU105" s="224">
        <f>IF(J137=0,0,(IF(AX105=FALSE,,H23-L137)))</f>
        <v>0</v>
      </c>
      <c r="AV105" s="219">
        <v>86.63</v>
      </c>
      <c r="AW105" s="219" t="e">
        <f t="shared" si="2"/>
        <v>#N/A</v>
      </c>
      <c r="AX105" s="225">
        <f>AV105</f>
        <v>86.63</v>
      </c>
    </row>
    <row r="106" spans="7:50" x14ac:dyDescent="0.25">
      <c r="G106" s="119"/>
      <c r="AB106" s="220">
        <f>'Propriedades geométricas VI'!B19</f>
        <v>124.31</v>
      </c>
      <c r="AC106" s="220">
        <f>'Propriedades geométricas VI'!C19</f>
        <v>0.76</v>
      </c>
      <c r="AD106" s="219"/>
      <c r="AE106" s="219">
        <f>'Propriedades geométricas LA '!B19</f>
        <v>122.85</v>
      </c>
      <c r="AF106" s="219">
        <f>'Propriedades geométricas LA '!C19</f>
        <v>21.5</v>
      </c>
      <c r="AQ106" s="224">
        <f>IF(AT106=0,,3.5)</f>
        <v>3.5</v>
      </c>
      <c r="AR106" s="219">
        <v>102.88</v>
      </c>
      <c r="AS106" s="219">
        <f t="shared" si="1"/>
        <v>3.5</v>
      </c>
      <c r="AT106" s="225">
        <f>IF(J124=4,NA(),AR106)</f>
        <v>102.88</v>
      </c>
      <c r="AU106" s="224">
        <f>IF(J137=0,0,(IF(AX106=0,,H23-L137)))</f>
        <v>0</v>
      </c>
      <c r="AV106" s="219">
        <v>102.88</v>
      </c>
      <c r="AW106" s="219" t="e">
        <f t="shared" si="2"/>
        <v>#N/A</v>
      </c>
      <c r="AX106" s="225">
        <f>IF(J137=4,NA(),AV106)</f>
        <v>102.88</v>
      </c>
    </row>
    <row r="107" spans="7:50" ht="15.75" thickBot="1" x14ac:dyDescent="0.3">
      <c r="G107" s="635" t="s">
        <v>62</v>
      </c>
      <c r="H107" s="635"/>
      <c r="I107" s="635"/>
      <c r="J107" s="635"/>
      <c r="K107" s="635"/>
      <c r="L107" s="635"/>
      <c r="M107" s="635"/>
      <c r="N107" s="635"/>
      <c r="AB107" s="220">
        <f>'Propriedades geométricas VI'!B20</f>
        <v>123.55</v>
      </c>
      <c r="AC107" s="220">
        <f>'Propriedades geométricas VI'!C20</f>
        <v>0</v>
      </c>
      <c r="AD107" s="219"/>
      <c r="AE107" s="219">
        <f>'Propriedades geométricas LA '!B20</f>
        <v>121.5</v>
      </c>
      <c r="AF107" s="219">
        <f>'Propriedades geométricas LA '!C20</f>
        <v>19</v>
      </c>
      <c r="AQ107" s="226">
        <v>3.5</v>
      </c>
      <c r="AR107" s="227">
        <v>119.38</v>
      </c>
      <c r="AS107" s="227">
        <f t="shared" si="1"/>
        <v>3.5</v>
      </c>
      <c r="AT107" s="228">
        <f>AR107</f>
        <v>119.38</v>
      </c>
      <c r="AU107" s="226">
        <f>IF(J137=0,0,(IF(AX107=0,,H23-L137)))</f>
        <v>0</v>
      </c>
      <c r="AV107" s="227">
        <v>119.38</v>
      </c>
      <c r="AW107" s="227" t="e">
        <f t="shared" si="2"/>
        <v>#N/A</v>
      </c>
      <c r="AX107" s="228">
        <f>AV107</f>
        <v>119.38</v>
      </c>
    </row>
    <row r="108" spans="7:50" x14ac:dyDescent="0.25">
      <c r="AB108" s="220">
        <f>'Propriedades geométricas VI'!B21</f>
        <v>111.05</v>
      </c>
      <c r="AC108" s="220">
        <f>'Propriedades geométricas VI'!C21</f>
        <v>0</v>
      </c>
      <c r="AD108" s="219"/>
      <c r="AE108" s="219">
        <f>'Propriedades geométricas LA '!B21</f>
        <v>121.5</v>
      </c>
      <c r="AF108" s="219">
        <f>'Propriedades geométricas LA '!C21</f>
        <v>5</v>
      </c>
    </row>
    <row r="109" spans="7:50" x14ac:dyDescent="0.25">
      <c r="K109" s="657" t="s">
        <v>553</v>
      </c>
      <c r="L109" s="657"/>
      <c r="M109" s="657"/>
      <c r="AB109" s="220">
        <f>'Propriedades geométricas VI'!B22</f>
        <v>111.05</v>
      </c>
      <c r="AC109" s="220">
        <f>'Propriedades geométricas VI'!C22</f>
        <v>3</v>
      </c>
      <c r="AD109" s="219"/>
      <c r="AE109" s="219">
        <f>'Propriedades geométricas LA '!B22</f>
        <v>124.5</v>
      </c>
      <c r="AF109" s="219">
        <f>'Propriedades geométricas LA '!C22</f>
        <v>2.2000000000000002</v>
      </c>
    </row>
    <row r="110" spans="7:50" x14ac:dyDescent="0.25">
      <c r="G110" s="209" t="s">
        <v>551</v>
      </c>
      <c r="H110" s="346">
        <v>20</v>
      </c>
      <c r="I110" s="231" t="s">
        <v>258</v>
      </c>
      <c r="K110" s="230">
        <v>0</v>
      </c>
      <c r="L110" s="230">
        <v>0</v>
      </c>
      <c r="M110" s="230">
        <v>0</v>
      </c>
      <c r="AB110" s="220">
        <f>'Propriedades geométricas VI'!B23</f>
        <v>114.1</v>
      </c>
      <c r="AC110" s="220">
        <f>'Propriedades geométricas VI'!C23</f>
        <v>3</v>
      </c>
      <c r="AD110" s="219"/>
      <c r="AE110" s="219">
        <f>'Propriedades geométricas LA '!B23</f>
        <v>124.31</v>
      </c>
      <c r="AF110" s="219">
        <f>'Propriedades geométricas LA '!C23</f>
        <v>0.76</v>
      </c>
    </row>
    <row r="111" spans="7:50" x14ac:dyDescent="0.25">
      <c r="K111" s="230">
        <v>9.5</v>
      </c>
      <c r="L111" s="230">
        <v>55.5</v>
      </c>
      <c r="M111" s="230">
        <f>L111/100</f>
        <v>0.55500000000000005</v>
      </c>
      <c r="N111" s="231" t="s">
        <v>14</v>
      </c>
      <c r="AB111" s="220">
        <f>'Propriedades geométricas VI'!B24</f>
        <v>117.25</v>
      </c>
      <c r="AC111" s="220">
        <f>'Propriedades geométricas VI'!C24</f>
        <v>5.8</v>
      </c>
      <c r="AD111" s="219"/>
      <c r="AE111" s="219">
        <f>'Propriedades geométricas LA '!B24</f>
        <v>123.55</v>
      </c>
      <c r="AF111" s="219">
        <f>'Propriedades geométricas LA '!C24</f>
        <v>0</v>
      </c>
    </row>
    <row r="112" spans="7:50" x14ac:dyDescent="0.25">
      <c r="G112" s="209" t="s">
        <v>552</v>
      </c>
      <c r="H112" s="119">
        <f>I105*(100-H110)/100</f>
        <v>93.632000000000005</v>
      </c>
      <c r="I112" s="231" t="s">
        <v>61</v>
      </c>
      <c r="K112" s="230">
        <v>12.7</v>
      </c>
      <c r="L112" s="230">
        <v>101.4</v>
      </c>
      <c r="M112" s="230">
        <v>0.98699999999999999</v>
      </c>
      <c r="N112" s="231" t="s">
        <v>14</v>
      </c>
      <c r="AB112" s="220">
        <f>'Propriedades geométricas VI'!B25</f>
        <v>117.25</v>
      </c>
      <c r="AC112" s="220">
        <f>'Propriedades geométricas VI'!C25</f>
        <v>15.75</v>
      </c>
      <c r="AD112" s="219"/>
      <c r="AE112" s="219">
        <f>'Propriedades geométricas LA '!B25</f>
        <v>111.05</v>
      </c>
      <c r="AF112" s="219">
        <f>'Propriedades geométricas LA '!C25</f>
        <v>0</v>
      </c>
    </row>
    <row r="113" spans="7:32" x14ac:dyDescent="0.25">
      <c r="I113" s="231"/>
      <c r="K113" s="230">
        <v>15.2</v>
      </c>
      <c r="L113" s="230">
        <v>143.5</v>
      </c>
      <c r="M113" s="230">
        <f>L113/100</f>
        <v>1.4350000000000001</v>
      </c>
      <c r="N113" s="231" t="s">
        <v>14</v>
      </c>
      <c r="AB113" s="220">
        <f>'Propriedades geométricas VI'!B26</f>
        <v>117.18</v>
      </c>
      <c r="AC113" s="220">
        <f>'Propriedades geométricas VI'!C26</f>
        <v>16.66</v>
      </c>
      <c r="AD113" s="219"/>
      <c r="AE113" s="219">
        <f>'Propriedades geométricas LA '!B26</f>
        <v>111.05</v>
      </c>
      <c r="AF113" s="219">
        <f>'Propriedades geométricas LA '!C26</f>
        <v>3</v>
      </c>
    </row>
    <row r="114" spans="7:32" x14ac:dyDescent="0.25">
      <c r="G114" s="643" t="s">
        <v>65</v>
      </c>
      <c r="H114" s="643"/>
      <c r="I114" s="231"/>
      <c r="K114" s="142"/>
      <c r="AB114" s="220">
        <f>'Propriedades geométricas VI'!B27</f>
        <v>116.92</v>
      </c>
      <c r="AC114" s="220">
        <f>'Propriedades geométricas VI'!C27</f>
        <v>17.760000000000002</v>
      </c>
      <c r="AD114" s="219"/>
      <c r="AE114" s="219">
        <f>'Propriedades geométricas LA '!B27</f>
        <v>114.1</v>
      </c>
      <c r="AF114" s="219">
        <f>'Propriedades geométricas LA '!C27</f>
        <v>3</v>
      </c>
    </row>
    <row r="115" spans="7:32" ht="15.75" thickBot="1" x14ac:dyDescent="0.3">
      <c r="G115" s="119" t="s">
        <v>64</v>
      </c>
      <c r="H115" s="120">
        <f ca="1">(-I95 + ((J81+J82+J83)/(H41/100^3)) + ((J84+J85)/(I41/100^3)) + (H52*J86/(I41/100^3))) / ((H112/(H36/100^2)) + (H112*H39/(H41/100^3)))</f>
        <v>6.1499990409343281</v>
      </c>
      <c r="I115" s="231" t="s">
        <v>14</v>
      </c>
      <c r="AB115" s="220">
        <f>'Propriedades geométricas VI'!B28</f>
        <v>116.43</v>
      </c>
      <c r="AC115" s="220">
        <f>'Propriedades geométricas VI'!C28</f>
        <v>18.84</v>
      </c>
      <c r="AD115" s="219"/>
      <c r="AE115" s="219">
        <f>'Propriedades geométricas LA '!B28</f>
        <v>117.25</v>
      </c>
      <c r="AF115" s="219">
        <f>'Propriedades geométricas LA '!C28</f>
        <v>5.8</v>
      </c>
    </row>
    <row r="116" spans="7:32" ht="15.75" thickBot="1" x14ac:dyDescent="0.3">
      <c r="G116" s="116"/>
      <c r="I116" s="273"/>
      <c r="J116" s="694" t="s">
        <v>272</v>
      </c>
      <c r="K116" s="695"/>
      <c r="L116" s="695"/>
      <c r="M116" s="696"/>
      <c r="AB116" s="220">
        <f>'Propriedades geométricas VI'!B29</f>
        <v>115.87</v>
      </c>
      <c r="AC116" s="220">
        <f>'Propriedades geométricas VI'!C29</f>
        <v>19.66</v>
      </c>
      <c r="AD116" s="219"/>
      <c r="AE116" s="219">
        <f>'Propriedades geométricas LA '!B29</f>
        <v>117.25</v>
      </c>
      <c r="AF116" s="219">
        <f>'Propriedades geométricas LA '!C29</f>
        <v>15.75</v>
      </c>
    </row>
    <row r="117" spans="7:32" x14ac:dyDescent="0.25">
      <c r="G117" s="115" t="s">
        <v>432</v>
      </c>
      <c r="I117" s="231"/>
      <c r="J117" s="146" t="s">
        <v>79</v>
      </c>
      <c r="L117" s="119" t="s">
        <v>3</v>
      </c>
      <c r="M117" s="147"/>
      <c r="AB117" s="220">
        <f>'Propriedades geométricas VI'!B30</f>
        <v>115.23</v>
      </c>
      <c r="AC117" s="220">
        <f>'Propriedades geométricas VI'!C30</f>
        <v>20.350000000000001</v>
      </c>
      <c r="AD117" s="219"/>
      <c r="AE117" s="219">
        <f>'Propriedades geométricas LA '!B30</f>
        <v>117.18</v>
      </c>
      <c r="AF117" s="219">
        <f>'Propriedades geométricas LA '!C30</f>
        <v>16.66</v>
      </c>
    </row>
    <row r="118" spans="7:32" x14ac:dyDescent="0.25">
      <c r="G118" s="119" t="s">
        <v>64</v>
      </c>
      <c r="H118" s="120">
        <f ca="1">(0 + ((J81+J82+J83)/(H41/100^3)) + ((J84+J85)/(I41/100^3)) + (H53*J86/(I41/100^3))) / ((H112/(H36/100^2)) + (H112*H39/(H41/100^3)))</f>
        <v>7.2520177070145158</v>
      </c>
      <c r="I118" s="231" t="s">
        <v>14</v>
      </c>
      <c r="J118" s="240">
        <v>0</v>
      </c>
      <c r="K118" s="267">
        <v>15.2</v>
      </c>
      <c r="L118" s="240">
        <f>L120+6.5</f>
        <v>22.5</v>
      </c>
      <c r="M118" s="147" t="s">
        <v>80</v>
      </c>
      <c r="AB118" s="220">
        <f>'Propriedades geométricas VI'!B31</f>
        <v>114.55</v>
      </c>
      <c r="AC118" s="220">
        <f>'Propriedades geométricas VI'!C31</f>
        <v>20.89</v>
      </c>
      <c r="AD118" s="219"/>
      <c r="AE118" s="219">
        <f>'Propriedades geométricas LA '!B31</f>
        <v>116.92</v>
      </c>
      <c r="AF118" s="219">
        <f>'Propriedades geométricas LA '!C31</f>
        <v>17.760000000000002</v>
      </c>
    </row>
    <row r="119" spans="7:32" x14ac:dyDescent="0.25">
      <c r="I119" s="232"/>
      <c r="J119" s="146" t="s">
        <v>78</v>
      </c>
      <c r="L119" s="119"/>
      <c r="M119" s="147"/>
      <c r="AB119" s="220">
        <f>'Propriedades geométricas VI'!B32</f>
        <v>113.9</v>
      </c>
      <c r="AC119" s="220">
        <f>'Propriedades geométricas VI'!C32</f>
        <v>21.29</v>
      </c>
      <c r="AD119" s="219"/>
      <c r="AE119" s="219">
        <f>'Propriedades geométricas LA '!B32</f>
        <v>116.43</v>
      </c>
      <c r="AF119" s="219">
        <f>'Propriedades geométricas LA '!C32</f>
        <v>18.84</v>
      </c>
    </row>
    <row r="120" spans="7:32" x14ac:dyDescent="0.25">
      <c r="G120" s="239">
        <f ca="1">(ROUNDUP((MAX(H115,H118))/VLOOKUP(H120,K111:M113,3),0))</f>
        <v>8</v>
      </c>
      <c r="H120" s="267">
        <f>K124</f>
        <v>12.7</v>
      </c>
      <c r="I120" s="273" t="s">
        <v>275</v>
      </c>
      <c r="J120" s="240">
        <v>0</v>
      </c>
      <c r="K120" s="267">
        <v>15.2</v>
      </c>
      <c r="L120" s="240">
        <f>L122+6.5</f>
        <v>16</v>
      </c>
      <c r="M120" s="147" t="s">
        <v>80</v>
      </c>
      <c r="AB120" s="220">
        <f>'Propriedades geométricas VI'!B33</f>
        <v>113.18</v>
      </c>
      <c r="AC120" s="220">
        <f>'Propriedades geométricas VI'!C33</f>
        <v>21.61</v>
      </c>
      <c r="AD120" s="219"/>
      <c r="AE120" s="219">
        <f>'Propriedades geométricas LA '!B33</f>
        <v>115.87</v>
      </c>
      <c r="AF120" s="219">
        <f>'Propriedades geométricas LA '!C33</f>
        <v>19.66</v>
      </c>
    </row>
    <row r="121" spans="7:32" x14ac:dyDescent="0.25">
      <c r="G121" s="240">
        <f>J124+J122+J120+J118</f>
        <v>8</v>
      </c>
      <c r="H121" s="347">
        <f>K124</f>
        <v>12.7</v>
      </c>
      <c r="I121" s="273" t="s">
        <v>274</v>
      </c>
      <c r="J121" s="146" t="s">
        <v>77</v>
      </c>
      <c r="L121" s="119"/>
      <c r="M121" s="118">
        <f>(J124*(VLOOKUP(K124,K110:M113,3))*L124+J122*(VLOOKUP(K122,K110:M113,3))*L122+J120*(VLOOKUP(K120,K110:M113,3))*L120+J118*(VLOOKUP(K118,K110:M113,3))*L118)/(J124*(VLOOKUP(K124,K110:M113,3))+J122*(VLOOKUP(K122,K110:M113,3))+J120*(VLOOKUP(K120,K110:M113,3))+J118*(VLOOKUP(K118,K110:M113,3)))</f>
        <v>3</v>
      </c>
      <c r="N121" s="231" t="s">
        <v>80</v>
      </c>
      <c r="AB121" s="220">
        <f>'Propriedades geométricas VI'!B34</f>
        <v>112.59</v>
      </c>
      <c r="AC121" s="220">
        <f>'Propriedades geométricas VI'!C34</f>
        <v>21.79</v>
      </c>
      <c r="AD121" s="219"/>
      <c r="AE121" s="219">
        <f>'Propriedades geométricas LA '!B34</f>
        <v>115.23</v>
      </c>
      <c r="AF121" s="219">
        <f>'Propriedades geométricas LA '!C34</f>
        <v>20.350000000000001</v>
      </c>
    </row>
    <row r="122" spans="7:32" x14ac:dyDescent="0.25">
      <c r="G122" s="209" t="s">
        <v>220</v>
      </c>
      <c r="H122" s="154">
        <f>VLOOKUP(H121,K111:M113,3)*G121</f>
        <v>7.8959999999999999</v>
      </c>
      <c r="J122" s="240">
        <v>0</v>
      </c>
      <c r="K122" s="267">
        <v>15.2</v>
      </c>
      <c r="L122" s="240">
        <f>L124+6.5</f>
        <v>9.5</v>
      </c>
      <c r="M122" s="147" t="s">
        <v>80</v>
      </c>
      <c r="AB122" s="220">
        <f>'Propriedades geométricas VI'!B35</f>
        <v>111.97</v>
      </c>
      <c r="AC122" s="220">
        <f>'Propriedades geométricas VI'!C35</f>
        <v>21.92</v>
      </c>
      <c r="AD122" s="219"/>
      <c r="AE122" s="219">
        <f>'Propriedades geométricas LA '!B35</f>
        <v>114.55</v>
      </c>
      <c r="AF122" s="219">
        <f>'Propriedades geométricas LA '!C35</f>
        <v>20.89</v>
      </c>
    </row>
    <row r="123" spans="7:32" x14ac:dyDescent="0.25">
      <c r="G123" s="209" t="s">
        <v>479</v>
      </c>
      <c r="H123" s="120">
        <f ca="1">H891</f>
        <v>6.5346817110489965</v>
      </c>
      <c r="J123" s="146" t="s">
        <v>76</v>
      </c>
      <c r="L123" s="119"/>
      <c r="M123" s="147"/>
      <c r="AB123" s="220">
        <f>'Propriedades geométricas VI'!B36</f>
        <v>111.3</v>
      </c>
      <c r="AC123" s="220">
        <f>'Propriedades geométricas VI'!C36</f>
        <v>21.99</v>
      </c>
      <c r="AD123" s="219"/>
      <c r="AE123" s="219">
        <f>'Propriedades geométricas LA '!B36</f>
        <v>113.9</v>
      </c>
      <c r="AF123" s="219">
        <f>'Propriedades geométricas LA '!C36</f>
        <v>21.29</v>
      </c>
    </row>
    <row r="124" spans="7:32" ht="15.75" thickBot="1" x14ac:dyDescent="0.3">
      <c r="J124" s="240">
        <v>8</v>
      </c>
      <c r="K124" s="267">
        <v>12.7</v>
      </c>
      <c r="L124" s="240">
        <v>3</v>
      </c>
      <c r="M124" s="148" t="s">
        <v>80</v>
      </c>
      <c r="AB124" s="220">
        <f>'Propriedades geométricas VI'!B37</f>
        <v>110.7</v>
      </c>
      <c r="AC124" s="220">
        <f>'Propriedades geométricas VI'!C37</f>
        <v>21.99</v>
      </c>
      <c r="AD124" s="219"/>
      <c r="AE124" s="219">
        <f>'Propriedades geométricas LA '!B37</f>
        <v>113.18</v>
      </c>
      <c r="AF124" s="219">
        <f>'Propriedades geométricas LA '!C37</f>
        <v>21.61</v>
      </c>
    </row>
    <row r="125" spans="7:32" ht="15.75" thickBot="1" x14ac:dyDescent="0.3">
      <c r="G125" s="123" t="s">
        <v>66</v>
      </c>
      <c r="AB125" s="220">
        <f>'Propriedades geométricas VI'!B38</f>
        <v>110.03</v>
      </c>
      <c r="AC125" s="220">
        <f>'Propriedades geométricas VI'!C38</f>
        <v>21.92</v>
      </c>
      <c r="AD125" s="219"/>
      <c r="AE125" s="219">
        <f>'Propriedades geométricas LA '!B38</f>
        <v>112.59</v>
      </c>
      <c r="AF125" s="219">
        <f>'Propriedades geométricas LA '!C38</f>
        <v>21.79</v>
      </c>
    </row>
    <row r="126" spans="7:32" ht="15.75" thickBot="1" x14ac:dyDescent="0.3">
      <c r="J126" s="702" t="s">
        <v>554</v>
      </c>
      <c r="K126" s="703"/>
      <c r="L126" s="349">
        <f>(I105*H61*100)/((VLOOKUP(H121,K111:M113,3)*19500))</f>
        <v>79.054373522458647</v>
      </c>
      <c r="M126" s="241" t="s">
        <v>80</v>
      </c>
      <c r="AB126" s="220">
        <f>'Propriedades geométricas VI'!B39</f>
        <v>109.41</v>
      </c>
      <c r="AC126" s="220">
        <f>'Propriedades geométricas VI'!C39</f>
        <v>21.79</v>
      </c>
      <c r="AD126" s="219"/>
      <c r="AE126" s="219">
        <f>'Propriedades geométricas LA '!B39</f>
        <v>111.97</v>
      </c>
      <c r="AF126" s="219">
        <f>'Propriedades geométricas LA '!C39</f>
        <v>21.92</v>
      </c>
    </row>
    <row r="127" spans="7:32" ht="15.75" thickBot="1" x14ac:dyDescent="0.3">
      <c r="G127" s="119" t="s">
        <v>68</v>
      </c>
      <c r="H127" s="360">
        <v>2.5</v>
      </c>
      <c r="I127" s="231"/>
      <c r="J127" s="697" t="str">
        <f>G912</f>
        <v>€p (%)</v>
      </c>
      <c r="K127" s="698"/>
      <c r="L127" s="242">
        <f ca="1">H912</f>
        <v>4.8596517604747183</v>
      </c>
      <c r="M127" s="243" t="s">
        <v>641</v>
      </c>
      <c r="AB127" s="220">
        <f>'Propriedades geométricas VI'!B40</f>
        <v>108.82</v>
      </c>
      <c r="AC127" s="220">
        <f>'Propriedades geométricas VI'!C40</f>
        <v>21.61</v>
      </c>
      <c r="AD127" s="219"/>
      <c r="AE127" s="219">
        <f>'Propriedades geométricas LA '!B40</f>
        <v>111.3</v>
      </c>
      <c r="AF127" s="219">
        <f>'Propriedades geométricas LA '!C40</f>
        <v>21.99</v>
      </c>
    </row>
    <row r="128" spans="7:32" ht="15.75" thickBot="1" x14ac:dyDescent="0.3">
      <c r="G128" s="145" t="s">
        <v>67</v>
      </c>
      <c r="H128" s="245">
        <f>(I105*(100-H127))/100</f>
        <v>114.11400000000002</v>
      </c>
      <c r="I128" s="231" t="s">
        <v>61</v>
      </c>
      <c r="AB128" s="220">
        <f>'Propriedades geométricas VI'!B41</f>
        <v>108.1</v>
      </c>
      <c r="AC128" s="220">
        <f>'Propriedades geométricas VI'!C41</f>
        <v>21.29</v>
      </c>
      <c r="AD128" s="219"/>
      <c r="AE128" s="219">
        <f>'Propriedades geométricas LA '!B41</f>
        <v>110.7</v>
      </c>
      <c r="AF128" s="219">
        <f>'Propriedades geométricas LA '!C41</f>
        <v>21.99</v>
      </c>
    </row>
    <row r="129" spans="7:32" ht="15.75" thickBot="1" x14ac:dyDescent="0.3">
      <c r="I129" s="231"/>
      <c r="J129" s="694" t="s">
        <v>273</v>
      </c>
      <c r="K129" s="695"/>
      <c r="L129" s="695"/>
      <c r="M129" s="696"/>
      <c r="AB129" s="220">
        <f>'Propriedades geométricas VI'!B42</f>
        <v>107.45</v>
      </c>
      <c r="AC129" s="220">
        <f>'Propriedades geométricas VI'!C42</f>
        <v>20.89</v>
      </c>
      <c r="AD129" s="219"/>
      <c r="AE129" s="219">
        <f>'Propriedades geométricas LA '!B42</f>
        <v>110.03</v>
      </c>
      <c r="AF129" s="219">
        <f>'Propriedades geométricas LA '!C42</f>
        <v>21.92</v>
      </c>
    </row>
    <row r="130" spans="7:32" x14ac:dyDescent="0.25">
      <c r="G130" s="115" t="s">
        <v>69</v>
      </c>
      <c r="I130" s="231"/>
      <c r="J130" s="146" t="s">
        <v>79</v>
      </c>
      <c r="L130" s="119" t="s">
        <v>3</v>
      </c>
      <c r="M130" s="147"/>
      <c r="AB130" s="220">
        <f>'Propriedades geométricas VI'!B43</f>
        <v>106.77</v>
      </c>
      <c r="AC130" s="220">
        <f>'Propriedades geométricas VI'!C43</f>
        <v>20.350000000000001</v>
      </c>
      <c r="AD130" s="219"/>
      <c r="AE130" s="219">
        <f>'Propriedades geométricas LA '!B43</f>
        <v>109.41</v>
      </c>
      <c r="AF130" s="219">
        <f>'Propriedades geométricas LA '!C43</f>
        <v>21.79</v>
      </c>
    </row>
    <row r="131" spans="7:32" x14ac:dyDescent="0.25">
      <c r="G131" s="693" t="s">
        <v>70</v>
      </c>
      <c r="H131" s="237">
        <f>(1.2*0.3*(H60*H60)^(1/3))</f>
        <v>3.8519549300342844</v>
      </c>
      <c r="I131" s="231" t="s">
        <v>50</v>
      </c>
      <c r="J131" s="403">
        <v>0</v>
      </c>
      <c r="K131" s="267">
        <v>0</v>
      </c>
      <c r="L131" s="240">
        <f>L133+6</f>
        <v>20.5</v>
      </c>
      <c r="M131" s="147" t="s">
        <v>80</v>
      </c>
      <c r="AB131" s="220">
        <f>'Propriedades geométricas VI'!B44</f>
        <v>106.13</v>
      </c>
      <c r="AC131" s="220">
        <f>'Propriedades geométricas VI'!C44</f>
        <v>19.66</v>
      </c>
      <c r="AD131" s="219"/>
      <c r="AE131" s="219">
        <f>'Propriedades geométricas LA '!B44</f>
        <v>108.82</v>
      </c>
      <c r="AF131" s="219">
        <f>'Propriedades geométricas LA '!C44</f>
        <v>21.61</v>
      </c>
    </row>
    <row r="132" spans="7:32" x14ac:dyDescent="0.25">
      <c r="G132" s="693"/>
      <c r="H132" s="239">
        <f>H131*1000</f>
        <v>3851.9549300342842</v>
      </c>
      <c r="I132" s="231" t="s">
        <v>63</v>
      </c>
      <c r="J132" s="146" t="s">
        <v>78</v>
      </c>
      <c r="L132" s="119"/>
      <c r="M132" s="147"/>
      <c r="AB132" s="220">
        <f>'Propriedades geométricas VI'!B45</f>
        <v>105.57</v>
      </c>
      <c r="AC132" s="220">
        <f>'Propriedades geométricas VI'!C45</f>
        <v>18.84</v>
      </c>
      <c r="AD132" s="219"/>
      <c r="AE132" s="219">
        <f>'Propriedades geométricas LA '!B45</f>
        <v>108.1</v>
      </c>
      <c r="AF132" s="219">
        <f>'Propriedades geométricas LA '!C45</f>
        <v>21.29</v>
      </c>
    </row>
    <row r="133" spans="7:32" x14ac:dyDescent="0.25">
      <c r="I133" s="231"/>
      <c r="J133" s="403">
        <v>0</v>
      </c>
      <c r="K133" s="267">
        <v>12.7</v>
      </c>
      <c r="L133" s="240">
        <f>L135+6</f>
        <v>14.5</v>
      </c>
      <c r="M133" s="147" t="s">
        <v>80</v>
      </c>
      <c r="AB133" s="220">
        <f>'Propriedades geométricas VI'!B46</f>
        <v>105.08</v>
      </c>
      <c r="AC133" s="220">
        <f>'Propriedades geométricas VI'!C46</f>
        <v>17.760000000000002</v>
      </c>
      <c r="AD133" s="219"/>
      <c r="AE133" s="219">
        <f>'Propriedades geométricas LA '!B46</f>
        <v>107.45</v>
      </c>
      <c r="AF133" s="219">
        <f>'Propriedades geométricas LA '!C46</f>
        <v>20.89</v>
      </c>
    </row>
    <row r="134" spans="7:32" x14ac:dyDescent="0.25">
      <c r="I134" s="231"/>
      <c r="J134" s="146" t="s">
        <v>77</v>
      </c>
      <c r="L134" s="119"/>
      <c r="M134" s="404">
        <f>IFERROR((J137*(VLOOKUP(K137,K110:M113,3))*L137+J135*(VLOOKUP(K135,K110:M113,3))*L135+J133*(VLOOKUP(K133,K110:M113,3))*L133+J131*(VLOOKUP(K131,K110:M113,3))*L131)/(J137*(VLOOKUP(K137,K110:M113,3))+J135*(VLOOKUP(K135,K110:M113,3))+J133*(VLOOKUP(K133,K110:M113,3))+J131*(VLOOKUP(K131,K110:M113,3))),0)</f>
        <v>0</v>
      </c>
      <c r="N134" s="115" t="s">
        <v>80</v>
      </c>
      <c r="AB134" s="220">
        <f>'Propriedades geométricas VI'!B47</f>
        <v>104.82</v>
      </c>
      <c r="AC134" s="220">
        <f>'Propriedades geométricas VI'!C47</f>
        <v>16.66</v>
      </c>
      <c r="AD134" s="219"/>
      <c r="AE134" s="219">
        <f>'Propriedades geométricas LA '!B47</f>
        <v>106.77</v>
      </c>
      <c r="AF134" s="219">
        <f>'Propriedades geométricas LA '!C47</f>
        <v>20.350000000000001</v>
      </c>
    </row>
    <row r="135" spans="7:32" x14ac:dyDescent="0.25">
      <c r="G135" s="115" t="s">
        <v>71</v>
      </c>
      <c r="H135" s="120">
        <f ca="1">(-H132-(H128*(VLOOKUP(H121,K111:M113,3)*10)*(1/(H36/100^2)-H38/(H40/100^3)))-(J81/(H40/100^3)))/(H128*(1/(H36/100^2)+H38/(H40/100^3)))</f>
        <v>-2.7909791561627078</v>
      </c>
      <c r="I135" s="231" t="s">
        <v>14</v>
      </c>
      <c r="J135" s="403">
        <v>0</v>
      </c>
      <c r="K135" s="267">
        <v>12.7</v>
      </c>
      <c r="L135" s="240">
        <v>8.5</v>
      </c>
      <c r="M135" s="147" t="s">
        <v>80</v>
      </c>
      <c r="AB135" s="220">
        <f>'Propriedades geométricas VI'!B48</f>
        <v>104.75</v>
      </c>
      <c r="AC135" s="220">
        <f>'Propriedades geométricas VI'!C48</f>
        <v>15.75</v>
      </c>
      <c r="AD135" s="219"/>
      <c r="AE135" s="219">
        <f>'Propriedades geométricas LA '!B48</f>
        <v>106.13</v>
      </c>
      <c r="AF135" s="219">
        <f>'Propriedades geométricas LA '!C48</f>
        <v>19.66</v>
      </c>
    </row>
    <row r="136" spans="7:32" x14ac:dyDescent="0.25">
      <c r="I136" s="231"/>
      <c r="J136" s="146" t="s">
        <v>76</v>
      </c>
      <c r="L136" s="119"/>
      <c r="M136" s="147"/>
      <c r="AB136" s="220">
        <f>'Propriedades geométricas VI'!B49</f>
        <v>104.75</v>
      </c>
      <c r="AC136" s="220">
        <f>'Propriedades geométricas VI'!C49</f>
        <v>5.8</v>
      </c>
      <c r="AD136" s="219"/>
      <c r="AE136" s="219">
        <f>'Propriedades geométricas LA '!B49</f>
        <v>105.57</v>
      </c>
      <c r="AF136" s="219">
        <f>'Propriedades geométricas LA '!C49</f>
        <v>18.84</v>
      </c>
    </row>
    <row r="137" spans="7:32" ht="15.75" thickBot="1" x14ac:dyDescent="0.3">
      <c r="G137" s="240">
        <f ca="1">ROUNDUP((H135/(VLOOKUP(H137,K111:M113,3))),0)</f>
        <v>-6</v>
      </c>
      <c r="H137" s="347">
        <v>9.5</v>
      </c>
      <c r="I137" s="231" t="s">
        <v>275</v>
      </c>
      <c r="J137" s="403">
        <v>0</v>
      </c>
      <c r="K137" s="267">
        <v>9.5</v>
      </c>
      <c r="L137" s="240">
        <v>3</v>
      </c>
      <c r="M137" s="148" t="s">
        <v>80</v>
      </c>
      <c r="AB137" s="220">
        <f>'Propriedades geométricas VI'!B50</f>
        <v>107.9</v>
      </c>
      <c r="AC137" s="220">
        <f>'Propriedades geométricas VI'!C50</f>
        <v>3</v>
      </c>
      <c r="AD137" s="219"/>
      <c r="AE137" s="219">
        <f>'Propriedades geométricas LA '!B50</f>
        <v>105.08</v>
      </c>
      <c r="AF137" s="219">
        <f>'Propriedades geométricas LA '!C50</f>
        <v>17.760000000000002</v>
      </c>
    </row>
    <row r="138" spans="7:32" ht="15.75" thickBot="1" x14ac:dyDescent="0.3">
      <c r="G138" s="240">
        <f>J137+J135+J133+J131</f>
        <v>0</v>
      </c>
      <c r="H138" s="347">
        <f>K137</f>
        <v>9.5</v>
      </c>
      <c r="I138" s="231" t="s">
        <v>274</v>
      </c>
      <c r="J138" s="700" t="str">
        <f>G917</f>
        <v>€p (%)</v>
      </c>
      <c r="K138" s="701"/>
      <c r="L138" s="348">
        <f ca="1">H917</f>
        <v>1.7551915430517646</v>
      </c>
      <c r="M138" s="244" t="s">
        <v>641</v>
      </c>
      <c r="AB138" s="220">
        <f>'Propriedades geométricas VI'!B51</f>
        <v>111</v>
      </c>
      <c r="AC138" s="220">
        <f>'Propriedades geométricas VI'!C51</f>
        <v>3</v>
      </c>
      <c r="AD138" s="219"/>
      <c r="AE138" s="219">
        <f>'Propriedades geométricas LA '!B51</f>
        <v>104.82</v>
      </c>
      <c r="AF138" s="219">
        <f>'Propriedades geométricas LA '!C51</f>
        <v>16.66</v>
      </c>
    </row>
    <row r="139" spans="7:32" ht="15.75" thickBot="1" x14ac:dyDescent="0.3">
      <c r="G139" s="209" t="s">
        <v>220</v>
      </c>
      <c r="H139" s="154">
        <f>VLOOKUP(H138,K111:M113,3)*G138</f>
        <v>0</v>
      </c>
      <c r="J139" s="702" t="s">
        <v>554</v>
      </c>
      <c r="K139" s="703"/>
      <c r="L139" s="349">
        <f>(L105*H61*100)/((VLOOKUP(H138,K111:M113,3)*19500))</f>
        <v>60.060060060060053</v>
      </c>
      <c r="M139" s="241" t="s">
        <v>80</v>
      </c>
      <c r="AB139" s="220">
        <f>'Propriedades geométricas VI'!B52</f>
        <v>111</v>
      </c>
      <c r="AC139" s="220">
        <f>'Propriedades geométricas VI'!C52</f>
        <v>0</v>
      </c>
      <c r="AD139" s="219"/>
      <c r="AE139" s="219">
        <f>'Propriedades geométricas LA '!B52</f>
        <v>104.75</v>
      </c>
      <c r="AF139" s="219">
        <f>'Propriedades geométricas LA '!C52</f>
        <v>15.75</v>
      </c>
    </row>
    <row r="140" spans="7:32" x14ac:dyDescent="0.25">
      <c r="G140" s="123"/>
      <c r="AB140" s="220">
        <f>'Propriedades geométricas VI'!B53</f>
        <v>94.8</v>
      </c>
      <c r="AC140" s="220">
        <f>'Propriedades geométricas VI'!C53</f>
        <v>0</v>
      </c>
      <c r="AD140" s="219"/>
      <c r="AE140" s="219">
        <f>'Propriedades geométricas LA '!B53</f>
        <v>104.75</v>
      </c>
      <c r="AF140" s="219">
        <f>'Propriedades geométricas LA '!C53</f>
        <v>5.8</v>
      </c>
    </row>
    <row r="141" spans="7:32" hidden="1" x14ac:dyDescent="0.25">
      <c r="G141" s="635" t="s">
        <v>75</v>
      </c>
      <c r="H141" s="635"/>
      <c r="I141" s="635"/>
      <c r="J141" s="635"/>
      <c r="K141" s="635"/>
      <c r="L141" s="635"/>
      <c r="M141" s="635"/>
      <c r="N141" s="635"/>
      <c r="AB141" s="220">
        <f>'Propriedades geométricas VI'!B54</f>
        <v>94.8</v>
      </c>
      <c r="AC141" s="220">
        <f>'Propriedades geométricas VI'!C54</f>
        <v>3</v>
      </c>
      <c r="AD141" s="219"/>
      <c r="AE141" s="219">
        <f>'Propriedades geométricas LA '!B54</f>
        <v>107.9</v>
      </c>
      <c r="AF141" s="219">
        <f>'Propriedades geométricas LA '!C54</f>
        <v>3</v>
      </c>
    </row>
    <row r="142" spans="7:32" hidden="1" x14ac:dyDescent="0.25">
      <c r="AB142" s="220">
        <f>'Propriedades geométricas VI'!B55</f>
        <v>97.85</v>
      </c>
      <c r="AC142" s="220">
        <f>'Propriedades geométricas VI'!C55</f>
        <v>3</v>
      </c>
      <c r="AD142" s="219"/>
      <c r="AE142" s="219">
        <f>'Propriedades geométricas LA '!B55</f>
        <v>111</v>
      </c>
      <c r="AF142" s="219">
        <f>'Propriedades geométricas LA '!C55</f>
        <v>3</v>
      </c>
    </row>
    <row r="143" spans="7:32" hidden="1" x14ac:dyDescent="0.25">
      <c r="G143" s="209" t="s">
        <v>468</v>
      </c>
      <c r="H143" s="237">
        <f>M121</f>
        <v>3</v>
      </c>
      <c r="I143" s="231" t="s">
        <v>80</v>
      </c>
      <c r="J143" s="231" t="s">
        <v>555</v>
      </c>
      <c r="AB143" s="220">
        <f>'Propriedades geométricas VI'!B56</f>
        <v>101</v>
      </c>
      <c r="AC143" s="220">
        <f>'Propriedades geométricas VI'!C56</f>
        <v>5.8</v>
      </c>
      <c r="AD143" s="219"/>
      <c r="AE143" s="219">
        <f>'Propriedades geométricas LA '!B56</f>
        <v>111</v>
      </c>
      <c r="AF143" s="219">
        <f>'Propriedades geométricas LA '!C56</f>
        <v>0</v>
      </c>
    </row>
    <row r="144" spans="7:32" hidden="1" x14ac:dyDescent="0.25">
      <c r="G144" s="209" t="s">
        <v>467</v>
      </c>
      <c r="H144" s="237">
        <f>(J124*(VLOOKUP(K124,K110:M113,3))*L124+J122*(VLOOKUP(K122,K110:M113,3))*L122+J120*(VLOOKUP(K120,K110:M113,3))*L120+J118*(VLOOKUP(K118,K110:M113,3))*L118)/(J124*(VLOOKUP(K124,K110:M113,3))+J122*(VLOOKUP(K122,K110:M113,3))+J120*(VLOOKUP(K120,K110:M113,3))+J118*(VLOOKUP(K118,K110:M113,3)))</f>
        <v>3</v>
      </c>
      <c r="I144" s="231" t="s">
        <v>80</v>
      </c>
      <c r="J144" s="231" t="s">
        <v>556</v>
      </c>
      <c r="AB144" s="220">
        <f>'Propriedades geométricas VI'!B57</f>
        <v>101</v>
      </c>
      <c r="AC144" s="220">
        <f>'Propriedades geométricas VI'!C57</f>
        <v>15.75</v>
      </c>
      <c r="AD144" s="219"/>
      <c r="AE144" s="219">
        <f>'Propriedades geométricas LA '!B57</f>
        <v>94.8</v>
      </c>
      <c r="AF144" s="219">
        <f>'Propriedades geométricas LA '!C57</f>
        <v>0</v>
      </c>
    </row>
    <row r="145" spans="7:32" hidden="1" x14ac:dyDescent="0.25">
      <c r="AB145" s="220">
        <f>'Propriedades geométricas VI'!B58</f>
        <v>100.93</v>
      </c>
      <c r="AC145" s="220">
        <f>'Propriedades geométricas VI'!C58</f>
        <v>16.66</v>
      </c>
      <c r="AD145" s="219"/>
      <c r="AE145" s="219">
        <f>'Propriedades geométricas LA '!B58</f>
        <v>94.8</v>
      </c>
      <c r="AF145" s="219">
        <f>'Propriedades geométricas LA '!C58</f>
        <v>3</v>
      </c>
    </row>
    <row r="146" spans="7:32" hidden="1" x14ac:dyDescent="0.25">
      <c r="AB146" s="220">
        <f>'Propriedades geométricas VI'!B59</f>
        <v>100.67</v>
      </c>
      <c r="AC146" s="220">
        <f>'Propriedades geométricas VI'!C59</f>
        <v>17.760000000000002</v>
      </c>
      <c r="AD146" s="219"/>
      <c r="AE146" s="219">
        <f>'Propriedades geométricas LA '!B59</f>
        <v>97.85</v>
      </c>
      <c r="AF146" s="219">
        <f>'Propriedades geométricas LA '!C59</f>
        <v>3</v>
      </c>
    </row>
    <row r="147" spans="7:32" hidden="1" x14ac:dyDescent="0.25">
      <c r="G147" s="635" t="s">
        <v>81</v>
      </c>
      <c r="H147" s="635"/>
      <c r="I147" s="635"/>
      <c r="J147" s="635"/>
      <c r="K147" s="635"/>
      <c r="L147" s="635"/>
      <c r="M147" s="635"/>
      <c r="N147" s="635"/>
      <c r="AB147" s="220">
        <f>'Propriedades geométricas VI'!B60</f>
        <v>100.18</v>
      </c>
      <c r="AC147" s="220">
        <f>'Propriedades geométricas VI'!C60</f>
        <v>18.84</v>
      </c>
      <c r="AD147" s="219"/>
      <c r="AE147" s="219">
        <f>'Propriedades geométricas LA '!B60</f>
        <v>101</v>
      </c>
      <c r="AF147" s="219">
        <f>'Propriedades geométricas LA '!C60</f>
        <v>5.8</v>
      </c>
    </row>
    <row r="148" spans="7:32" hidden="1" x14ac:dyDescent="0.25">
      <c r="G148" s="209" t="s">
        <v>82</v>
      </c>
      <c r="H148" s="240">
        <f>H61</f>
        <v>130</v>
      </c>
      <c r="I148" s="231" t="s">
        <v>83</v>
      </c>
      <c r="AB148" s="220">
        <f>'Propriedades geométricas VI'!B61</f>
        <v>99.62</v>
      </c>
      <c r="AC148" s="220">
        <f>'Propriedades geométricas VI'!C61</f>
        <v>19.66</v>
      </c>
      <c r="AD148" s="219"/>
      <c r="AE148" s="219">
        <f>'Propriedades geométricas LA '!B61</f>
        <v>101</v>
      </c>
      <c r="AF148" s="219">
        <f>'Propriedades geométricas LA '!C61</f>
        <v>15.75</v>
      </c>
    </row>
    <row r="149" spans="7:32" hidden="1" x14ac:dyDescent="0.25">
      <c r="G149" s="209" t="s">
        <v>84</v>
      </c>
      <c r="H149" s="240">
        <v>0.6</v>
      </c>
      <c r="I149" s="231" t="s">
        <v>80</v>
      </c>
      <c r="AB149" s="220">
        <f>'Propriedades geométricas VI'!B62</f>
        <v>98.98</v>
      </c>
      <c r="AC149" s="220">
        <f>'Propriedades geométricas VI'!C62</f>
        <v>20.350000000000001</v>
      </c>
      <c r="AD149" s="219"/>
      <c r="AE149" s="219">
        <f>'Propriedades geométricas LA '!B62</f>
        <v>100.93</v>
      </c>
      <c r="AF149" s="219">
        <f>'Propriedades geométricas LA '!C62</f>
        <v>16.66</v>
      </c>
    </row>
    <row r="150" spans="7:32" hidden="1" x14ac:dyDescent="0.25">
      <c r="G150" s="209"/>
      <c r="I150" s="231"/>
      <c r="AB150" s="220">
        <f>'Propriedades geométricas VI'!B63</f>
        <v>98.3</v>
      </c>
      <c r="AC150" s="220">
        <f>'Propriedades geométricas VI'!C63</f>
        <v>20.89</v>
      </c>
      <c r="AD150" s="219"/>
      <c r="AE150" s="219">
        <f>'Propriedades geométricas LA '!B63</f>
        <v>100.67</v>
      </c>
      <c r="AF150" s="219">
        <f>'Propriedades geométricas LA '!C63</f>
        <v>17.760000000000002</v>
      </c>
    </row>
    <row r="151" spans="7:32" hidden="1" x14ac:dyDescent="0.25">
      <c r="G151" s="247" t="s">
        <v>557</v>
      </c>
      <c r="H151" s="237">
        <f>(2*10^4*H149/100)/H148</f>
        <v>0.92307692307692313</v>
      </c>
      <c r="I151" s="231" t="s">
        <v>61</v>
      </c>
      <c r="K151" s="138"/>
      <c r="L151" s="231"/>
      <c r="M151" s="231"/>
      <c r="AB151" s="220">
        <f>'Propriedades geométricas VI'!B64</f>
        <v>97.65</v>
      </c>
      <c r="AC151" s="220">
        <f>'Propriedades geométricas VI'!C64</f>
        <v>21.29</v>
      </c>
      <c r="AD151" s="219"/>
      <c r="AE151" s="219">
        <f>'Propriedades geométricas LA '!B64</f>
        <v>100.18</v>
      </c>
      <c r="AF151" s="219">
        <f>'Propriedades geométricas LA '!C64</f>
        <v>18.84</v>
      </c>
    </row>
    <row r="152" spans="7:32" hidden="1" x14ac:dyDescent="0.25">
      <c r="AB152" s="220">
        <f>'Propriedades geométricas VI'!B65</f>
        <v>96.93</v>
      </c>
      <c r="AC152" s="220">
        <f>'Propriedades geométricas VI'!C65</f>
        <v>21.61</v>
      </c>
      <c r="AD152" s="219"/>
      <c r="AE152" s="219">
        <f>'Propriedades geométricas LA '!B65</f>
        <v>99.62</v>
      </c>
      <c r="AF152" s="219">
        <f>'Propriedades geométricas LA '!C65</f>
        <v>19.66</v>
      </c>
    </row>
    <row r="153" spans="7:32" hidden="1" x14ac:dyDescent="0.25">
      <c r="AB153" s="220">
        <f>'Propriedades geométricas VI'!B66</f>
        <v>96.34</v>
      </c>
      <c r="AC153" s="220">
        <f>'Propriedades geométricas VI'!C66</f>
        <v>21.79</v>
      </c>
      <c r="AD153" s="219"/>
      <c r="AE153" s="219">
        <f>'Propriedades geométricas LA '!B66</f>
        <v>98.98</v>
      </c>
      <c r="AF153" s="219">
        <f>'Propriedades geométricas LA '!C66</f>
        <v>20.350000000000001</v>
      </c>
    </row>
    <row r="154" spans="7:32" hidden="1" x14ac:dyDescent="0.25">
      <c r="AB154" s="220">
        <f>'Propriedades geométricas VI'!B67</f>
        <v>95.72</v>
      </c>
      <c r="AC154" s="220">
        <f>'Propriedades geométricas VI'!C67</f>
        <v>21.92</v>
      </c>
      <c r="AD154" s="219"/>
      <c r="AE154" s="219">
        <f>'Propriedades geométricas LA '!B67</f>
        <v>98.3</v>
      </c>
      <c r="AF154" s="219">
        <f>'Propriedades geométricas LA '!C67</f>
        <v>20.89</v>
      </c>
    </row>
    <row r="155" spans="7:32" hidden="1" x14ac:dyDescent="0.25">
      <c r="G155" s="669" t="s">
        <v>85</v>
      </c>
      <c r="H155" s="669"/>
      <c r="L155" s="669" t="s">
        <v>105</v>
      </c>
      <c r="M155" s="669"/>
      <c r="AB155" s="220">
        <f>'Propriedades geométricas VI'!B68</f>
        <v>95.05</v>
      </c>
      <c r="AC155" s="220">
        <f>'Propriedades geométricas VI'!C68</f>
        <v>21.99</v>
      </c>
      <c r="AD155" s="219"/>
      <c r="AE155" s="219">
        <f>'Propriedades geométricas LA '!B68</f>
        <v>97.65</v>
      </c>
      <c r="AF155" s="219">
        <f>'Propriedades geométricas LA '!C68</f>
        <v>21.29</v>
      </c>
    </row>
    <row r="156" spans="7:32" hidden="1" x14ac:dyDescent="0.25">
      <c r="H156" s="119"/>
      <c r="AB156" s="220">
        <f>'Propriedades geométricas VI'!B69</f>
        <v>94.45</v>
      </c>
      <c r="AC156" s="220">
        <f>'Propriedades geométricas VI'!C69</f>
        <v>21.99</v>
      </c>
      <c r="AD156" s="219"/>
      <c r="AE156" s="219">
        <f>'Propriedades geométricas LA '!B69</f>
        <v>96.93</v>
      </c>
      <c r="AF156" s="219">
        <f>'Propriedades geométricas LA '!C69</f>
        <v>21.61</v>
      </c>
    </row>
    <row r="157" spans="7:32" hidden="1" x14ac:dyDescent="0.25">
      <c r="G157" s="209" t="s">
        <v>59</v>
      </c>
      <c r="H157" s="240">
        <f>I105-H151</f>
        <v>116.1169230769231</v>
      </c>
      <c r="I157" s="231" t="s">
        <v>61</v>
      </c>
      <c r="L157" s="209" t="s">
        <v>106</v>
      </c>
      <c r="N157" s="231"/>
      <c r="AB157" s="220">
        <f>'Propriedades geométricas VI'!B70</f>
        <v>93.78</v>
      </c>
      <c r="AC157" s="220">
        <f>'Propriedades geométricas VI'!C70</f>
        <v>21.92</v>
      </c>
      <c r="AD157" s="219"/>
      <c r="AE157" s="219">
        <f>'Propriedades geométricas LA '!B70</f>
        <v>96.34</v>
      </c>
      <c r="AF157" s="219">
        <f>'Propriedades geométricas LA '!C70</f>
        <v>21.79</v>
      </c>
    </row>
    <row r="158" spans="7:32" hidden="1" x14ac:dyDescent="0.25">
      <c r="G158" s="209"/>
      <c r="H158" s="119"/>
      <c r="I158" s="231"/>
      <c r="L158" s="209" t="s">
        <v>4</v>
      </c>
      <c r="M158" s="248">
        <f ca="1">H36</f>
        <v>1558.8831577089454</v>
      </c>
      <c r="N158" s="231"/>
      <c r="AB158" s="220">
        <f>'Propriedades geométricas VI'!B71</f>
        <v>93.16</v>
      </c>
      <c r="AC158" s="220">
        <f>'Propriedades geométricas VI'!C71</f>
        <v>21.79</v>
      </c>
      <c r="AD158" s="219"/>
      <c r="AE158" s="219">
        <f>'Propriedades geométricas LA '!B71</f>
        <v>95.72</v>
      </c>
      <c r="AF158" s="219">
        <f>'Propriedades geométricas LA '!C71</f>
        <v>21.92</v>
      </c>
    </row>
    <row r="159" spans="7:32" hidden="1" x14ac:dyDescent="0.25">
      <c r="G159" s="209" t="s">
        <v>86</v>
      </c>
      <c r="H159" s="237">
        <f>H157/190</f>
        <v>0.61114170040485838</v>
      </c>
      <c r="I159" s="278">
        <f>H159*100</f>
        <v>61.114170040485838</v>
      </c>
      <c r="L159" s="209" t="s">
        <v>107</v>
      </c>
      <c r="M159" s="245">
        <f>H22</f>
        <v>125</v>
      </c>
      <c r="N159" s="231" t="s">
        <v>80</v>
      </c>
      <c r="AB159" s="220">
        <f>'Propriedades geométricas VI'!B72</f>
        <v>92.57</v>
      </c>
      <c r="AC159" s="220">
        <f>'Propriedades geométricas VI'!C72</f>
        <v>21.61</v>
      </c>
      <c r="AD159" s="219"/>
      <c r="AE159" s="219">
        <f>'Propriedades geométricas LA '!B72</f>
        <v>95.05</v>
      </c>
      <c r="AF159" s="219">
        <f>'Propriedades geométricas LA '!C72</f>
        <v>21.99</v>
      </c>
    </row>
    <row r="160" spans="7:32" hidden="1" x14ac:dyDescent="0.25">
      <c r="G160" s="247" t="s">
        <v>87</v>
      </c>
      <c r="H160" s="240">
        <f>IF(H159&lt;=INDEX($K$226:$K$229,1),0,INDEX($L$226:$L$229,MIN(MATCH(H159,$K$226:$K$229,1),3))+(H159-INDEX($K$226:$K$229,MIN(MATCH(H159,$K$226:$K$229,1),3)))*(INDEX($L$226:$L$229,MIN(MATCH(H159,$K$226:$K$229,1),3)+1)-INDEX($L$226:$L$229,MIN(MATCH(H159,$K$226:$K$229,1),3)))/(INDEX($K$226:$K$229,MIN(MATCH(H159,$K$226:$K$229,1),3)+1)-INDEX($K$226:$K$229,MIN(MATCH(H159,$K$226:$K$229,1),3))))*($I$201/41.67)^0.15</f>
        <v>0.81937910123295365</v>
      </c>
      <c r="I160" s="231"/>
      <c r="L160" s="209"/>
      <c r="N160" s="231"/>
      <c r="AB160" s="220">
        <f>'Propriedades geométricas VI'!B73</f>
        <v>91.85</v>
      </c>
      <c r="AC160" s="220">
        <f>'Propriedades geométricas VI'!C73</f>
        <v>21.29</v>
      </c>
      <c r="AD160" s="219"/>
      <c r="AE160" s="219">
        <f>'Propriedades geométricas LA '!B73</f>
        <v>94.45</v>
      </c>
      <c r="AF160" s="219">
        <f>'Propriedades geométricas LA '!C73</f>
        <v>21.99</v>
      </c>
    </row>
    <row r="161" spans="7:32" hidden="1" x14ac:dyDescent="0.25">
      <c r="G161" s="209" t="s">
        <v>88</v>
      </c>
      <c r="H161" s="237">
        <f>H160/100*H157</f>
        <v>0.95143780068705275</v>
      </c>
      <c r="I161" s="231" t="s">
        <v>61</v>
      </c>
      <c r="L161" s="209" t="s">
        <v>108</v>
      </c>
      <c r="N161" s="231"/>
      <c r="AB161" s="220">
        <f>'Propriedades geométricas VI'!B74</f>
        <v>91.2</v>
      </c>
      <c r="AC161" s="220">
        <f>'Propriedades geométricas VI'!C74</f>
        <v>20.89</v>
      </c>
      <c r="AD161" s="219"/>
      <c r="AE161" s="219">
        <f>'Propriedades geométricas LA '!B74</f>
        <v>93.78</v>
      </c>
      <c r="AF161" s="219">
        <f>'Propriedades geométricas LA '!C74</f>
        <v>21.92</v>
      </c>
    </row>
    <row r="162" spans="7:32" hidden="1" x14ac:dyDescent="0.25">
      <c r="L162" s="209" t="s">
        <v>4</v>
      </c>
      <c r="M162" s="248">
        <f ca="1">I36</f>
        <v>2017.6941842186334</v>
      </c>
      <c r="N162" s="231"/>
      <c r="AB162" s="220">
        <f>'Propriedades geométricas VI'!B75</f>
        <v>90.52</v>
      </c>
      <c r="AC162" s="220">
        <f>'Propriedades geométricas VI'!C75</f>
        <v>20.350000000000001</v>
      </c>
      <c r="AD162" s="219"/>
      <c r="AE162" s="219">
        <f>'Propriedades geométricas LA '!B75</f>
        <v>93.16</v>
      </c>
      <c r="AF162" s="219">
        <f>'Propriedades geométricas LA '!C75</f>
        <v>21.79</v>
      </c>
    </row>
    <row r="163" spans="7:32" hidden="1" x14ac:dyDescent="0.25">
      <c r="L163" s="209" t="s">
        <v>107</v>
      </c>
      <c r="M163" s="245">
        <f>H31</f>
        <v>121.19</v>
      </c>
      <c r="N163" s="231" t="s">
        <v>80</v>
      </c>
      <c r="AB163" s="220">
        <f>'Propriedades geométricas VI'!B76</f>
        <v>89.88</v>
      </c>
      <c r="AC163" s="220">
        <f>'Propriedades geométricas VI'!C76</f>
        <v>19.66</v>
      </c>
      <c r="AD163" s="219"/>
      <c r="AE163" s="219">
        <f>'Propriedades geométricas LA '!B76</f>
        <v>92.57</v>
      </c>
      <c r="AF163" s="219">
        <f>'Propriedades geométricas LA '!C76</f>
        <v>21.61</v>
      </c>
    </row>
    <row r="164" spans="7:32" hidden="1" x14ac:dyDescent="0.25">
      <c r="G164" s="123" t="s">
        <v>89</v>
      </c>
      <c r="L164" s="209"/>
      <c r="N164" s="231"/>
      <c r="AB164" s="220">
        <f>'Propriedades geométricas VI'!B77</f>
        <v>89.32</v>
      </c>
      <c r="AC164" s="220">
        <f>'Propriedades geométricas VI'!C77</f>
        <v>18.84</v>
      </c>
      <c r="AD164" s="219"/>
      <c r="AE164" s="219">
        <f>'Propriedades geométricas LA '!B77</f>
        <v>91.85</v>
      </c>
      <c r="AF164" s="219">
        <f>'Propriedades geométricas LA '!C77</f>
        <v>21.29</v>
      </c>
    </row>
    <row r="165" spans="7:32" hidden="1" x14ac:dyDescent="0.25">
      <c r="I165" s="231"/>
      <c r="L165" s="209"/>
      <c r="N165" s="231"/>
      <c r="AB165" s="220">
        <f>'Propriedades geométricas VI'!B78</f>
        <v>88.83</v>
      </c>
      <c r="AC165" s="220">
        <f>'Propriedades geométricas VI'!C78</f>
        <v>17.760000000000002</v>
      </c>
      <c r="AD165" s="219"/>
      <c r="AE165" s="219">
        <f>'Propriedades geométricas LA '!B78</f>
        <v>91.2</v>
      </c>
      <c r="AF165" s="219">
        <f>'Propriedades geométricas LA '!C78</f>
        <v>20.89</v>
      </c>
    </row>
    <row r="166" spans="7:32" hidden="1" x14ac:dyDescent="0.25">
      <c r="G166" s="209" t="s">
        <v>90</v>
      </c>
      <c r="H166" s="240">
        <f>G121*(VLOOKUP(H121,K110:M113,3))</f>
        <v>7.8959999999999999</v>
      </c>
      <c r="I166" s="231" t="s">
        <v>14</v>
      </c>
      <c r="L166" s="209" t="s">
        <v>95</v>
      </c>
      <c r="M166" s="239">
        <f ca="1">H166*I194+H168*I195</f>
        <v>867.43240267952342</v>
      </c>
      <c r="N166" s="231" t="s">
        <v>96</v>
      </c>
      <c r="AB166" s="220">
        <f>'Propriedades geométricas VI'!B79</f>
        <v>88.57</v>
      </c>
      <c r="AC166" s="220">
        <f>'Propriedades geométricas VI'!C79</f>
        <v>16.66</v>
      </c>
      <c r="AD166" s="219"/>
      <c r="AE166" s="219">
        <f>'Propriedades geométricas LA '!B79</f>
        <v>90.52</v>
      </c>
      <c r="AF166" s="219">
        <f>'Propriedades geométricas LA '!C79</f>
        <v>20.350000000000001</v>
      </c>
    </row>
    <row r="167" spans="7:32" hidden="1" x14ac:dyDescent="0.25">
      <c r="G167" s="209" t="s">
        <v>92</v>
      </c>
      <c r="H167" s="245">
        <f ca="1">H24-H144</f>
        <v>9.4511237294951638</v>
      </c>
      <c r="I167" s="231" t="s">
        <v>94</v>
      </c>
      <c r="L167" s="209" t="s">
        <v>97</v>
      </c>
      <c r="M167" s="239">
        <f ca="1">H166*I194*H167/100-H168*I195*H169/100</f>
        <v>81.982109646974479</v>
      </c>
      <c r="N167" s="231" t="s">
        <v>33</v>
      </c>
      <c r="AB167" s="220">
        <f>'Propriedades geométricas VI'!B80</f>
        <v>88.5</v>
      </c>
      <c r="AC167" s="220">
        <f>'Propriedades geométricas VI'!C80</f>
        <v>15.75</v>
      </c>
      <c r="AD167" s="219"/>
      <c r="AE167" s="219">
        <f>'Propriedades geométricas LA '!B80</f>
        <v>89.88</v>
      </c>
      <c r="AF167" s="219">
        <f>'Propriedades geométricas LA '!C80</f>
        <v>19.66</v>
      </c>
    </row>
    <row r="168" spans="7:32" hidden="1" x14ac:dyDescent="0.25">
      <c r="G168" s="209" t="s">
        <v>91</v>
      </c>
      <c r="H168" s="240">
        <f>G138*(VLOOKUP(H138,K110:M113,3))</f>
        <v>0</v>
      </c>
      <c r="I168" s="231" t="s">
        <v>14</v>
      </c>
      <c r="L168" s="209"/>
      <c r="N168" s="231"/>
      <c r="AB168" s="220">
        <f>'Propriedades geométricas VI'!B81</f>
        <v>88.5</v>
      </c>
      <c r="AC168" s="220">
        <f>'Propriedades geométricas VI'!C81</f>
        <v>5.8</v>
      </c>
      <c r="AD168" s="219"/>
      <c r="AE168" s="219">
        <f>'Propriedades geométricas LA '!B81</f>
        <v>89.32</v>
      </c>
      <c r="AF168" s="219">
        <f>'Propriedades geométricas LA '!C81</f>
        <v>18.84</v>
      </c>
    </row>
    <row r="169" spans="7:32" hidden="1" x14ac:dyDescent="0.25">
      <c r="G169" s="209" t="s">
        <v>93</v>
      </c>
      <c r="H169" s="245">
        <f ca="1">H25-M134</f>
        <v>12.548876270504836</v>
      </c>
      <c r="I169" s="231" t="s">
        <v>94</v>
      </c>
      <c r="L169" s="209"/>
      <c r="N169" s="231"/>
      <c r="AB169" s="220">
        <f>'Propriedades geométricas VI'!B82</f>
        <v>91.65</v>
      </c>
      <c r="AC169" s="220">
        <f>'Propriedades geométricas VI'!C82</f>
        <v>3</v>
      </c>
      <c r="AD169" s="219"/>
      <c r="AE169" s="219">
        <f>'Propriedades geométricas LA '!B82</f>
        <v>88.83</v>
      </c>
      <c r="AF169" s="219">
        <f>'Propriedades geométricas LA '!C82</f>
        <v>17.760000000000002</v>
      </c>
    </row>
    <row r="170" spans="7:32" hidden="1" x14ac:dyDescent="0.25">
      <c r="G170" s="209"/>
      <c r="H170" s="119"/>
      <c r="I170" s="231"/>
      <c r="L170" s="209" t="s">
        <v>109</v>
      </c>
      <c r="M170" s="239">
        <f ca="1">(M166/(H36/100^2)+(M167-J81)/(H37/100^4)*(H167/100))*J201</f>
        <v>17403.208784682476</v>
      </c>
      <c r="N170" s="231" t="s">
        <v>63</v>
      </c>
      <c r="AB170" s="220">
        <f>'Propriedades geométricas VI'!B83</f>
        <v>94.75</v>
      </c>
      <c r="AC170" s="220">
        <f>'Propriedades geométricas VI'!C83</f>
        <v>3</v>
      </c>
      <c r="AD170" s="219"/>
      <c r="AE170" s="219">
        <f>'Propriedades geométricas LA '!B83</f>
        <v>88.57</v>
      </c>
      <c r="AF170" s="219">
        <f>'Propriedades geométricas LA '!C83</f>
        <v>16.66</v>
      </c>
    </row>
    <row r="171" spans="7:32" hidden="1" x14ac:dyDescent="0.25">
      <c r="G171" s="209"/>
      <c r="H171" s="119"/>
      <c r="I171" s="231"/>
      <c r="L171" s="209" t="s">
        <v>110</v>
      </c>
      <c r="M171" s="239">
        <f ca="1">((J82*M203+J83*M204)*(H167/100))/(H37/100^4)</f>
        <v>4253.0118493384725</v>
      </c>
      <c r="N171" s="231" t="s">
        <v>63</v>
      </c>
      <c r="AB171" s="220">
        <f>'Propriedades geométricas VI'!B84</f>
        <v>94.75</v>
      </c>
      <c r="AC171" s="220">
        <f>'Propriedades geométricas VI'!C84</f>
        <v>0</v>
      </c>
      <c r="AD171" s="219"/>
      <c r="AE171" s="219">
        <f>'Propriedades geométricas LA '!B84</f>
        <v>88.5</v>
      </c>
      <c r="AF171" s="219">
        <f>'Propriedades geométricas LA '!C84</f>
        <v>15.75</v>
      </c>
    </row>
    <row r="172" spans="7:32" hidden="1" x14ac:dyDescent="0.25">
      <c r="G172" s="209" t="s">
        <v>59</v>
      </c>
      <c r="H172" s="237">
        <f>I105-(H151+H161)</f>
        <v>115.16548527623604</v>
      </c>
      <c r="I172" s="231" t="s">
        <v>61</v>
      </c>
      <c r="L172" s="209" t="s">
        <v>111</v>
      </c>
      <c r="M172" s="239">
        <f ca="1">((J85*M205+J84*M206)*((I24/100)-(H144/100)))/(I37/100^4)</f>
        <v>3885.4124131199569</v>
      </c>
      <c r="N172" s="231" t="s">
        <v>63</v>
      </c>
      <c r="AB172" s="220">
        <f>'Propriedades geométricas VI'!B85</f>
        <v>78.55</v>
      </c>
      <c r="AC172" s="220">
        <f>'Propriedades geométricas VI'!C85</f>
        <v>0</v>
      </c>
      <c r="AD172" s="219"/>
      <c r="AE172" s="219">
        <f>'Propriedades geométricas LA '!B85</f>
        <v>88.5</v>
      </c>
      <c r="AF172" s="219">
        <f>'Propriedades geométricas LA '!C85</f>
        <v>5.8</v>
      </c>
    </row>
    <row r="173" spans="7:32" hidden="1" x14ac:dyDescent="0.25">
      <c r="G173" s="209"/>
      <c r="I173" s="231"/>
      <c r="L173" s="209" t="s">
        <v>112</v>
      </c>
      <c r="M173" s="239">
        <f ca="1">H53*((J86*((I24/100)-(H144/100)))/(I37/100^4))*M207</f>
        <v>1815.2071612455723</v>
      </c>
      <c r="N173" s="231" t="s">
        <v>63</v>
      </c>
      <c r="AB173" s="220">
        <f>'Propriedades geométricas VI'!B86</f>
        <v>78.55</v>
      </c>
      <c r="AC173" s="220">
        <f>'Propriedades geométricas VI'!C86</f>
        <v>3</v>
      </c>
      <c r="AD173" s="219"/>
      <c r="AE173" s="219">
        <f>'Propriedades geométricas LA '!B86</f>
        <v>91.65</v>
      </c>
      <c r="AF173" s="219">
        <f>'Propriedades geométricas LA '!C86</f>
        <v>3</v>
      </c>
    </row>
    <row r="174" spans="7:32" hidden="1" x14ac:dyDescent="0.25">
      <c r="G174" s="209"/>
      <c r="I174" s="231"/>
      <c r="L174" s="209"/>
      <c r="N174" s="231"/>
      <c r="AB174" s="220">
        <f>'Propriedades geométricas VI'!B87</f>
        <v>81.599999999999994</v>
      </c>
      <c r="AC174" s="220">
        <f>'Propriedades geométricas VI'!C87</f>
        <v>3</v>
      </c>
      <c r="AD174" s="219"/>
      <c r="AE174" s="219">
        <f>'Propriedades geométricas LA '!B87</f>
        <v>94.75</v>
      </c>
      <c r="AF174" s="219">
        <f>'Propriedades geométricas LA '!C87</f>
        <v>3</v>
      </c>
    </row>
    <row r="175" spans="7:32" hidden="1" x14ac:dyDescent="0.25">
      <c r="G175" s="209" t="s">
        <v>95</v>
      </c>
      <c r="H175" s="239">
        <f>H166*H172+H168*H191</f>
        <v>909.34667174115975</v>
      </c>
      <c r="I175" s="231" t="s">
        <v>96</v>
      </c>
      <c r="L175" s="209"/>
      <c r="N175" s="231"/>
      <c r="AB175" s="220">
        <f>'Propriedades geométricas VI'!B88</f>
        <v>84.75</v>
      </c>
      <c r="AC175" s="220">
        <f>'Propriedades geométricas VI'!C88</f>
        <v>5.8</v>
      </c>
      <c r="AD175" s="219"/>
      <c r="AE175" s="219">
        <f>'Propriedades geométricas LA '!B88</f>
        <v>94.75</v>
      </c>
      <c r="AF175" s="219">
        <f>'Propriedades geométricas LA '!C88</f>
        <v>0</v>
      </c>
    </row>
    <row r="176" spans="7:32" hidden="1" x14ac:dyDescent="0.25">
      <c r="G176" s="209" t="s">
        <v>97</v>
      </c>
      <c r="H176" s="239">
        <f ca="1">H166*H172*H167/100-H168*H191*H169/100</f>
        <v>85.943479076303248</v>
      </c>
      <c r="I176" s="231" t="s">
        <v>35</v>
      </c>
      <c r="L176" s="209" t="s">
        <v>113</v>
      </c>
      <c r="M176" s="237">
        <f>200000/(H866*1000)</f>
        <v>5.0507627227610534</v>
      </c>
      <c r="N176" s="231"/>
      <c r="AB176" s="220">
        <f>'Propriedades geométricas VI'!B89</f>
        <v>84.75</v>
      </c>
      <c r="AC176" s="220">
        <f>'Propriedades geométricas VI'!C89</f>
        <v>15.75</v>
      </c>
      <c r="AD176" s="222"/>
      <c r="AE176" s="219">
        <f>'Propriedades geométricas LA '!B89</f>
        <v>78.55</v>
      </c>
      <c r="AF176" s="219">
        <f>'Propriedades geométricas LA '!C89</f>
        <v>0</v>
      </c>
    </row>
    <row r="177" spans="7:32" hidden="1" x14ac:dyDescent="0.25">
      <c r="G177" s="209"/>
      <c r="I177" s="231"/>
      <c r="L177" s="644" t="s">
        <v>114</v>
      </c>
      <c r="M177" s="239">
        <f ca="1">(M176*(M170-M171-M172-M173))</f>
        <v>37626.04763515474</v>
      </c>
      <c r="N177" s="231" t="s">
        <v>63</v>
      </c>
      <c r="AB177" s="220">
        <f>'Propriedades geométricas VI'!B90</f>
        <v>84.68</v>
      </c>
      <c r="AC177" s="220">
        <f>'Propriedades geométricas VI'!C90</f>
        <v>16.66</v>
      </c>
      <c r="AD177" s="219"/>
      <c r="AE177" s="219">
        <f>'Propriedades geométricas LA '!B90</f>
        <v>78.55</v>
      </c>
      <c r="AF177" s="219">
        <f>'Propriedades geométricas LA '!C90</f>
        <v>3</v>
      </c>
    </row>
    <row r="178" spans="7:32" hidden="1" x14ac:dyDescent="0.25">
      <c r="G178" s="209"/>
      <c r="I178" s="231"/>
      <c r="L178" s="644"/>
      <c r="M178" s="237">
        <f ca="1">M177/100^2</f>
        <v>3.762604763515474</v>
      </c>
      <c r="N178" s="231" t="s">
        <v>61</v>
      </c>
      <c r="AB178" s="220">
        <f>'Propriedades geométricas VI'!B91</f>
        <v>84.42</v>
      </c>
      <c r="AC178" s="220">
        <f>'Propriedades geométricas VI'!C91</f>
        <v>17.760000000000002</v>
      </c>
      <c r="AD178" s="219"/>
      <c r="AE178" s="219">
        <f>'Propriedades geométricas LA '!B91</f>
        <v>81.599999999999994</v>
      </c>
      <c r="AF178" s="219">
        <f>'Propriedades geométricas LA '!C91</f>
        <v>3</v>
      </c>
    </row>
    <row r="179" spans="7:32" hidden="1" x14ac:dyDescent="0.25">
      <c r="G179" s="209" t="s">
        <v>98</v>
      </c>
      <c r="H179" s="239">
        <f ca="1">(H175/(H36/100^2)+((H176-J81)/(H37/100^4))*H167/100)</f>
        <v>8793.1971567001819</v>
      </c>
      <c r="I179" s="231" t="s">
        <v>63</v>
      </c>
      <c r="L179" s="209"/>
      <c r="N179" s="231"/>
      <c r="AB179" s="220">
        <f>'Propriedades geométricas VI'!B92</f>
        <v>83.93</v>
      </c>
      <c r="AC179" s="220">
        <f>'Propriedades geométricas VI'!C92</f>
        <v>18.84</v>
      </c>
      <c r="AD179" s="219"/>
      <c r="AE179" s="219">
        <f>'Propriedades geométricas LA '!B92</f>
        <v>84.75</v>
      </c>
      <c r="AF179" s="219">
        <f>'Propriedades geométricas LA '!C92</f>
        <v>5.8</v>
      </c>
    </row>
    <row r="180" spans="7:32" hidden="1" x14ac:dyDescent="0.25">
      <c r="G180" s="209" t="s">
        <v>99</v>
      </c>
      <c r="H180" s="239">
        <f ca="1">(H175/(H36/100^2)+((-H176+J81)/(H37/100^4))*H169/100)</f>
        <v>1903.3007574386606</v>
      </c>
      <c r="I180" s="231" t="s">
        <v>63</v>
      </c>
      <c r="L180" s="209"/>
      <c r="N180" s="231"/>
      <c r="AB180" s="220">
        <f>'Propriedades geométricas VI'!B93</f>
        <v>83.37</v>
      </c>
      <c r="AC180" s="220">
        <f>'Propriedades geométricas VI'!C93</f>
        <v>19.66</v>
      </c>
      <c r="AD180" s="219"/>
      <c r="AE180" s="219">
        <f>'Propriedades geométricas LA '!B93</f>
        <v>84.75</v>
      </c>
      <c r="AF180" s="219">
        <f>'Propriedades geométricas LA '!C93</f>
        <v>15.75</v>
      </c>
    </row>
    <row r="181" spans="7:32" hidden="1" x14ac:dyDescent="0.25">
      <c r="I181" s="231"/>
      <c r="L181" s="209"/>
      <c r="N181" s="231"/>
      <c r="AB181" s="220">
        <f>'Propriedades geométricas VI'!B94</f>
        <v>82.73</v>
      </c>
      <c r="AC181" s="220">
        <f>'Propriedades geométricas VI'!C94</f>
        <v>20.350000000000001</v>
      </c>
      <c r="AD181" s="219"/>
      <c r="AE181" s="219">
        <f>'Propriedades geométricas LA '!B94</f>
        <v>84.68</v>
      </c>
      <c r="AF181" s="219">
        <f>'Propriedades geométricas LA '!C94</f>
        <v>16.66</v>
      </c>
    </row>
    <row r="182" spans="7:32" hidden="1" x14ac:dyDescent="0.25">
      <c r="I182" s="231"/>
      <c r="L182" s="209" t="s">
        <v>115</v>
      </c>
      <c r="M182" s="239">
        <f ca="1">(M166/(H36/100^2)+((-M167+J81)/(H37/100^4))*H169/100)*M201</f>
        <v>4304.4626381534317</v>
      </c>
      <c r="N182" s="231" t="s">
        <v>63</v>
      </c>
      <c r="AB182" s="220">
        <f>'Propriedades geométricas VI'!B95</f>
        <v>82.05</v>
      </c>
      <c r="AC182" s="220">
        <f>'Propriedades geométricas VI'!C95</f>
        <v>20.89</v>
      </c>
      <c r="AD182" s="219"/>
      <c r="AE182" s="219">
        <f>'Propriedades geométricas LA '!B95</f>
        <v>84.42</v>
      </c>
      <c r="AF182" s="219">
        <f>'Propriedades geométricas LA '!C95</f>
        <v>17.760000000000002</v>
      </c>
    </row>
    <row r="183" spans="7:32" hidden="1" x14ac:dyDescent="0.25">
      <c r="I183" s="231"/>
      <c r="L183" s="209" t="s">
        <v>110</v>
      </c>
      <c r="M183" s="239">
        <f ca="1">((J82*M203+J83*M204)*H169/100)/(H37/100^4)</f>
        <v>5647.0025154554041</v>
      </c>
      <c r="N183" s="231" t="s">
        <v>63</v>
      </c>
      <c r="AB183" s="220">
        <f>'Propriedades geométricas VI'!B96</f>
        <v>81.400000000000006</v>
      </c>
      <c r="AC183" s="220">
        <f>'Propriedades geométricas VI'!C96</f>
        <v>21.29</v>
      </c>
      <c r="AD183" s="219"/>
      <c r="AE183" s="219">
        <f>'Propriedades geométricas LA '!B96</f>
        <v>83.93</v>
      </c>
      <c r="AF183" s="219">
        <f>'Propriedades geométricas LA '!C96</f>
        <v>18.84</v>
      </c>
    </row>
    <row r="184" spans="7:32" hidden="1" x14ac:dyDescent="0.25">
      <c r="G184" s="209" t="s">
        <v>101</v>
      </c>
      <c r="H184" s="237">
        <f>H874*1000</f>
        <v>33130.046785357852</v>
      </c>
      <c r="I184" s="231" t="s">
        <v>50</v>
      </c>
      <c r="L184" s="209" t="s">
        <v>111</v>
      </c>
      <c r="M184" s="239">
        <f ca="1">((J85*M205+J84*M206)*((H23-M134-I24)/100))/(I37/100^4)</f>
        <v>2688.9960859860744</v>
      </c>
      <c r="N184" s="231" t="s">
        <v>63</v>
      </c>
      <c r="AB184" s="220">
        <f>'Propriedades geométricas VI'!B97</f>
        <v>80.680000000000007</v>
      </c>
      <c r="AC184" s="220">
        <f>'Propriedades geométricas VI'!C97</f>
        <v>21.61</v>
      </c>
      <c r="AD184" s="219"/>
      <c r="AE184" s="219">
        <f>'Propriedades geométricas LA '!B97</f>
        <v>83.37</v>
      </c>
      <c r="AF184" s="219">
        <f>'Propriedades geométricas LA '!C97</f>
        <v>19.66</v>
      </c>
    </row>
    <row r="185" spans="7:32" hidden="1" x14ac:dyDescent="0.25">
      <c r="G185" s="209" t="s">
        <v>100</v>
      </c>
      <c r="H185" s="237">
        <f>200000/H184</f>
        <v>6.0368161052036893</v>
      </c>
      <c r="I185" s="231"/>
      <c r="L185" s="209" t="s">
        <v>112</v>
      </c>
      <c r="M185" s="239">
        <f ca="1">H53*((J86*((H23-M134-I24)/100)))/(I37/100^4)*M207</f>
        <v>1256.2591644998022</v>
      </c>
      <c r="N185" s="231" t="s">
        <v>63</v>
      </c>
      <c r="AB185" s="220">
        <f>'Propriedades geométricas VI'!B98</f>
        <v>80.09</v>
      </c>
      <c r="AC185" s="220">
        <f>'Propriedades geométricas VI'!C98</f>
        <v>21.79</v>
      </c>
      <c r="AD185" s="219"/>
      <c r="AE185" s="219">
        <f>'Propriedades geométricas LA '!B98</f>
        <v>82.73</v>
      </c>
      <c r="AF185" s="219">
        <f>'Propriedades geométricas LA '!C98</f>
        <v>20.350000000000001</v>
      </c>
    </row>
    <row r="186" spans="7:32" hidden="1" x14ac:dyDescent="0.25">
      <c r="G186" s="209"/>
      <c r="I186" s="231"/>
      <c r="N186" s="231"/>
      <c r="O186" s="144"/>
      <c r="AB186" s="220">
        <f>'Propriedades geométricas VI'!B99</f>
        <v>79.47</v>
      </c>
      <c r="AC186" s="220">
        <f>'Propriedades geométricas VI'!C99</f>
        <v>21.92</v>
      </c>
      <c r="AD186" s="219"/>
      <c r="AE186" s="219">
        <f>'Propriedades geométricas LA '!B99</f>
        <v>82.05</v>
      </c>
      <c r="AF186" s="219">
        <f>'Propriedades geométricas LA '!C99</f>
        <v>20.89</v>
      </c>
    </row>
    <row r="187" spans="7:32" hidden="1" x14ac:dyDescent="0.25">
      <c r="G187" s="209"/>
      <c r="I187" s="231"/>
      <c r="L187" s="644" t="s">
        <v>139</v>
      </c>
      <c r="M187" s="239">
        <f ca="1">M176*(M182+M183+M184+M185)</f>
        <v>70189.037385634496</v>
      </c>
      <c r="N187" s="231" t="s">
        <v>63</v>
      </c>
      <c r="O187" s="144"/>
      <c r="AB187" s="220">
        <f>'Propriedades geométricas VI'!B100</f>
        <v>78.8</v>
      </c>
      <c r="AC187" s="220">
        <f>'Propriedades geométricas VI'!C100</f>
        <v>21.99</v>
      </c>
      <c r="AD187" s="219"/>
      <c r="AE187" s="219">
        <f>'Propriedades geométricas LA '!B100</f>
        <v>81.400000000000006</v>
      </c>
      <c r="AF187" s="219">
        <f>'Propriedades geométricas LA '!C100</f>
        <v>21.29</v>
      </c>
    </row>
    <row r="188" spans="7:32" hidden="1" x14ac:dyDescent="0.25">
      <c r="G188" s="209" t="s">
        <v>102</v>
      </c>
      <c r="H188" s="237">
        <f ca="1">H185*H179/10000</f>
        <v>5.3082914211798951</v>
      </c>
      <c r="I188" s="231" t="s">
        <v>61</v>
      </c>
      <c r="J188" s="119"/>
      <c r="L188" s="644"/>
      <c r="M188" s="237">
        <f ca="1">M187/100^2</f>
        <v>7.0189037385634494</v>
      </c>
      <c r="N188" s="231" t="s">
        <v>61</v>
      </c>
      <c r="AB188" s="220">
        <f>'Propriedades geométricas VI'!B101</f>
        <v>78.2</v>
      </c>
      <c r="AC188" s="220">
        <f>'Propriedades geométricas VI'!C101</f>
        <v>21.99</v>
      </c>
      <c r="AD188" s="219"/>
      <c r="AE188" s="219">
        <f>'Propriedades geométricas LA '!B101</f>
        <v>80.680000000000007</v>
      </c>
      <c r="AF188" s="219">
        <f>'Propriedades geométricas LA '!C101</f>
        <v>21.61</v>
      </c>
    </row>
    <row r="189" spans="7:32" hidden="1" x14ac:dyDescent="0.25">
      <c r="G189" s="209" t="s">
        <v>103</v>
      </c>
      <c r="H189" s="237">
        <f ca="1">H185*H180/10000</f>
        <v>1.1489876665552086</v>
      </c>
      <c r="I189" s="231" t="s">
        <v>61</v>
      </c>
      <c r="N189" s="231"/>
      <c r="AB189" s="220">
        <f>'Propriedades geométricas VI'!B102</f>
        <v>77.53</v>
      </c>
      <c r="AC189" s="220">
        <f>'Propriedades geométricas VI'!C102</f>
        <v>21.92</v>
      </c>
      <c r="AD189" s="219"/>
      <c r="AE189" s="219">
        <f>'Propriedades geométricas LA '!B102</f>
        <v>80.09</v>
      </c>
      <c r="AF189" s="219">
        <f>'Propriedades geométricas LA '!C102</f>
        <v>21.79</v>
      </c>
    </row>
    <row r="190" spans="7:32" hidden="1" x14ac:dyDescent="0.25">
      <c r="G190" s="209" t="s">
        <v>1450</v>
      </c>
      <c r="H190" s="237">
        <f>IF(((L105-H151)/190)&lt;=INDEX($K$226:$K$229,1),0,INDEX($L$226:$L$229,MIN(MATCH(((L105-H151)/190),$K$226:$K$229,1),3))+(((L105-H151)/190)-INDEX($K$226:$K$229,MIN(MATCH(((L105-H151)/190),$K$226:$K$229,1),3)))*(INDEX($L$226:$L$229,MIN(MATCH(((L105-H151)/190),$K$226:$K$229,1),3)+1)-INDEX($L$226:$L$229,MIN(MATCH(((L105-H151)/190),$K$226:$K$229,1),3)))/(INDEX($K$226:$K$229,MIN(MATCH(((L105-H151)/190),$K$226:$K$229,1),3)+1)-INDEX($K$226:$K$229,MIN(MATCH(((L105-H151)/190),$K$226:$K$229,1),3))))*($I$201/41.67)^0.15/100*(L105-H151)</f>
        <v>0</v>
      </c>
      <c r="I190" s="231" t="s">
        <v>61</v>
      </c>
      <c r="N190" s="231"/>
      <c r="AB190" s="220"/>
      <c r="AC190" s="220"/>
      <c r="AD190" s="219"/>
      <c r="AE190" s="219"/>
      <c r="AF190" s="219"/>
    </row>
    <row r="191" spans="7:32" hidden="1" x14ac:dyDescent="0.25">
      <c r="G191" s="209" t="s">
        <v>1451</v>
      </c>
      <c r="H191" s="237">
        <f>L105-H151-H190</f>
        <v>49.07692307692308</v>
      </c>
      <c r="I191" s="231" t="s">
        <v>61</v>
      </c>
      <c r="AB191" s="220">
        <f>'Propriedades geométricas VI'!B103</f>
        <v>76.91</v>
      </c>
      <c r="AC191" s="220">
        <f>'Propriedades geométricas VI'!C103</f>
        <v>21.79</v>
      </c>
      <c r="AD191" s="219"/>
      <c r="AE191" s="219">
        <f>'Propriedades geométricas LA '!B103</f>
        <v>79.47</v>
      </c>
      <c r="AF191" s="219">
        <f>'Propriedades geométricas LA '!C103</f>
        <v>21.92</v>
      </c>
    </row>
    <row r="192" spans="7:32" hidden="1" x14ac:dyDescent="0.25">
      <c r="AB192" s="220"/>
      <c r="AC192" s="220"/>
      <c r="AD192" s="219"/>
      <c r="AE192" s="219"/>
      <c r="AF192" s="219"/>
    </row>
    <row r="193" spans="7:60" hidden="1" x14ac:dyDescent="0.25">
      <c r="H193" s="124" t="s">
        <v>674</v>
      </c>
      <c r="I193" s="186">
        <f ca="1">H112*(1-K194/100)</f>
        <v>87.885755084044916</v>
      </c>
      <c r="J193" s="279" t="s">
        <v>61</v>
      </c>
      <c r="K193" s="249">
        <f ca="1">100-(I193*100)/I105</f>
        <v>24.909641930925403</v>
      </c>
      <c r="L193" s="115" t="s">
        <v>673</v>
      </c>
      <c r="O193" s="119"/>
      <c r="AB193" s="220">
        <f>'Propriedades geométricas VI'!B104</f>
        <v>76.319999999999993</v>
      </c>
      <c r="AC193" s="220">
        <f>'Propriedades geométricas VI'!C104</f>
        <v>21.61</v>
      </c>
      <c r="AD193" s="219"/>
      <c r="AE193" s="219">
        <f>'Propriedades geométricas LA '!B104</f>
        <v>78.8</v>
      </c>
      <c r="AF193" s="219">
        <f>'Propriedades geométricas LA '!C104</f>
        <v>21.99</v>
      </c>
    </row>
    <row r="194" spans="7:60" hidden="1" x14ac:dyDescent="0.25">
      <c r="H194" s="124" t="s">
        <v>729</v>
      </c>
      <c r="I194" s="186">
        <f ca="1">I105-H151-H161-H188</f>
        <v>109.85719385505615</v>
      </c>
      <c r="J194" s="279" t="s">
        <v>61</v>
      </c>
      <c r="K194" s="249">
        <f ca="1">100-(I194*100)/I105</f>
        <v>6.1370524136567468</v>
      </c>
      <c r="L194" s="118"/>
      <c r="AB194" s="220">
        <f>'Propriedades geométricas VI'!B105</f>
        <v>75.599999999999994</v>
      </c>
      <c r="AC194" s="220">
        <f>'Propriedades geométricas VI'!C105</f>
        <v>21.29</v>
      </c>
      <c r="AD194" s="219"/>
      <c r="AE194" s="219">
        <f>'Propriedades geométricas LA '!B105</f>
        <v>78.2</v>
      </c>
      <c r="AF194" s="219">
        <f>'Propriedades geométricas LA '!C105</f>
        <v>21.99</v>
      </c>
    </row>
    <row r="195" spans="7:60" hidden="1" x14ac:dyDescent="0.25">
      <c r="H195" s="124" t="s">
        <v>104</v>
      </c>
      <c r="I195" s="186">
        <f ca="1">H191-H189</f>
        <v>47.927935410367873</v>
      </c>
      <c r="J195" s="279" t="s">
        <v>61</v>
      </c>
      <c r="K195" s="249">
        <f ca="1">100-(I195*100)/L105</f>
        <v>4.1441291792642545</v>
      </c>
      <c r="L195" s="115" t="s">
        <v>1452</v>
      </c>
      <c r="AB195" s="220">
        <f>'Propriedades geométricas VI'!B106</f>
        <v>74.95</v>
      </c>
      <c r="AC195" s="220">
        <f>'Propriedades geométricas VI'!C106</f>
        <v>20.89</v>
      </c>
      <c r="AD195" s="219"/>
      <c r="AE195" s="219">
        <f>'Propriedades geométricas LA '!B106</f>
        <v>77.53</v>
      </c>
      <c r="AF195" s="219">
        <f>'Propriedades geométricas LA '!C106</f>
        <v>21.92</v>
      </c>
    </row>
    <row r="196" spans="7:60" hidden="1" x14ac:dyDescent="0.25">
      <c r="H196" s="124"/>
      <c r="I196" s="323"/>
      <c r="J196" s="124"/>
      <c r="K196" s="124"/>
      <c r="AB196" s="220">
        <f>'Propriedades geométricas VI'!B107</f>
        <v>74.27</v>
      </c>
      <c r="AC196" s="220">
        <f>'Propriedades geométricas VI'!C107</f>
        <v>20.350000000000001</v>
      </c>
      <c r="AD196" s="219"/>
      <c r="AE196" s="219">
        <f>'Propriedades geométricas LA '!B107</f>
        <v>76.91</v>
      </c>
      <c r="AF196" s="219">
        <f>'Propriedades geométricas LA '!C107</f>
        <v>21.79</v>
      </c>
    </row>
    <row r="197" spans="7:60" hidden="1" x14ac:dyDescent="0.25">
      <c r="AB197" s="220">
        <f>'Propriedades geométricas VI'!B108</f>
        <v>73.63</v>
      </c>
      <c r="AC197" s="220">
        <f>'Propriedades geométricas VI'!C108</f>
        <v>19.66</v>
      </c>
      <c r="AD197" s="219"/>
      <c r="AE197" s="219">
        <f>'Propriedades geométricas LA '!B108</f>
        <v>76.319999999999993</v>
      </c>
      <c r="AF197" s="219">
        <f>'Propriedades geométricas LA '!C108</f>
        <v>21.61</v>
      </c>
    </row>
    <row r="198" spans="7:60" x14ac:dyDescent="0.25">
      <c r="G198" s="635" t="s">
        <v>469</v>
      </c>
      <c r="H198" s="635"/>
      <c r="I198" s="635"/>
      <c r="J198" s="635"/>
      <c r="K198" s="635"/>
      <c r="L198" s="635"/>
      <c r="M198" s="635"/>
      <c r="N198" s="635"/>
      <c r="AB198" s="220">
        <f>'Propriedades geométricas VI'!B109</f>
        <v>73.069999999999993</v>
      </c>
      <c r="AC198" s="220">
        <f>'Propriedades geométricas VI'!C109</f>
        <v>18.84</v>
      </c>
      <c r="AD198" s="219"/>
      <c r="AE198" s="219">
        <f>'Propriedades geométricas LA '!B109</f>
        <v>75.599999999999994</v>
      </c>
      <c r="AF198" s="219">
        <f>'Propriedades geométricas LA '!C109</f>
        <v>21.29</v>
      </c>
    </row>
    <row r="199" spans="7:60" ht="15.75" thickBot="1" x14ac:dyDescent="0.3">
      <c r="G199" s="235" t="s">
        <v>1453</v>
      </c>
      <c r="AB199" s="220">
        <f>'Propriedades geométricas VI'!B110</f>
        <v>72.58</v>
      </c>
      <c r="AC199" s="220">
        <f>'Propriedades geométricas VI'!C110</f>
        <v>17.760000000000002</v>
      </c>
      <c r="AD199" s="219"/>
      <c r="AE199" s="219">
        <f>'Propriedades geométricas LA '!B110</f>
        <v>74.95</v>
      </c>
      <c r="AF199" s="219">
        <f>'Propriedades geométricas LA '!C110</f>
        <v>20.89</v>
      </c>
    </row>
    <row r="200" spans="7:60" ht="30.75" thickBot="1" x14ac:dyDescent="0.3">
      <c r="H200" s="171" t="s">
        <v>250</v>
      </c>
      <c r="I200" s="172" t="s">
        <v>283</v>
      </c>
      <c r="J200" s="172" t="s">
        <v>284</v>
      </c>
      <c r="K200" s="172" t="s">
        <v>285</v>
      </c>
      <c r="L200" s="172" t="s">
        <v>286</v>
      </c>
      <c r="M200" s="173" t="s">
        <v>287</v>
      </c>
      <c r="N200" s="173" t="s">
        <v>1454</v>
      </c>
      <c r="R200" s="205"/>
      <c r="AB200" s="220">
        <f>'Propriedades geométricas VI'!B111</f>
        <v>72.319999999999993</v>
      </c>
      <c r="AC200" s="220">
        <f>'Propriedades geométricas VI'!C111</f>
        <v>16.66</v>
      </c>
      <c r="AD200" s="219"/>
      <c r="AE200" s="219">
        <f>'Propriedades geométricas LA '!B111</f>
        <v>74.27</v>
      </c>
      <c r="AF200" s="219">
        <f>'Propriedades geométricas LA '!C111</f>
        <v>20.350000000000001</v>
      </c>
    </row>
    <row r="201" spans="7:60" x14ac:dyDescent="0.25">
      <c r="H201" s="174" t="s">
        <v>251</v>
      </c>
      <c r="I201" s="139">
        <v>1</v>
      </c>
      <c r="J201" s="175">
        <f ca="1">Fluência!B44</f>
        <v>2.1162985403792307</v>
      </c>
      <c r="K201" s="139" t="s">
        <v>288</v>
      </c>
      <c r="L201" s="139" t="s">
        <v>288</v>
      </c>
      <c r="M201" s="176">
        <f ca="1">AVERAGE(J201,L201)</f>
        <v>2.1162985403792307</v>
      </c>
      <c r="N201" s="333">
        <v>733.77089999999998</v>
      </c>
      <c r="AB201" s="220">
        <f>'Propriedades geométricas VI'!B112</f>
        <v>72.25</v>
      </c>
      <c r="AC201" s="220">
        <f>'Propriedades geométricas VI'!C112</f>
        <v>15.75</v>
      </c>
      <c r="AD201" s="219"/>
      <c r="AE201" s="219">
        <f>'Propriedades geométricas LA '!B112</f>
        <v>73.63</v>
      </c>
      <c r="AF201" s="219">
        <f>'Propriedades geométricas LA '!C112</f>
        <v>19.66</v>
      </c>
    </row>
    <row r="202" spans="7:60" x14ac:dyDescent="0.25">
      <c r="H202" s="177" t="s">
        <v>289</v>
      </c>
      <c r="I202" s="137">
        <v>1</v>
      </c>
      <c r="J202" s="178">
        <f ca="1">Fluência!B44</f>
        <v>2.1162985403792307</v>
      </c>
      <c r="K202" s="137" t="s">
        <v>288</v>
      </c>
      <c r="L202" s="137" t="s">
        <v>288</v>
      </c>
      <c r="M202" s="179">
        <f ca="1">AVERAGE(J202,L202)</f>
        <v>2.1162985403792307</v>
      </c>
      <c r="N202" s="333">
        <v>733.77089999999998</v>
      </c>
      <c r="AB202" s="220">
        <f>'Propriedades geométricas VI'!B113</f>
        <v>72.25</v>
      </c>
      <c r="AC202" s="220">
        <f>'Propriedades geométricas VI'!C113</f>
        <v>5.8</v>
      </c>
      <c r="AD202" s="219"/>
      <c r="AE202" s="219">
        <f>'Propriedades geométricas LA '!B113</f>
        <v>73.069999999999993</v>
      </c>
      <c r="AF202" s="219">
        <f>'Propriedades geométricas LA '!C113</f>
        <v>18.84</v>
      </c>
    </row>
    <row r="203" spans="7:60" x14ac:dyDescent="0.25">
      <c r="H203" s="177" t="s">
        <v>290</v>
      </c>
      <c r="I203" s="137">
        <v>15</v>
      </c>
      <c r="J203" s="153">
        <f ca="1">Fluência!V44</f>
        <v>1.2033811739702436</v>
      </c>
      <c r="K203" s="137" t="s">
        <v>288</v>
      </c>
      <c r="L203" s="137" t="s">
        <v>288</v>
      </c>
      <c r="M203" s="179">
        <f ca="1">AVERAGE(J203,L203)</f>
        <v>1.2033811739702436</v>
      </c>
      <c r="N203" s="333">
        <v>554.06889999999999</v>
      </c>
      <c r="AB203" s="220">
        <f>'Propriedades geométricas VI'!B114</f>
        <v>75.400000000000006</v>
      </c>
      <c r="AC203" s="220">
        <f>'Propriedades geométricas VI'!C114</f>
        <v>3</v>
      </c>
      <c r="AD203" s="219"/>
      <c r="AE203" s="219">
        <f>'Propriedades geométricas LA '!B114</f>
        <v>72.58</v>
      </c>
      <c r="AF203" s="219">
        <f>'Propriedades geométricas LA '!C114</f>
        <v>17.760000000000002</v>
      </c>
      <c r="BB203" s="115" t="s">
        <v>470</v>
      </c>
    </row>
    <row r="204" spans="7:60" ht="15.75" thickBot="1" x14ac:dyDescent="0.3">
      <c r="H204" s="177" t="s">
        <v>254</v>
      </c>
      <c r="I204" s="137">
        <v>30</v>
      </c>
      <c r="J204" s="180">
        <f ca="1">Fluência!AF44</f>
        <v>1.0182542677744861</v>
      </c>
      <c r="K204" s="137">
        <v>1</v>
      </c>
      <c r="L204" s="178">
        <f>IF($I$15="1 - Sim",IFERROR(Fluência!B92,0),J204)</f>
        <v>4.5049319414377891</v>
      </c>
      <c r="M204" s="179">
        <f ca="1">(J204*$M$158+L204*($H$22*$H$33))/($M$158+$H$22*$H$33)</f>
        <v>2.0160977368022328</v>
      </c>
      <c r="N204" s="333">
        <v>340.91224999999997</v>
      </c>
      <c r="AB204" s="220">
        <f>'Propriedades geométricas VI'!B115</f>
        <v>78.5</v>
      </c>
      <c r="AC204" s="220">
        <f>'Propriedades geométricas VI'!C115</f>
        <v>3</v>
      </c>
      <c r="AD204" s="219"/>
      <c r="AE204" s="219">
        <f>'Propriedades geométricas LA '!B115</f>
        <v>72.319999999999993</v>
      </c>
      <c r="AF204" s="219">
        <f>'Propriedades geométricas LA '!C115</f>
        <v>16.66</v>
      </c>
    </row>
    <row r="205" spans="7:60" ht="15.75" thickBot="1" x14ac:dyDescent="0.3">
      <c r="H205" s="177" t="s">
        <v>255</v>
      </c>
      <c r="I205" s="137">
        <v>45</v>
      </c>
      <c r="J205" s="180">
        <f ca="1">Fluência!AP44</f>
        <v>0.93237163932005362</v>
      </c>
      <c r="K205" s="137">
        <v>15</v>
      </c>
      <c r="L205" s="178">
        <f>IF($I$15="1 - Sim",IFERROR(Fluência!L92,0),J205)</f>
        <v>2.9963488897185151</v>
      </c>
      <c r="M205" s="179">
        <f ca="1">(J205*$M$158+L205*($H$22*$H$33))/($M$158+$H$22*$H$33)</f>
        <v>1.5230560708316407</v>
      </c>
      <c r="N205" s="333">
        <v>234.33392499999999</v>
      </c>
      <c r="AB205" s="220">
        <f>'Propriedades geométricas VI'!B116</f>
        <v>78.5</v>
      </c>
      <c r="AC205" s="220">
        <f>'Propriedades geométricas VI'!C116</f>
        <v>0</v>
      </c>
      <c r="AD205" s="219"/>
      <c r="AE205" s="219">
        <f>'Propriedades geométricas LA '!B116</f>
        <v>72.25</v>
      </c>
      <c r="AF205" s="219">
        <f>'Propriedades geométricas LA '!C116</f>
        <v>15.75</v>
      </c>
      <c r="BE205" s="707" t="s">
        <v>293</v>
      </c>
      <c r="BF205" s="708"/>
      <c r="BG205" s="708"/>
      <c r="BH205" s="709"/>
    </row>
    <row r="206" spans="7:60" ht="18.75" thickBot="1" x14ac:dyDescent="0.3">
      <c r="H206" s="177" t="s">
        <v>256</v>
      </c>
      <c r="I206" s="137">
        <v>60</v>
      </c>
      <c r="J206" s="180">
        <f ca="1">Fluência!AZ44</f>
        <v>0.89451915533802917</v>
      </c>
      <c r="K206" s="137">
        <v>30</v>
      </c>
      <c r="L206" s="178">
        <f>IF(I15="1 - Sim",IFERROR(Fluência!V92,0),J206)</f>
        <v>2.5119045361508645</v>
      </c>
      <c r="M206" s="179">
        <f ca="1">(J206*$M$158+L206*($H$22*$H$33))/($M$158+$H$22*$H$33)</f>
        <v>1.3573945886869887</v>
      </c>
      <c r="N206" s="333">
        <v>127.7556</v>
      </c>
      <c r="AB206" s="220">
        <f>'Propriedades geométricas VI'!B117</f>
        <v>62.3</v>
      </c>
      <c r="AC206" s="220">
        <f>'Propriedades geométricas VI'!C117</f>
        <v>0</v>
      </c>
      <c r="AD206" s="219"/>
      <c r="AE206" s="219">
        <f>'Propriedades geométricas LA '!B117</f>
        <v>72.25</v>
      </c>
      <c r="AF206" s="219">
        <f>'Propriedades geométricas LA '!C117</f>
        <v>5.8</v>
      </c>
      <c r="AP206" s="724" t="s">
        <v>276</v>
      </c>
      <c r="AQ206" s="725"/>
      <c r="AR206" s="725"/>
      <c r="AS206" s="726"/>
      <c r="AT206" s="726"/>
      <c r="AU206" s="726"/>
      <c r="AV206" s="726"/>
      <c r="AW206" s="726"/>
      <c r="AX206" s="726"/>
      <c r="AY206" s="726"/>
      <c r="AZ206" s="727"/>
      <c r="BA206" s="707" t="s">
        <v>292</v>
      </c>
      <c r="BB206" s="708"/>
      <c r="BC206" s="708"/>
      <c r="BD206" s="709"/>
      <c r="BE206" s="149">
        <v>55</v>
      </c>
      <c r="BF206" s="150">
        <v>70</v>
      </c>
      <c r="BG206" s="150">
        <v>75</v>
      </c>
      <c r="BH206" s="151">
        <v>90</v>
      </c>
    </row>
    <row r="207" spans="7:60" x14ac:dyDescent="0.25">
      <c r="H207" s="177" t="s">
        <v>257</v>
      </c>
      <c r="I207" s="137">
        <v>75</v>
      </c>
      <c r="J207" s="180">
        <f ca="1">Fluência!BJ44</f>
        <v>0.85538570895279531</v>
      </c>
      <c r="K207" s="137">
        <v>45</v>
      </c>
      <c r="L207" s="178">
        <f>IF(I15="1 - Sim",IFERROR(Fluência!AF92,0),J207)</f>
        <v>2.2399163552934933</v>
      </c>
      <c r="M207" s="179">
        <f ca="1">(J207*$M$158+L207*($H$22*$H$33))/($M$158+$H$22*$H$33)</f>
        <v>1.2516210345050713</v>
      </c>
      <c r="N207" s="333">
        <v>127.7556</v>
      </c>
      <c r="AB207" s="220">
        <f>'Propriedades geométricas VI'!B118</f>
        <v>62.3</v>
      </c>
      <c r="AC207" s="220">
        <f>'Propriedades geométricas VI'!C118</f>
        <v>3</v>
      </c>
      <c r="AD207" s="219"/>
      <c r="AE207" s="219">
        <f>'Propriedades geométricas LA '!B118</f>
        <v>75.400000000000006</v>
      </c>
      <c r="AF207" s="219">
        <f>'Propriedades geométricas LA '!C118</f>
        <v>3</v>
      </c>
      <c r="AP207" s="713" t="s">
        <v>277</v>
      </c>
      <c r="AQ207" s="671"/>
      <c r="AR207" s="686"/>
      <c r="AS207" s="711">
        <v>40</v>
      </c>
      <c r="AT207" s="712"/>
      <c r="AU207" s="711">
        <v>55</v>
      </c>
      <c r="AV207" s="712"/>
      <c r="AW207" s="711">
        <v>75</v>
      </c>
      <c r="AX207" s="712"/>
      <c r="AY207" s="711">
        <v>90</v>
      </c>
      <c r="AZ207" s="715"/>
      <c r="BA207" s="149">
        <v>55</v>
      </c>
      <c r="BB207" s="150">
        <v>70</v>
      </c>
      <c r="BC207" s="150">
        <v>75</v>
      </c>
      <c r="BD207" s="151">
        <v>90</v>
      </c>
      <c r="BE207" s="152">
        <f ca="1">(2*M162)/M163</f>
        <v>33.298030930252224</v>
      </c>
      <c r="BF207" s="153">
        <f ca="1">(2*M162)/M163</f>
        <v>33.298030930252224</v>
      </c>
      <c r="BG207" s="154">
        <f ca="1">(2*M162)/M163</f>
        <v>33.298030930252224</v>
      </c>
      <c r="BH207" s="155">
        <f ca="1">(2*M162)/M163</f>
        <v>33.298030930252224</v>
      </c>
    </row>
    <row r="208" spans="7:60" ht="15.75" thickBot="1" x14ac:dyDescent="0.3">
      <c r="H208" s="182" t="s">
        <v>291</v>
      </c>
      <c r="I208" s="183">
        <v>75</v>
      </c>
      <c r="J208" s="184">
        <f ca="1">Fluência!BJ44</f>
        <v>0.85538570895279531</v>
      </c>
      <c r="K208" s="183">
        <v>45</v>
      </c>
      <c r="L208" s="184">
        <f>IF(I15="1 - Sim",IFERROR(Fluência!AF92,0),J207)</f>
        <v>2.2399163552934933</v>
      </c>
      <c r="M208" s="185">
        <f ca="1">(J208*$M$158+L208*($H$22*$H$33))/($M$158+$H$22*$H$33)</f>
        <v>1.2516210345050713</v>
      </c>
      <c r="N208" s="333">
        <v>127.7556</v>
      </c>
      <c r="AB208" s="220">
        <f>'Propriedades geométricas VI'!B119</f>
        <v>65.349999999999994</v>
      </c>
      <c r="AC208" s="220">
        <f>'Propriedades geométricas VI'!C119</f>
        <v>3</v>
      </c>
      <c r="AD208" s="219"/>
      <c r="AE208" s="219">
        <f>'Propriedades geométricas LA '!B119</f>
        <v>78.5</v>
      </c>
      <c r="AF208" s="219">
        <f>'Propriedades geométricas LA '!C119</f>
        <v>3</v>
      </c>
      <c r="AP208" s="713" t="s">
        <v>278</v>
      </c>
      <c r="AQ208" s="671"/>
      <c r="AR208" s="686"/>
      <c r="AS208" s="156">
        <v>20</v>
      </c>
      <c r="AT208" s="157">
        <v>60</v>
      </c>
      <c r="AU208" s="158">
        <v>20</v>
      </c>
      <c r="AV208" s="157">
        <v>60</v>
      </c>
      <c r="AW208" s="158">
        <v>20</v>
      </c>
      <c r="AX208" s="157">
        <v>60</v>
      </c>
      <c r="AY208" s="158">
        <v>20</v>
      </c>
      <c r="AZ208" s="159">
        <v>60</v>
      </c>
      <c r="BA208" s="152">
        <f ca="1">(2*M158)/M159</f>
        <v>24.942130523343128</v>
      </c>
      <c r="BB208" s="153">
        <f ca="1">(2*M158)/M159</f>
        <v>24.942130523343128</v>
      </c>
      <c r="BC208" s="154">
        <f ca="1">(2*M158)/M159</f>
        <v>24.942130523343128</v>
      </c>
      <c r="BD208" s="155">
        <f ca="1">(2*M158)/M159</f>
        <v>24.942130523343128</v>
      </c>
      <c r="BE208" s="152">
        <f ca="1">((AX209-AU209)/(AX208-AW208))*(BE207-AU208)+AU209</f>
        <v>3.4013238401155417</v>
      </c>
      <c r="BF208" s="153">
        <f ca="1">((BH208-BH208)/(BH206-BG206))*(BF206-BG206)+BG208</f>
        <v>2.6670196906974777</v>
      </c>
      <c r="BG208" s="154">
        <f ca="1">((AX209-AW209)/(AX208-AW208))*(BG207-AW208)+AW209</f>
        <v>2.6670196906974777</v>
      </c>
      <c r="BH208" s="155">
        <f ca="1">((AZ209-AY209)/(AZ208-AY208))*(BH207-AY208)+AY209</f>
        <v>1.9667549226743695</v>
      </c>
    </row>
    <row r="209" spans="7:60" x14ac:dyDescent="0.25">
      <c r="G209" s="209" t="s">
        <v>1455</v>
      </c>
      <c r="H209" s="333">
        <v>70</v>
      </c>
      <c r="I209" s="115" t="s">
        <v>641</v>
      </c>
      <c r="K209" s="209" t="s">
        <v>1456</v>
      </c>
      <c r="L209" s="333">
        <v>20</v>
      </c>
      <c r="M209" s="115" t="s">
        <v>1457</v>
      </c>
      <c r="AB209" s="220">
        <f>'Propriedades geométricas VI'!B120</f>
        <v>68.5</v>
      </c>
      <c r="AC209" s="220">
        <f>'Propriedades geométricas VI'!C120</f>
        <v>5.8</v>
      </c>
      <c r="AD209" s="219"/>
      <c r="AE209" s="219">
        <f>'Propriedades geométricas LA '!B120</f>
        <v>78.5</v>
      </c>
      <c r="AF209" s="219">
        <f>'Propriedades geométricas LA '!C120</f>
        <v>0</v>
      </c>
      <c r="AP209" s="713" t="s">
        <v>279</v>
      </c>
      <c r="AQ209" s="657" t="s">
        <v>282</v>
      </c>
      <c r="AR209" s="160">
        <v>5</v>
      </c>
      <c r="AS209" s="161">
        <v>4.5999999999999996</v>
      </c>
      <c r="AT209" s="162">
        <v>3.8</v>
      </c>
      <c r="AU209" s="161">
        <v>3.9</v>
      </c>
      <c r="AV209" s="162">
        <v>3.3</v>
      </c>
      <c r="AW209" s="161">
        <v>2.8</v>
      </c>
      <c r="AX209" s="162">
        <v>2.4</v>
      </c>
      <c r="AY209" s="161">
        <v>2</v>
      </c>
      <c r="AZ209" s="163">
        <v>1.9</v>
      </c>
      <c r="BA209" s="152">
        <f ca="1">((AV209-AU209)/(AV208-AU208))*(BA208-AU208)+AU209</f>
        <v>3.8258680421498532</v>
      </c>
      <c r="BB209" s="153">
        <f ca="1">((BD209-BC209)/(BD207-BC207))*(BB207-BC207)+BC209</f>
        <v>3.0048900351248777</v>
      </c>
      <c r="BC209" s="154">
        <f ca="1">((AX209-AW209)/(AX208-AW208))*(BC208-AW208)+AW209</f>
        <v>2.7505786947665687</v>
      </c>
      <c r="BD209" s="155">
        <f ca="1">((AZ209-AY209)/(AZ208-AY208))*(BD208-AY208)+AY209</f>
        <v>1.9876446736916422</v>
      </c>
      <c r="BE209" s="152">
        <f ca="1">((AV210-AU210)/(AV208-AU208))*(BE207-AU208)+AU210</f>
        <v>2.8002647680231081</v>
      </c>
      <c r="BF209" s="153">
        <f ca="1">((BH209-BG209)/(BH206-BG206))*(BF206-BG206)+BG209</f>
        <v>2.3224281529068622</v>
      </c>
      <c r="BG209" s="154">
        <f ca="1">((AX210-AW210)/(AX208-AW208))*(BG207-AW208)+AW210</f>
        <v>2.1335098453487391</v>
      </c>
      <c r="BH209" s="155">
        <f ca="1">((AZ210-AY210)/(AZ208-AY208))*(BH207-AY208)+AY210</f>
        <v>1.5667549226743696</v>
      </c>
    </row>
    <row r="210" spans="7:60" ht="15.75" thickBot="1" x14ac:dyDescent="0.3">
      <c r="G210" s="209" t="s">
        <v>1458</v>
      </c>
      <c r="H210" s="333">
        <v>4</v>
      </c>
      <c r="I210" s="115" t="s">
        <v>80</v>
      </c>
      <c r="K210" s="209" t="s">
        <v>1459</v>
      </c>
      <c r="L210" s="333">
        <v>12</v>
      </c>
      <c r="M210" s="115" t="s">
        <v>80</v>
      </c>
      <c r="R210" s="205"/>
      <c r="AB210" s="220">
        <f>'Propriedades geométricas VI'!B121</f>
        <v>68.5</v>
      </c>
      <c r="AC210" s="220">
        <f>'Propriedades geométricas VI'!C121</f>
        <v>15.75</v>
      </c>
      <c r="AD210" s="219"/>
      <c r="AE210" s="219">
        <f>'Propriedades geométricas LA '!B121</f>
        <v>62.3</v>
      </c>
      <c r="AF210" s="219">
        <f>'Propriedades geométricas LA '!C121</f>
        <v>0</v>
      </c>
      <c r="AP210" s="713"/>
      <c r="AQ210" s="657"/>
      <c r="AR210" s="160">
        <v>30</v>
      </c>
      <c r="AS210" s="161">
        <v>3.4</v>
      </c>
      <c r="AT210" s="162">
        <v>3</v>
      </c>
      <c r="AU210" s="161">
        <v>2.9</v>
      </c>
      <c r="AV210" s="162">
        <v>2.6</v>
      </c>
      <c r="AW210" s="161">
        <v>2.2000000000000002</v>
      </c>
      <c r="AX210" s="162">
        <v>2</v>
      </c>
      <c r="AY210" s="161">
        <v>1.6</v>
      </c>
      <c r="AZ210" s="163">
        <v>1.5</v>
      </c>
      <c r="BA210" s="152">
        <f ca="1">((AV210-AU210)/(AV208-AU208))*(BA208-AU208)+AU210</f>
        <v>2.8629340210749263</v>
      </c>
      <c r="BB210" s="153">
        <f ca="1">((BD210-BC210)/(BD207-BC207))*(BB207-BC207)+BC210</f>
        <v>2.3711709052804988</v>
      </c>
      <c r="BC210" s="154">
        <f ca="1">((AX210-AW210)/(AX208-AW208))*(BC208-AW208)+AW210</f>
        <v>2.1752893473832846</v>
      </c>
      <c r="BD210" s="155">
        <f ca="1">((AZ210-AY210)/(AZ208-AY208))*(BD208-AY208)+AY210</f>
        <v>1.5876446736916423</v>
      </c>
      <c r="BE210" s="164">
        <f ca="1">((AV211-AU211)/(AV208-AU208))*(BE207-AU208)+AU211</f>
        <v>2.4335098453487389</v>
      </c>
      <c r="BF210" s="165">
        <f ca="1">((BH210-BH210)/(BH206-BG206))*(BF206-BG206)+BG210</f>
        <v>1.8667549226743694</v>
      </c>
      <c r="BG210" s="166">
        <f ca="1">((AX211-AW211)/(AX208-AW208))*(BG207-AW208)+AW211</f>
        <v>1.8667549226743694</v>
      </c>
      <c r="BH210" s="167">
        <f ca="1">((AZ211-AY211)/(AZ208-AY208))*(BH207-AY208)+AY211</f>
        <v>1.4</v>
      </c>
    </row>
    <row r="211" spans="7:60" ht="15.75" hidden="1" thickBot="1" x14ac:dyDescent="0.3">
      <c r="G211" s="123" t="s">
        <v>116</v>
      </c>
      <c r="H211" s="119"/>
      <c r="K211" s="123" t="s">
        <v>131</v>
      </c>
      <c r="R211" s="205"/>
      <c r="AB211" s="220">
        <f>'Propriedades geométricas VI'!B122</f>
        <v>68.430000000000007</v>
      </c>
      <c r="AC211" s="220">
        <f>'Propriedades geométricas VI'!C122</f>
        <v>16.66</v>
      </c>
      <c r="AD211" s="219"/>
      <c r="AE211" s="219">
        <f>'Propriedades geométricas LA '!B122</f>
        <v>62.3</v>
      </c>
      <c r="AF211" s="219">
        <f>'Propriedades geométricas LA '!C122</f>
        <v>3</v>
      </c>
      <c r="AP211" s="713"/>
      <c r="AQ211" s="657"/>
      <c r="AR211" s="160">
        <v>60</v>
      </c>
      <c r="AS211" s="161">
        <v>2.9</v>
      </c>
      <c r="AT211" s="162">
        <v>2.7</v>
      </c>
      <c r="AU211" s="161">
        <v>2.5</v>
      </c>
      <c r="AV211" s="162">
        <v>2.2999999999999998</v>
      </c>
      <c r="AW211" s="161">
        <v>1.9</v>
      </c>
      <c r="AX211" s="162">
        <v>1.8</v>
      </c>
      <c r="AY211" s="161">
        <v>1.4</v>
      </c>
      <c r="AZ211" s="163">
        <v>1.4</v>
      </c>
      <c r="BA211" s="164">
        <f ca="1">((AV211-AU211)/(AV208-AU208))*(BA208-AU208)+AU211</f>
        <v>2.4752893473832844</v>
      </c>
      <c r="BB211" s="165">
        <f ca="1">((BD211-BC211)/(BD207-BC207))*(BB207-BC207)+BC211</f>
        <v>2.0501928982555229</v>
      </c>
      <c r="BC211" s="166">
        <f ca="1">((AX211-AW211)/(AX208-AW208))*(BC208-AW208)+AW211</f>
        <v>1.8876446736916421</v>
      </c>
      <c r="BD211" s="167">
        <f ca="1">((AZ211-AY211)/(AZ208-AY208))*(BD208-AY208)+AY211</f>
        <v>1.4</v>
      </c>
      <c r="BE211" s="119"/>
      <c r="BF211" s="119"/>
      <c r="BG211" s="119"/>
    </row>
    <row r="212" spans="7:60" hidden="1" x14ac:dyDescent="0.25">
      <c r="H212" s="119"/>
      <c r="I212" s="231"/>
      <c r="R212" s="205"/>
      <c r="AB212" s="220">
        <f>'Propriedades geométricas VI'!B123</f>
        <v>68.17</v>
      </c>
      <c r="AC212" s="220">
        <f>'Propriedades geométricas VI'!C123</f>
        <v>17.760000000000002</v>
      </c>
      <c r="AD212" s="219"/>
      <c r="AE212" s="219">
        <f>'Propriedades geométricas LA '!B123</f>
        <v>65.349999999999994</v>
      </c>
      <c r="AF212" s="219">
        <f>'Propriedades geométricas LA '!C123</f>
        <v>3</v>
      </c>
      <c r="AP212" s="713" t="s">
        <v>280</v>
      </c>
      <c r="AQ212" s="657"/>
      <c r="AR212" s="159">
        <v>5</v>
      </c>
      <c r="AS212" s="149">
        <v>2.7</v>
      </c>
      <c r="AT212" s="151">
        <v>2.4</v>
      </c>
      <c r="AU212" s="149">
        <v>2.4</v>
      </c>
      <c r="AV212" s="151">
        <v>2.1</v>
      </c>
      <c r="AW212" s="149">
        <v>1.9</v>
      </c>
      <c r="AX212" s="151">
        <v>1.8</v>
      </c>
      <c r="AY212" s="149">
        <v>1.6</v>
      </c>
      <c r="AZ212" s="151">
        <v>1.5</v>
      </c>
      <c r="BA212" s="119"/>
      <c r="BB212" s="119"/>
      <c r="BC212" s="119"/>
      <c r="BD212" s="119"/>
      <c r="BE212" s="119"/>
      <c r="BF212" s="119"/>
      <c r="BG212" s="119"/>
    </row>
    <row r="213" spans="7:60" hidden="1" x14ac:dyDescent="0.25">
      <c r="G213" s="238" t="s">
        <v>117</v>
      </c>
      <c r="H213" s="250">
        <f ca="1">Fluência!D30*2*10^4</f>
        <v>-7.812661631205545</v>
      </c>
      <c r="I213" s="231" t="s">
        <v>61</v>
      </c>
      <c r="K213" s="209" t="s">
        <v>132</v>
      </c>
      <c r="L213" s="237">
        <f ca="1">1+H224</f>
        <v>1.0257421247301748</v>
      </c>
      <c r="R213" s="205"/>
      <c r="AB213" s="220">
        <f>'Propriedades geométricas VI'!B124</f>
        <v>67.680000000000007</v>
      </c>
      <c r="AC213" s="220">
        <f>'Propriedades geométricas VI'!C124</f>
        <v>18.84</v>
      </c>
      <c r="AD213" s="219"/>
      <c r="AE213" s="219">
        <f>'Propriedades geométricas LA '!B124</f>
        <v>68.5</v>
      </c>
      <c r="AF213" s="219">
        <f>'Propriedades geométricas LA '!C124</f>
        <v>5.8</v>
      </c>
      <c r="AP213" s="713"/>
      <c r="AQ213" s="657"/>
      <c r="AR213" s="159">
        <v>30</v>
      </c>
      <c r="AS213" s="149">
        <v>2</v>
      </c>
      <c r="AT213" s="151">
        <v>1.8</v>
      </c>
      <c r="AU213" s="149">
        <v>1.7</v>
      </c>
      <c r="AV213" s="151">
        <v>1.6</v>
      </c>
      <c r="AW213" s="149">
        <v>1.4</v>
      </c>
      <c r="AX213" s="151">
        <v>1.3</v>
      </c>
      <c r="AY213" s="149">
        <v>1.1000000000000001</v>
      </c>
      <c r="AZ213" s="151">
        <v>1.1000000000000001</v>
      </c>
      <c r="BA213" s="119"/>
      <c r="BB213" s="119"/>
      <c r="BC213" s="119"/>
      <c r="BD213" s="119"/>
      <c r="BE213" s="119"/>
      <c r="BF213" s="119"/>
      <c r="BG213" s="119"/>
    </row>
    <row r="214" spans="7:60" hidden="1" x14ac:dyDescent="0.25">
      <c r="G214" s="181"/>
      <c r="H214" s="119"/>
      <c r="I214" s="231"/>
      <c r="K214" s="209" t="s">
        <v>1460</v>
      </c>
      <c r="L214" s="237">
        <f ca="1">1+H225</f>
        <v>1</v>
      </c>
      <c r="R214" s="205"/>
      <c r="AB214" s="220">
        <f>'Propriedades geométricas VI'!B125</f>
        <v>67.12</v>
      </c>
      <c r="AC214" s="220">
        <f>'Propriedades geométricas VI'!C125</f>
        <v>19.66</v>
      </c>
      <c r="AD214" s="219"/>
      <c r="AE214" s="219">
        <f>'Propriedades geométricas LA '!B125</f>
        <v>68.5</v>
      </c>
      <c r="AF214" s="219">
        <f>'Propriedades geométricas LA '!C125</f>
        <v>15.75</v>
      </c>
      <c r="AP214" s="713"/>
      <c r="AQ214" s="657"/>
      <c r="AR214" s="159">
        <v>60</v>
      </c>
      <c r="AS214" s="149">
        <v>1.7</v>
      </c>
      <c r="AT214" s="151">
        <v>1.6</v>
      </c>
      <c r="AU214" s="149">
        <v>1.5</v>
      </c>
      <c r="AV214" s="151">
        <v>1.4</v>
      </c>
      <c r="AW214" s="149">
        <v>1.2</v>
      </c>
      <c r="AX214" s="151">
        <v>1.2</v>
      </c>
      <c r="AY214" s="149">
        <v>1</v>
      </c>
      <c r="AZ214" s="151">
        <v>1</v>
      </c>
      <c r="BA214" s="119"/>
      <c r="BB214" s="119"/>
      <c r="BC214" s="119"/>
      <c r="BD214" s="119"/>
      <c r="BE214" s="119"/>
      <c r="BF214" s="119"/>
      <c r="BG214" s="119"/>
    </row>
    <row r="215" spans="7:60" hidden="1" x14ac:dyDescent="0.25">
      <c r="H215" s="119"/>
      <c r="I215" s="231"/>
      <c r="K215" s="209"/>
      <c r="L215" s="119"/>
      <c r="AB215" s="220">
        <f>'Propriedades geométricas VI'!B126</f>
        <v>66.48</v>
      </c>
      <c r="AC215" s="220">
        <f>'Propriedades geométricas VI'!C126</f>
        <v>20.350000000000001</v>
      </c>
      <c r="AD215" s="219"/>
      <c r="AE215" s="219">
        <f>'Propriedades geométricas LA '!B126</f>
        <v>68.430000000000007</v>
      </c>
      <c r="AF215" s="219">
        <f>'Propriedades geométricas LA '!C126</f>
        <v>16.66</v>
      </c>
      <c r="AP215" s="713" t="s">
        <v>281</v>
      </c>
      <c r="AQ215" s="657"/>
      <c r="AR215" s="159">
        <v>5</v>
      </c>
      <c r="AS215" s="149">
        <v>-0.53</v>
      </c>
      <c r="AT215" s="151">
        <v>-0.47</v>
      </c>
      <c r="AU215" s="149">
        <v>-0.48</v>
      </c>
      <c r="AV215" s="151">
        <v>-0.43</v>
      </c>
      <c r="AW215" s="149">
        <v>-0.36</v>
      </c>
      <c r="AX215" s="151">
        <v>-0.32</v>
      </c>
      <c r="AY215" s="149">
        <v>-0.18</v>
      </c>
      <c r="AZ215" s="151">
        <v>-0.15</v>
      </c>
      <c r="BA215" s="119"/>
      <c r="BB215" s="119"/>
      <c r="BC215" s="119"/>
      <c r="BD215" s="119"/>
      <c r="BE215" s="119"/>
      <c r="BF215" s="119"/>
      <c r="BG215" s="119"/>
    </row>
    <row r="216" spans="7:60" hidden="1" x14ac:dyDescent="0.25">
      <c r="G216" s="123" t="s">
        <v>85</v>
      </c>
      <c r="H216" s="119"/>
      <c r="I216" s="231"/>
      <c r="K216" s="209" t="s">
        <v>133</v>
      </c>
      <c r="L216" s="237">
        <f ca="1">1+0.5*M201</f>
        <v>2.0581492701896154</v>
      </c>
      <c r="AB216" s="220">
        <f>'Propriedades geométricas VI'!B127</f>
        <v>65.8</v>
      </c>
      <c r="AC216" s="220">
        <f>'Propriedades geométricas VI'!C127</f>
        <v>20.89</v>
      </c>
      <c r="AD216" s="219"/>
      <c r="AE216" s="219">
        <f>'Propriedades geométricas LA '!B127</f>
        <v>68.17</v>
      </c>
      <c r="AF216" s="219">
        <f>'Propriedades geométricas LA '!C127</f>
        <v>17.760000000000002</v>
      </c>
      <c r="AP216" s="713"/>
      <c r="AQ216" s="657"/>
      <c r="AR216" s="159">
        <v>30</v>
      </c>
      <c r="AS216" s="149">
        <v>-0.44</v>
      </c>
      <c r="AT216" s="151">
        <v>-0.45</v>
      </c>
      <c r="AU216" s="149">
        <v>-0.41</v>
      </c>
      <c r="AV216" s="151">
        <v>-0.41</v>
      </c>
      <c r="AW216" s="149">
        <v>-0.33</v>
      </c>
      <c r="AX216" s="151">
        <v>-0.31</v>
      </c>
      <c r="AY216" s="149">
        <v>-0.17</v>
      </c>
      <c r="AZ216" s="151">
        <v>-0.15</v>
      </c>
      <c r="BA216" s="119"/>
      <c r="BB216" s="119"/>
      <c r="BC216" s="119"/>
      <c r="BD216" s="119"/>
      <c r="BE216" s="119"/>
      <c r="BF216" s="119"/>
      <c r="BG216" s="119"/>
    </row>
    <row r="217" spans="7:60" ht="15.75" hidden="1" thickBot="1" x14ac:dyDescent="0.3">
      <c r="G217" s="115" t="s">
        <v>124</v>
      </c>
      <c r="H217" s="119"/>
      <c r="I217" s="231"/>
      <c r="K217" s="209" t="s">
        <v>134</v>
      </c>
      <c r="L217" s="237">
        <f ca="1">1+(H167/100)^2*((H36/100^2)/(H37/100^4))</f>
        <v>2.1191308167331799</v>
      </c>
      <c r="AB217" s="220">
        <f>'Propriedades geométricas VI'!B128</f>
        <v>65.150000000000006</v>
      </c>
      <c r="AC217" s="220">
        <f>'Propriedades geométricas VI'!C128</f>
        <v>21.29</v>
      </c>
      <c r="AD217" s="219"/>
      <c r="AE217" s="219">
        <f>'Propriedades geométricas LA '!B128</f>
        <v>67.680000000000007</v>
      </c>
      <c r="AF217" s="219">
        <f>'Propriedades geométricas LA '!C128</f>
        <v>18.84</v>
      </c>
      <c r="AP217" s="714"/>
      <c r="AQ217" s="716"/>
      <c r="AR217" s="168">
        <v>60</v>
      </c>
      <c r="AS217" s="169">
        <v>-0.39</v>
      </c>
      <c r="AT217" s="170">
        <v>-0.43</v>
      </c>
      <c r="AU217" s="169">
        <v>-0.36</v>
      </c>
      <c r="AV217" s="170">
        <v>-0.4</v>
      </c>
      <c r="AW217" s="169">
        <v>-0.3</v>
      </c>
      <c r="AX217" s="170">
        <v>-0.31</v>
      </c>
      <c r="AY217" s="169">
        <v>-0.17</v>
      </c>
      <c r="AZ217" s="170">
        <v>-0.15</v>
      </c>
      <c r="BA217" s="119"/>
      <c r="BB217" s="119"/>
      <c r="BC217" s="119"/>
      <c r="BD217" s="119"/>
      <c r="BE217" s="119"/>
      <c r="BF217" s="119"/>
      <c r="BG217" s="119"/>
    </row>
    <row r="218" spans="7:60" hidden="1" x14ac:dyDescent="0.25">
      <c r="G218" s="209" t="s">
        <v>118</v>
      </c>
      <c r="H218" s="237">
        <f ca="1">I194/190</f>
        <v>0.57819575713187443</v>
      </c>
      <c r="I218" s="231"/>
      <c r="K218" s="209" t="s">
        <v>135</v>
      </c>
      <c r="L218" s="237">
        <f ca="1">1+(H169/100)^2*((H36/100^2)/(H37/100^4))</f>
        <v>2.9729843107867602</v>
      </c>
      <c r="AB218" s="220">
        <f>'Propriedades geométricas VI'!B129</f>
        <v>64.430000000000007</v>
      </c>
      <c r="AC218" s="220">
        <f>'Propriedades geométricas VI'!C129</f>
        <v>21.61</v>
      </c>
      <c r="AD218" s="219"/>
      <c r="AE218" s="219">
        <f>'Propriedades geométricas LA '!B129</f>
        <v>67.12</v>
      </c>
      <c r="AF218" s="219">
        <f>'Propriedades geométricas LA '!C129</f>
        <v>19.66</v>
      </c>
    </row>
    <row r="219" spans="7:60" hidden="1" x14ac:dyDescent="0.25">
      <c r="G219" s="209" t="s">
        <v>119</v>
      </c>
      <c r="H219" s="237">
        <f ca="1">I195/190</f>
        <v>0.25225229163351515</v>
      </c>
      <c r="I219" s="231"/>
      <c r="K219" s="209" t="s">
        <v>136</v>
      </c>
      <c r="L219" s="271">
        <f ca="1">(H166+H168)/(H36)</f>
        <v>5.0651647373011381E-3</v>
      </c>
      <c r="AB219" s="220">
        <f>'Propriedades geométricas VI'!B130</f>
        <v>63.84</v>
      </c>
      <c r="AC219" s="220">
        <f>'Propriedades geométricas VI'!C130</f>
        <v>21.79</v>
      </c>
      <c r="AD219" s="219"/>
      <c r="AE219" s="219">
        <f>'Propriedades geométricas LA '!B130</f>
        <v>66.48</v>
      </c>
      <c r="AF219" s="219">
        <f>'Propriedades geométricas LA '!C130</f>
        <v>20.350000000000001</v>
      </c>
    </row>
    <row r="220" spans="7:60" hidden="1" x14ac:dyDescent="0.25">
      <c r="G220" s="209"/>
      <c r="I220" s="231"/>
      <c r="L220" s="119"/>
      <c r="AB220" s="220">
        <f>'Propriedades geométricas VI'!B131</f>
        <v>63.22</v>
      </c>
      <c r="AC220" s="220">
        <f>'Propriedades geométricas VI'!C131</f>
        <v>21.92</v>
      </c>
      <c r="AD220" s="219"/>
      <c r="AE220" s="219">
        <f>'Propriedades geométricas LA '!B131</f>
        <v>65.8</v>
      </c>
      <c r="AF220" s="219">
        <f>'Propriedades geométricas LA '!C131</f>
        <v>20.89</v>
      </c>
    </row>
    <row r="221" spans="7:60" hidden="1" x14ac:dyDescent="0.25">
      <c r="G221" s="209" t="s">
        <v>125</v>
      </c>
      <c r="H221" s="237">
        <f ca="1">2.5*L231</f>
        <v>2.54136210678592</v>
      </c>
      <c r="I221" s="231"/>
      <c r="K221" s="124" t="s">
        <v>137</v>
      </c>
      <c r="L221" s="186">
        <f ca="1">(H213-M178-H227)/(L213+L216*M176*L217*L219)</f>
        <v>-12.664158645561786</v>
      </c>
      <c r="M221" s="124" t="s">
        <v>61</v>
      </c>
      <c r="AB221" s="220">
        <f>'Propriedades geométricas VI'!B132</f>
        <v>62.55</v>
      </c>
      <c r="AC221" s="220">
        <f>'Propriedades geométricas VI'!C132</f>
        <v>21.99</v>
      </c>
      <c r="AD221" s="219"/>
      <c r="AE221" s="219">
        <f>'Propriedades geométricas LA '!B132</f>
        <v>65.150000000000006</v>
      </c>
      <c r="AF221" s="219">
        <f>'Propriedades geométricas LA '!C132</f>
        <v>21.29</v>
      </c>
    </row>
    <row r="222" spans="7:60" hidden="1" x14ac:dyDescent="0.25">
      <c r="G222" s="209" t="s">
        <v>126</v>
      </c>
      <c r="H222" s="237">
        <f ca="1">2.5*L232</f>
        <v>0</v>
      </c>
      <c r="I222" s="231"/>
      <c r="K222" s="133" t="s">
        <v>138</v>
      </c>
      <c r="L222" s="188">
        <f ca="1">(H213-M188-H228)/(L214+L216*M176*L218*L219)</f>
        <v>-12.824104549332583</v>
      </c>
      <c r="M222" s="133" t="s">
        <v>61</v>
      </c>
      <c r="AB222" s="220">
        <f>'Propriedades geométricas VI'!B133</f>
        <v>61.95</v>
      </c>
      <c r="AC222" s="220">
        <f>'Propriedades geométricas VI'!C133</f>
        <v>21.99</v>
      </c>
      <c r="AD222" s="219"/>
      <c r="AE222" s="219">
        <f>'Propriedades geométricas LA '!B133</f>
        <v>64.430000000000007</v>
      </c>
      <c r="AF222" s="219">
        <f>'Propriedades geométricas LA '!C133</f>
        <v>21.61</v>
      </c>
    </row>
    <row r="223" spans="7:60" hidden="1" x14ac:dyDescent="0.25">
      <c r="G223" s="209"/>
      <c r="I223" s="231"/>
      <c r="K223" s="699" t="s">
        <v>471</v>
      </c>
      <c r="L223" s="699"/>
      <c r="M223" s="699"/>
      <c r="AB223" s="220">
        <f>'Propriedades geométricas VI'!B134</f>
        <v>61.28</v>
      </c>
      <c r="AC223" s="220">
        <f>'Propriedades geométricas VI'!C134</f>
        <v>21.92</v>
      </c>
      <c r="AD223" s="219"/>
      <c r="AE223" s="219">
        <f>'Propriedades geométricas LA '!B134</f>
        <v>63.84</v>
      </c>
      <c r="AF223" s="219">
        <f>'Propriedades geométricas LA '!C134</f>
        <v>21.79</v>
      </c>
    </row>
    <row r="224" spans="7:60" hidden="1" x14ac:dyDescent="0.25">
      <c r="G224" s="209" t="s">
        <v>127</v>
      </c>
      <c r="H224" s="246">
        <f ca="1">-LN(1-H221/100)</f>
        <v>2.5742124730174787E-2</v>
      </c>
      <c r="I224" s="231"/>
      <c r="K224" s="119"/>
      <c r="L224" s="126" t="s">
        <v>120</v>
      </c>
      <c r="M224" s="693" t="s">
        <v>122</v>
      </c>
      <c r="V224" s="119"/>
      <c r="W224" s="119"/>
      <c r="Y224" s="119"/>
      <c r="Z224" s="119"/>
      <c r="AA224" s="119"/>
      <c r="AB224" s="220">
        <f>'Propriedades geométricas VI'!B135</f>
        <v>60.66</v>
      </c>
      <c r="AC224" s="220">
        <f>'Propriedades geométricas VI'!C135</f>
        <v>21.79</v>
      </c>
      <c r="AD224" s="219"/>
      <c r="AE224" s="219">
        <f>'Propriedades geométricas LA '!B135</f>
        <v>63.22</v>
      </c>
      <c r="AF224" s="219">
        <f>'Propriedades geométricas LA '!C135</f>
        <v>21.92</v>
      </c>
    </row>
    <row r="225" spans="7:32" hidden="1" x14ac:dyDescent="0.25">
      <c r="G225" s="209" t="s">
        <v>128</v>
      </c>
      <c r="H225" s="246">
        <f ca="1">-LN(1-H222/100)</f>
        <v>0</v>
      </c>
      <c r="I225" s="231"/>
      <c r="K225" s="131" t="s">
        <v>123</v>
      </c>
      <c r="L225" s="129" t="s">
        <v>121</v>
      </c>
      <c r="M225" s="710"/>
      <c r="V225" s="119"/>
      <c r="Y225" s="119"/>
      <c r="Z225" s="119"/>
      <c r="AA225" s="119"/>
      <c r="AB225" s="220">
        <f>'Propriedades geométricas VI'!B136</f>
        <v>60.069999999999993</v>
      </c>
      <c r="AC225" s="220">
        <f>'Propriedades geométricas VI'!C136</f>
        <v>21.61</v>
      </c>
      <c r="AD225" s="219"/>
      <c r="AE225" s="219">
        <f>'Propriedades geométricas LA '!B136</f>
        <v>62.55</v>
      </c>
      <c r="AF225" s="219">
        <f>'Propriedades geométricas LA '!C136</f>
        <v>21.99</v>
      </c>
    </row>
    <row r="226" spans="7:32" hidden="1" x14ac:dyDescent="0.25">
      <c r="G226" s="209"/>
      <c r="H226" s="187"/>
      <c r="I226" s="231"/>
      <c r="K226" s="119">
        <v>0.5</v>
      </c>
      <c r="L226" s="126">
        <v>0</v>
      </c>
      <c r="M226" s="126">
        <v>0</v>
      </c>
      <c r="V226" s="119"/>
      <c r="AB226" s="220">
        <f>'Propriedades geométricas VI'!B137</f>
        <v>59.349999999999994</v>
      </c>
      <c r="AC226" s="220">
        <f>'Propriedades geométricas VI'!C137</f>
        <v>21.29</v>
      </c>
      <c r="AD226" s="219"/>
      <c r="AE226" s="219">
        <f>'Propriedades geométricas LA '!B137</f>
        <v>61.95</v>
      </c>
      <c r="AF226" s="219">
        <f>'Propriedades geométricas LA '!C137</f>
        <v>21.99</v>
      </c>
    </row>
    <row r="227" spans="7:32" hidden="1" x14ac:dyDescent="0.25">
      <c r="G227" s="209" t="s">
        <v>129</v>
      </c>
      <c r="H227" s="237">
        <f ca="1">I194*H224</f>
        <v>2.8279575867238465</v>
      </c>
      <c r="I227" s="231" t="s">
        <v>61</v>
      </c>
      <c r="K227" s="119">
        <v>0.6</v>
      </c>
      <c r="L227" s="126">
        <v>1.3</v>
      </c>
      <c r="M227" s="126">
        <v>1.5</v>
      </c>
      <c r="V227" s="126"/>
      <c r="AB227" s="220">
        <f>'Propriedades geométricas VI'!B138</f>
        <v>58.7</v>
      </c>
      <c r="AC227" s="220">
        <f>'Propriedades geométricas VI'!C138</f>
        <v>20.89</v>
      </c>
      <c r="AD227" s="219"/>
      <c r="AE227" s="219">
        <f>'Propriedades geométricas LA '!B138</f>
        <v>61.28</v>
      </c>
      <c r="AF227" s="219">
        <f>'Propriedades geométricas LA '!C138</f>
        <v>21.92</v>
      </c>
    </row>
    <row r="228" spans="7:32" hidden="1" x14ac:dyDescent="0.25">
      <c r="G228" s="209" t="s">
        <v>130</v>
      </c>
      <c r="H228" s="237">
        <f ca="1">I195*H225</f>
        <v>0</v>
      </c>
      <c r="I228" s="231" t="s">
        <v>61</v>
      </c>
      <c r="K228" s="119">
        <v>0.7</v>
      </c>
      <c r="L228" s="126">
        <v>2.5</v>
      </c>
      <c r="M228" s="126">
        <v>4</v>
      </c>
      <c r="V228" s="126"/>
      <c r="AB228" s="220">
        <f>'Propriedades geométricas VI'!B139</f>
        <v>58.019999999999996</v>
      </c>
      <c r="AC228" s="220">
        <f>'Propriedades geométricas VI'!C139</f>
        <v>20.350000000000001</v>
      </c>
      <c r="AD228" s="219"/>
      <c r="AE228" s="219">
        <f>'Propriedades geométricas LA '!B139</f>
        <v>60.66</v>
      </c>
      <c r="AF228" s="219">
        <f>'Propriedades geométricas LA '!C139</f>
        <v>21.79</v>
      </c>
    </row>
    <row r="229" spans="7:32" hidden="1" x14ac:dyDescent="0.25">
      <c r="I229" s="231"/>
      <c r="K229" s="131">
        <v>0.8</v>
      </c>
      <c r="L229" s="129">
        <v>3.5</v>
      </c>
      <c r="M229" s="129">
        <v>7</v>
      </c>
      <c r="V229" s="126"/>
      <c r="AB229" s="220">
        <f>'Propriedades geométricas VI'!B140</f>
        <v>57.379999999999995</v>
      </c>
      <c r="AC229" s="220">
        <f>'Propriedades geométricas VI'!C140</f>
        <v>19.66</v>
      </c>
      <c r="AD229" s="219"/>
      <c r="AE229" s="219">
        <f>'Propriedades geométricas LA '!B140</f>
        <v>60.069999999999993</v>
      </c>
      <c r="AF229" s="219">
        <f>'Propriedades geométricas LA '!C140</f>
        <v>21.61</v>
      </c>
    </row>
    <row r="230" spans="7:32" hidden="1" x14ac:dyDescent="0.25">
      <c r="I230" s="231"/>
      <c r="K230" s="119"/>
      <c r="L230" s="119"/>
      <c r="M230" s="119"/>
      <c r="V230" s="126"/>
      <c r="AB230" s="220">
        <f>'Propriedades geométricas VI'!B141</f>
        <v>56.819999999999993</v>
      </c>
      <c r="AC230" s="220">
        <f>'Propriedades geométricas VI'!C141</f>
        <v>18.84</v>
      </c>
      <c r="AD230" s="219"/>
      <c r="AE230" s="219">
        <f>'Propriedades geométricas LA '!B141</f>
        <v>59.349999999999994</v>
      </c>
      <c r="AF230" s="219">
        <f>'Propriedades geométricas LA '!C141</f>
        <v>21.29</v>
      </c>
    </row>
    <row r="231" spans="7:32" hidden="1" x14ac:dyDescent="0.25">
      <c r="K231" s="251">
        <f ca="1">H218</f>
        <v>0.57819575713187443</v>
      </c>
      <c r="L231" s="251">
        <f ca="1">IF(K231&lt;=INDEX($K$226:$K$229,1),0,INDEX($L$226:$L$229,MIN(MATCH(K231,$K$226:$K$229,1),3))+(K231-INDEX($K$226:$K$229,MIN(MATCH(K231,$K$226:$K$229,1),3)))*(INDEX($L$226:$L$229,MIN(MATCH(K231,$K$226:$K$229,1),3)+1)-INDEX($L$226:$L$229,MIN(MATCH(K231,$K$226:$K$229,1),3)))/(INDEX($K$226:$K$229,MIN(MATCH(K231,$K$226:$K$229,1),3)+1)-INDEX($K$226:$K$229,MIN(MATCH(K231,$K$226:$K$229,1),3))))</f>
        <v>1.016544842714368</v>
      </c>
      <c r="M231" s="119"/>
      <c r="V231" s="119"/>
      <c r="W231" s="119"/>
      <c r="AB231" s="220">
        <f>'Propriedades geométricas VI'!B142</f>
        <v>56.33</v>
      </c>
      <c r="AC231" s="220">
        <f>'Propriedades geométricas VI'!C142</f>
        <v>17.760000000000002</v>
      </c>
      <c r="AD231" s="219"/>
      <c r="AE231" s="219">
        <f>'Propriedades geométricas LA '!B142</f>
        <v>58.7</v>
      </c>
      <c r="AF231" s="219">
        <f>'Propriedades geométricas LA '!C142</f>
        <v>20.89</v>
      </c>
    </row>
    <row r="232" spans="7:32" hidden="1" x14ac:dyDescent="0.25">
      <c r="K232" s="252">
        <f ca="1">H219</f>
        <v>0.25225229163351515</v>
      </c>
      <c r="L232" s="252">
        <f ca="1">IF(K232&lt;=INDEX($K$226:$K$229,1),0,INDEX($L$226:$L$229,MIN(MATCH(K232,$K$226:$K$229,1),3))+(K232-INDEX($K$226:$K$229,MIN(MATCH(K232,$K$226:$K$229,1),3)))*(INDEX($L$226:$L$229,MIN(MATCH(K232,$K$226:$K$229,1),3)+1)-INDEX($L$226:$L$229,MIN(MATCH(K232,$K$226:$K$229,1),3)))/(INDEX($K$226:$K$229,MIN(MATCH(K232,$K$226:$K$229,1),3)+1)-INDEX($K$226:$K$229,MIN(MATCH(K232,$K$226:$K$229,1),3))))</f>
        <v>0</v>
      </c>
      <c r="M232" s="119"/>
      <c r="AB232" s="220">
        <f>'Propriedades geométricas VI'!B143</f>
        <v>56.069999999999993</v>
      </c>
      <c r="AC232" s="220">
        <f>'Propriedades geométricas VI'!C143</f>
        <v>16.66</v>
      </c>
      <c r="AD232" s="219"/>
      <c r="AE232" s="219">
        <f>'Propriedades geométricas LA '!B143</f>
        <v>58.019999999999996</v>
      </c>
      <c r="AF232" s="219">
        <f>'Propriedades geométricas LA '!C143</f>
        <v>20.350000000000001</v>
      </c>
    </row>
    <row r="233" spans="7:32" hidden="1" x14ac:dyDescent="0.25">
      <c r="L233" s="119"/>
      <c r="AB233" s="220"/>
      <c r="AC233" s="220"/>
      <c r="AD233" s="219"/>
      <c r="AE233" s="219"/>
      <c r="AF233" s="219"/>
    </row>
    <row r="234" spans="7:32" x14ac:dyDescent="0.25">
      <c r="G234" s="635" t="s">
        <v>140</v>
      </c>
      <c r="H234" s="635"/>
      <c r="I234" s="635"/>
      <c r="J234" s="635"/>
      <c r="K234" s="635"/>
      <c r="L234" s="635"/>
      <c r="M234" s="635"/>
      <c r="N234" s="635"/>
      <c r="AB234" s="220">
        <f>'Propriedades geométricas VI'!B144</f>
        <v>56</v>
      </c>
      <c r="AC234" s="220">
        <f>'Propriedades geométricas VI'!C144</f>
        <v>15.75</v>
      </c>
      <c r="AD234" s="219"/>
      <c r="AE234" s="219">
        <f>'Propriedades geométricas LA '!B144</f>
        <v>57.379999999999995</v>
      </c>
      <c r="AF234" s="219">
        <f>'Propriedades geométricas LA '!C144</f>
        <v>19.66</v>
      </c>
    </row>
    <row r="235" spans="7:32" x14ac:dyDescent="0.25">
      <c r="I235" s="646"/>
      <c r="J235" s="646"/>
      <c r="K235" s="646"/>
      <c r="AB235" s="220">
        <f>'Propriedades geométricas VI'!B145</f>
        <v>56</v>
      </c>
      <c r="AC235" s="220">
        <f>'Propriedades geométricas VI'!C145</f>
        <v>5.8</v>
      </c>
      <c r="AD235" s="219"/>
      <c r="AE235" s="219">
        <f>'Propriedades geométricas LA '!B145</f>
        <v>56.819999999999993</v>
      </c>
      <c r="AF235" s="219">
        <f>'Propriedades geométricas LA '!C145</f>
        <v>18.84</v>
      </c>
    </row>
    <row r="236" spans="7:32" x14ac:dyDescent="0.25">
      <c r="K236" s="119" t="s">
        <v>143</v>
      </c>
      <c r="AB236" s="220">
        <f>'Propriedades geométricas VI'!B146</f>
        <v>59.150000000000006</v>
      </c>
      <c r="AC236" s="220">
        <f>'Propriedades geométricas VI'!C146</f>
        <v>3</v>
      </c>
      <c r="AD236" s="219"/>
      <c r="AE236" s="219">
        <f>'Propriedades geométricas LA '!B146</f>
        <v>56.33</v>
      </c>
      <c r="AF236" s="219">
        <f>'Propriedades geométricas LA '!C146</f>
        <v>17.760000000000002</v>
      </c>
    </row>
    <row r="237" spans="7:32" x14ac:dyDescent="0.25">
      <c r="I237" s="115" t="s">
        <v>141</v>
      </c>
      <c r="J237" s="237">
        <f ca="1">I194-ABS(L221)</f>
        <v>97.193035209494369</v>
      </c>
      <c r="K237" s="253">
        <f ca="1">100-(J237*100)/I105</f>
        <v>16.957420360992515</v>
      </c>
      <c r="AB237" s="220">
        <f>'Propriedades geométricas VI'!B147</f>
        <v>62.25</v>
      </c>
      <c r="AC237" s="220">
        <f>'Propriedades geométricas VI'!C147</f>
        <v>3</v>
      </c>
      <c r="AD237" s="219"/>
      <c r="AE237" s="219">
        <f>'Propriedades geométricas LA '!B147</f>
        <v>56.069999999999993</v>
      </c>
      <c r="AF237" s="219">
        <f>'Propriedades geométricas LA '!C147</f>
        <v>16.66</v>
      </c>
    </row>
    <row r="238" spans="7:32" x14ac:dyDescent="0.25">
      <c r="I238" s="133" t="s">
        <v>142</v>
      </c>
      <c r="J238" s="237">
        <f ca="1">I195-ABS(L222)</f>
        <v>35.103830861035291</v>
      </c>
      <c r="K238" s="253">
        <f ca="1">100-(J238*100)/L105</f>
        <v>29.792338277929417</v>
      </c>
      <c r="AB238" s="220">
        <f>'Propriedades geométricas VI'!B157</f>
        <v>50.870000000000005</v>
      </c>
      <c r="AC238" s="220">
        <f>'Propriedades geométricas VI'!C157</f>
        <v>19.66</v>
      </c>
      <c r="AD238" s="219"/>
      <c r="AE238" s="219">
        <f>'Propriedades geométricas LA '!B157</f>
        <v>52.25</v>
      </c>
      <c r="AF238" s="219">
        <f>'Propriedades geométricas LA '!C157</f>
        <v>15.75</v>
      </c>
    </row>
    <row r="239" spans="7:32" x14ac:dyDescent="0.25">
      <c r="AB239" s="220">
        <f>'Propriedades geométricas VI'!B158</f>
        <v>50.230000000000004</v>
      </c>
      <c r="AC239" s="220">
        <f>'Propriedades geométricas VI'!C158</f>
        <v>20.350000000000001</v>
      </c>
      <c r="AD239" s="219"/>
      <c r="AE239" s="219">
        <f>'Propriedades geométricas LA '!B158</f>
        <v>52.180000000000007</v>
      </c>
      <c r="AF239" s="219">
        <f>'Propriedades geométricas LA '!C158</f>
        <v>16.66</v>
      </c>
    </row>
    <row r="240" spans="7:32" hidden="1" x14ac:dyDescent="0.25">
      <c r="G240" s="635" t="s">
        <v>202</v>
      </c>
      <c r="H240" s="635"/>
      <c r="I240" s="635"/>
      <c r="J240" s="635"/>
      <c r="K240" s="635"/>
      <c r="L240" s="635"/>
      <c r="M240" s="635"/>
      <c r="N240" s="635"/>
      <c r="AB240" s="220">
        <f>'Propriedades geométricas VI'!B159</f>
        <v>49.55</v>
      </c>
      <c r="AC240" s="220">
        <f>'Propriedades geométricas VI'!C159</f>
        <v>20.89</v>
      </c>
      <c r="AD240" s="219"/>
      <c r="AE240" s="219">
        <f>'Propriedades geométricas LA '!B159</f>
        <v>51.92</v>
      </c>
      <c r="AF240" s="219">
        <f>'Propriedades geométricas LA '!C159</f>
        <v>17.760000000000002</v>
      </c>
    </row>
    <row r="241" spans="7:32" hidden="1" x14ac:dyDescent="0.25">
      <c r="AB241" s="220">
        <f>'Propriedades geométricas VI'!B160</f>
        <v>48.900000000000006</v>
      </c>
      <c r="AC241" s="220">
        <f>'Propriedades geométricas VI'!C160</f>
        <v>21.29</v>
      </c>
      <c r="AD241" s="219"/>
      <c r="AE241" s="219">
        <f>'Propriedades geométricas LA '!B160</f>
        <v>51.430000000000007</v>
      </c>
      <c r="AF241" s="219">
        <f>'Propriedades geométricas LA '!C160</f>
        <v>18.84</v>
      </c>
    </row>
    <row r="242" spans="7:32" hidden="1" x14ac:dyDescent="0.25">
      <c r="I242" s="209" t="s">
        <v>558</v>
      </c>
      <c r="J242" s="239">
        <f ca="1">H166*J237+H168*J238</f>
        <v>767.43620601416751</v>
      </c>
      <c r="K242" s="231" t="s">
        <v>96</v>
      </c>
      <c r="AB242" s="220">
        <f>'Propriedades geométricas VI'!B161</f>
        <v>48.180000000000007</v>
      </c>
      <c r="AC242" s="220">
        <f>'Propriedades geométricas VI'!C161</f>
        <v>21.61</v>
      </c>
      <c r="AD242" s="219"/>
      <c r="AE242" s="219">
        <f>'Propriedades geométricas LA '!B161</f>
        <v>50.870000000000005</v>
      </c>
      <c r="AF242" s="219">
        <f>'Propriedades geométricas LA '!C161</f>
        <v>19.66</v>
      </c>
    </row>
    <row r="243" spans="7:32" hidden="1" x14ac:dyDescent="0.25">
      <c r="I243" s="209" t="s">
        <v>559</v>
      </c>
      <c r="J243" s="239">
        <f ca="1">H166*J237*H167/100-H168*J238*H169/100</f>
        <v>72.531345375342383</v>
      </c>
      <c r="K243" s="231" t="s">
        <v>33</v>
      </c>
      <c r="AB243" s="220">
        <f>'Propriedades geométricas VI'!B162</f>
        <v>47.59</v>
      </c>
      <c r="AC243" s="220">
        <f>'Propriedades geométricas VI'!C162</f>
        <v>21.79</v>
      </c>
      <c r="AD243" s="219"/>
      <c r="AE243" s="219">
        <f>'Propriedades geométricas LA '!B162</f>
        <v>50.230000000000004</v>
      </c>
      <c r="AF243" s="219">
        <f>'Propriedades geométricas LA '!C162</f>
        <v>20.350000000000001</v>
      </c>
    </row>
    <row r="244" spans="7:32" hidden="1" x14ac:dyDescent="0.25">
      <c r="AB244" s="220">
        <f>'Propriedades geométricas VI'!B163</f>
        <v>46.97</v>
      </c>
      <c r="AC244" s="220">
        <f>'Propriedades geométricas VI'!C163</f>
        <v>21.92</v>
      </c>
      <c r="AD244" s="219"/>
      <c r="AE244" s="219">
        <f>'Propriedades geométricas LA '!B163</f>
        <v>49.55</v>
      </c>
      <c r="AF244" s="219">
        <f>'Propriedades geométricas LA '!C163</f>
        <v>20.89</v>
      </c>
    </row>
    <row r="245" spans="7:32" hidden="1" x14ac:dyDescent="0.25">
      <c r="H245" s="646" t="s">
        <v>144</v>
      </c>
      <c r="I245" s="646"/>
      <c r="J245" s="646"/>
      <c r="K245" s="646"/>
      <c r="L245" s="646"/>
      <c r="M245" s="646"/>
      <c r="AB245" s="220">
        <f>'Propriedades geométricas VI'!B165</f>
        <v>45.7</v>
      </c>
      <c r="AC245" s="220">
        <f>'Propriedades geométricas VI'!C165</f>
        <v>21.99</v>
      </c>
      <c r="AD245" s="219"/>
      <c r="AE245" s="219">
        <f>'Propriedades geométricas LA '!B165</f>
        <v>48.180000000000007</v>
      </c>
      <c r="AF245" s="219">
        <f>'Propriedades geométricas LA '!C165</f>
        <v>21.61</v>
      </c>
    </row>
    <row r="246" spans="7:32" hidden="1" x14ac:dyDescent="0.25">
      <c r="H246" s="208" t="s">
        <v>146</v>
      </c>
      <c r="I246" s="240">
        <f>0.7*H58*1000</f>
        <v>35000</v>
      </c>
      <c r="J246" s="208" t="s">
        <v>63</v>
      </c>
      <c r="K246" s="117" t="s">
        <v>145</v>
      </c>
      <c r="L246" s="208"/>
      <c r="M246" s="117" t="s">
        <v>146</v>
      </c>
      <c r="AB246" s="220">
        <f>'Propriedades geométricas VI'!B166</f>
        <v>45.03</v>
      </c>
      <c r="AC246" s="220">
        <f>'Propriedades geométricas VI'!C166</f>
        <v>21.92</v>
      </c>
      <c r="AD246" s="219"/>
      <c r="AE246" s="219">
        <f>'Propriedades geométricas LA '!B166</f>
        <v>47.59</v>
      </c>
      <c r="AF246" s="219">
        <f>'Propriedades geométricas LA '!C166</f>
        <v>21.79</v>
      </c>
    </row>
    <row r="247" spans="7:32" hidden="1" x14ac:dyDescent="0.25">
      <c r="H247" s="133" t="s">
        <v>145</v>
      </c>
      <c r="I247" s="239">
        <f>0.21*POWER(H58,2/3)*1000</f>
        <v>2850.1384974246516</v>
      </c>
      <c r="J247" s="133" t="s">
        <v>63</v>
      </c>
      <c r="K247" s="239">
        <f>-I247</f>
        <v>-2850.1384974246516</v>
      </c>
      <c r="L247" s="117" t="s">
        <v>164</v>
      </c>
      <c r="M247" s="240">
        <f>I246</f>
        <v>35000</v>
      </c>
      <c r="AB247" s="220">
        <f>'Propriedades geométricas VI'!B167</f>
        <v>44.41</v>
      </c>
      <c r="AC247" s="220">
        <f>'Propriedades geométricas VI'!C167</f>
        <v>21.79</v>
      </c>
      <c r="AD247" s="219"/>
      <c r="AE247" s="219">
        <f>'Propriedades geométricas LA '!B167</f>
        <v>46.97</v>
      </c>
      <c r="AF247" s="219">
        <f>'Propriedades geométricas LA '!C167</f>
        <v>21.92</v>
      </c>
    </row>
    <row r="248" spans="7:32" hidden="1" x14ac:dyDescent="0.25">
      <c r="AB248" s="220">
        <f>'Propriedades geométricas VI'!B168</f>
        <v>43.819999999999993</v>
      </c>
      <c r="AC248" s="220">
        <f>'Propriedades geométricas VI'!C168</f>
        <v>21.61</v>
      </c>
      <c r="AD248" s="219"/>
      <c r="AE248" s="219">
        <f>'Propriedades geométricas LA '!B168</f>
        <v>46.3</v>
      </c>
      <c r="AF248" s="219">
        <f>'Propriedades geométricas LA '!C168</f>
        <v>21.99</v>
      </c>
    </row>
    <row r="249" spans="7:32" hidden="1" x14ac:dyDescent="0.25">
      <c r="G249" s="192"/>
      <c r="AB249" s="220">
        <f>'Propriedades geométricas VI'!B169</f>
        <v>43.099999999999994</v>
      </c>
      <c r="AC249" s="220">
        <f>'Propriedades geométricas VI'!C169</f>
        <v>21.29</v>
      </c>
      <c r="AD249" s="219"/>
      <c r="AE249" s="219">
        <f>'Propriedades geométricas LA '!B169</f>
        <v>45.7</v>
      </c>
      <c r="AF249" s="219">
        <f>'Propriedades geométricas LA '!C169</f>
        <v>21.99</v>
      </c>
    </row>
    <row r="250" spans="7:32" hidden="1" x14ac:dyDescent="0.25">
      <c r="G250" s="635" t="s">
        <v>147</v>
      </c>
      <c r="H250" s="635"/>
      <c r="I250" s="635"/>
      <c r="J250" s="635"/>
      <c r="K250" s="635"/>
      <c r="L250" s="635"/>
      <c r="M250" s="635"/>
      <c r="N250" s="635"/>
      <c r="AB250" s="220">
        <f>'Propriedades geométricas VI'!B170</f>
        <v>42.45</v>
      </c>
      <c r="AC250" s="220">
        <f>'Propriedades geométricas VI'!C170</f>
        <v>20.89</v>
      </c>
      <c r="AD250" s="219"/>
      <c r="AE250" s="219">
        <f>'Propriedades geométricas LA '!B170</f>
        <v>45.03</v>
      </c>
      <c r="AF250" s="219">
        <f>'Propriedades geométricas LA '!C170</f>
        <v>21.92</v>
      </c>
    </row>
    <row r="251" spans="7:32" hidden="1" x14ac:dyDescent="0.25">
      <c r="G251" s="210"/>
      <c r="L251" s="210"/>
      <c r="M251" s="210"/>
      <c r="N251" s="210"/>
      <c r="AB251" s="220">
        <f>'Propriedades geométricas VI'!B171</f>
        <v>41.769999999999996</v>
      </c>
      <c r="AC251" s="220">
        <f>'Propriedades geométricas VI'!C171</f>
        <v>20.350000000000001</v>
      </c>
      <c r="AD251" s="219"/>
      <c r="AE251" s="219">
        <f>'Propriedades geométricas LA '!B171</f>
        <v>44.41</v>
      </c>
      <c r="AF251" s="219">
        <f>'Propriedades geométricas LA '!C171</f>
        <v>21.79</v>
      </c>
    </row>
    <row r="252" spans="7:32" hidden="1" x14ac:dyDescent="0.25">
      <c r="G252" s="646" t="s">
        <v>149</v>
      </c>
      <c r="H252" s="646"/>
      <c r="I252" s="646"/>
      <c r="J252" s="646"/>
      <c r="K252" s="645" t="s">
        <v>155</v>
      </c>
      <c r="L252" s="646"/>
      <c r="M252" s="646"/>
      <c r="N252" s="646"/>
      <c r="AB252" s="220">
        <f>'Propriedades geométricas VI'!B172</f>
        <v>41.129999999999995</v>
      </c>
      <c r="AC252" s="220">
        <f>'Propriedades geométricas VI'!C172</f>
        <v>19.66</v>
      </c>
      <c r="AD252" s="219"/>
      <c r="AE252" s="219">
        <f>'Propriedades geométricas LA '!B172</f>
        <v>43.819999999999993</v>
      </c>
      <c r="AF252" s="219">
        <f>'Propriedades geométricas LA '!C172</f>
        <v>21.61</v>
      </c>
    </row>
    <row r="253" spans="7:32" hidden="1" x14ac:dyDescent="0.25">
      <c r="G253" s="117" t="s">
        <v>148</v>
      </c>
      <c r="H253" s="239">
        <f ca="1">H256+H257-H258-H259-H260</f>
        <v>-1594.006526491215</v>
      </c>
      <c r="I253" s="280" t="s">
        <v>63</v>
      </c>
      <c r="J253" s="361">
        <f ca="1">H253/1000</f>
        <v>-1.5940065264912151</v>
      </c>
      <c r="K253" s="117" t="s">
        <v>148</v>
      </c>
      <c r="L253" s="239">
        <f ca="1">L256+L257-L258-L259</f>
        <v>1083.3735471938803</v>
      </c>
      <c r="M253" s="280" t="s">
        <v>63</v>
      </c>
      <c r="N253" s="361">
        <f ca="1">L253/1000</f>
        <v>1.0833735471938803</v>
      </c>
      <c r="AB253" s="220">
        <f>'Propriedades geométricas VI'!B173</f>
        <v>40.569999999999993</v>
      </c>
      <c r="AC253" s="220">
        <f>'Propriedades geométricas VI'!C173</f>
        <v>18.84</v>
      </c>
      <c r="AD253" s="219"/>
      <c r="AE253" s="219">
        <f>'Propriedades geométricas LA '!B173</f>
        <v>43.099999999999994</v>
      </c>
      <c r="AF253" s="219">
        <f>'Propriedades geométricas LA '!C173</f>
        <v>21.29</v>
      </c>
    </row>
    <row r="254" spans="7:32" hidden="1" x14ac:dyDescent="0.25">
      <c r="AB254" s="220">
        <f>'Propriedades geométricas VI'!B174</f>
        <v>40.08</v>
      </c>
      <c r="AC254" s="220">
        <f>'Propriedades geométricas VI'!C174</f>
        <v>17.760000000000002</v>
      </c>
      <c r="AD254" s="219"/>
      <c r="AE254" s="219">
        <f>'Propriedades geométricas LA '!B174</f>
        <v>42.45</v>
      </c>
      <c r="AF254" s="219">
        <f>'Propriedades geométricas LA '!C174</f>
        <v>20.89</v>
      </c>
    </row>
    <row r="255" spans="7:32" hidden="1" x14ac:dyDescent="0.25">
      <c r="AB255" s="220">
        <f>'Propriedades geométricas VI'!B175</f>
        <v>39.819999999999993</v>
      </c>
      <c r="AC255" s="220">
        <f>'Propriedades geométricas VI'!C175</f>
        <v>16.66</v>
      </c>
      <c r="AD255" s="219"/>
      <c r="AE255" s="219">
        <f>'Propriedades geométricas LA '!B175</f>
        <v>41.769999999999996</v>
      </c>
      <c r="AF255" s="219">
        <f>'Propriedades geométricas LA '!C175</f>
        <v>20.350000000000001</v>
      </c>
    </row>
    <row r="256" spans="7:32" hidden="1" x14ac:dyDescent="0.25">
      <c r="G256" s="209" t="s">
        <v>150</v>
      </c>
      <c r="H256" s="239">
        <f ca="1">J242/(H36/100^2)</f>
        <v>4922.9873465439887</v>
      </c>
      <c r="K256" s="209" t="s">
        <v>150</v>
      </c>
      <c r="L256" s="239">
        <f ca="1">J242/(H36/100^2)</f>
        <v>4922.9873465439887</v>
      </c>
      <c r="AB256" s="220">
        <f>'Propriedades geométricas VI'!B176</f>
        <v>39.75</v>
      </c>
      <c r="AC256" s="220">
        <f>'Propriedades geométricas VI'!C176</f>
        <v>15.75</v>
      </c>
      <c r="AD256" s="219"/>
      <c r="AE256" s="219">
        <f>'Propriedades geométricas LA '!B176</f>
        <v>41.129999999999995</v>
      </c>
      <c r="AF256" s="219">
        <f>'Propriedades geométricas LA '!C176</f>
        <v>19.66</v>
      </c>
    </row>
    <row r="257" spans="7:32" hidden="1" x14ac:dyDescent="0.25">
      <c r="G257" s="209" t="s">
        <v>151</v>
      </c>
      <c r="H257" s="239">
        <f ca="1">J243/(H41/100^3)</f>
        <v>7258.2959862892349</v>
      </c>
      <c r="K257" s="209" t="s">
        <v>151</v>
      </c>
      <c r="L257" s="239">
        <f ca="1">J243/(H41/100^3)</f>
        <v>7258.2959862892349</v>
      </c>
      <c r="AB257" s="220">
        <f>'Propriedades geométricas VI'!B177</f>
        <v>39.75</v>
      </c>
      <c r="AC257" s="220">
        <f>'Propriedades geométricas VI'!C177</f>
        <v>5.8</v>
      </c>
      <c r="AD257" s="219"/>
      <c r="AE257" s="219">
        <f>'Propriedades geométricas LA '!B177</f>
        <v>40.569999999999993</v>
      </c>
      <c r="AF257" s="219">
        <f>'Propriedades geométricas LA '!C177</f>
        <v>18.84</v>
      </c>
    </row>
    <row r="258" spans="7:32" hidden="1" x14ac:dyDescent="0.25">
      <c r="G258" s="209" t="s">
        <v>153</v>
      </c>
      <c r="H258" s="239">
        <f ca="1">(J81+J82+J83)/(H41/100^3)</f>
        <v>7575.0412676326387</v>
      </c>
      <c r="J258" s="121"/>
      <c r="K258" s="209" t="s">
        <v>153</v>
      </c>
      <c r="L258" s="239">
        <f ca="1">(J81+J82+J83)/(H41/100^3)</f>
        <v>7575.0412676326387</v>
      </c>
      <c r="AB258" s="220">
        <f>'Propriedades geométricas VI'!B178</f>
        <v>42.900000000000006</v>
      </c>
      <c r="AC258" s="220">
        <f>'Propriedades geométricas VI'!C178</f>
        <v>3</v>
      </c>
      <c r="AD258" s="219"/>
      <c r="AE258" s="219">
        <f>'Propriedades geométricas LA '!B178</f>
        <v>40.08</v>
      </c>
      <c r="AF258" s="219">
        <f>'Propriedades geométricas LA '!C178</f>
        <v>17.760000000000002</v>
      </c>
    </row>
    <row r="259" spans="7:32" hidden="1" x14ac:dyDescent="0.25">
      <c r="G259" s="209" t="s">
        <v>152</v>
      </c>
      <c r="H259" s="239">
        <f ca="1">(J84+J85)/(I41/100^3)</f>
        <v>3522.8685180067046</v>
      </c>
      <c r="K259" s="209" t="s">
        <v>152</v>
      </c>
      <c r="L259" s="239">
        <f ca="1">(J84+J85)/(I41/100^3)</f>
        <v>3522.8685180067046</v>
      </c>
      <c r="AB259" s="220">
        <f>'Propriedades geométricas VI'!B179</f>
        <v>46</v>
      </c>
      <c r="AC259" s="220">
        <f>'Propriedades geométricas VI'!C179</f>
        <v>3</v>
      </c>
      <c r="AD259" s="219"/>
      <c r="AE259" s="219">
        <f>'Propriedades geométricas LA '!B179</f>
        <v>39.819999999999993</v>
      </c>
      <c r="AF259" s="219">
        <f>'Propriedades geométricas LA '!C179</f>
        <v>16.66</v>
      </c>
    </row>
    <row r="260" spans="7:32" hidden="1" x14ac:dyDescent="0.25">
      <c r="G260" s="209" t="s">
        <v>154</v>
      </c>
      <c r="H260" s="239">
        <f ca="1">(H52*J86)/(I41/100^3)</f>
        <v>2677.3800736850953</v>
      </c>
      <c r="J260" s="121"/>
      <c r="AB260" s="220">
        <f>'Propriedades geométricas VI'!B180</f>
        <v>46</v>
      </c>
      <c r="AC260" s="220">
        <f>'Propriedades geométricas VI'!C180</f>
        <v>0</v>
      </c>
      <c r="AD260" s="219"/>
      <c r="AE260" s="219">
        <f>'Propriedades geométricas LA '!B180</f>
        <v>39.75</v>
      </c>
      <c r="AF260" s="219">
        <f>'Propriedades geométricas LA '!C180</f>
        <v>15.75</v>
      </c>
    </row>
    <row r="261" spans="7:32" hidden="1" x14ac:dyDescent="0.25">
      <c r="J261" s="121"/>
      <c r="AB261" s="220">
        <f>'Propriedades geométricas VI'!B181</f>
        <v>29.799999999999997</v>
      </c>
      <c r="AC261" s="220">
        <f>'Propriedades geométricas VI'!C181</f>
        <v>0</v>
      </c>
      <c r="AD261" s="219"/>
      <c r="AE261" s="219">
        <f>'Propriedades geométricas LA '!B181</f>
        <v>39.75</v>
      </c>
      <c r="AF261" s="219">
        <f>'Propriedades geométricas LA '!C181</f>
        <v>5.8</v>
      </c>
    </row>
    <row r="262" spans="7:32" hidden="1" x14ac:dyDescent="0.25">
      <c r="AB262" s="220">
        <f>'Propriedades geométricas VI'!B182</f>
        <v>29.799999999999997</v>
      </c>
      <c r="AC262" s="220">
        <f>'Propriedades geométricas VI'!C182</f>
        <v>3</v>
      </c>
      <c r="AD262" s="219"/>
      <c r="AE262" s="219">
        <f>'Propriedades geométricas LA '!B182</f>
        <v>42.900000000000006</v>
      </c>
      <c r="AF262" s="219">
        <f>'Propriedades geométricas LA '!C182</f>
        <v>3</v>
      </c>
    </row>
    <row r="263" spans="7:32" hidden="1" x14ac:dyDescent="0.25">
      <c r="G263" s="635" t="s">
        <v>156</v>
      </c>
      <c r="H263" s="635"/>
      <c r="I263" s="635"/>
      <c r="J263" s="635"/>
      <c r="K263" s="635"/>
      <c r="L263" s="635"/>
      <c r="M263" s="635"/>
      <c r="N263" s="635"/>
      <c r="AB263" s="220">
        <f>'Propriedades geométricas VI'!B183</f>
        <v>32.849999999999994</v>
      </c>
      <c r="AC263" s="220">
        <f>'Propriedades geométricas VI'!C183</f>
        <v>3</v>
      </c>
      <c r="AD263" s="219"/>
      <c r="AE263" s="219">
        <f>'Propriedades geométricas LA '!B183</f>
        <v>46</v>
      </c>
      <c r="AF263" s="219">
        <f>'Propriedades geométricas LA '!C183</f>
        <v>3</v>
      </c>
    </row>
    <row r="264" spans="7:32" hidden="1" x14ac:dyDescent="0.25">
      <c r="H264" s="126"/>
      <c r="AB264" s="220"/>
      <c r="AC264" s="219"/>
      <c r="AD264" s="219"/>
      <c r="AE264" s="219">
        <f>'Propriedades geométricas LA '!B184</f>
        <v>46</v>
      </c>
      <c r="AF264" s="219">
        <f>'Propriedades geométricas LA '!C184</f>
        <v>0</v>
      </c>
    </row>
    <row r="265" spans="7:32" hidden="1" x14ac:dyDescent="0.25">
      <c r="G265" s="115" t="s">
        <v>157</v>
      </c>
      <c r="H265" s="254">
        <f ca="1">(H23-I24)/100</f>
        <v>8.9982108504115241E-2</v>
      </c>
      <c r="I265" s="231" t="s">
        <v>83</v>
      </c>
      <c r="AB265" s="220"/>
      <c r="AC265" s="219"/>
      <c r="AD265" s="219"/>
      <c r="AE265" s="219">
        <f>'Propriedades geométricas LA '!B185</f>
        <v>29.799999999999997</v>
      </c>
      <c r="AF265" s="219">
        <f>'Propriedades geométricas LA '!C185</f>
        <v>0</v>
      </c>
    </row>
    <row r="266" spans="7:32" hidden="1" x14ac:dyDescent="0.25">
      <c r="G266" s="115" t="s">
        <v>158</v>
      </c>
      <c r="H266" s="254">
        <f ca="1">I37/(100^4)/H265</f>
        <v>2.281813786430582E-2</v>
      </c>
      <c r="I266" s="231" t="s">
        <v>159</v>
      </c>
      <c r="AB266" s="220"/>
      <c r="AC266" s="219"/>
      <c r="AD266" s="219"/>
      <c r="AE266" s="219">
        <f>'Propriedades geométricas LA '!B186</f>
        <v>29.799999999999997</v>
      </c>
      <c r="AF266" s="219">
        <f>'Propriedades geométricas LA '!C186</f>
        <v>3</v>
      </c>
    </row>
    <row r="267" spans="7:32" hidden="1" x14ac:dyDescent="0.25">
      <c r="H267" s="126"/>
      <c r="AB267" s="220"/>
      <c r="AC267" s="219"/>
      <c r="AD267" s="219"/>
      <c r="AE267" s="219">
        <f>'Propriedades geométricas LA '!B187</f>
        <v>32.849999999999994</v>
      </c>
      <c r="AF267" s="219">
        <f>'Propriedades geométricas LA '!C187</f>
        <v>3</v>
      </c>
    </row>
    <row r="268" spans="7:32" hidden="1" x14ac:dyDescent="0.25">
      <c r="G268" s="699" t="s">
        <v>149</v>
      </c>
      <c r="H268" s="699"/>
      <c r="I268" s="699"/>
      <c r="J268" s="699"/>
      <c r="K268" s="645" t="s">
        <v>155</v>
      </c>
      <c r="L268" s="646"/>
      <c r="M268" s="646"/>
      <c r="N268" s="646"/>
    </row>
    <row r="269" spans="7:32" hidden="1" x14ac:dyDescent="0.25">
      <c r="G269" s="117" t="s">
        <v>148</v>
      </c>
      <c r="H269" s="239">
        <f ca="1">H271-H272+H273+H274+H275</f>
        <v>8728.7760001181869</v>
      </c>
      <c r="I269" s="117" t="s">
        <v>63</v>
      </c>
      <c r="J269" s="361">
        <f ca="1">H269/1000</f>
        <v>8.7287760001181862</v>
      </c>
      <c r="K269" s="117" t="s">
        <v>148</v>
      </c>
      <c r="L269" s="239">
        <f ca="1">L271-L272+L273+L274</f>
        <v>7223.2174526023673</v>
      </c>
      <c r="M269" s="117" t="s">
        <v>63</v>
      </c>
      <c r="N269" s="361">
        <f ca="1">L269/1000</f>
        <v>7.2232174526023671</v>
      </c>
    </row>
    <row r="270" spans="7:32" hidden="1" x14ac:dyDescent="0.25"/>
    <row r="271" spans="7:32" hidden="1" x14ac:dyDescent="0.25">
      <c r="G271" s="209" t="s">
        <v>150</v>
      </c>
      <c r="H271" s="239">
        <f ca="1">J242/(H36/100^2)</f>
        <v>4922.9873465439887</v>
      </c>
      <c r="K271" s="209" t="s">
        <v>150</v>
      </c>
      <c r="L271" s="239">
        <f ca="1">J242/(H36/100^2)</f>
        <v>4922.9873465439887</v>
      </c>
    </row>
    <row r="272" spans="7:32" hidden="1" x14ac:dyDescent="0.25">
      <c r="G272" s="209" t="s">
        <v>160</v>
      </c>
      <c r="H272" s="239">
        <f ca="1">J243/(H40/100^3)</f>
        <v>7315.2801502470074</v>
      </c>
      <c r="K272" s="209" t="s">
        <v>160</v>
      </c>
      <c r="L272" s="239">
        <f ca="1">J243/(H40/100^3)</f>
        <v>7315.2801502470074</v>
      </c>
    </row>
    <row r="273" spans="7:17" hidden="1" x14ac:dyDescent="0.25">
      <c r="G273" s="209" t="s">
        <v>161</v>
      </c>
      <c r="H273" s="239">
        <f ca="1">(J81+J82+J83)/(H40/100^3)</f>
        <v>7634.5121674687807</v>
      </c>
      <c r="J273" s="121"/>
      <c r="K273" s="209" t="s">
        <v>161</v>
      </c>
      <c r="L273" s="239">
        <f ca="1">(J81+J82+J83)/(H40/100^3)</f>
        <v>7634.5121674687807</v>
      </c>
    </row>
    <row r="274" spans="7:17" hidden="1" x14ac:dyDescent="0.25">
      <c r="G274" s="209" t="s">
        <v>162</v>
      </c>
      <c r="H274" s="239">
        <f ca="1">(J84+J85)/(H266)</f>
        <v>1980.9980888366051</v>
      </c>
      <c r="K274" s="209" t="s">
        <v>162</v>
      </c>
      <c r="L274" s="239">
        <f ca="1">(J84+J85)/(H266)</f>
        <v>1980.9980888366051</v>
      </c>
    </row>
    <row r="275" spans="7:17" hidden="1" x14ac:dyDescent="0.25">
      <c r="G275" s="209" t="s">
        <v>163</v>
      </c>
      <c r="H275" s="239">
        <f ca="1">(H52*J86)/(H266)</f>
        <v>1505.5585475158198</v>
      </c>
    </row>
    <row r="276" spans="7:17" hidden="1" x14ac:dyDescent="0.25"/>
    <row r="277" spans="7:17" x14ac:dyDescent="0.25">
      <c r="G277" s="635" t="s">
        <v>757</v>
      </c>
      <c r="H277" s="635"/>
      <c r="I277" s="635"/>
      <c r="J277" s="635"/>
      <c r="K277" s="635"/>
      <c r="L277" s="635"/>
      <c r="M277" s="635"/>
      <c r="N277" s="635"/>
    </row>
    <row r="278" spans="7:17" x14ac:dyDescent="0.25">
      <c r="G278" s="645" t="s">
        <v>205</v>
      </c>
      <c r="H278" s="646"/>
      <c r="I278" s="646"/>
      <c r="J278" s="646"/>
      <c r="K278" s="646"/>
      <c r="L278" s="646"/>
      <c r="M278" s="646"/>
      <c r="N278" s="647"/>
    </row>
    <row r="279" spans="7:17" x14ac:dyDescent="0.25">
      <c r="G279" s="211" t="s">
        <v>443</v>
      </c>
      <c r="H279" s="211" t="s">
        <v>444</v>
      </c>
      <c r="I279" s="211" t="s">
        <v>445</v>
      </c>
      <c r="J279" s="211" t="s">
        <v>446</v>
      </c>
      <c r="K279" s="211" t="s">
        <v>447</v>
      </c>
      <c r="L279" s="211" t="s">
        <v>448</v>
      </c>
      <c r="M279" s="211" t="s">
        <v>449</v>
      </c>
      <c r="N279" s="211" t="s">
        <v>450</v>
      </c>
    </row>
    <row r="280" spans="7:17" x14ac:dyDescent="0.25">
      <c r="G280" s="204">
        <f>(((($H$21/100)/20)-$H$280)*-1)</f>
        <v>0</v>
      </c>
      <c r="H280" s="204">
        <f>($H$21/100)/20</f>
        <v>0.49099999999999999</v>
      </c>
      <c r="I280" s="204">
        <f>(($H$21/100)/20)+$H$280</f>
        <v>0.98199999999999998</v>
      </c>
      <c r="J280" s="204">
        <f>(($H$21/100)/20)+$I$280</f>
        <v>1.4729999999999999</v>
      </c>
      <c r="K280" s="204">
        <f>(($H$21/100)/20)+$J$280</f>
        <v>1.964</v>
      </c>
      <c r="L280" s="204">
        <f>(($H$21/100)/20)+$K$280</f>
        <v>2.4550000000000001</v>
      </c>
      <c r="M280" s="204">
        <f>(($H$21/100)/20)+$L$280</f>
        <v>2.9460000000000002</v>
      </c>
      <c r="N280" s="204">
        <f>(($H$21/100)/20)+$M$280</f>
        <v>3.4370000000000003</v>
      </c>
    </row>
    <row r="281" spans="7:17" x14ac:dyDescent="0.25">
      <c r="G281" s="144">
        <f t="shared" ref="G281:N281" ca="1" si="3">(($I$73+$I$74+$I$75)*($H$21/100)*G280/2)-(($I$73+$I$74+$I$75)*G280^2/2)</f>
        <v>0</v>
      </c>
      <c r="H281" s="144">
        <f t="shared" ca="1" si="3"/>
        <v>14.38234369830997</v>
      </c>
      <c r="I281" s="144">
        <f t="shared" ca="1" si="3"/>
        <v>27.250756481008363</v>
      </c>
      <c r="J281" s="144">
        <f t="shared" ca="1" si="3"/>
        <v>38.605238348095185</v>
      </c>
      <c r="K281" s="144">
        <f t="shared" ca="1" si="3"/>
        <v>48.445789299570421</v>
      </c>
      <c r="L281" s="144">
        <f t="shared" ca="1" si="3"/>
        <v>56.772409335434091</v>
      </c>
      <c r="M281" s="144">
        <f t="shared" ca="1" si="3"/>
        <v>63.585098455686193</v>
      </c>
      <c r="N281" s="144">
        <f t="shared" ca="1" si="3"/>
        <v>68.8838566603267</v>
      </c>
    </row>
    <row r="282" spans="7:17" x14ac:dyDescent="0.25">
      <c r="G282" s="211" t="s">
        <v>451</v>
      </c>
      <c r="H282" s="211" t="s">
        <v>452</v>
      </c>
      <c r="I282" s="211" t="s">
        <v>453</v>
      </c>
      <c r="J282" s="211" t="s">
        <v>454</v>
      </c>
      <c r="K282" s="211" t="s">
        <v>455</v>
      </c>
      <c r="L282" s="211" t="s">
        <v>456</v>
      </c>
      <c r="M282" s="211" t="s">
        <v>457</v>
      </c>
      <c r="N282" s="212" t="s">
        <v>458</v>
      </c>
      <c r="Q282" s="643"/>
    </row>
    <row r="283" spans="7:17" x14ac:dyDescent="0.25">
      <c r="G283" s="204">
        <f>(($H$21/100)/20)+$N$280</f>
        <v>3.9280000000000004</v>
      </c>
      <c r="H283" s="204">
        <f>(($H$21/100)/20)+$G$283</f>
        <v>4.4190000000000005</v>
      </c>
      <c r="I283" s="204">
        <f>(($H$21/100)/20)+$H$283</f>
        <v>4.91</v>
      </c>
      <c r="J283" s="204">
        <f>(($H$21/100)/20)+$I$283</f>
        <v>5.4009999999999998</v>
      </c>
      <c r="K283" s="204">
        <f>(($H$21/100)/20)+$J$283</f>
        <v>5.8919999999999995</v>
      </c>
      <c r="L283" s="204">
        <f>(($H$21/100)/20)+$K$283</f>
        <v>6.3829999999999991</v>
      </c>
      <c r="M283" s="204">
        <f>(($H$21/100)/20)+$L$283</f>
        <v>6.8739999999999988</v>
      </c>
      <c r="N283" s="204">
        <f>(($H$21/100)/20)+$M$283</f>
        <v>7.3649999999999984</v>
      </c>
      <c r="Q283" s="643"/>
    </row>
    <row r="284" spans="7:17" x14ac:dyDescent="0.25">
      <c r="G284" s="144">
        <f t="shared" ref="G284:N284" ca="1" si="4">(($I$73+$I$74+$I$75)*($H$21/100)*G283/2)-(($I$73+$I$74+$I$75)*G283^2/2)</f>
        <v>72.668683949355653</v>
      </c>
      <c r="H284" s="144">
        <f t="shared" ca="1" si="4"/>
        <v>74.939580322773011</v>
      </c>
      <c r="I284" s="144">
        <f t="shared" ca="1" si="4"/>
        <v>75.696545780578788</v>
      </c>
      <c r="J284" s="144">
        <f t="shared" ca="1" si="4"/>
        <v>74.939580322773011</v>
      </c>
      <c r="K284" s="144">
        <f t="shared" ca="1" si="4"/>
        <v>72.668683949355653</v>
      </c>
      <c r="L284" s="144">
        <f t="shared" ca="1" si="4"/>
        <v>68.8838566603267</v>
      </c>
      <c r="M284" s="144">
        <f t="shared" ca="1" si="4"/>
        <v>63.585098455686222</v>
      </c>
      <c r="N284" s="144">
        <f t="shared" ca="1" si="4"/>
        <v>56.772409335434162</v>
      </c>
      <c r="Q284" s="643"/>
    </row>
    <row r="285" spans="7:17" x14ac:dyDescent="0.25">
      <c r="G285" s="211" t="s">
        <v>459</v>
      </c>
      <c r="H285" s="211" t="s">
        <v>460</v>
      </c>
      <c r="I285" s="211" t="s">
        <v>461</v>
      </c>
      <c r="J285" s="211" t="s">
        <v>462</v>
      </c>
      <c r="K285" s="211" t="s">
        <v>463</v>
      </c>
    </row>
    <row r="286" spans="7:17" x14ac:dyDescent="0.25">
      <c r="G286" s="204">
        <f>(($H$21/100)/20)+$N$283</f>
        <v>7.8559999999999981</v>
      </c>
      <c r="H286" s="204">
        <f>(($H$21/100)/20)+$G$286</f>
        <v>8.3469999999999978</v>
      </c>
      <c r="I286" s="204">
        <f>(($H$21/100)/20)+$H$286</f>
        <v>8.8379999999999974</v>
      </c>
      <c r="J286" s="204">
        <f>(($H$21/100)/20)+$I$286</f>
        <v>9.3289999999999971</v>
      </c>
      <c r="K286" s="204">
        <f>(($H$21/100)/20)+$J$286</f>
        <v>9.8199999999999967</v>
      </c>
    </row>
    <row r="287" spans="7:17" x14ac:dyDescent="0.25">
      <c r="G287" s="144">
        <f ca="1">(($I$73+$I$74+$I$75)*($H$21/100)*G286/2)-(($I$73+$I$74+$I$75)*G286^2/2)</f>
        <v>48.445789299570464</v>
      </c>
      <c r="H287" s="144">
        <f ca="1">(($I$73+$I$74+$I$75)*($H$21/100)*H286/2)-(($I$73+$I$74+$I$75)*H286^2/2)</f>
        <v>38.60523834809527</v>
      </c>
      <c r="I287" s="144">
        <f ca="1">(($I$73+$I$74+$I$75)*($H$21/100)*I286/2)-(($I$73+$I$74+$I$75)*I286^2/2)</f>
        <v>27.250756481008466</v>
      </c>
      <c r="J287" s="144">
        <f ca="1">(($I$73+$I$74+$I$75)*($H$21/100)*J286/2)-(($I$73+$I$74+$I$75)*J286^2/2)</f>
        <v>14.382343698310081</v>
      </c>
      <c r="K287" s="144">
        <f ca="1">(($I$73+$I$74+$I$75)*($H$21/100)*K286/2)-(($I$73+$I$74+$I$75)*K286^2/2)</f>
        <v>0</v>
      </c>
    </row>
    <row r="288" spans="7:17" x14ac:dyDescent="0.25">
      <c r="K288" s="116"/>
    </row>
    <row r="289" spans="7:27" x14ac:dyDescent="0.25">
      <c r="G289" s="645" t="s">
        <v>204</v>
      </c>
      <c r="H289" s="646"/>
      <c r="I289" s="646"/>
      <c r="J289" s="646"/>
      <c r="K289" s="646"/>
      <c r="L289" s="646"/>
      <c r="M289" s="646"/>
      <c r="N289" s="647"/>
      <c r="Q289" s="144"/>
    </row>
    <row r="290" spans="7:27" x14ac:dyDescent="0.25">
      <c r="G290" s="211" t="s">
        <v>443</v>
      </c>
      <c r="H290" s="211" t="s">
        <v>444</v>
      </c>
      <c r="I290" s="211" t="s">
        <v>445</v>
      </c>
      <c r="J290" s="211" t="s">
        <v>446</v>
      </c>
      <c r="K290" s="211" t="s">
        <v>447</v>
      </c>
      <c r="L290" s="211" t="s">
        <v>448</v>
      </c>
      <c r="M290" s="211" t="s">
        <v>449</v>
      </c>
      <c r="N290" s="211" t="s">
        <v>450</v>
      </c>
    </row>
    <row r="291" spans="7:27" x14ac:dyDescent="0.25">
      <c r="G291" s="204">
        <f>(((($H$21/100)/20)-$H291)*-1)</f>
        <v>0</v>
      </c>
      <c r="H291" s="204">
        <f>($H$21/100)/20</f>
        <v>0.49099999999999999</v>
      </c>
      <c r="I291" s="204">
        <f t="shared" ref="I291:N291" si="5">(($H$21/100)/20)+H291</f>
        <v>0.98199999999999998</v>
      </c>
      <c r="J291" s="204">
        <f t="shared" si="5"/>
        <v>1.4729999999999999</v>
      </c>
      <c r="K291" s="204">
        <f t="shared" si="5"/>
        <v>1.964</v>
      </c>
      <c r="L291" s="204">
        <f t="shared" si="5"/>
        <v>2.4550000000000001</v>
      </c>
      <c r="M291" s="204">
        <f t="shared" si="5"/>
        <v>2.9460000000000002</v>
      </c>
      <c r="N291" s="204">
        <f t="shared" si="5"/>
        <v>3.4370000000000003</v>
      </c>
    </row>
    <row r="292" spans="7:27" x14ac:dyDescent="0.25">
      <c r="G292" s="144">
        <f t="shared" ref="G292:N292" si="6">(($I$76+$I$77)*($H$21/100)*G291/2)-(($I$76+$I$77)*G291^2/2)</f>
        <v>0</v>
      </c>
      <c r="H292" s="144">
        <f t="shared" si="6"/>
        <v>8.5885106250000014</v>
      </c>
      <c r="I292" s="144">
        <f t="shared" si="6"/>
        <v>16.272967500000004</v>
      </c>
      <c r="J292" s="144">
        <f t="shared" si="6"/>
        <v>23.053370624999999</v>
      </c>
      <c r="K292" s="144">
        <f t="shared" si="6"/>
        <v>28.929720000000003</v>
      </c>
      <c r="L292" s="144">
        <f t="shared" si="6"/>
        <v>33.902015625000004</v>
      </c>
      <c r="M292" s="144">
        <f t="shared" si="6"/>
        <v>37.97025750000001</v>
      </c>
      <c r="N292" s="144">
        <f t="shared" si="6"/>
        <v>41.134445625000005</v>
      </c>
    </row>
    <row r="293" spans="7:27" x14ac:dyDescent="0.25">
      <c r="G293" s="211" t="s">
        <v>451</v>
      </c>
      <c r="H293" s="211" t="s">
        <v>452</v>
      </c>
      <c r="I293" s="211" t="s">
        <v>453</v>
      </c>
      <c r="J293" s="211" t="s">
        <v>454</v>
      </c>
      <c r="K293" s="211" t="s">
        <v>455</v>
      </c>
      <c r="L293" s="211" t="s">
        <v>456</v>
      </c>
      <c r="M293" s="211" t="s">
        <v>457</v>
      </c>
      <c r="N293" s="212" t="s">
        <v>458</v>
      </c>
    </row>
    <row r="294" spans="7:27" x14ac:dyDescent="0.25">
      <c r="G294" s="204">
        <f>(($H$21/100)/20)+N291</f>
        <v>3.9280000000000004</v>
      </c>
      <c r="H294" s="204">
        <f t="shared" ref="H294:N294" si="7">(($H$21/100)/20)+G294</f>
        <v>4.4190000000000005</v>
      </c>
      <c r="I294" s="204">
        <f>(($H$21/100)/20)+H294</f>
        <v>4.91</v>
      </c>
      <c r="J294" s="204">
        <f t="shared" si="7"/>
        <v>5.4009999999999998</v>
      </c>
      <c r="K294" s="204">
        <f t="shared" si="7"/>
        <v>5.8919999999999995</v>
      </c>
      <c r="L294" s="204">
        <f t="shared" si="7"/>
        <v>6.3829999999999991</v>
      </c>
      <c r="M294" s="204">
        <f t="shared" si="7"/>
        <v>6.8739999999999988</v>
      </c>
      <c r="N294" s="204">
        <f t="shared" si="7"/>
        <v>7.3649999999999984</v>
      </c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 spans="7:27" x14ac:dyDescent="0.25">
      <c r="G295" s="144">
        <f t="shared" ref="G295:N295" si="8">(($I$76+$I$77)*($H$21/100)*G294/2)-(($I$76+$I$77)*G294^2/2)</f>
        <v>43.394580000000005</v>
      </c>
      <c r="H295" s="144">
        <f t="shared" si="8"/>
        <v>44.750660625000009</v>
      </c>
      <c r="I295" s="144">
        <f t="shared" si="8"/>
        <v>45.202687500000003</v>
      </c>
      <c r="J295" s="144">
        <f t="shared" si="8"/>
        <v>44.750660625000009</v>
      </c>
      <c r="K295" s="144">
        <f t="shared" si="8"/>
        <v>43.394580000000005</v>
      </c>
      <c r="L295" s="144">
        <f t="shared" si="8"/>
        <v>41.134445625000012</v>
      </c>
      <c r="M295" s="144">
        <f t="shared" si="8"/>
        <v>37.970257500000031</v>
      </c>
      <c r="N295" s="144">
        <f t="shared" si="8"/>
        <v>33.902015625000033</v>
      </c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 spans="7:27" x14ac:dyDescent="0.25">
      <c r="G296" s="211" t="s">
        <v>459</v>
      </c>
      <c r="H296" s="211" t="s">
        <v>460</v>
      </c>
      <c r="I296" s="211" t="s">
        <v>461</v>
      </c>
      <c r="J296" s="211" t="s">
        <v>462</v>
      </c>
      <c r="K296" s="211" t="s">
        <v>463</v>
      </c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 spans="7:27" x14ac:dyDescent="0.25">
      <c r="G297" s="204">
        <f>(($H$21/100)/20)+N294</f>
        <v>7.8559999999999981</v>
      </c>
      <c r="H297" s="204">
        <f>(($H$21/100)/20)+G297</f>
        <v>8.3469999999999978</v>
      </c>
      <c r="I297" s="204">
        <f>(($H$21/100)/20)+H297</f>
        <v>8.8379999999999974</v>
      </c>
      <c r="J297" s="204">
        <f>(($H$21/100)/20)+I297</f>
        <v>9.3289999999999971</v>
      </c>
      <c r="K297" s="204">
        <f>(($H$21/100)/20)+J297</f>
        <v>9.8199999999999967</v>
      </c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 spans="7:27" x14ac:dyDescent="0.25">
      <c r="G298" s="144">
        <f>(($I$76+$I$77)*($H$21/100)*G297/2)-(($I$76+$I$77)*G297^2/2)</f>
        <v>28.929720000000046</v>
      </c>
      <c r="H298" s="144">
        <f>(($I$76+$I$77)*($H$21/100)*H297/2)-(($I$76+$I$77)*H297^2/2)</f>
        <v>23.053370625000042</v>
      </c>
      <c r="I298" s="144">
        <f>(($I$76+$I$77)*($H$21/100)*I297/2)-(($I$76+$I$77)*I297^2/2)</f>
        <v>16.27296750000005</v>
      </c>
      <c r="J298" s="144">
        <f>(($I$76+$I$77)*($H$21/100)*J297/2)-(($I$76+$I$77)*J297^2/2)</f>
        <v>8.5885106250000547</v>
      </c>
      <c r="K298" s="144">
        <f>(($I$76+$I$77)*($H$21/100)*K297/2)-(($I$76+$I$77)*K297^2/2)</f>
        <v>0</v>
      </c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 spans="7:27" x14ac:dyDescent="0.25">
      <c r="G299" s="144"/>
      <c r="H299" s="144"/>
      <c r="I299" s="144"/>
      <c r="J299" s="144"/>
      <c r="K299" s="144"/>
      <c r="L299" s="144"/>
      <c r="M299" s="144"/>
      <c r="N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 spans="7:27" x14ac:dyDescent="0.25">
      <c r="G300" s="645" t="s">
        <v>203</v>
      </c>
      <c r="H300" s="646"/>
      <c r="I300" s="646"/>
      <c r="J300" s="646"/>
      <c r="K300" s="646"/>
      <c r="L300" s="646"/>
      <c r="M300" s="646"/>
      <c r="N300" s="647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 spans="7:27" x14ac:dyDescent="0.25">
      <c r="G301" s="211" t="s">
        <v>443</v>
      </c>
      <c r="H301" s="211" t="s">
        <v>444</v>
      </c>
      <c r="I301" s="211" t="s">
        <v>445</v>
      </c>
      <c r="J301" s="211" t="s">
        <v>446</v>
      </c>
      <c r="K301" s="211" t="s">
        <v>447</v>
      </c>
      <c r="L301" s="211" t="s">
        <v>448</v>
      </c>
      <c r="M301" s="211" t="s">
        <v>449</v>
      </c>
      <c r="N301" s="211" t="s">
        <v>450</v>
      </c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 spans="7:27" x14ac:dyDescent="0.25">
      <c r="G302" s="204">
        <f>(((($H$21/100)/20)-$H$302)*-1)</f>
        <v>0</v>
      </c>
      <c r="H302" s="204">
        <f>($H$21/100)/20</f>
        <v>0.49099999999999999</v>
      </c>
      <c r="I302" s="204">
        <f t="shared" ref="I302:N302" si="9">(($H$21/100)/20)+H302</f>
        <v>0.98199999999999998</v>
      </c>
      <c r="J302" s="204">
        <f t="shared" si="9"/>
        <v>1.4729999999999999</v>
      </c>
      <c r="K302" s="204">
        <f t="shared" si="9"/>
        <v>1.964</v>
      </c>
      <c r="L302" s="204">
        <f t="shared" si="9"/>
        <v>2.4550000000000001</v>
      </c>
      <c r="M302" s="204">
        <f t="shared" si="9"/>
        <v>2.9460000000000002</v>
      </c>
      <c r="N302" s="204">
        <f t="shared" si="9"/>
        <v>3.4370000000000003</v>
      </c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 spans="7:27" x14ac:dyDescent="0.25">
      <c r="G303" s="144">
        <f t="shared" ref="G303:N303" si="10">(($I$78)*($H$21/100)*G302/2)-(($I$78)*G302^2/2)</f>
        <v>0</v>
      </c>
      <c r="H303" s="144">
        <f t="shared" si="10"/>
        <v>10.878780125</v>
      </c>
      <c r="I303" s="144">
        <f t="shared" si="10"/>
        <v>20.612425500000001</v>
      </c>
      <c r="J303" s="144">
        <f t="shared" si="10"/>
        <v>29.200936124999998</v>
      </c>
      <c r="K303" s="144">
        <f t="shared" si="10"/>
        <v>36.644311999999999</v>
      </c>
      <c r="L303" s="144">
        <f t="shared" si="10"/>
        <v>42.942553125000003</v>
      </c>
      <c r="M303" s="144">
        <f t="shared" si="10"/>
        <v>48.095659500000011</v>
      </c>
      <c r="N303" s="144">
        <f t="shared" si="10"/>
        <v>52.103631125000007</v>
      </c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 spans="7:27" x14ac:dyDescent="0.25">
      <c r="G304" s="211" t="s">
        <v>451</v>
      </c>
      <c r="H304" s="211" t="s">
        <v>452</v>
      </c>
      <c r="I304" s="211" t="s">
        <v>453</v>
      </c>
      <c r="J304" s="211" t="s">
        <v>454</v>
      </c>
      <c r="K304" s="211" t="s">
        <v>455</v>
      </c>
      <c r="L304" s="211" t="s">
        <v>456</v>
      </c>
      <c r="M304" s="211" t="s">
        <v>457</v>
      </c>
      <c r="N304" s="212" t="s">
        <v>458</v>
      </c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 spans="7:27" x14ac:dyDescent="0.25">
      <c r="G305" s="204">
        <f>(($H$21/100)/20)+N302</f>
        <v>3.9280000000000004</v>
      </c>
      <c r="H305" s="204">
        <f t="shared" ref="H305:N305" si="11">(($H$21/100)/20)+G305</f>
        <v>4.4190000000000005</v>
      </c>
      <c r="I305" s="204">
        <f t="shared" si="11"/>
        <v>4.91</v>
      </c>
      <c r="J305" s="204">
        <f t="shared" si="11"/>
        <v>5.4009999999999998</v>
      </c>
      <c r="K305" s="204">
        <f t="shared" si="11"/>
        <v>5.8919999999999995</v>
      </c>
      <c r="L305" s="204">
        <f t="shared" si="11"/>
        <v>6.3829999999999991</v>
      </c>
      <c r="M305" s="204">
        <f t="shared" si="11"/>
        <v>6.8739999999999988</v>
      </c>
      <c r="N305" s="204">
        <f t="shared" si="11"/>
        <v>7.3649999999999984</v>
      </c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 spans="7:27" x14ac:dyDescent="0.25">
      <c r="G306" s="144">
        <f t="shared" ref="G306:N306" si="12">(($I$78)*($H$21/100)*G305/2)-(($I$78)*G305^2/2)</f>
        <v>54.966468000000013</v>
      </c>
      <c r="H306" s="144">
        <f t="shared" si="12"/>
        <v>56.684170125000001</v>
      </c>
      <c r="I306" s="144">
        <f t="shared" si="12"/>
        <v>57.256737500000014</v>
      </c>
      <c r="J306" s="144">
        <f t="shared" si="12"/>
        <v>56.684170125000009</v>
      </c>
      <c r="K306" s="144">
        <f t="shared" si="12"/>
        <v>54.966468000000006</v>
      </c>
      <c r="L306" s="144">
        <f t="shared" si="12"/>
        <v>52.103631125000007</v>
      </c>
      <c r="M306" s="144">
        <f t="shared" si="12"/>
        <v>48.095659500000039</v>
      </c>
      <c r="N306" s="144">
        <f t="shared" si="12"/>
        <v>42.942553125000046</v>
      </c>
    </row>
    <row r="307" spans="7:27" x14ac:dyDescent="0.25">
      <c r="G307" s="211" t="s">
        <v>459</v>
      </c>
      <c r="H307" s="211" t="s">
        <v>460</v>
      </c>
      <c r="I307" s="211" t="s">
        <v>461</v>
      </c>
      <c r="J307" s="211" t="s">
        <v>462</v>
      </c>
      <c r="K307" s="211" t="s">
        <v>463</v>
      </c>
    </row>
    <row r="308" spans="7:27" x14ac:dyDescent="0.25">
      <c r="G308" s="204">
        <f>(($H$21/100)/20)+N305</f>
        <v>7.8559999999999981</v>
      </c>
      <c r="H308" s="204">
        <f>(($H$21/100)/20)+G308</f>
        <v>8.3469999999999978</v>
      </c>
      <c r="I308" s="204">
        <f>(($H$21/100)/20)+H308</f>
        <v>8.8379999999999974</v>
      </c>
      <c r="J308" s="204">
        <f>(($H$21/100)/20)+I308</f>
        <v>9.3289999999999971</v>
      </c>
      <c r="K308" s="204">
        <f>(($H$21/100)/20)+J308</f>
        <v>9.8199999999999967</v>
      </c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</row>
    <row r="309" spans="7:27" x14ac:dyDescent="0.25">
      <c r="G309" s="144">
        <f>(($I$78)*($H$21/100)*G308/2)-(($I$78)*G308^2/2)</f>
        <v>36.644312000000014</v>
      </c>
      <c r="H309" s="144">
        <f>(($I$78)*($H$21/100)*H308/2)-(($I$78)*H308^2/2)</f>
        <v>29.200936125000055</v>
      </c>
      <c r="I309" s="144">
        <f>(($I$78)*($H$21/100)*I308/2)-(($I$78)*I308^2/2)</f>
        <v>20.612425500000057</v>
      </c>
      <c r="J309" s="144">
        <f>(($I$78)*($H$21/100)*J308/2)-(($I$78)*J308^2/2)</f>
        <v>10.878780125000077</v>
      </c>
      <c r="K309" s="144">
        <f>(($I$78)*($H$21/100)*K308/2)-(($I$78)*K308^2/2)</f>
        <v>0</v>
      </c>
    </row>
    <row r="310" spans="7:27" x14ac:dyDescent="0.25">
      <c r="H310" s="144"/>
    </row>
    <row r="311" spans="7:27" x14ac:dyDescent="0.25">
      <c r="H311" s="638" t="s">
        <v>199</v>
      </c>
      <c r="I311" s="638"/>
      <c r="J311" s="638"/>
      <c r="K311" s="638"/>
      <c r="L311" s="638"/>
      <c r="M311" s="117" t="s">
        <v>180</v>
      </c>
    </row>
    <row r="312" spans="7:27" ht="15.75" thickBot="1" x14ac:dyDescent="0.3">
      <c r="H312" s="115" t="s">
        <v>169</v>
      </c>
      <c r="I312" s="144">
        <v>0</v>
      </c>
      <c r="J312" s="231" t="s">
        <v>63</v>
      </c>
      <c r="K312" s="142">
        <f>I312/1000</f>
        <v>0</v>
      </c>
      <c r="L312" s="231" t="s">
        <v>60</v>
      </c>
      <c r="M312" s="142">
        <f>S314</f>
        <v>3.4201661969095816</v>
      </c>
      <c r="P312" s="643" t="s">
        <v>180</v>
      </c>
      <c r="Q312" s="643"/>
      <c r="R312" s="643"/>
      <c r="S312" s="643"/>
      <c r="Y312" s="115" t="s">
        <v>60</v>
      </c>
    </row>
    <row r="313" spans="7:27" x14ac:dyDescent="0.25">
      <c r="H313" s="115" t="s">
        <v>170</v>
      </c>
      <c r="I313" s="350">
        <f ca="1">-(IF(Geometria!$H$280&lt;Geometria!$J$1030/100,Tensões!V9,IF(Tensões!H9="Sim",'Isolamento de cabos'!$C$58,'Perdas por Seção'!D97))/($H$36/100^2))+(IF(Geometria!$H$280&lt;Geometria!$J$1030/100,Tensões!W9,IF(Tensões!H9="Sim",'Isolamento de cabos'!$C$59,'Perdas por Seção'!D98))/($H$40/100^3))-((H$281)/($H$40/100^3))-(($H$292)/($I$37/100^4))*(($I$25)/100)-(($H$52*$H$303)/($I$37/100^4))*(($I$25)/100)</f>
        <v>-275.51425162078442</v>
      </c>
      <c r="J313" s="231" t="s">
        <v>63</v>
      </c>
      <c r="K313" s="353">
        <f t="shared" ref="K313:K322" ca="1" si="13">I313/1000</f>
        <v>-0.27551425162078441</v>
      </c>
      <c r="L313" s="231" t="s">
        <v>60</v>
      </c>
      <c r="M313" s="142">
        <f>S314</f>
        <v>3.4201661969095816</v>
      </c>
      <c r="P313" s="115" t="s">
        <v>146</v>
      </c>
      <c r="Q313" s="119">
        <f>0.7*H58*-1000</f>
        <v>-35000</v>
      </c>
      <c r="R313" s="115" t="s">
        <v>63</v>
      </c>
      <c r="S313" s="119">
        <f>Q313/1000</f>
        <v>-35</v>
      </c>
      <c r="Y313" s="115" t="s">
        <v>60</v>
      </c>
    </row>
    <row r="314" spans="7:27" x14ac:dyDescent="0.25">
      <c r="H314" s="115" t="s">
        <v>171</v>
      </c>
      <c r="I314" s="351">
        <f ca="1">-(IF(Geometria!$I$280&lt;Geometria!$J$1030/100,Tensões!V10,IF(Tensões!H10="Sim",'Isolamento de cabos'!$C$58,'Perdas por Seção'!E97))/($H$36/100^2))+(IF(Geometria!$I$280&lt;Geometria!$J$1030/100,Tensões!W10,IF(Tensões!H10="Sim",'Isolamento de cabos'!$C$59,'Perdas por Seção'!E98))/($H$40/100^3))-(($I$281)/($H$40/100^3))-(($I$292)/($I$37/100^4))*(($I$25)/100)-(($H$52*$I$303)/($I$37/100^4))*(($I$25)/100)</f>
        <v>-2456.1772939715001</v>
      </c>
      <c r="J314" s="231" t="s">
        <v>63</v>
      </c>
      <c r="K314" s="354">
        <f t="shared" ca="1" si="13"/>
        <v>-2.4561772939715003</v>
      </c>
      <c r="L314" s="231" t="s">
        <v>60</v>
      </c>
      <c r="M314" s="142">
        <f>M313</f>
        <v>3.4201661969095816</v>
      </c>
      <c r="P314" s="115" t="s">
        <v>145</v>
      </c>
      <c r="Q314" s="144">
        <f>(0.7*0.3*POWER(H58,2/3)*1000)*1.2</f>
        <v>3420.1661969095817</v>
      </c>
      <c r="R314" s="115" t="s">
        <v>63</v>
      </c>
      <c r="S314" s="142">
        <f>Q314/1000</f>
        <v>3.4201661969095816</v>
      </c>
    </row>
    <row r="315" spans="7:27" x14ac:dyDescent="0.25">
      <c r="H315" s="115" t="s">
        <v>172</v>
      </c>
      <c r="I315" s="351">
        <f ca="1">-(IF(Geometria!$J$280&lt;Geometria!$J$1030/100,Tensões!V11,IF(Tensões!H11="Sim",'Isolamento de cabos'!$C$58,'Perdas por Seção'!F97))/($H$36/100^2))+(IF(Geometria!$J$280&lt;Geometria!$J$1030/100,Tensões!W11,IF(Tensões!H11="Sim",'Isolamento de cabos'!$C$59,'Perdas por Seção'!F98))/($H$40/100^3))-(($J$281)/($H$40/100^3))-(($J$292)/($I$37/100^4))*(($I$25)/100)-(($H$52*$J$303)/($I$37/100^4))*(($I$25)/100)</f>
        <v>-4380.3292478678241</v>
      </c>
      <c r="J315" s="231" t="s">
        <v>63</v>
      </c>
      <c r="K315" s="354">
        <f t="shared" ca="1" si="13"/>
        <v>-4.3803292478678237</v>
      </c>
      <c r="L315" s="231" t="s">
        <v>60</v>
      </c>
      <c r="M315" s="142">
        <f t="shared" ref="M315:M332" si="14">M314</f>
        <v>3.4201661969095816</v>
      </c>
    </row>
    <row r="316" spans="7:27" x14ac:dyDescent="0.25">
      <c r="H316" s="115" t="s">
        <v>173</v>
      </c>
      <c r="I316" s="351">
        <f ca="1">-(IF(Geometria!$K$280&lt;Geometria!$J$1030/100,Tensões!V12,IF(Tensões!H12="Sim",'Isolamento de cabos'!$C$58,'Perdas por Seção'!G97))/($H$36/100^2))+(IF(Geometria!$K$280&lt;Geometria!$J$1030/100,Tensões!W12,IF(Tensões!H12="Sim",'Isolamento de cabos'!$C$59,'Perdas por Seção'!G98))/($H$40/100^3))-(($K$281)/($H$40/100^3))-(($K$292)/($I$37/100^4))*(($I$25)/100)-(($H$52*$K$303)/($I$37/100^4))*(($I$25)/100)</f>
        <v>-6047.9560307816955</v>
      </c>
      <c r="J316" s="231" t="s">
        <v>63</v>
      </c>
      <c r="K316" s="354">
        <f t="shared" ca="1" si="13"/>
        <v>-6.0479560307816955</v>
      </c>
      <c r="L316" s="231" t="s">
        <v>60</v>
      </c>
      <c r="M316" s="142">
        <f t="shared" si="14"/>
        <v>3.4201661969095816</v>
      </c>
    </row>
    <row r="317" spans="7:27" x14ac:dyDescent="0.25">
      <c r="H317" s="115" t="s">
        <v>174</v>
      </c>
      <c r="I317" s="351">
        <f ca="1">-(IF(Geometria!$L$280&lt;Geometria!$J$1030/100,Tensões!V13,IF(Tensões!H13="Sim",'Isolamento de cabos'!$C$58,'Perdas por Seção'!H97))/($H$36/100^2))+(IF(Geometria!$L$280&lt;Geometria!$J$1030/100,Tensões!W13,IF(Tensões!H13="Sim",'Isolamento de cabos'!$C$59,'Perdas por Seção'!H98))/($H$40/100^3))-(($L$281)/($H$40/100^3))-(($L$292)/($I$37/100^4))*(($I$25)/100)-(($H$52*$L$303)/($I$37/100^4))*(($I$25)/100)</f>
        <v>-7459.0454500313235</v>
      </c>
      <c r="J317" s="231" t="s">
        <v>63</v>
      </c>
      <c r="K317" s="354">
        <f t="shared" ca="1" si="13"/>
        <v>-7.4590454500313239</v>
      </c>
      <c r="L317" s="231" t="s">
        <v>60</v>
      </c>
      <c r="M317" s="142">
        <f t="shared" si="14"/>
        <v>3.4201661969095816</v>
      </c>
    </row>
    <row r="318" spans="7:27" x14ac:dyDescent="0.25">
      <c r="H318" s="115" t="s">
        <v>175</v>
      </c>
      <c r="I318" s="351">
        <f ca="1">-(IF(Geometria!$M$280&lt;Geometria!$J$1030/100,Tensões!V14,IF(Tensões!H14="Sim",'Isolamento de cabos'!$C$58,'Perdas por Seção'!I97))/($H$36/100^2))+(IF(Geometria!$M$280&lt;Geometria!$J$1030/100,Tensões!W14,IF(Tensões!H14="Sim",'Isolamento de cabos'!$C$59,'Perdas por Seção'!I98))/($H$40/100^3))-(($M$281)/($H$40/100^3))-(($M$292)/($I$37/100^4))*(($I$25)/100)-(($H$52*$M$303)/($I$37/100^4))*(($I$25)/100)</f>
        <v>-8613.5871975483078</v>
      </c>
      <c r="J318" s="231" t="s">
        <v>63</v>
      </c>
      <c r="K318" s="354">
        <f t="shared" ca="1" si="13"/>
        <v>-8.6135871975483074</v>
      </c>
      <c r="L318" s="231" t="s">
        <v>60</v>
      </c>
      <c r="M318" s="142">
        <f t="shared" si="14"/>
        <v>3.4201661969095816</v>
      </c>
    </row>
    <row r="319" spans="7:27" x14ac:dyDescent="0.25">
      <c r="H319" s="115" t="s">
        <v>176</v>
      </c>
      <c r="I319" s="351">
        <f ca="1">-(IF(Geometria!$N$280&lt;Geometria!$J$1030/100,Tensões!V15,IF(Tensões!H15="Sim",'Isolamento de cabos'!$C$58,'Perdas por Seção'!J97))/($H$36/100^2))+(IF(Geometria!$N$280&lt;Geometria!$J$1030/100,Tensões!W15,IF(Tensões!H15="Sim",'Isolamento de cabos'!$C$59,'Perdas por Seção'!J98))/($H$40/100^3))-(($N$281)/($H$40/100^3))-(($N$292)/($I$37/100^4))*(($I$25)/100)-(($H$52*$N$303)/($I$37/100^4))*(($I$25)/100)</f>
        <v>-9511.5728454610671</v>
      </c>
      <c r="J319" s="231" t="s">
        <v>63</v>
      </c>
      <c r="K319" s="354">
        <f t="shared" ca="1" si="13"/>
        <v>-9.5115728454610675</v>
      </c>
      <c r="L319" s="231" t="s">
        <v>60</v>
      </c>
      <c r="M319" s="142">
        <f t="shared" si="14"/>
        <v>3.4201661969095816</v>
      </c>
    </row>
    <row r="320" spans="7:27" x14ac:dyDescent="0.25">
      <c r="H320" s="115" t="s">
        <v>177</v>
      </c>
      <c r="I320" s="351">
        <f ca="1">-(IF(Geometria!$G$283&lt;Geometria!$J$1030/100,Tensões!V16,IF(Tensões!H16="Sim",'Isolamento de cabos'!$C$58,'Perdas por Seção'!K97))/($H$36/100^2))+(IF(Geometria!$G$283&lt;Geometria!$J$1030/100,Tensões!W16,IF(Tensões!H16="Sim",'Isolamento de cabos'!$C$59,'Perdas por Seção'!K98))/($H$40/100^3))-(($G$284)/($H$40/100^3))-(($G$295)/($I$37/100^4))*(($I$25)/100)-(($H$52*$G$306)/($I$37/100^4))*(($I$25)/100)</f>
        <v>-10152.995842489032</v>
      </c>
      <c r="J320" s="231" t="s">
        <v>63</v>
      </c>
      <c r="K320" s="354">
        <f t="shared" ca="1" si="13"/>
        <v>-10.152995842489032</v>
      </c>
      <c r="L320" s="231" t="s">
        <v>60</v>
      </c>
      <c r="M320" s="142">
        <f t="shared" si="14"/>
        <v>3.4201661969095816</v>
      </c>
    </row>
    <row r="321" spans="7:13" x14ac:dyDescent="0.25">
      <c r="H321" s="115" t="s">
        <v>178</v>
      </c>
      <c r="I321" s="351">
        <f ca="1">-(IF(Geometria!$H$283&lt;Geometria!$J$1030/100,Tensões!V17,IF(Tensões!H17="Sim",'Isolamento de cabos'!$C$58,'Perdas por Seção'!L97))/($H$36/100^2))+(IF(Geometria!$H$283&lt;Geometria!$J$1030/100,Tensões!W17,IF(Tensões!H17="Sim",'Isolamento de cabos'!$C$59,'Perdas por Seção'!L98))/($H$40/100^3))-(($H$284)/($H$40/100^3))-(($H$295)/($I$37/100^4))*(($I$25)/100)-(($H$52*$H$306)/($I$37/100^4))*(($I$25)/100)</f>
        <v>-10537.851511142824</v>
      </c>
      <c r="J321" s="231" t="s">
        <v>63</v>
      </c>
      <c r="K321" s="354">
        <f t="shared" ca="1" si="13"/>
        <v>-10.537851511142824</v>
      </c>
      <c r="L321" s="231" t="s">
        <v>60</v>
      </c>
      <c r="M321" s="142">
        <f t="shared" si="14"/>
        <v>3.4201661969095816</v>
      </c>
    </row>
    <row r="322" spans="7:13" x14ac:dyDescent="0.25">
      <c r="H322" s="115" t="s">
        <v>179</v>
      </c>
      <c r="I322" s="351">
        <f ca="1">-(IF(Geometria!$I$283&lt;Geometria!$J$1030/100,Tensões!V18,IF(Tensões!H18="Sim",'Isolamento de cabos'!$C$58,'Perdas por Seção'!M97))/($H$36/100^2))+(IF(Geometria!$I$283&lt;Geometria!$J$1030/100,Tensões!W18,IF(Tensões!H18="Sim",'Isolamento de cabos'!$C$59,'Perdas por Seção'!M98))/($H$40/100^3))-(($I$284)/($H$40/100^3))-(($I$295)/($I$37/100^4))*(($I$25)/100)-(($H$52*$I$306)/($I$37/100^4))*(($I$25)/100)</f>
        <v>-10666.137045727031</v>
      </c>
      <c r="J322" s="231" t="s">
        <v>63</v>
      </c>
      <c r="K322" s="354">
        <f t="shared" ca="1" si="13"/>
        <v>-10.666137045727032</v>
      </c>
      <c r="L322" s="231" t="s">
        <v>60</v>
      </c>
      <c r="M322" s="142">
        <f t="shared" si="14"/>
        <v>3.4201661969095816</v>
      </c>
    </row>
    <row r="323" spans="7:13" x14ac:dyDescent="0.25">
      <c r="G323" s="118"/>
      <c r="H323" s="115" t="s">
        <v>359</v>
      </c>
      <c r="I323" s="351">
        <f ca="1">-(IF(Geometria!$H$283&lt;Geometria!$J$1030/100,Tensões!V19,IF(Tensões!H19="Sim",'Isolamento de cabos'!$C$58,'Perdas por Seção'!N97))/($H$36/100^2))+(IF(Geometria!$H$283&lt;Geometria!$J$1030/100,Tensões!W19,IF(Tensões!H19="Sim",'Isolamento de cabos'!$C$59,'Perdas por Seção'!N98))/($H$40/100^3))-(($J$284)/($H$40/100^3))-(($J$295)/($I$37/100^4))*(($I$25)/100)-(($H$52*$J$306)/($I$37/100^4))*(($I$25)/100)</f>
        <v>-10537.851511142826</v>
      </c>
      <c r="J323" s="231" t="str">
        <f>J322</f>
        <v>kN/m²</v>
      </c>
      <c r="K323" s="354">
        <f t="shared" ref="K323:K332" ca="1" si="15">I323/1000</f>
        <v>-10.537851511142826</v>
      </c>
      <c r="L323" s="231" t="s">
        <v>60</v>
      </c>
      <c r="M323" s="142">
        <f t="shared" si="14"/>
        <v>3.4201661969095816</v>
      </c>
    </row>
    <row r="324" spans="7:13" x14ac:dyDescent="0.25">
      <c r="H324" s="115" t="s">
        <v>360</v>
      </c>
      <c r="I324" s="351">
        <f ca="1">-(IF(Geometria!$G$283&lt;Geometria!$J$1030/100,Tensões!V20,IF(Tensões!H20="Sim",'Isolamento de cabos'!$C$58,'Perdas por Seção'!O97))/($H$36/100^2))+(IF(Geometria!$G$283&lt;Geometria!$J$1030/100,Tensões!W20,IF(Tensões!H20="Sim",'Isolamento de cabos'!$C$59,'Perdas por Seção'!O98))/($H$40/100^3))-(($K$284)/($H$40/100^3))-(($K$295)/($I$37/100^4))*(($I$25)/100)-(($H$52*$K$306)/($I$37/100^4))*(($I$25)/100)</f>
        <v>-10152.99584248903</v>
      </c>
      <c r="J324" s="231" t="str">
        <f t="shared" ref="J324:J331" si="16">J323</f>
        <v>kN/m²</v>
      </c>
      <c r="K324" s="354">
        <f t="shared" ca="1" si="15"/>
        <v>-10.15299584248903</v>
      </c>
      <c r="L324" s="231" t="s">
        <v>60</v>
      </c>
      <c r="M324" s="142">
        <f t="shared" si="14"/>
        <v>3.4201661969095816</v>
      </c>
    </row>
    <row r="325" spans="7:13" x14ac:dyDescent="0.25">
      <c r="H325" s="115" t="s">
        <v>361</v>
      </c>
      <c r="I325" s="351">
        <f ca="1">-(IF(Geometria!$N$280&lt;Geometria!$J$1030/100,Tensões!V21,IF(Tensões!H21="Sim",'Isolamento de cabos'!$C$58,'Perdas por Seção'!P97))/($H$36/100^2))+(IF(Geometria!$N$280&lt;Geometria!$J$1030/100,Tensões!W21,IF(Tensões!H21="Sim",'Isolamento de cabos'!$C$59,'Perdas por Seção'!P98))/($H$40/100^3))-(($L$284)/($H$40/100^3))-(($L$295)/($I$37/100^4))*(($I$25)/100)-(($H$52*$L$306)/($I$37/100^4))*(($I$25)/100)</f>
        <v>-9511.5728454610671</v>
      </c>
      <c r="J325" s="231" t="str">
        <f t="shared" si="16"/>
        <v>kN/m²</v>
      </c>
      <c r="K325" s="354">
        <f t="shared" ca="1" si="15"/>
        <v>-9.5115728454610675</v>
      </c>
      <c r="L325" s="231" t="s">
        <v>60</v>
      </c>
      <c r="M325" s="142">
        <f t="shared" si="14"/>
        <v>3.4201661969095816</v>
      </c>
    </row>
    <row r="326" spans="7:13" x14ac:dyDescent="0.25">
      <c r="H326" s="115" t="s">
        <v>362</v>
      </c>
      <c r="I326" s="351">
        <f ca="1">-(IF(Geometria!$M$280&lt;Geometria!$J$1030/100,Tensões!V22,IF(Tensões!H22="Sim",'Isolamento de cabos'!$C$58,'Perdas por Seção'!Q97))/($H$36/100^2))+(IF(Geometria!$M$280&lt;Geometria!$J$1030/100,Tensões!W22,IF(Tensões!H22="Sim",'Isolamento de cabos'!$C$59,'Perdas por Seção'!Q98))/($H$40/100^3))-(($M$284)/($H$40/100^3))-(($M$295)/($I$37/100^4))*(($I$25)/100)-(($H$52*$M$306)/($I$37/100^4))*(($I$25)/100)</f>
        <v>-8613.5871975483133</v>
      </c>
      <c r="J326" s="231" t="str">
        <f t="shared" si="16"/>
        <v>kN/m²</v>
      </c>
      <c r="K326" s="354">
        <f t="shared" ca="1" si="15"/>
        <v>-8.6135871975483127</v>
      </c>
      <c r="L326" s="231" t="s">
        <v>60</v>
      </c>
      <c r="M326" s="142">
        <f t="shared" si="14"/>
        <v>3.4201661969095816</v>
      </c>
    </row>
    <row r="327" spans="7:13" x14ac:dyDescent="0.25">
      <c r="H327" s="115" t="s">
        <v>363</v>
      </c>
      <c r="I327" s="351">
        <f ca="1">-(IF(Geometria!$L$280&lt;Geometria!$J$1030/100,Tensões!V23,IF(Tensões!H23="Sim",'Isolamento de cabos'!$C$58,'Perdas por Seção'!R97))/($H$36/100^2))+(IF(Geometria!$L$280&lt;Geometria!$J$1030/100,Tensões!W23,IF(Tensões!H23="Sim",'Isolamento de cabos'!$C$59,'Perdas por Seção'!R98))/($H$40/100^3))-(($N$284)/($H$40/100^3))-(($N$295)/($I$37/100^4))*(($I$25)/100)-(($H$52*$N$306)/($I$37/100^4))*(($I$25)/100)</f>
        <v>-7459.0454500313344</v>
      </c>
      <c r="J327" s="231" t="str">
        <f t="shared" si="16"/>
        <v>kN/m²</v>
      </c>
      <c r="K327" s="354">
        <f t="shared" ca="1" si="15"/>
        <v>-7.4590454500313346</v>
      </c>
      <c r="L327" s="231" t="s">
        <v>60</v>
      </c>
      <c r="M327" s="142">
        <f t="shared" si="14"/>
        <v>3.4201661969095816</v>
      </c>
    </row>
    <row r="328" spans="7:13" x14ac:dyDescent="0.25">
      <c r="H328" s="115" t="s">
        <v>364</v>
      </c>
      <c r="I328" s="351">
        <f ca="1">-(IF(Geometria!$K$280&lt;Geometria!$J$1030/100,Tensões!V24,IF(Tensões!H24="Sim",'Isolamento de cabos'!$C$58,'Perdas por Seção'!S97))/($H$36/100^2))+(IF(Geometria!$K$280&lt;Geometria!$J$1030/100,Tensões!W24,IF(Tensões!H24="Sim",'Isolamento de cabos'!$C$59,'Perdas por Seção'!S98))/($H$40/100^3))-(($G$287)/($H$40/100^3))-(($G$298)/($I$37/100^4))*(($I$25)/100)-(($H$52*$G$309)/($I$37/100^4))*(($I$25)/100)</f>
        <v>-6047.9560307817028</v>
      </c>
      <c r="J328" s="231" t="str">
        <f t="shared" si="16"/>
        <v>kN/m²</v>
      </c>
      <c r="K328" s="354">
        <f t="shared" ca="1" si="15"/>
        <v>-6.0479560307817026</v>
      </c>
      <c r="L328" s="231" t="s">
        <v>60</v>
      </c>
      <c r="M328" s="142">
        <f t="shared" si="14"/>
        <v>3.4201661969095816</v>
      </c>
    </row>
    <row r="329" spans="7:13" x14ac:dyDescent="0.25">
      <c r="H329" s="115" t="s">
        <v>365</v>
      </c>
      <c r="I329" s="351">
        <f ca="1">-(IF(Geometria!$J$280&lt;Geometria!$J$1030/100,Tensões!V25,IF(Tensões!H25="Sim",'Isolamento de cabos'!$C$58,'Perdas por Seção'!T97))/($H$36/100^2))+(IF(Geometria!$J$280&lt;Geometria!$J$1030/100,Tensões!W25,IF(Tensões!H25="Sim",'Isolamento de cabos'!$C$59,'Perdas por Seção'!T98))/($H$40/100^3))-(($H$287)/($H$40/100^3))-(($H$298)/($I$37/100^4))*(($I$25)/100)-(($H$52*$H$309)/($I$37/100^4))*(($I$25)/100)</f>
        <v>-4380.3292478678377</v>
      </c>
      <c r="J329" s="231" t="str">
        <f t="shared" si="16"/>
        <v>kN/m²</v>
      </c>
      <c r="K329" s="354">
        <f t="shared" ca="1" si="15"/>
        <v>-4.3803292478678379</v>
      </c>
      <c r="L329" s="231" t="s">
        <v>60</v>
      </c>
      <c r="M329" s="142">
        <f t="shared" si="14"/>
        <v>3.4201661969095816</v>
      </c>
    </row>
    <row r="330" spans="7:13" x14ac:dyDescent="0.25">
      <c r="H330" s="115" t="s">
        <v>366</v>
      </c>
      <c r="I330" s="351">
        <f ca="1">-(IF(Geometria!$I$280&lt;Geometria!$J$1030/100,Tensões!V26,IF(Tensões!H26="Sim",'Isolamento de cabos'!$C$58,'Perdas por Seção'!U97))/($H$36/100^2))+(IF(Geometria!$I$280&lt;Geometria!$J$1030/100,Tensões!W26,IF(Tensões!H26="Sim",'Isolamento de cabos'!$C$59,'Perdas por Seção'!U98))/($H$40/100^3))-(($I$287)/($H$40/100^3))-(($I$298)/($I$37/100^4))*(($I$25)/100)-(($H$52*$I$309)/($I$37/100^4))*(($I$25)/100)</f>
        <v>-2456.1772939715152</v>
      </c>
      <c r="J330" s="231" t="str">
        <f t="shared" si="16"/>
        <v>kN/m²</v>
      </c>
      <c r="K330" s="354">
        <f t="shared" ca="1" si="15"/>
        <v>-2.456177293971515</v>
      </c>
      <c r="L330" s="231" t="s">
        <v>60</v>
      </c>
      <c r="M330" s="142">
        <f t="shared" si="14"/>
        <v>3.4201661969095816</v>
      </c>
    </row>
    <row r="331" spans="7:13" ht="15.75" thickBot="1" x14ac:dyDescent="0.3">
      <c r="H331" s="115" t="s">
        <v>367</v>
      </c>
      <c r="I331" s="352">
        <f ca="1">-(IF(Geometria!$H$280&lt;Geometria!$J$1030/100,Tensões!V27,IF(Tensões!H27="Sim",'Isolamento de cabos'!$C$58,'Perdas por Seção'!V97))/($H$36/100^2))+(IF(Geometria!$H$280&lt;Geometria!$J$1030/100,Tensões!W27,IF(Tensões!H27="Sim",'Isolamento de cabos'!$C$59,'Perdas por Seção'!V98))/($H$40/100^3))-(($J$287)/($H$40/100^3))-(($J$298)/($I$37/100^4))*(($I$25)/100)-(($H$52*$J$309)/($I$37/100^4))*(($I$25)/100)</f>
        <v>-275.51425162080142</v>
      </c>
      <c r="J331" s="231" t="str">
        <f t="shared" si="16"/>
        <v>kN/m²</v>
      </c>
      <c r="K331" s="355">
        <f t="shared" ca="1" si="15"/>
        <v>-0.2755142516208014</v>
      </c>
      <c r="L331" s="231" t="s">
        <v>60</v>
      </c>
      <c r="M331" s="142">
        <f t="shared" si="14"/>
        <v>3.4201661969095816</v>
      </c>
    </row>
    <row r="332" spans="7:13" x14ac:dyDescent="0.25">
      <c r="H332" s="133" t="s">
        <v>368</v>
      </c>
      <c r="I332" s="191">
        <v>0</v>
      </c>
      <c r="J332" s="275" t="str">
        <f>J331</f>
        <v>kN/m²</v>
      </c>
      <c r="K332" s="193">
        <f t="shared" si="15"/>
        <v>0</v>
      </c>
      <c r="L332" s="275" t="s">
        <v>60</v>
      </c>
      <c r="M332" s="193">
        <f t="shared" si="14"/>
        <v>3.4201661969095816</v>
      </c>
    </row>
    <row r="334" spans="7:13" x14ac:dyDescent="0.25">
      <c r="H334" s="638" t="s">
        <v>197</v>
      </c>
      <c r="I334" s="638"/>
      <c r="J334" s="638"/>
      <c r="K334" s="638"/>
      <c r="L334" s="638"/>
      <c r="M334" s="117" t="s">
        <v>180</v>
      </c>
    </row>
    <row r="335" spans="7:13" ht="15.75" thickBot="1" x14ac:dyDescent="0.3">
      <c r="H335" s="115" t="s">
        <v>169</v>
      </c>
      <c r="I335" s="144">
        <v>0</v>
      </c>
      <c r="J335" s="231" t="s">
        <v>63</v>
      </c>
      <c r="K335" s="142">
        <f>I335/1000</f>
        <v>0</v>
      </c>
      <c r="L335" s="231" t="s">
        <v>60</v>
      </c>
      <c r="M335" s="142">
        <f>S313</f>
        <v>-35</v>
      </c>
    </row>
    <row r="336" spans="7:13" x14ac:dyDescent="0.25">
      <c r="H336" s="115" t="s">
        <v>170</v>
      </c>
      <c r="I336" s="350">
        <f ca="1">-(IF(Geometria!$H$280&lt;Geometria!$J$1031/100,Tensões!V32,IF(Tensões!H32="Sim",'Isolamento de cabos'!$C$58,'Perdas por Seção'!D97))/($H$36/100^2))-(IF(Geometria!$H$280&lt;Geometria!$J$1031/100,Tensões!W32,IF(Tensões!H32="Sim",'Isolamento de cabos'!$C$59,'Perdas por Seção'!D98))/($H$41/100^3))+(($H$281)/($H$41/100^3))+(($H$292)/($I$41/100^3))+(($H$52*$H$303)/($I$41/100^3))</f>
        <v>-5929.594015876617</v>
      </c>
      <c r="J336" s="231" t="s">
        <v>63</v>
      </c>
      <c r="K336" s="353">
        <f t="shared" ref="K336:K345" ca="1" si="17">I336/1000</f>
        <v>-5.9295940158766172</v>
      </c>
      <c r="L336" s="231" t="s">
        <v>60</v>
      </c>
      <c r="M336" s="142">
        <f>M335</f>
        <v>-35</v>
      </c>
    </row>
    <row r="337" spans="8:13" x14ac:dyDescent="0.25">
      <c r="H337" s="115" t="s">
        <v>171</v>
      </c>
      <c r="I337" s="351">
        <f ca="1">-(IF(Geometria!$I$280&lt;Geometria!$J$1031/100,Tensões!V33,IF(Tensões!H33="Sim",'Isolamento de cabos'!$C$58,'Perdas por Seção'!E97))/($H$36/100^2))-(IF(Geometria!$I$280&lt;Geometria!$J$1031/100,Tensões!W33,IF(Tensões!H33="Sim",'Isolamento de cabos'!$C$59,'Perdas por Seção'!E98))/($H$41/100^3))+(($I$281)/($H$41/100^3))+(($I$292)/($I$41/100^3))+(($H$52*$I$303)/($I$41/100^3))</f>
        <v>-6471.4549116810931</v>
      </c>
      <c r="J337" s="231" t="s">
        <v>63</v>
      </c>
      <c r="K337" s="354">
        <f t="shared" ca="1" si="17"/>
        <v>-6.4714549116810929</v>
      </c>
      <c r="L337" s="231" t="s">
        <v>60</v>
      </c>
      <c r="M337" s="142">
        <f t="shared" ref="M337:M354" si="18">M336</f>
        <v>-35</v>
      </c>
    </row>
    <row r="338" spans="8:13" x14ac:dyDescent="0.25">
      <c r="H338" s="115" t="s">
        <v>172</v>
      </c>
      <c r="I338" s="351">
        <f ca="1">-(IF(Geometria!$J$280&lt;Geometria!$J$1031/100,Tensões!V34,IF(Tensões!H34="Sim",'Isolamento de cabos'!$C$58,'Perdas por Seção'!F97))/($H$36/100^2))-(IF(Geometria!$J$280&lt;Geometria!$J$1031/100,Tensões!W34,IF(Tensões!H34="Sim",'Isolamento de cabos'!$C$59,'Perdas por Seção'!F98))/($H$41/100^3))+(($J$281)/($H$41/100^3))+(($J$292)/($I$41/100^3))+(($H$52*$J$303)/($I$41/100^3))</f>
        <v>-4581.4044725920648</v>
      </c>
      <c r="J338" s="231" t="s">
        <v>63</v>
      </c>
      <c r="K338" s="354">
        <f t="shared" ca="1" si="17"/>
        <v>-4.5814044725920651</v>
      </c>
      <c r="L338" s="231" t="s">
        <v>60</v>
      </c>
      <c r="M338" s="142">
        <f t="shared" si="18"/>
        <v>-35</v>
      </c>
    </row>
    <row r="339" spans="8:13" x14ac:dyDescent="0.25">
      <c r="H339" s="115" t="s">
        <v>173</v>
      </c>
      <c r="I339" s="351">
        <f ca="1">-(IF(Geometria!$K$280&lt;Geometria!$J$1031/100,Tensões!V35,IF(Tensões!H35="Sim",'Isolamento de cabos'!$C$58,'Perdas por Seção'!G97))/($H$36/100^2))-(IF(Geometria!$K$280&lt;Geometria!$J$1031/100,Tensões!W35,IF(Tensões!H35="Sim",'Isolamento de cabos'!$C$59,'Perdas por Seção'!G98))/($H$41/100^3))+(($K$281)/($H$41/100^3))+(($K$292)/($I$41/100^3))+(($H$52*$K$303)/($I$41/100^3))</f>
        <v>-2943.2160326860489</v>
      </c>
      <c r="J339" s="231" t="s">
        <v>63</v>
      </c>
      <c r="K339" s="354">
        <f t="shared" ca="1" si="17"/>
        <v>-2.943216032686049</v>
      </c>
      <c r="L339" s="231" t="s">
        <v>60</v>
      </c>
      <c r="M339" s="142">
        <f t="shared" si="18"/>
        <v>-35</v>
      </c>
    </row>
    <row r="340" spans="8:13" x14ac:dyDescent="0.25">
      <c r="H340" s="115" t="s">
        <v>174</v>
      </c>
      <c r="I340" s="351">
        <f ca="1">-(IF(Geometria!$L$280&lt;Geometria!$J$1031/100,Tensões!V36,IF(Tensões!H36="Sim",'Isolamento de cabos'!$C$58,'Perdas por Seção'!H97))/($H$36/100^2))-(IF(Geometria!$L$280&lt;Geometria!$J$1031/100,Tensões!W36,IF(Tensões!H36="Sim",'Isolamento de cabos'!$C$59,'Perdas por Seção'!H98))/($H$41/100^3))+(($L$281)/($H$41/100^3))+(($L$292)/($I$41/100^3))+(($H$52*$L$303)/($I$41/100^3))</f>
        <v>-1556.951675714341</v>
      </c>
      <c r="J340" s="231" t="s">
        <v>63</v>
      </c>
      <c r="K340" s="354">
        <f t="shared" ca="1" si="17"/>
        <v>-1.5569516757143411</v>
      </c>
      <c r="L340" s="231" t="s">
        <v>60</v>
      </c>
      <c r="M340" s="142">
        <f t="shared" si="18"/>
        <v>-35</v>
      </c>
    </row>
    <row r="341" spans="8:13" x14ac:dyDescent="0.25">
      <c r="H341" s="115" t="s">
        <v>175</v>
      </c>
      <c r="I341" s="351">
        <f ca="1">-(IF(Geometria!$M$280&lt;Geometria!$J$1031/100,Tensões!V37,IF(Tensões!H37="Sim",'Isolamento de cabos'!$C$58,'Perdas por Seção'!I97))/($H$36/100^2))-(IF(Geometria!$M$280&lt;Geometria!$J$1031/100,Tensões!W37,IF(Tensões!H37="Sim",'Isolamento de cabos'!$C$59,'Perdas por Seção'!I98))/($H$41/100^3))+(($M$281)/($H$41/100^3))+(($M$292)/($I$41/100^3))+(($H$52*$M$303)/($I$41/100^3))</f>
        <v>-422.66388919086921</v>
      </c>
      <c r="J341" s="231" t="s">
        <v>63</v>
      </c>
      <c r="K341" s="354">
        <f t="shared" ca="1" si="17"/>
        <v>-0.42266388919086922</v>
      </c>
      <c r="L341" s="231" t="s">
        <v>60</v>
      </c>
      <c r="M341" s="142">
        <f t="shared" si="18"/>
        <v>-35</v>
      </c>
    </row>
    <row r="342" spans="8:13" x14ac:dyDescent="0.25">
      <c r="H342" s="115" t="s">
        <v>176</v>
      </c>
      <c r="I342" s="351">
        <f ca="1">-(IF(Geometria!$N$280&lt;Geometria!$J$1031/100,Tensões!V38,IF(Tensões!H38="Sim",'Isolamento de cabos'!$C$58,'Perdas por Seção'!J97))/($H$36/100^2))-(IF(Geometria!$N$280&lt;Geometria!$J$1031/100,Tensões!W38,IF(Tensões!H38="Sim",'Isolamento de cabos'!$C$59,'Perdas por Seção'!J98))/($H$41/100^3))+(($N$281)/($H$41/100^3))+(($N$292)/($I$41/100^3))+(($H$52*$N$303)/($I$41/100^3))</f>
        <v>459.60441311922932</v>
      </c>
      <c r="J342" s="231" t="s">
        <v>63</v>
      </c>
      <c r="K342" s="354">
        <f t="shared" ca="1" si="17"/>
        <v>0.45960441311922934</v>
      </c>
      <c r="L342" s="231" t="s">
        <v>60</v>
      </c>
      <c r="M342" s="142">
        <f t="shared" si="18"/>
        <v>-35</v>
      </c>
    </row>
    <row r="343" spans="8:13" x14ac:dyDescent="0.25">
      <c r="H343" s="115" t="s">
        <v>177</v>
      </c>
      <c r="I343" s="351">
        <f ca="1">-(IF(Geometria!$G$283&lt;Geometria!$J$1031/100,Tensões!V39,IF(Tensões!H39="Sim",'Isolamento de cabos'!$C$58,'Perdas por Seção'!K97))/($H$36/100^2))-(IF(Geometria!$G$283&lt;Geometria!$J$1031/100,Tensões!W39,IF(Tensões!H39="Sim",'Isolamento de cabos'!$C$59,'Perdas por Seção'!K98))/($H$41/100^3))+(($G$284)/($H$41/100^3))+(($G$295)/($I$41/100^3))+(($H$52*$G$306)/($I$41/100^3))</f>
        <v>1089.8198728390826</v>
      </c>
      <c r="J343" s="231" t="s">
        <v>63</v>
      </c>
      <c r="K343" s="354">
        <f ca="1">I343/1000</f>
        <v>1.0898198728390827</v>
      </c>
      <c r="L343" s="231" t="s">
        <v>60</v>
      </c>
      <c r="M343" s="142">
        <f t="shared" si="18"/>
        <v>-35</v>
      </c>
    </row>
    <row r="344" spans="8:13" x14ac:dyDescent="0.25">
      <c r="H344" s="115" t="s">
        <v>178</v>
      </c>
      <c r="I344" s="351">
        <f ca="1">-(IF(Geometria!$H$283&lt;Geometria!$J$1031/100,Tensões!V40,IF(Tensões!H40="Sim",'Isolamento de cabos'!$C$58,'Perdas por Seção'!L97))/($H$36/100^2))-(IF(Geometria!$H$283&lt;Geometria!$J$1031/100,Tensões!W40,IF(Tensões!H40="Sim",'Isolamento de cabos'!$C$59,'Perdas por Seção'!L98))/($H$41/100^3))+(($H$284)/($H$41/100^3))+(($H$295)/($I$41/100^3))+(($H$52*$H$306)/($I$41/100^3))</f>
        <v>1467.9586727239193</v>
      </c>
      <c r="J344" s="231" t="s">
        <v>63</v>
      </c>
      <c r="K344" s="354">
        <f t="shared" ca="1" si="17"/>
        <v>1.4679586727239193</v>
      </c>
      <c r="L344" s="231" t="s">
        <v>60</v>
      </c>
      <c r="M344" s="142">
        <f t="shared" si="18"/>
        <v>-35</v>
      </c>
    </row>
    <row r="345" spans="8:13" x14ac:dyDescent="0.25">
      <c r="H345" s="115" t="s">
        <v>179</v>
      </c>
      <c r="I345" s="351">
        <f ca="1">-(IF(Geometria!$I$283&lt;Geometria!$J$1031/100,Tensões!V41,IF(Tensões!H41="Sim",'Isolamento de cabos'!$C$58,'Perdas por Seção'!M97))/($H$36/100^2))-(IF(Geometria!$I$283&lt;Geometria!$J$1031/100,Tensões!W41,IF(Tensões!H41="Sim",'Isolamento de cabos'!$C$59,'Perdas por Seção'!M98))/($H$41/100^3))+(($I$284)/($H$41/100^3))+(($I$295)/($I$41/100^3))+(($H$52*$I$306)/($I$41/100^3))</f>
        <v>1594.0065264912155</v>
      </c>
      <c r="J345" s="231" t="s">
        <v>63</v>
      </c>
      <c r="K345" s="354">
        <f t="shared" ca="1" si="17"/>
        <v>1.5940065264912155</v>
      </c>
      <c r="L345" s="231" t="s">
        <v>60</v>
      </c>
      <c r="M345" s="142">
        <f t="shared" si="18"/>
        <v>-35</v>
      </c>
    </row>
    <row r="346" spans="8:13" x14ac:dyDescent="0.25">
      <c r="H346" s="115" t="s">
        <v>359</v>
      </c>
      <c r="I346" s="351">
        <f ca="1">-(IF(Geometria!$H$283&lt;Geometria!$J$1031/100,Tensões!V42,IF(Tensões!H42="Sim",'Isolamento de cabos'!$C$58,'Perdas por Seção'!N97))/($H$36/100^2))-(IF(Geometria!$H$283&lt;Geometria!$J$1031/100,Tensões!W42,IF(Tensões!H42="Sim",'Isolamento de cabos'!$C$59,'Perdas por Seção'!N98))/($H$41/100^3))+(($J$284)/($H$41/100^3))+(($J$295)/($I$41/100^3))+(($H$52*$J$306)/($I$41/100^3))</f>
        <v>1467.9586727239198</v>
      </c>
      <c r="J346" s="231" t="s">
        <v>63</v>
      </c>
      <c r="K346" s="354">
        <f t="shared" ref="K346:K355" ca="1" si="19">I346/1000</f>
        <v>1.4679586727239198</v>
      </c>
      <c r="L346" s="231" t="s">
        <v>60</v>
      </c>
      <c r="M346" s="142">
        <f t="shared" si="18"/>
        <v>-35</v>
      </c>
    </row>
    <row r="347" spans="8:13" x14ac:dyDescent="0.25">
      <c r="H347" s="115" t="s">
        <v>360</v>
      </c>
      <c r="I347" s="351">
        <f ca="1">-(IF(Geometria!$G$283&lt;Geometria!$J$1031/100,Tensões!V43,IF(Tensões!H43="Sim",'Isolamento de cabos'!$C$58,'Perdas por Seção'!O97))/($H$36/100^2))-(IF(Geometria!$G$283&lt;Geometria!$J$1031/100,Tensões!W43,IF(Tensões!H43="Sim",'Isolamento de cabos'!$C$59,'Perdas por Seção'!O98))/($H$41/100^3))+(($K$284)/($H$41/100^3))+(($K$295)/($I$41/100^3))+(($H$52*$K$306)/($I$41/100^3))</f>
        <v>1089.8198728390807</v>
      </c>
      <c r="J347" s="231" t="s">
        <v>63</v>
      </c>
      <c r="K347" s="354">
        <f t="shared" ca="1" si="19"/>
        <v>1.0898198728390807</v>
      </c>
      <c r="L347" s="231" t="s">
        <v>60</v>
      </c>
      <c r="M347" s="142">
        <f t="shared" si="18"/>
        <v>-35</v>
      </c>
    </row>
    <row r="348" spans="8:13" x14ac:dyDescent="0.25">
      <c r="H348" s="115" t="s">
        <v>361</v>
      </c>
      <c r="I348" s="351">
        <f ca="1">-(IF(Geometria!$N$280&lt;Geometria!$J$1031/100,Tensões!V44,IF(Tensões!H44="Sim",'Isolamento de cabos'!$C$58,'Perdas por Seção'!P97))/($H$36/100^2))-(IF(Geometria!$N$280&lt;Geometria!$J$1031/100,Tensões!W44,IF(Tensões!H44="Sim",'Isolamento de cabos'!$C$59,'Perdas por Seção'!P98))/($H$41/100^3))+(($L$284)/($H$41/100^3))+(($L$295)/($I$41/100^3))+(($H$52*$L$306)/($I$41/100^3))</f>
        <v>459.60441311922978</v>
      </c>
      <c r="J348" s="231" t="s">
        <v>63</v>
      </c>
      <c r="K348" s="354">
        <f t="shared" ca="1" si="19"/>
        <v>0.45960441311922978</v>
      </c>
      <c r="L348" s="231" t="s">
        <v>60</v>
      </c>
      <c r="M348" s="142">
        <f t="shared" si="18"/>
        <v>-35</v>
      </c>
    </row>
    <row r="349" spans="8:13" x14ac:dyDescent="0.25">
      <c r="H349" s="115" t="s">
        <v>362</v>
      </c>
      <c r="I349" s="351">
        <f ca="1">-(IF(Geometria!$M$280&lt;Geometria!$J$1031/100,Tensões!V45,IF(Tensões!H45="Sim",'Isolamento de cabos'!$C$58,'Perdas por Seção'!Q97))/($H$36/100^2))-(IF(Geometria!$M$280&lt;Geometria!$J$1031/100,Tensões!W45,IF(Tensões!H45="Sim",'Isolamento de cabos'!$C$59,'Perdas por Seção'!Q98))/($H$41/100^3))+(($M$284)/($H$41/100^3))+(($M$295)/($I$41/100^3))+(($H$52*$M$306)/($I$41/100^3))</f>
        <v>-422.6638891908633</v>
      </c>
      <c r="J349" s="231" t="s">
        <v>63</v>
      </c>
      <c r="K349" s="354">
        <f t="shared" ca="1" si="19"/>
        <v>-0.42266388919086328</v>
      </c>
      <c r="L349" s="231" t="s">
        <v>60</v>
      </c>
      <c r="M349" s="142">
        <f t="shared" si="18"/>
        <v>-35</v>
      </c>
    </row>
    <row r="350" spans="8:13" x14ac:dyDescent="0.25">
      <c r="H350" s="115" t="s">
        <v>363</v>
      </c>
      <c r="I350" s="351">
        <f ca="1">-(IF(Geometria!$L$280&lt;Geometria!$J$1031/100,Tensões!V46,IF(Tensões!H46="Sim",'Isolamento de cabos'!$C$58,'Perdas por Seção'!R97))/($H$36/100^2))-(IF(Geometria!$L$280&lt;Geometria!$J$1031/100,Tensões!W46,IF(Tensões!H46="Sim",'Isolamento de cabos'!$C$59,'Perdas por Seção'!R98))/($H$41/100^3))+(($N$284)/($H$41/100^3))+(($N$295)/($I$41/100^3))+(($H$52*$N$306)/($I$41/100^3))</f>
        <v>-1556.9516757143294</v>
      </c>
      <c r="J350" s="231" t="s">
        <v>63</v>
      </c>
      <c r="K350" s="354">
        <f t="shared" ca="1" si="19"/>
        <v>-1.5569516757143294</v>
      </c>
      <c r="L350" s="231" t="s">
        <v>60</v>
      </c>
      <c r="M350" s="142">
        <f t="shared" si="18"/>
        <v>-35</v>
      </c>
    </row>
    <row r="351" spans="8:13" x14ac:dyDescent="0.25">
      <c r="H351" s="115" t="s">
        <v>364</v>
      </c>
      <c r="I351" s="351">
        <f ca="1">-(IF(Geometria!$K$280&lt;Geometria!$J$1031/100,Tensões!V47,IF(Tensões!H47="Sim",'Isolamento de cabos'!$C$58,'Perdas por Seção'!S97))/($H$36/100^2))-(IF(Geometria!$K$280&lt;Geometria!$J$1031/100,Tensões!W47,IF(Tensões!H47="Sim",'Isolamento de cabos'!$C$59,'Perdas por Seção'!S98))/($H$41/100^3))+(($G$287)/($H$41/100^3))+(($G$298)/($I$41/100^3))+(($H$52*$G$309)/($I$41/100^3))</f>
        <v>-2943.2160326860412</v>
      </c>
      <c r="J351" s="231" t="s">
        <v>63</v>
      </c>
      <c r="K351" s="354">
        <f t="shared" ca="1" si="19"/>
        <v>-2.943216032686041</v>
      </c>
      <c r="L351" s="231" t="s">
        <v>60</v>
      </c>
      <c r="M351" s="142">
        <f t="shared" si="18"/>
        <v>-35</v>
      </c>
    </row>
    <row r="352" spans="8:13" x14ac:dyDescent="0.25">
      <c r="H352" s="115" t="s">
        <v>365</v>
      </c>
      <c r="I352" s="351">
        <f ca="1">-(IF(Geometria!$J$280&lt;Geometria!$J$1031/100,Tensões!V48,IF(Tensões!H48="Sim",'Isolamento de cabos'!$C$58,'Perdas por Seção'!T97))/($H$36/100^2))-(IF(Geometria!$J$280&lt;Geometria!$J$1031/100,Tensões!W48,IF(Tensões!H48="Sim",'Isolamento de cabos'!$C$59,'Perdas por Seção'!T98))/($H$41/100^3))+(($H$287)/($H$41/100^3))+(($H$298)/($I$41/100^3))+(($H$52*$H$309)/($I$41/100^3))</f>
        <v>-4581.4044725920512</v>
      </c>
      <c r="J352" s="231" t="s">
        <v>63</v>
      </c>
      <c r="K352" s="354">
        <f t="shared" ca="1" si="19"/>
        <v>-4.5814044725920509</v>
      </c>
      <c r="L352" s="231" t="s">
        <v>60</v>
      </c>
      <c r="M352" s="142">
        <f t="shared" si="18"/>
        <v>-35</v>
      </c>
    </row>
    <row r="353" spans="8:13" x14ac:dyDescent="0.25">
      <c r="H353" s="115" t="s">
        <v>366</v>
      </c>
      <c r="I353" s="351">
        <f ca="1">-(IF(Geometria!$I$280&lt;Geometria!$J$1031/100,Tensões!V49,IF(Tensões!H49="Sim",'Isolamento de cabos'!$C$58,'Perdas por Seção'!U97))/($H$36/100^2))-(IF(Geometria!$I$280&lt;Geometria!$J$1031/100,Tensões!W49,IF(Tensões!H49="Sim",'Isolamento de cabos'!$C$59,'Perdas por Seção'!U98))/($H$41/100^3))+(($I$287)/($H$41/100^3))+(($I$298)/($I$41/100^3))+(($H$52*$I$309)/($I$41/100^3))</f>
        <v>-6471.4549116810776</v>
      </c>
      <c r="J353" s="231" t="s">
        <v>63</v>
      </c>
      <c r="K353" s="354">
        <f t="shared" ca="1" si="19"/>
        <v>-6.4714549116810778</v>
      </c>
      <c r="L353" s="231" t="s">
        <v>60</v>
      </c>
      <c r="M353" s="142">
        <f t="shared" si="18"/>
        <v>-35</v>
      </c>
    </row>
    <row r="354" spans="8:13" ht="15.75" thickBot="1" x14ac:dyDescent="0.3">
      <c r="H354" s="115" t="s">
        <v>367</v>
      </c>
      <c r="I354" s="352">
        <f ca="1">-(IF(Geometria!$H$280&lt;Geometria!$J$1031/100,Tensões!V50,IF(Tensões!H50="Sim",'Isolamento de cabos'!$C$58,'Perdas por Seção'!V97))/($H$36/100^2))-(IF(Geometria!$H$280&lt;Geometria!$J$1031/100,Tensões!W50,IF(Tensões!H50="Sim",'Isolamento de cabos'!$C$59,'Perdas por Seção'!V98))/($H$41/100^3))+(($J$287)/($H$41/100^3))+(($J$298)/($I$41/100^3))+(($H$52*$J$309)/($I$41/100^3))</f>
        <v>-5929.594015876597</v>
      </c>
      <c r="J354" s="231" t="s">
        <v>63</v>
      </c>
      <c r="K354" s="355">
        <f t="shared" ca="1" si="19"/>
        <v>-5.9295940158765967</v>
      </c>
      <c r="L354" s="231" t="s">
        <v>60</v>
      </c>
      <c r="M354" s="142">
        <f t="shared" si="18"/>
        <v>-35</v>
      </c>
    </row>
    <row r="355" spans="8:13" x14ac:dyDescent="0.25">
      <c r="H355" s="133" t="s">
        <v>368</v>
      </c>
      <c r="I355" s="191">
        <v>0</v>
      </c>
      <c r="J355" s="275" t="s">
        <v>63</v>
      </c>
      <c r="K355" s="193">
        <f t="shared" si="19"/>
        <v>0</v>
      </c>
      <c r="L355" s="275" t="s">
        <v>60</v>
      </c>
      <c r="M355" s="193">
        <f>M354</f>
        <v>-35</v>
      </c>
    </row>
    <row r="392" spans="7:13" x14ac:dyDescent="0.25">
      <c r="H392" s="638" t="s">
        <v>200</v>
      </c>
      <c r="I392" s="638"/>
      <c r="J392" s="638"/>
      <c r="K392" s="638"/>
      <c r="L392" s="638"/>
      <c r="M392" s="117" t="s">
        <v>180</v>
      </c>
    </row>
    <row r="393" spans="7:13" ht="15.75" thickBot="1" x14ac:dyDescent="0.3">
      <c r="H393" s="115" t="s">
        <v>169</v>
      </c>
      <c r="I393" s="144">
        <v>0</v>
      </c>
      <c r="J393" s="231" t="s">
        <v>63</v>
      </c>
      <c r="K393" s="142">
        <f>I393/1000</f>
        <v>0</v>
      </c>
      <c r="L393" s="231" t="s">
        <v>60</v>
      </c>
      <c r="M393" s="142">
        <f>S314</f>
        <v>3.4201661969095816</v>
      </c>
    </row>
    <row r="394" spans="7:13" x14ac:dyDescent="0.25">
      <c r="G394" s="116"/>
      <c r="H394" s="115" t="s">
        <v>170</v>
      </c>
      <c r="I394" s="350">
        <f ca="1">-(IF(Geometria!$H$280&lt;Geometria!$J$1030/100,Tensões!V9,IF(Tensões!H9="Sim",'Isolamento de cabos'!$C$58,'Perdas por Seção'!D97))/($H$36/100^2))+(IF(Geometria!$H$280&lt;Geometria!$J$1030/100,Tensões!W9,IF(Tensões!H9="Sim",'Isolamento de cabos'!$C$59,'Perdas por Seção'!D98))/($H$40/100^3))-(($H$281)/($H$40/100^3))-(($H$292)/($I$37/100^4))*((($H$30+$H$33-$I$24)-$H$33)/100)</f>
        <v>378.64047107290196</v>
      </c>
      <c r="J394" s="231" t="s">
        <v>63</v>
      </c>
      <c r="K394" s="353">
        <f t="shared" ref="K394:K403" ca="1" si="20">I394/1000</f>
        <v>0.37864047107290194</v>
      </c>
      <c r="L394" s="231" t="s">
        <v>60</v>
      </c>
      <c r="M394" s="142">
        <f>M393</f>
        <v>3.4201661969095816</v>
      </c>
    </row>
    <row r="395" spans="7:13" x14ac:dyDescent="0.25">
      <c r="H395" s="115" t="s">
        <v>171</v>
      </c>
      <c r="I395" s="351">
        <f ca="1">-(IF(Geometria!$I$280&lt;Geometria!$J$1030/100,Tensões!V10,IF(Tensões!H10="Sim",'Isolamento de cabos'!$C$58,'Perdas por Seção'!E97))/($H$36/100^2))+(IF(Geometria!$I$280&lt;Geometria!$J$1030/100,Tensões!W10,IF(Tensões!H10="Sim",'Isolamento de cabos'!$C$59,'Perdas por Seção'!E98))/($H$40/100^3))-(($I$281)/($H$40/100^3))-(($I$292)/($I$37/100^4))*((($H$30+$H$33-$I$24)-$H$33)/100)</f>
        <v>-1216.7262404466207</v>
      </c>
      <c r="J395" s="231" t="s">
        <v>63</v>
      </c>
      <c r="K395" s="354">
        <f t="shared" ca="1" si="20"/>
        <v>-1.2167262404466208</v>
      </c>
      <c r="L395" s="231" t="s">
        <v>60</v>
      </c>
      <c r="M395" s="142">
        <f t="shared" ref="M395:M412" si="21">M394</f>
        <v>3.4201661969095816</v>
      </c>
    </row>
    <row r="396" spans="7:13" x14ac:dyDescent="0.25">
      <c r="H396" s="115" t="s">
        <v>172</v>
      </c>
      <c r="I396" s="351">
        <f ca="1">-(IF(Geometria!$J$280&lt;Geometria!$J$1030/100,Tensões!V11,IF(Tensões!H11="Sim",'Isolamento de cabos'!$C$58,'Perdas por Seção'!F97))/($H$36/100^2))+(IF(Geometria!$J$280&lt;Geometria!$J$1030/100,Tensões!W11,IF(Tensões!H11="Sim",'Isolamento de cabos'!$C$59,'Perdas por Seção'!F98))/($H$40/100^3))-(($J$281)/($H$40/100^3))-(($J$292)/($I$37/100^4))*((($H$30+$H$33-$I$24)-$H$33)/100)</f>
        <v>-2624.4402553742452</v>
      </c>
      <c r="J396" s="231" t="s">
        <v>63</v>
      </c>
      <c r="K396" s="354">
        <f t="shared" ca="1" si="20"/>
        <v>-2.6244402553742452</v>
      </c>
      <c r="L396" s="231" t="s">
        <v>60</v>
      </c>
      <c r="M396" s="142">
        <f t="shared" si="21"/>
        <v>3.4201661969095816</v>
      </c>
    </row>
    <row r="397" spans="7:13" x14ac:dyDescent="0.25">
      <c r="H397" s="115" t="s">
        <v>173</v>
      </c>
      <c r="I397" s="351">
        <f ca="1">-(IF(Geometria!$K$280&lt;Geometria!$J$1030/100,Tensões!V12,IF(Tensões!H12="Sim",'Isolamento de cabos'!$C$58,'Perdas por Seção'!G97))/($H$36/100^2))+(IF(Geometria!$K$280&lt;Geometria!$J$1030/100,Tensões!W12,IF(Tensões!H12="Sim",'Isolamento de cabos'!$C$59,'Perdas por Seção'!G98))/($H$40/100^3))-(($K$281)/($H$40/100^3))-(($K$292)/($I$37/100^4))*((($H$30+$H$33-$I$24)-$H$33)/100)</f>
        <v>-3844.4874911819097</v>
      </c>
      <c r="J397" s="231" t="s">
        <v>63</v>
      </c>
      <c r="K397" s="354">
        <f t="shared" ca="1" si="20"/>
        <v>-3.8444874911819098</v>
      </c>
      <c r="L397" s="231" t="s">
        <v>60</v>
      </c>
      <c r="M397" s="142">
        <f t="shared" si="21"/>
        <v>3.4201661969095816</v>
      </c>
    </row>
    <row r="398" spans="7:13" x14ac:dyDescent="0.25">
      <c r="H398" s="115" t="s">
        <v>174</v>
      </c>
      <c r="I398" s="351">
        <f ca="1">-(IF(Geometria!$L$280&lt;Geometria!$J$1030/100,Tensões!V13,IF(Tensões!H13="Sim",'Isolamento de cabos'!$C$58,'Perdas por Seção'!H97))/($H$36/100^2))+(IF(Geometria!$L$280&lt;Geometria!$J$1030/100,Tensões!W13,IF(Tensões!H13="Sim",'Isolamento de cabos'!$C$59,'Perdas por Seção'!H98))/($H$40/100^3))-(($L$281)/($H$40/100^3))-(($L$292)/($I$37/100^4))*((($H$30+$H$33-$I$24)-$H$33)/100)</f>
        <v>-4876.8557551878257</v>
      </c>
      <c r="J398" s="231" t="s">
        <v>63</v>
      </c>
      <c r="K398" s="354">
        <f t="shared" ca="1" si="20"/>
        <v>-4.876855755187826</v>
      </c>
      <c r="L398" s="231" t="s">
        <v>60</v>
      </c>
      <c r="M398" s="142">
        <f t="shared" si="21"/>
        <v>3.4201661969095816</v>
      </c>
    </row>
    <row r="399" spans="7:13" x14ac:dyDescent="0.25">
      <c r="H399" s="115" t="s">
        <v>175</v>
      </c>
      <c r="I399" s="351">
        <f ca="1">-(IF(Geometria!$M$280&lt;Geometria!$J$1030/100,Tensões!V14,IF(Tensões!H14="Sim",'Isolamento de cabos'!$C$58,'Perdas por Seção'!I97))/($H$36/100^2))+(IF(Geometria!$M$280&lt;Geometria!$J$1030/100,Tensões!W14,IF(Tensões!H14="Sim",'Isolamento de cabos'!$C$59,'Perdas por Seção'!I98))/($H$40/100^3))-(($M$281)/($H$40/100^3))-(($M$292)/($I$37/100^4))*((($H$30+$H$33-$I$24)-$H$33)/100)</f>
        <v>-5721.5347393235879</v>
      </c>
      <c r="J399" s="231" t="s">
        <v>63</v>
      </c>
      <c r="K399" s="354">
        <f t="shared" ca="1" si="20"/>
        <v>-5.7215347393235882</v>
      </c>
      <c r="L399" s="231" t="s">
        <v>60</v>
      </c>
      <c r="M399" s="142">
        <f t="shared" si="21"/>
        <v>3.4201661969095816</v>
      </c>
    </row>
    <row r="400" spans="7:13" x14ac:dyDescent="0.25">
      <c r="H400" s="115" t="s">
        <v>176</v>
      </c>
      <c r="I400" s="351">
        <f ca="1">-(IF(Geometria!$N$280&lt;Geometria!$J$1030/100,Tensões!V15,IF(Tensões!H15="Sim",'Isolamento de cabos'!$C$58,'Perdas por Seção'!J97))/($H$36/100^2))+(IF(Geometria!$N$280&lt;Geometria!$J$1030/100,Tensões!W15,IF(Tensões!H15="Sim",'Isolamento de cabos'!$C$59,'Perdas por Seção'!J98))/($H$40/100^3))-(($N$281)/($H$40/100^3))-(($N$292)/($I$37/100^4))*((($H$30+$H$33-$I$24)-$H$33)/100)</f>
        <v>-6378.5160157176215</v>
      </c>
      <c r="J400" s="231" t="s">
        <v>63</v>
      </c>
      <c r="K400" s="354">
        <f t="shared" ca="1" si="20"/>
        <v>-6.3785160157176213</v>
      </c>
      <c r="L400" s="231" t="s">
        <v>60</v>
      </c>
      <c r="M400" s="142">
        <f t="shared" si="21"/>
        <v>3.4201661969095816</v>
      </c>
    </row>
    <row r="401" spans="7:13" x14ac:dyDescent="0.25">
      <c r="H401" s="115" t="s">
        <v>177</v>
      </c>
      <c r="I401" s="351">
        <f ca="1">-(IF(Geometria!$G$283&lt;Geometria!$J$1030/100,Tensões!V16,IF(Tensões!H16="Sim",'Isolamento de cabos'!$C$58,'Perdas por Seção'!K97))/($H$36/100^2))+(IF(Geometria!$G$283&lt;Geometria!$J$1030/100,Tensões!W16,IF(Tensões!H16="Sim",'Isolamento de cabos'!$C$59,'Perdas por Seção'!K98))/($H$40/100^3))-(($G$284)/($H$40/100^3))-(($G$295)/($I$37/100^4))*((($H$30+$H$33-$I$24)-$H$33)/100)</f>
        <v>-6847.7930330893523</v>
      </c>
      <c r="J401" s="231" t="s">
        <v>63</v>
      </c>
      <c r="K401" s="354">
        <f t="shared" ca="1" si="20"/>
        <v>-6.8477930330893519</v>
      </c>
      <c r="L401" s="231" t="s">
        <v>60</v>
      </c>
      <c r="M401" s="142">
        <f t="shared" si="21"/>
        <v>3.4201661969095816</v>
      </c>
    </row>
    <row r="402" spans="7:13" x14ac:dyDescent="0.25">
      <c r="H402" s="115" t="s">
        <v>178</v>
      </c>
      <c r="I402" s="351">
        <f ca="1">-(IF(Geometria!$H$283&lt;Geometria!$J$1030/100,Tensões!V17,IF(Tensões!H17="Sim",'Isolamento de cabos'!$C$58,'Perdas por Seção'!L97))/($H$36/100^2))+(IF(Geometria!$H$283&lt;Geometria!$J$1030/100,Tensões!W17,IF(Tensões!H17="Sim",'Isolamento de cabos'!$C$59,'Perdas por Seção'!L98))/($H$40/100^3))-(($H$284)/($H$40/100^3))-(($H$295)/($I$37/100^4))*((($H$30+$H$33-$I$24)-$H$33)/100)</f>
        <v>-7129.361113949406</v>
      </c>
      <c r="J402" s="231" t="s">
        <v>63</v>
      </c>
      <c r="K402" s="354">
        <f t="shared" ca="1" si="20"/>
        <v>-7.1293611139494057</v>
      </c>
      <c r="L402" s="231" t="s">
        <v>60</v>
      </c>
      <c r="M402" s="142">
        <f t="shared" si="21"/>
        <v>3.4201661969095816</v>
      </c>
    </row>
    <row r="403" spans="7:13" x14ac:dyDescent="0.25">
      <c r="H403" s="115" t="s">
        <v>179</v>
      </c>
      <c r="I403" s="351">
        <f ca="1">-(IF(Geometria!$I$283&lt;Geometria!$J$1030/100,Tensões!V18,IF(Tensões!H18="Sim",'Isolamento de cabos'!$C$58,'Perdas por Seção'!M97))/($H$36/100^2))+(IF(Geometria!$I$283&lt;Geometria!$J$1030/100,Tensões!W18,IF(Tensões!H18="Sim",'Isolamento de cabos'!$C$59,'Perdas por Seção'!M98))/($H$40/100^3))-(($I$284)/($H$40/100^3))-(($I$295)/($I$37/100^4))*((($H$30+$H$33-$I$24)-$H$33)/100)</f>
        <v>-7223.2174526023664</v>
      </c>
      <c r="J403" s="231" t="s">
        <v>63</v>
      </c>
      <c r="K403" s="354">
        <f t="shared" ca="1" si="20"/>
        <v>-7.2232174526023663</v>
      </c>
      <c r="L403" s="231" t="s">
        <v>60</v>
      </c>
      <c r="M403" s="142">
        <f t="shared" si="21"/>
        <v>3.4201661969095816</v>
      </c>
    </row>
    <row r="404" spans="7:13" x14ac:dyDescent="0.25">
      <c r="G404" s="121"/>
      <c r="H404" s="115" t="s">
        <v>359</v>
      </c>
      <c r="I404" s="351">
        <f ca="1">-(IF(Geometria!$H$283&lt;Geometria!$J$1030/100,Tensões!V19,IF(Tensões!H19="Sim",'Isolamento de cabos'!$C$58,'Perdas por Seção'!N97))/($H$36/100^2))+(IF(Geometria!$H$283&lt;Geometria!$J$1030/100,Tensões!W19,IF(Tensões!H19="Sim",'Isolamento de cabos'!$C$59,'Perdas por Seção'!N98))/($H$40/100^3))-(($J$284)/($H$40/100^3))-(($J$295)/($I$37/100^4))*((($H$30+$H$33-$I$24)-$H$33)/100)</f>
        <v>-7129.361113949406</v>
      </c>
      <c r="J404" s="231" t="s">
        <v>63</v>
      </c>
      <c r="K404" s="354">
        <f t="shared" ref="K404:K412" ca="1" si="22">I404/1000</f>
        <v>-7.1293611139494057</v>
      </c>
      <c r="L404" s="231" t="s">
        <v>60</v>
      </c>
      <c r="M404" s="142">
        <f t="shared" si="21"/>
        <v>3.4201661969095816</v>
      </c>
    </row>
    <row r="405" spans="7:13" x14ac:dyDescent="0.25">
      <c r="H405" s="115" t="s">
        <v>360</v>
      </c>
      <c r="I405" s="351">
        <f ca="1">-(IF(Geometria!$G$283&lt;Geometria!$J$1030/100,Tensões!V20,IF(Tensões!H20="Sim",'Isolamento de cabos'!$C$58,'Perdas por Seção'!O97))/($H$36/100^2))+(IF(Geometria!$G$283&lt;Geometria!$J$1030/100,Tensões!W20,IF(Tensões!H20="Sim",'Isolamento de cabos'!$C$59,'Perdas por Seção'!O98))/($H$40/100^3))-(($K$284)/($H$40/100^3))-(($K$295)/($I$37/100^4))*((($H$30+$H$33-$I$24)-$H$33)/100)</f>
        <v>-6847.7930330893523</v>
      </c>
      <c r="J405" s="231" t="s">
        <v>63</v>
      </c>
      <c r="K405" s="354">
        <f t="shared" ca="1" si="22"/>
        <v>-6.8477930330893519</v>
      </c>
      <c r="L405" s="231" t="s">
        <v>60</v>
      </c>
      <c r="M405" s="142">
        <f t="shared" si="21"/>
        <v>3.4201661969095816</v>
      </c>
    </row>
    <row r="406" spans="7:13" x14ac:dyDescent="0.25">
      <c r="H406" s="115" t="s">
        <v>361</v>
      </c>
      <c r="I406" s="351">
        <f ca="1">-(IF(Geometria!$N$280&lt;Geometria!$J$1030/100,Tensões!V21,IF(Tensões!H21="Sim",'Isolamento de cabos'!$C$58,'Perdas por Seção'!P97))/($H$36/100^2))+(IF(Geometria!$N$280&lt;Geometria!$J$1030/100,Tensões!W21,IF(Tensões!H21="Sim",'Isolamento de cabos'!$C$59,'Perdas por Seção'!P98))/($H$40/100^3))-(($L$284)/($H$40/100^3))-(($L$295)/($I$37/100^4))*((($H$30+$H$33-$I$24)-$H$33)/100)</f>
        <v>-6378.5160157176224</v>
      </c>
      <c r="J406" s="231" t="s">
        <v>63</v>
      </c>
      <c r="K406" s="354">
        <f t="shared" ca="1" si="22"/>
        <v>-6.3785160157176222</v>
      </c>
      <c r="L406" s="231" t="s">
        <v>60</v>
      </c>
      <c r="M406" s="142">
        <f t="shared" si="21"/>
        <v>3.4201661969095816</v>
      </c>
    </row>
    <row r="407" spans="7:13" x14ac:dyDescent="0.25">
      <c r="H407" s="115" t="s">
        <v>362</v>
      </c>
      <c r="I407" s="351">
        <f ca="1">-(IF(Geometria!$M$280&lt;Geometria!$J$1030/100,Tensões!V22,IF(Tensões!H22="Sim",'Isolamento de cabos'!$C$58,'Perdas por Seção'!Q97))/($H$36/100^2))+(IF(Geometria!$M$280&lt;Geometria!$J$1030/100,Tensões!W22,IF(Tensões!H22="Sim",'Isolamento de cabos'!$C$59,'Perdas por Seção'!Q98))/($H$40/100^3))-(($M$284)/($H$40/100^3))-(($M$295)/($I$37/100^4))*((($H$30+$H$33-$I$24)-$H$33)/100)</f>
        <v>-5721.5347393235916</v>
      </c>
      <c r="J407" s="231" t="s">
        <v>63</v>
      </c>
      <c r="K407" s="354">
        <f t="shared" ca="1" si="22"/>
        <v>-5.7215347393235918</v>
      </c>
      <c r="L407" s="231" t="s">
        <v>60</v>
      </c>
      <c r="M407" s="142">
        <f t="shared" si="21"/>
        <v>3.4201661969095816</v>
      </c>
    </row>
    <row r="408" spans="7:13" x14ac:dyDescent="0.25">
      <c r="H408" s="115" t="s">
        <v>363</v>
      </c>
      <c r="I408" s="351">
        <f ca="1">-(IF(Geometria!$L$280&lt;Geometria!$J$1030/100,Tensões!V23,IF(Tensões!H23="Sim",'Isolamento de cabos'!$C$58,'Perdas por Seção'!R97))/($H$36/100^2))+(IF(Geometria!$L$280&lt;Geometria!$J$1030/100,Tensões!W23,IF(Tensões!H23="Sim",'Isolamento de cabos'!$C$59,'Perdas por Seção'!R98))/($H$40/100^3))-(($N$284)/($H$40/100^3))-(($N$295)/($I$37/100^4))*((($H$30+$H$33-$I$24)-$H$33)/100)</f>
        <v>-4876.8557551878339</v>
      </c>
      <c r="J408" s="231" t="s">
        <v>63</v>
      </c>
      <c r="K408" s="354">
        <f t="shared" ca="1" si="22"/>
        <v>-4.876855755187834</v>
      </c>
      <c r="L408" s="231" t="s">
        <v>60</v>
      </c>
      <c r="M408" s="142">
        <f t="shared" si="21"/>
        <v>3.4201661969095816</v>
      </c>
    </row>
    <row r="409" spans="7:13" x14ac:dyDescent="0.25">
      <c r="H409" s="115" t="s">
        <v>364</v>
      </c>
      <c r="I409" s="351">
        <f ca="1">-(IF(Geometria!$K$280&lt;Geometria!$J$1030/100,Tensões!V24,IF(Tensões!H24="Sim",'Isolamento de cabos'!$C$58,'Perdas por Seção'!S97))/($H$36/100^2))+(IF(Geometria!$K$280&lt;Geometria!$J$1030/100,Tensões!W24,IF(Tensões!H24="Sim",'Isolamento de cabos'!$C$59,'Perdas por Seção'!S98))/($H$40/100^3))-(($G$287)/($H$40/100^3))-(($G$298)/($I$37/100^4))*((($H$30+$H$33-$I$24)-$H$33)/100)</f>
        <v>-3844.4874911819161</v>
      </c>
      <c r="J409" s="231" t="s">
        <v>63</v>
      </c>
      <c r="K409" s="354">
        <f t="shared" ca="1" si="22"/>
        <v>-3.844487491181916</v>
      </c>
      <c r="L409" s="231" t="s">
        <v>60</v>
      </c>
      <c r="M409" s="142">
        <f t="shared" si="21"/>
        <v>3.4201661969095816</v>
      </c>
    </row>
    <row r="410" spans="7:13" x14ac:dyDescent="0.25">
      <c r="H410" s="115" t="s">
        <v>365</v>
      </c>
      <c r="I410" s="351">
        <f ca="1">-(IF(Geometria!$J$280&lt;Geometria!$J$1030/100,Tensões!V25,IF(Tensões!H25="Sim",'Isolamento de cabos'!$C$58,'Perdas por Seção'!T97))/($H$36/100^2))+(IF(Geometria!$J$280&lt;Geometria!$J$1030/100,Tensões!W25,IF(Tensões!H25="Sim",'Isolamento de cabos'!$C$59,'Perdas por Seção'!T98))/($H$40/100^3))-(($H$287)/($H$40/100^3))-(($H$298)/($I$37/100^4))*((($H$30+$H$33-$I$24)-$H$33)/100)</f>
        <v>-2624.4402553742557</v>
      </c>
      <c r="J410" s="231" t="s">
        <v>63</v>
      </c>
      <c r="K410" s="354">
        <f t="shared" ca="1" si="22"/>
        <v>-2.6244402553742558</v>
      </c>
      <c r="L410" s="231" t="s">
        <v>60</v>
      </c>
      <c r="M410" s="142">
        <f t="shared" si="21"/>
        <v>3.4201661969095816</v>
      </c>
    </row>
    <row r="411" spans="7:13" x14ac:dyDescent="0.25">
      <c r="H411" s="115" t="s">
        <v>366</v>
      </c>
      <c r="I411" s="351">
        <f ca="1">-(IF(Geometria!$I$280&lt;Geometria!$J$1030/100,Tensões!V26,IF(Tensões!H26="Sim",'Isolamento de cabos'!$C$58,'Perdas por Seção'!U97))/($H$36/100^2))+(IF(Geometria!$I$280&lt;Geometria!$J$1030/100,Tensões!W26,IF(Tensões!H26="Sim",'Isolamento de cabos'!$C$59,'Perdas por Seção'!U98))/($H$40/100^3))-(($I$287)/($H$40/100^3))-(($I$298)/($I$37/100^4))*((($H$30+$H$33-$I$24)-$H$33)/100)</f>
        <v>-1216.7262404466323</v>
      </c>
      <c r="J411" s="231" t="s">
        <v>63</v>
      </c>
      <c r="K411" s="354">
        <f t="shared" ca="1" si="22"/>
        <v>-1.2167262404466324</v>
      </c>
      <c r="L411" s="231" t="s">
        <v>60</v>
      </c>
      <c r="M411" s="142">
        <f t="shared" si="21"/>
        <v>3.4201661969095816</v>
      </c>
    </row>
    <row r="412" spans="7:13" ht="15.75" thickBot="1" x14ac:dyDescent="0.3">
      <c r="H412" s="115" t="s">
        <v>367</v>
      </c>
      <c r="I412" s="352">
        <f ca="1">-(IF(Geometria!$H$280&lt;Geometria!$J$1030/100,Tensões!V27,IF(Tensões!H27="Sim",'Isolamento de cabos'!$C$58,'Perdas por Seção'!V97))/($H$36/100^2))+(IF(Geometria!$H$280&lt;Geometria!$J$1030/100,Tensões!W27,IF(Tensões!H27="Sim",'Isolamento de cabos'!$C$59,'Perdas por Seção'!V98))/($H$40/100^3))-(($J$287)/($H$40/100^3))-(($J$298)/($I$37/100^4))*((($H$30+$H$33-$I$24)-$H$33)/100)</f>
        <v>378.64047107288934</v>
      </c>
      <c r="J412" s="231" t="s">
        <v>63</v>
      </c>
      <c r="K412" s="355">
        <f t="shared" ca="1" si="22"/>
        <v>0.37864047107288934</v>
      </c>
      <c r="L412" s="231" t="s">
        <v>60</v>
      </c>
      <c r="M412" s="142">
        <f t="shared" si="21"/>
        <v>3.4201661969095816</v>
      </c>
    </row>
    <row r="413" spans="7:13" x14ac:dyDescent="0.25">
      <c r="H413" s="133" t="s">
        <v>368</v>
      </c>
      <c r="I413" s="191">
        <v>0</v>
      </c>
      <c r="J413" s="275" t="s">
        <v>63</v>
      </c>
      <c r="K413" s="193">
        <f>I413/1000</f>
        <v>0</v>
      </c>
      <c r="L413" s="275" t="s">
        <v>60</v>
      </c>
      <c r="M413" s="193">
        <f>M412</f>
        <v>3.4201661969095816</v>
      </c>
    </row>
    <row r="415" spans="7:13" x14ac:dyDescent="0.25">
      <c r="H415" s="638" t="s">
        <v>198</v>
      </c>
      <c r="I415" s="638"/>
      <c r="J415" s="638"/>
      <c r="K415" s="638"/>
      <c r="L415" s="638"/>
      <c r="M415" s="117" t="s">
        <v>180</v>
      </c>
    </row>
    <row r="416" spans="7:13" ht="15.75" thickBot="1" x14ac:dyDescent="0.3">
      <c r="H416" s="115" t="s">
        <v>169</v>
      </c>
      <c r="I416" s="144">
        <v>0</v>
      </c>
      <c r="J416" s="231" t="s">
        <v>63</v>
      </c>
      <c r="K416" s="142">
        <f>I416/1000</f>
        <v>0</v>
      </c>
      <c r="L416" s="231" t="s">
        <v>60</v>
      </c>
      <c r="M416" s="142">
        <f>S313</f>
        <v>-35</v>
      </c>
    </row>
    <row r="417" spans="7:13" x14ac:dyDescent="0.25">
      <c r="H417" s="115" t="s">
        <v>170</v>
      </c>
      <c r="I417" s="350">
        <f ca="1">-(IF(Geometria!$H$280&lt;Geometria!$J$1031/100,Tensões!V32,IF(Tensões!H32="Sim",'Isolamento de cabos'!$C$58,'Perdas por Seção'!D97))/($H$36/100^2))-(IF(Geometria!$H$280&lt;Geometria!$J$1031/100,Tensões!W32,IF(Tensões!H32="Sim",'Isolamento de cabos'!$C$59,'Perdas por Seção'!D98))/($H$41/100^3))+(($H$281)/($H$41/100^3))+(($H$292)/($I$41/100^3))</f>
        <v>-6438.2962298767852</v>
      </c>
      <c r="J417" s="231" t="s">
        <v>63</v>
      </c>
      <c r="K417" s="353">
        <f t="shared" ref="K417:K426" ca="1" si="23">I417/1000</f>
        <v>-6.4382962298767854</v>
      </c>
      <c r="L417" s="231" t="s">
        <v>60</v>
      </c>
      <c r="M417" s="142">
        <f>M416</f>
        <v>-35</v>
      </c>
    </row>
    <row r="418" spans="7:13" x14ac:dyDescent="0.25">
      <c r="H418" s="115" t="s">
        <v>171</v>
      </c>
      <c r="I418" s="351">
        <f ca="1">-(IF(Geometria!$I$280&lt;Geometria!$J$1031/100,Tensões!V33,IF(Tensões!H33="Sim",'Isolamento de cabos'!$C$58,'Perdas por Seção'!E97))/($H$36/100^2))-(IF(Geometria!$I$280&lt;Geometria!$J$1031/100,Tensões!W33,IF(Tensões!H33="Sim",'Isolamento de cabos'!$C$59,'Perdas por Seção'!E98))/($H$41/100^3))+(($I$281)/($H$41/100^3))+(($I$292)/($I$41/100^3))</f>
        <v>-7435.3117382077271</v>
      </c>
      <c r="J418" s="231" t="s">
        <v>63</v>
      </c>
      <c r="K418" s="354">
        <f t="shared" ca="1" si="23"/>
        <v>-7.4353117382077274</v>
      </c>
      <c r="L418" s="231" t="s">
        <v>60</v>
      </c>
      <c r="M418" s="142">
        <f t="shared" ref="M418:M436" si="24">M417</f>
        <v>-35</v>
      </c>
    </row>
    <row r="419" spans="7:13" x14ac:dyDescent="0.25">
      <c r="H419" s="115" t="s">
        <v>172</v>
      </c>
      <c r="I419" s="351">
        <f ca="1">-(IF(Geometria!$J$280&lt;Geometria!$J$1031/100,Tensões!V34,IF(Tensões!H34="Sim",'Isolamento de cabos'!$C$58,'Perdas por Seção'!F97))/($H$36/100^2))-(IF(Geometria!$J$280&lt;Geometria!$J$1031/100,Tensões!W34,IF(Tensões!H34="Sim",'Isolamento de cabos'!$C$59,'Perdas por Seção'!F98))/($H$41/100^3))+(($J$281)/($H$41/100^3))+(($J$292)/($I$41/100^3))</f>
        <v>-5946.8683101714632</v>
      </c>
      <c r="J419" s="231" t="s">
        <v>63</v>
      </c>
      <c r="K419" s="354">
        <f t="shared" ca="1" si="23"/>
        <v>-5.946868310171463</v>
      </c>
      <c r="L419" s="231" t="s">
        <v>60</v>
      </c>
      <c r="M419" s="142">
        <f t="shared" si="24"/>
        <v>-35</v>
      </c>
    </row>
    <row r="420" spans="7:13" x14ac:dyDescent="0.25">
      <c r="H420" s="115" t="s">
        <v>173</v>
      </c>
      <c r="I420" s="351">
        <f ca="1">-(IF(Geometria!$K$280&lt;Geometria!$J$1031/100,Tensões!V35,IF(Tensões!H35="Sim",'Isolamento de cabos'!$C$58,'Perdas por Seção'!G97))/($H$36/100^2))-(IF(Geometria!$K$280&lt;Geometria!$J$1031/100,Tensões!W35,IF(Tensões!H35="Sim",'Isolamento de cabos'!$C$59,'Perdas por Seção'!G98))/($H$41/100^3))+(($K$281)/($H$41/100^3))+(($K$292)/($I$41/100^3))</f>
        <v>-4656.7392798445098</v>
      </c>
      <c r="J420" s="231" t="s">
        <v>63</v>
      </c>
      <c r="K420" s="354">
        <f t="shared" ca="1" si="23"/>
        <v>-4.6567392798445102</v>
      </c>
      <c r="L420" s="231" t="s">
        <v>60</v>
      </c>
      <c r="M420" s="142">
        <f t="shared" si="24"/>
        <v>-35</v>
      </c>
    </row>
    <row r="421" spans="7:13" x14ac:dyDescent="0.25">
      <c r="H421" s="115" t="s">
        <v>174</v>
      </c>
      <c r="I421" s="351">
        <f ca="1">-(IF(Geometria!$L$280&lt;Geometria!$J$1031/100,Tensões!V36,IF(Tensões!H36="Sim",'Isolamento de cabos'!$C$58,'Perdas por Seção'!H97))/($H$36/100^2))-(IF(Geometria!$L$280&lt;Geometria!$J$1031/100,Tensões!W36,IF(Tensões!H36="Sim",'Isolamento de cabos'!$C$59,'Perdas por Seção'!H98))/($H$41/100^3))+(($L$281)/($H$41/100^3))+(($L$292)/($I$41/100^3))</f>
        <v>-3564.9867309781625</v>
      </c>
      <c r="J421" s="231" t="s">
        <v>63</v>
      </c>
      <c r="K421" s="354">
        <f t="shared" ca="1" si="23"/>
        <v>-3.5649867309781627</v>
      </c>
      <c r="L421" s="231" t="s">
        <v>60</v>
      </c>
      <c r="M421" s="142">
        <f t="shared" si="24"/>
        <v>-35</v>
      </c>
    </row>
    <row r="422" spans="7:13" x14ac:dyDescent="0.25">
      <c r="H422" s="115" t="s">
        <v>175</v>
      </c>
      <c r="I422" s="351">
        <f ca="1">-(IF(Geometria!$M$280&lt;Geometria!$J$1031/100,Tensões!V37,IF(Tensões!H37="Sim",'Isolamento de cabos'!$C$58,'Perdas por Seção'!I97))/($H$36/100^2))-(IF(Geometria!$M$280&lt;Geometria!$J$1031/100,Tensões!W37,IF(Tensões!H37="Sim",'Isolamento de cabos'!$C$59,'Perdas por Seção'!I98))/($H$41/100^3))+(($M$281)/($H$41/100^3))+(($M$292)/($I$41/100^3))</f>
        <v>-2671.6631510863499</v>
      </c>
      <c r="J422" s="231" t="s">
        <v>63</v>
      </c>
      <c r="K422" s="354">
        <f t="shared" ca="1" si="23"/>
        <v>-2.6716631510863498</v>
      </c>
      <c r="L422" s="231" t="s">
        <v>60</v>
      </c>
      <c r="M422" s="142">
        <f t="shared" si="24"/>
        <v>-35</v>
      </c>
    </row>
    <row r="423" spans="7:13" x14ac:dyDescent="0.25">
      <c r="H423" s="115" t="s">
        <v>176</v>
      </c>
      <c r="I423" s="351">
        <f ca="1">-(IF(Geometria!$N$280&lt;Geometria!$J$1031/100,Tensões!V38,IF(Tensões!H38="Sim",'Isolamento de cabos'!$C$58,'Perdas por Seção'!J97))/($H$36/100^2))-(IF(Geometria!$N$280&lt;Geometria!$J$1031/100,Tensões!W38,IF(Tensões!H38="Sim",'Isolamento de cabos'!$C$59,'Perdas por Seção'!J98))/($H$41/100^3))+(($N$281)/($H$41/100^3))+(($N$292)/($I$41/100^3))</f>
        <v>-1976.8114539342077</v>
      </c>
      <c r="J423" s="231" t="s">
        <v>63</v>
      </c>
      <c r="K423" s="354">
        <f t="shared" ca="1" si="23"/>
        <v>-1.9768114539342077</v>
      </c>
      <c r="L423" s="231" t="s">
        <v>60</v>
      </c>
      <c r="M423" s="142">
        <f t="shared" si="24"/>
        <v>-35</v>
      </c>
    </row>
    <row r="424" spans="7:13" x14ac:dyDescent="0.25">
      <c r="H424" s="115" t="s">
        <v>177</v>
      </c>
      <c r="I424" s="351">
        <f ca="1">-(IF(Geometria!$G$283&lt;Geometria!$J$1031/100,Tensões!V39,IF(Tensões!H39="Sim",'Isolamento de cabos'!$C$58,'Perdas por Seção'!K97))/($H$36/100^2))-(IF(Geometria!$G$283&lt;Geometria!$J$1031/100,Tensões!W39,IF(Tensões!H39="Sim",'Isolamento de cabos'!$C$59,'Perdas por Seção'!K98))/($H$41/100^3))+(($G$284)/($H$41/100^3))+(($G$295)/($I$41/100^3))</f>
        <v>-1480.4649978986095</v>
      </c>
      <c r="J424" s="231" t="s">
        <v>63</v>
      </c>
      <c r="K424" s="354">
        <f t="shared" ca="1" si="23"/>
        <v>-1.4804649978986095</v>
      </c>
      <c r="L424" s="231" t="s">
        <v>60</v>
      </c>
      <c r="M424" s="142">
        <f t="shared" si="24"/>
        <v>-35</v>
      </c>
    </row>
    <row r="425" spans="7:13" x14ac:dyDescent="0.25">
      <c r="H425" s="115" t="s">
        <v>178</v>
      </c>
      <c r="I425" s="351">
        <f ca="1">-(IF(Geometria!$H$283&lt;Geometria!$J$1031/100,Tensões!V40,IF(Tensões!H40="Sim",'Isolamento de cabos'!$C$58,'Perdas por Seção'!L97))/($H$36/100^2))-(IF(Geometria!$H$283&lt;Geometria!$J$1031/100,Tensões!W40,IF(Tensões!H40="Sim",'Isolamento de cabos'!$C$59,'Perdas por Seção'!L98))/($H$41/100^3))+(($H$284)/($H$41/100^3))+(($H$295)/($I$41/100^3))</f>
        <v>-1182.6476002243248</v>
      </c>
      <c r="J425" s="231" t="s">
        <v>63</v>
      </c>
      <c r="K425" s="354">
        <f t="shared" ca="1" si="23"/>
        <v>-1.1826476002243249</v>
      </c>
      <c r="L425" s="231" t="s">
        <v>60</v>
      </c>
      <c r="M425" s="142">
        <f t="shared" si="24"/>
        <v>-35</v>
      </c>
    </row>
    <row r="426" spans="7:13" x14ac:dyDescent="0.25">
      <c r="G426" s="116">
        <f ca="1">(((H30+H33-I24)-H33)/100)</f>
        <v>8.9982108504115241E-2</v>
      </c>
      <c r="H426" s="115" t="s">
        <v>179</v>
      </c>
      <c r="I426" s="351">
        <f ca="1">-(IF(Geometria!$I$283&lt;Geometria!$J$1031/100,Tensões!V41,IF(Tensões!H41="Sim",'Isolamento de cabos'!$C$58,'Perdas por Seção'!M97))/($H$36/100^2))-(IF(Geometria!$I$283&lt;Geometria!$J$1031/100,Tensões!W41,IF(Tensões!H41="Sim",'Isolamento de cabos'!$C$59,'Perdas por Seção'!M98))/($H$41/100^3))+(($I$284)/($H$41/100^3))+(($I$295)/($I$41/100^3))</f>
        <v>-1083.3735471938803</v>
      </c>
      <c r="J426" s="231" t="s">
        <v>63</v>
      </c>
      <c r="K426" s="354">
        <f t="shared" ca="1" si="23"/>
        <v>-1.0833735471938803</v>
      </c>
      <c r="L426" s="231" t="s">
        <v>60</v>
      </c>
      <c r="M426" s="142">
        <f t="shared" si="24"/>
        <v>-35</v>
      </c>
    </row>
    <row r="427" spans="7:13" x14ac:dyDescent="0.25">
      <c r="H427" s="115" t="s">
        <v>359</v>
      </c>
      <c r="I427" s="351">
        <f ca="1">-(IF(Geometria!$H$283&lt;Geometria!$J$1031/100,Tensões!V42,IF(Tensões!H42="Sim",'Isolamento de cabos'!$C$58,'Perdas por Seção'!N97))/($H$36/100^2))-(IF(Geometria!$H$283&lt;Geometria!$J$1031/100,Tensões!W42,IF(Tensões!H42="Sim",'Isolamento de cabos'!$C$59,'Perdas por Seção'!N98))/($H$41/100^3))+(($J$284)/($H$41/100^3))+(($J$295)/($I$41/100^3))</f>
        <v>-1182.6476002243248</v>
      </c>
      <c r="J427" s="231" t="s">
        <v>63</v>
      </c>
      <c r="K427" s="354">
        <f t="shared" ref="K427:K436" ca="1" si="25">I427/1000</f>
        <v>-1.1826476002243249</v>
      </c>
      <c r="L427" s="231" t="s">
        <v>60</v>
      </c>
      <c r="M427" s="142">
        <f t="shared" si="24"/>
        <v>-35</v>
      </c>
    </row>
    <row r="428" spans="7:13" x14ac:dyDescent="0.25">
      <c r="H428" s="115" t="s">
        <v>360</v>
      </c>
      <c r="I428" s="351">
        <f ca="1">-(IF(Geometria!$G$283&lt;Geometria!$J$1031/100,Tensões!V43,IF(Tensões!H43="Sim",'Isolamento de cabos'!$C$58,'Perdas por Seção'!O97))/($H$36/100^2))-(IF(Geometria!$G$283&lt;Geometria!$J$1031/100,Tensões!W43,IF(Tensões!H43="Sim",'Isolamento de cabos'!$C$59,'Perdas por Seção'!O98))/($H$41/100^3))+(($K$284)/($H$41/100^3))+(($K$295)/($I$41/100^3))</f>
        <v>-1480.4649978986113</v>
      </c>
      <c r="J428" s="231" t="s">
        <v>63</v>
      </c>
      <c r="K428" s="354">
        <f t="shared" ca="1" si="25"/>
        <v>-1.4804649978986113</v>
      </c>
      <c r="L428" s="231" t="s">
        <v>60</v>
      </c>
      <c r="M428" s="142">
        <f t="shared" si="24"/>
        <v>-35</v>
      </c>
    </row>
    <row r="429" spans="7:13" x14ac:dyDescent="0.25">
      <c r="H429" s="115" t="s">
        <v>361</v>
      </c>
      <c r="I429" s="351">
        <f ca="1">-(IF(Geometria!$N$280&lt;Geometria!$J$1031/100,Tensões!V44,IF(Tensões!H44="Sim",'Isolamento de cabos'!$C$58,'Perdas por Seção'!P97))/($H$36/100^2))-(IF(Geometria!$N$280&lt;Geometria!$J$1031/100,Tensões!W44,IF(Tensões!H44="Sim",'Isolamento de cabos'!$C$59,'Perdas por Seção'!P98))/($H$41/100^3))+(($L$284)/($H$41/100^3))+(($L$295)/($I$41/100^3))</f>
        <v>-1976.8114539342073</v>
      </c>
      <c r="J429" s="231" t="s">
        <v>63</v>
      </c>
      <c r="K429" s="354">
        <f t="shared" ca="1" si="25"/>
        <v>-1.9768114539342072</v>
      </c>
      <c r="L429" s="231" t="s">
        <v>60</v>
      </c>
      <c r="M429" s="142">
        <f t="shared" si="24"/>
        <v>-35</v>
      </c>
    </row>
    <row r="430" spans="7:13" x14ac:dyDescent="0.25">
      <c r="H430" s="115" t="s">
        <v>362</v>
      </c>
      <c r="I430" s="351">
        <f ca="1">-(IF(Geometria!$M$280&lt;Geometria!$J$1031/100,Tensões!V45,IF(Tensões!H45="Sim",'Isolamento de cabos'!$C$58,'Perdas por Seção'!Q97))/($H$36/100^2))-(IF(Geometria!$M$280&lt;Geometria!$J$1031/100,Tensões!W45,IF(Tensões!H45="Sim",'Isolamento de cabos'!$C$59,'Perdas por Seção'!Q98))/($H$41/100^3))+(($M$284)/($H$41/100^3))+(($M$295)/($I$41/100^3))</f>
        <v>-2671.6631510863454</v>
      </c>
      <c r="J430" s="231" t="s">
        <v>63</v>
      </c>
      <c r="K430" s="354">
        <f t="shared" ca="1" si="25"/>
        <v>-2.6716631510863453</v>
      </c>
      <c r="L430" s="231" t="s">
        <v>60</v>
      </c>
      <c r="M430" s="142">
        <f t="shared" si="24"/>
        <v>-35</v>
      </c>
    </row>
    <row r="431" spans="7:13" x14ac:dyDescent="0.25">
      <c r="H431" s="115" t="s">
        <v>363</v>
      </c>
      <c r="I431" s="351">
        <f ca="1">-(IF(Geometria!$L$280&lt;Geometria!$J$1031/100,Tensões!V46,IF(Tensões!H46="Sim",'Isolamento de cabos'!$C$58,'Perdas por Seção'!R97))/($H$36/100^2))-(IF(Geometria!$L$280&lt;Geometria!$J$1031/100,Tensões!W46,IF(Tensões!H46="Sim",'Isolamento de cabos'!$C$59,'Perdas por Seção'!R98))/($H$41/100^3))+(($N$284)/($H$41/100^3))+(($N$295)/($I$41/100^3))</f>
        <v>-3564.986730978153</v>
      </c>
      <c r="J431" s="231" t="s">
        <v>63</v>
      </c>
      <c r="K431" s="354">
        <f t="shared" ca="1" si="25"/>
        <v>-3.5649867309781529</v>
      </c>
      <c r="L431" s="231" t="s">
        <v>60</v>
      </c>
      <c r="M431" s="142">
        <f t="shared" si="24"/>
        <v>-35</v>
      </c>
    </row>
    <row r="432" spans="7:13" x14ac:dyDescent="0.25">
      <c r="H432" s="115" t="s">
        <v>364</v>
      </c>
      <c r="I432" s="351">
        <f ca="1">-(IF(Geometria!$K$280&lt;Geometria!$J$1031/100,Tensões!V47,IF(Tensões!H47="Sim",'Isolamento de cabos'!$C$58,'Perdas por Seção'!S97))/($H$36/100^2))-(IF(Geometria!$K$280&lt;Geometria!$J$1031/100,Tensões!W47,IF(Tensões!H47="Sim",'Isolamento de cabos'!$C$59,'Perdas por Seção'!S98))/($H$41/100^3))+(($G$287)/($H$41/100^3))+(($G$298)/($I$41/100^3))</f>
        <v>-4656.7392798445026</v>
      </c>
      <c r="J432" s="231" t="s">
        <v>63</v>
      </c>
      <c r="K432" s="354">
        <f t="shared" ca="1" si="25"/>
        <v>-4.6567392798445022</v>
      </c>
      <c r="L432" s="231" t="s">
        <v>60</v>
      </c>
      <c r="M432" s="142">
        <f t="shared" si="24"/>
        <v>-35</v>
      </c>
    </row>
    <row r="433" spans="8:13" x14ac:dyDescent="0.25">
      <c r="H433" s="115" t="s">
        <v>365</v>
      </c>
      <c r="I433" s="351">
        <f ca="1">-(IF(Geometria!$J$280&lt;Geometria!$J$1031/100,Tensões!V48,IF(Tensões!H48="Sim",'Isolamento de cabos'!$C$58,'Perdas por Seção'!T97))/($H$36/100^2))-(IF(Geometria!$J$280&lt;Geometria!$J$1031/100,Tensões!W48,IF(Tensões!H48="Sim",'Isolamento de cabos'!$C$59,'Perdas por Seção'!T98))/($H$41/100^3))+(($H$287)/($H$41/100^3))+(($H$298)/($I$41/100^3))</f>
        <v>-5946.8683101714523</v>
      </c>
      <c r="J433" s="231" t="s">
        <v>63</v>
      </c>
      <c r="K433" s="354">
        <f t="shared" ca="1" si="25"/>
        <v>-5.9468683101714523</v>
      </c>
      <c r="L433" s="231" t="s">
        <v>60</v>
      </c>
      <c r="M433" s="142">
        <f t="shared" si="24"/>
        <v>-35</v>
      </c>
    </row>
    <row r="434" spans="8:13" x14ac:dyDescent="0.25">
      <c r="H434" s="115" t="s">
        <v>366</v>
      </c>
      <c r="I434" s="351">
        <f ca="1">-(IF(Geometria!$I$280&lt;Geometria!$J$1031/100,Tensões!V49,IF(Tensões!H49="Sim",'Isolamento de cabos'!$C$58,'Perdas por Seção'!U97))/($H$36/100^2))-(IF(Geometria!$I$280&lt;Geometria!$J$1031/100,Tensões!W49,IF(Tensões!H49="Sim",'Isolamento de cabos'!$C$59,'Perdas por Seção'!U98))/($H$41/100^3))+(($I$287)/($H$41/100^3))+(($I$298)/($I$41/100^3))</f>
        <v>-7435.3117382077144</v>
      </c>
      <c r="J434" s="231" t="s">
        <v>63</v>
      </c>
      <c r="K434" s="354">
        <f t="shared" ca="1" si="25"/>
        <v>-7.4353117382077141</v>
      </c>
      <c r="L434" s="231" t="s">
        <v>60</v>
      </c>
      <c r="M434" s="142">
        <f t="shared" si="24"/>
        <v>-35</v>
      </c>
    </row>
    <row r="435" spans="8:13" ht="15.75" thickBot="1" x14ac:dyDescent="0.3">
      <c r="H435" s="115" t="s">
        <v>367</v>
      </c>
      <c r="I435" s="352">
        <f ca="1">-(IF(Geometria!$H$280&lt;Geometria!$J$1031/100,Tensões!V50,IF(Tensões!H50="Sim",'Isolamento de cabos'!$C$58,'Perdas por Seção'!V97))/($H$36/100^2))-(IF(Geometria!$H$280&lt;Geometria!$J$1031/100,Tensões!W50,IF(Tensões!H50="Sim",'Isolamento de cabos'!$C$59,'Perdas por Seção'!V98))/($H$41/100^3))+(($J$287)/($H$41/100^3))+(($J$298)/($I$41/100^3))</f>
        <v>-6438.2962298767688</v>
      </c>
      <c r="J435" s="231" t="s">
        <v>63</v>
      </c>
      <c r="K435" s="355">
        <f t="shared" ca="1" si="25"/>
        <v>-6.4382962298767685</v>
      </c>
      <c r="L435" s="231" t="s">
        <v>60</v>
      </c>
      <c r="M435" s="142">
        <f t="shared" si="24"/>
        <v>-35</v>
      </c>
    </row>
    <row r="436" spans="8:13" x14ac:dyDescent="0.25">
      <c r="H436" s="133" t="s">
        <v>368</v>
      </c>
      <c r="I436" s="191">
        <v>0</v>
      </c>
      <c r="J436" s="275" t="s">
        <v>63</v>
      </c>
      <c r="K436" s="193">
        <f t="shared" si="25"/>
        <v>0</v>
      </c>
      <c r="L436" s="275" t="s">
        <v>60</v>
      </c>
      <c r="M436" s="193">
        <f t="shared" si="24"/>
        <v>-35</v>
      </c>
    </row>
    <row r="446" spans="8:13" x14ac:dyDescent="0.25">
      <c r="H446" s="144"/>
      <c r="J446" s="144"/>
      <c r="K446" s="144"/>
    </row>
    <row r="447" spans="8:13" x14ac:dyDescent="0.25">
      <c r="H447" s="144"/>
      <c r="J447" s="144"/>
      <c r="K447" s="144"/>
    </row>
    <row r="475" spans="9:14" hidden="1" x14ac:dyDescent="0.25">
      <c r="I475" s="670" t="s">
        <v>149</v>
      </c>
      <c r="J475" s="670"/>
      <c r="K475" s="670"/>
      <c r="L475" s="670"/>
    </row>
    <row r="476" spans="9:14" hidden="1" x14ac:dyDescent="0.25">
      <c r="I476" s="115" t="s">
        <v>182</v>
      </c>
    </row>
    <row r="477" spans="9:14" hidden="1" x14ac:dyDescent="0.25">
      <c r="I477" s="115" t="s">
        <v>183</v>
      </c>
      <c r="J477" s="246">
        <f ca="1">((ABS(MAX($I$335:$I$355)))/((ABS(MAX($I$335:$I$355)))+(ABS(MIN($I$312:$I$332))))*(IF($I$16="1 - Retângular",$H$23/100,(#REF!+#REF!+#REF!+#REF!+#REF!)/100)))</f>
        <v>3.2503830748427553E-2</v>
      </c>
      <c r="K477" s="231" t="s">
        <v>83</v>
      </c>
      <c r="N477" s="201"/>
    </row>
    <row r="478" spans="9:14" hidden="1" x14ac:dyDescent="0.25">
      <c r="I478" s="115" t="s">
        <v>184</v>
      </c>
      <c r="J478" s="245">
        <f ca="1">(ABS(MAX($I$754:$I$774)))*(IF($I$16="1 - Retângular",$H$22/100,(#REF!/100))*J477/2)</f>
        <v>35.771380955056941</v>
      </c>
      <c r="K478" s="231" t="s">
        <v>96</v>
      </c>
      <c r="L478" s="656" t="str">
        <f>IF($I$16="1 - Retângular","Ok",IF((#REF!/100)&lt;J477,"OBS: Valor da linha neutra é MAIOR que hf1 - armadura ativa necessita verificação","Ok"))</f>
        <v>Ok</v>
      </c>
      <c r="M478" s="656"/>
      <c r="N478" s="656"/>
    </row>
    <row r="479" spans="9:14" hidden="1" x14ac:dyDescent="0.25">
      <c r="I479" s="121" t="s">
        <v>185</v>
      </c>
      <c r="J479" s="237">
        <f ca="1">J478/((250/1.15)/10)</f>
        <v>1.6454835239326193</v>
      </c>
      <c r="K479" s="231" t="s">
        <v>14</v>
      </c>
      <c r="L479" s="656"/>
      <c r="M479" s="656"/>
      <c r="N479" s="656"/>
    </row>
    <row r="480" spans="9:14" hidden="1" x14ac:dyDescent="0.25">
      <c r="J480" s="121"/>
      <c r="L480" s="656"/>
      <c r="M480" s="656"/>
      <c r="N480" s="656"/>
    </row>
    <row r="481" spans="7:14" hidden="1" x14ac:dyDescent="0.25">
      <c r="I481" s="117">
        <f ca="1">ROUNDUP(J479/VLOOKUP(K481,$M$836:$N$843,2),0)</f>
        <v>1</v>
      </c>
      <c r="J481" s="117" t="s">
        <v>186</v>
      </c>
      <c r="K481" s="207">
        <v>16</v>
      </c>
      <c r="L481" s="208" t="s">
        <v>187</v>
      </c>
    </row>
    <row r="482" spans="7:14" hidden="1" x14ac:dyDescent="0.25"/>
    <row r="483" spans="7:14" hidden="1" x14ac:dyDescent="0.25"/>
    <row r="484" spans="7:14" hidden="1" x14ac:dyDescent="0.25">
      <c r="I484" s="670" t="s">
        <v>155</v>
      </c>
      <c r="J484" s="670"/>
      <c r="K484" s="670"/>
      <c r="L484" s="670"/>
    </row>
    <row r="485" spans="7:14" hidden="1" x14ac:dyDescent="0.25">
      <c r="I485" s="115" t="s">
        <v>182</v>
      </c>
    </row>
    <row r="486" spans="7:14" hidden="1" x14ac:dyDescent="0.25">
      <c r="I486" s="115" t="s">
        <v>183</v>
      </c>
      <c r="J486" s="246">
        <f ca="1">((ABS(MAX($I$416:$I$436)))/((ABS(MAX($I$416:$I$436)))+(ABS(MIN($I$393:$I$413))))*(IF($I$16="1 - Retângular",$H$23/100,(#REF!+#REF!+#REF!+#REF!+#REF!)/100)))</f>
        <v>0</v>
      </c>
      <c r="K486" s="231" t="s">
        <v>83</v>
      </c>
      <c r="N486" s="201"/>
    </row>
    <row r="487" spans="7:14" hidden="1" x14ac:dyDescent="0.25">
      <c r="I487" s="115" t="s">
        <v>184</v>
      </c>
      <c r="J487" s="245">
        <f ca="1">(ABS(MAX($I$754:$I$774)))*(IF($I$16="1 - Retângular",$H$22/100,(#REF!/100))*J486/2)</f>
        <v>0</v>
      </c>
      <c r="K487" s="231" t="s">
        <v>96</v>
      </c>
      <c r="L487" s="656" t="str">
        <f>IF($I$16="1 - Retângular","Ok",IF((#REF!/100)&lt;J486,"OBS: Valor da linha neutra é MAIOR que hf1 - armadura ativa necessita verificação","Ok"))</f>
        <v>Ok</v>
      </c>
      <c r="M487" s="656"/>
      <c r="N487" s="656"/>
    </row>
    <row r="488" spans="7:14" hidden="1" x14ac:dyDescent="0.25">
      <c r="I488" s="121" t="s">
        <v>185</v>
      </c>
      <c r="J488" s="237">
        <f ca="1">J487/((250/1.15)/10)</f>
        <v>0</v>
      </c>
      <c r="K488" s="231" t="s">
        <v>14</v>
      </c>
      <c r="L488" s="656"/>
      <c r="M488" s="656"/>
      <c r="N488" s="656"/>
    </row>
    <row r="489" spans="7:14" hidden="1" x14ac:dyDescent="0.25">
      <c r="J489" s="121"/>
      <c r="L489" s="656"/>
      <c r="M489" s="656"/>
      <c r="N489" s="656"/>
    </row>
    <row r="490" spans="7:14" hidden="1" x14ac:dyDescent="0.25">
      <c r="I490" s="117">
        <f ca="1">ROUNDUP(J488/VLOOKUP(K490,$M$836:$N$843,2),0)</f>
        <v>0</v>
      </c>
      <c r="J490" s="117" t="s">
        <v>186</v>
      </c>
      <c r="K490" s="207">
        <v>16</v>
      </c>
      <c r="L490" s="208" t="s">
        <v>187</v>
      </c>
    </row>
    <row r="491" spans="7:14" hidden="1" x14ac:dyDescent="0.25">
      <c r="J491" s="144"/>
      <c r="K491" s="144"/>
      <c r="L491" s="144"/>
    </row>
    <row r="492" spans="7:14" hidden="1" x14ac:dyDescent="0.25">
      <c r="J492" s="144"/>
      <c r="K492" s="144"/>
      <c r="L492" s="144"/>
    </row>
    <row r="493" spans="7:14" hidden="1" x14ac:dyDescent="0.25"/>
    <row r="494" spans="7:14" x14ac:dyDescent="0.25">
      <c r="G494" s="635" t="s">
        <v>165</v>
      </c>
      <c r="H494" s="635"/>
      <c r="I494" s="635"/>
      <c r="J494" s="635"/>
      <c r="K494" s="635"/>
      <c r="L494" s="635"/>
      <c r="M494" s="635"/>
      <c r="N494" s="635"/>
    </row>
    <row r="495" spans="7:14" hidden="1" x14ac:dyDescent="0.25">
      <c r="H495" s="638" t="s">
        <v>166</v>
      </c>
      <c r="I495" s="638"/>
      <c r="J495" s="638"/>
      <c r="K495" s="638"/>
      <c r="L495" s="638"/>
      <c r="M495" s="638"/>
    </row>
    <row r="496" spans="7:14" hidden="1" x14ac:dyDescent="0.25">
      <c r="H496" s="115" t="s">
        <v>146</v>
      </c>
      <c r="I496" s="119">
        <f>0.7*H58*1000</f>
        <v>35000</v>
      </c>
      <c r="J496" s="115" t="s">
        <v>63</v>
      </c>
      <c r="K496" s="119" t="s">
        <v>145</v>
      </c>
      <c r="M496" s="119" t="s">
        <v>146</v>
      </c>
    </row>
    <row r="497" spans="7:14" hidden="1" x14ac:dyDescent="0.25">
      <c r="H497" s="133" t="s">
        <v>145</v>
      </c>
      <c r="I497" s="131">
        <v>0</v>
      </c>
      <c r="J497" s="133" t="s">
        <v>63</v>
      </c>
      <c r="K497" s="191">
        <f>-I497</f>
        <v>0</v>
      </c>
      <c r="L497" s="131" t="s">
        <v>164</v>
      </c>
      <c r="M497" s="131">
        <f>I496</f>
        <v>35000</v>
      </c>
    </row>
    <row r="498" spans="7:14" hidden="1" x14ac:dyDescent="0.25"/>
    <row r="499" spans="7:14" hidden="1" x14ac:dyDescent="0.25"/>
    <row r="500" spans="7:14" hidden="1" x14ac:dyDescent="0.25">
      <c r="G500" s="669" t="s">
        <v>147</v>
      </c>
      <c r="H500" s="669"/>
      <c r="I500" s="669"/>
      <c r="J500" s="123"/>
      <c r="K500" s="669" t="s">
        <v>156</v>
      </c>
      <c r="L500" s="669"/>
      <c r="M500" s="669"/>
      <c r="N500" s="669"/>
    </row>
    <row r="501" spans="7:14" hidden="1" x14ac:dyDescent="0.25">
      <c r="G501" s="669" t="s">
        <v>149</v>
      </c>
      <c r="H501" s="669"/>
      <c r="I501" s="669"/>
      <c r="J501" s="123"/>
      <c r="K501" s="669" t="s">
        <v>149</v>
      </c>
      <c r="L501" s="669"/>
      <c r="M501" s="669"/>
      <c r="N501" s="669"/>
    </row>
    <row r="502" spans="7:14" hidden="1" x14ac:dyDescent="0.25">
      <c r="G502" s="644" t="s">
        <v>148</v>
      </c>
      <c r="H502" s="239">
        <f ca="1">H505+H506-H507-H508-H509</f>
        <v>-39.446928720388087</v>
      </c>
      <c r="I502" s="231" t="s">
        <v>63</v>
      </c>
      <c r="K502" s="644" t="s">
        <v>148</v>
      </c>
      <c r="L502" s="239">
        <f ca="1">L505-L506+L507+L508+L509</f>
        <v>8226.9231509462479</v>
      </c>
      <c r="M502" s="231" t="s">
        <v>63</v>
      </c>
    </row>
    <row r="503" spans="7:14" hidden="1" x14ac:dyDescent="0.25">
      <c r="G503" s="644"/>
      <c r="H503" s="237">
        <f ca="1">H502/1000</f>
        <v>-3.9446928720388089E-2</v>
      </c>
      <c r="I503" s="281" t="s">
        <v>50</v>
      </c>
      <c r="K503" s="644"/>
      <c r="L503" s="237">
        <f ca="1">L502/1000</f>
        <v>8.2269231509462486</v>
      </c>
      <c r="M503" s="281" t="s">
        <v>50</v>
      </c>
    </row>
    <row r="504" spans="7:14" hidden="1" x14ac:dyDescent="0.25">
      <c r="I504" s="231"/>
      <c r="M504" s="231"/>
    </row>
    <row r="505" spans="7:14" hidden="1" x14ac:dyDescent="0.25">
      <c r="G505" s="209" t="s">
        <v>150</v>
      </c>
      <c r="H505" s="239">
        <f ca="1">(J242/(H36/100^2))</f>
        <v>4922.9873465439887</v>
      </c>
      <c r="K505" s="209" t="s">
        <v>150</v>
      </c>
      <c r="L505" s="239">
        <f ca="1">(J242/(H36/100^2))</f>
        <v>4922.9873465439887</v>
      </c>
    </row>
    <row r="506" spans="7:14" hidden="1" x14ac:dyDescent="0.25">
      <c r="G506" s="209" t="s">
        <v>151</v>
      </c>
      <c r="H506" s="239">
        <f ca="1">(J243/(H40/100^3))</f>
        <v>7315.2801502470074</v>
      </c>
      <c r="K506" s="209" t="s">
        <v>160</v>
      </c>
      <c r="L506" s="239">
        <f ca="1">(J243/(H40/100^3))</f>
        <v>7315.2801502470074</v>
      </c>
    </row>
    <row r="507" spans="7:14" hidden="1" x14ac:dyDescent="0.25">
      <c r="G507" s="209" t="s">
        <v>153</v>
      </c>
      <c r="H507" s="239">
        <f ca="1">((J81+J82+J83)/(H40/100^3))</f>
        <v>7634.5121674687807</v>
      </c>
      <c r="K507" s="209" t="s">
        <v>161</v>
      </c>
      <c r="L507" s="239">
        <f ca="1">((J81+J82+J83)/(H40/100^3))</f>
        <v>7634.5121674687807</v>
      </c>
    </row>
    <row r="508" spans="7:14" hidden="1" x14ac:dyDescent="0.25">
      <c r="G508" s="209" t="s">
        <v>152</v>
      </c>
      <c r="H508" s="239">
        <f ca="1">((J84+J85)/(I40/100^3))</f>
        <v>3081.7714102052673</v>
      </c>
      <c r="K508" s="209" t="s">
        <v>162</v>
      </c>
      <c r="L508" s="239">
        <f ca="1">((J84+J85)/(H266))</f>
        <v>1980.9980888366051</v>
      </c>
    </row>
    <row r="509" spans="7:14" hidden="1" x14ac:dyDescent="0.25">
      <c r="G509" s="209" t="s">
        <v>201</v>
      </c>
      <c r="H509" s="239">
        <f ca="1">((H53*J86)/(I40/100^3))</f>
        <v>1561.4308478373353</v>
      </c>
      <c r="K509" s="209" t="s">
        <v>163</v>
      </c>
      <c r="L509" s="239">
        <f ca="1">((H53*J86)/(H266))</f>
        <v>1003.7056983438799</v>
      </c>
    </row>
    <row r="510" spans="7:14" hidden="1" x14ac:dyDescent="0.25"/>
    <row r="511" spans="7:14" hidden="1" x14ac:dyDescent="0.25"/>
    <row r="512" spans="7:14" hidden="1" x14ac:dyDescent="0.25">
      <c r="G512" s="669" t="s">
        <v>155</v>
      </c>
      <c r="H512" s="669"/>
      <c r="I512" s="669"/>
      <c r="J512" s="123"/>
      <c r="K512" s="669" t="s">
        <v>155</v>
      </c>
      <c r="L512" s="669"/>
      <c r="M512" s="669"/>
      <c r="N512" s="123"/>
    </row>
    <row r="513" spans="7:14" hidden="1" x14ac:dyDescent="0.25">
      <c r="G513" s="693" t="s">
        <v>148</v>
      </c>
      <c r="H513" s="239">
        <f ca="1">H516+H517-H518-H519</f>
        <v>1521.9839191169472</v>
      </c>
      <c r="I513" s="231" t="s">
        <v>63</v>
      </c>
      <c r="K513" s="644" t="s">
        <v>148</v>
      </c>
      <c r="L513" s="239">
        <f ca="1">L516-L517+L518+L519</f>
        <v>7223.2174526023673</v>
      </c>
      <c r="M513" s="231" t="s">
        <v>63</v>
      </c>
    </row>
    <row r="514" spans="7:14" hidden="1" x14ac:dyDescent="0.25">
      <c r="G514" s="693"/>
      <c r="H514" s="237">
        <f ca="1">H513/1000</f>
        <v>1.5219839191169471</v>
      </c>
      <c r="I514" s="281" t="s">
        <v>50</v>
      </c>
      <c r="K514" s="644"/>
      <c r="L514" s="237">
        <f ca="1">L513/1000</f>
        <v>7.2232174526023671</v>
      </c>
      <c r="M514" s="281" t="s">
        <v>50</v>
      </c>
    </row>
    <row r="515" spans="7:14" hidden="1" x14ac:dyDescent="0.25">
      <c r="M515" s="231"/>
    </row>
    <row r="516" spans="7:14" hidden="1" x14ac:dyDescent="0.25">
      <c r="G516" s="209" t="s">
        <v>150</v>
      </c>
      <c r="H516" s="239">
        <f ca="1">J242/(H36/100^2)</f>
        <v>4922.9873465439887</v>
      </c>
      <c r="K516" s="209" t="s">
        <v>150</v>
      </c>
      <c r="L516" s="239">
        <f ca="1">(J242/(H36/100^2))</f>
        <v>4922.9873465439887</v>
      </c>
    </row>
    <row r="517" spans="7:14" hidden="1" x14ac:dyDescent="0.25">
      <c r="G517" s="209" t="s">
        <v>151</v>
      </c>
      <c r="H517" s="239">
        <f ca="1">J243/(H40/100^3)</f>
        <v>7315.2801502470074</v>
      </c>
      <c r="K517" s="209" t="s">
        <v>160</v>
      </c>
      <c r="L517" s="239">
        <f ca="1">(J243/(H40/100^3))</f>
        <v>7315.2801502470074</v>
      </c>
    </row>
    <row r="518" spans="7:14" hidden="1" x14ac:dyDescent="0.25">
      <c r="G518" s="209" t="s">
        <v>153</v>
      </c>
      <c r="H518" s="239">
        <f ca="1">(J81+J82+J83)/(H40/100^3)</f>
        <v>7634.5121674687807</v>
      </c>
      <c r="K518" s="209" t="s">
        <v>161</v>
      </c>
      <c r="L518" s="239">
        <f ca="1">((J81+J82+J83)/(H40/100^3))</f>
        <v>7634.5121674687807</v>
      </c>
    </row>
    <row r="519" spans="7:14" hidden="1" x14ac:dyDescent="0.25">
      <c r="G519" s="209" t="s">
        <v>152</v>
      </c>
      <c r="H519" s="239">
        <f ca="1">(J84+J85)/(I40/100^3)</f>
        <v>3081.7714102052673</v>
      </c>
      <c r="K519" s="209" t="s">
        <v>162</v>
      </c>
      <c r="L519" s="239">
        <f ca="1">((J84+J85)/(H266))</f>
        <v>1980.9980888366051</v>
      </c>
    </row>
    <row r="520" spans="7:14" hidden="1" x14ac:dyDescent="0.25"/>
    <row r="521" spans="7:14" hidden="1" x14ac:dyDescent="0.25"/>
    <row r="522" spans="7:14" hidden="1" x14ac:dyDescent="0.25"/>
    <row r="523" spans="7:14" hidden="1" x14ac:dyDescent="0.25"/>
    <row r="524" spans="7:14" hidden="1" x14ac:dyDescent="0.25"/>
    <row r="525" spans="7:14" hidden="1" x14ac:dyDescent="0.25"/>
    <row r="526" spans="7:14" hidden="1" x14ac:dyDescent="0.25"/>
    <row r="528" spans="7:14" x14ac:dyDescent="0.25">
      <c r="G528" s="645" t="s">
        <v>194</v>
      </c>
      <c r="H528" s="646"/>
      <c r="I528" s="646"/>
      <c r="J528" s="646"/>
      <c r="K528" s="646"/>
      <c r="L528" s="646"/>
      <c r="M528" s="646"/>
      <c r="N528" s="647"/>
    </row>
    <row r="529" spans="7:27" x14ac:dyDescent="0.25">
      <c r="G529" s="211" t="s">
        <v>443</v>
      </c>
      <c r="H529" s="211" t="s">
        <v>444</v>
      </c>
      <c r="I529" s="211" t="s">
        <v>445</v>
      </c>
      <c r="J529" s="211" t="s">
        <v>446</v>
      </c>
      <c r="K529" s="211" t="s">
        <v>447</v>
      </c>
      <c r="L529" s="211" t="s">
        <v>448</v>
      </c>
      <c r="M529" s="211" t="s">
        <v>449</v>
      </c>
      <c r="N529" s="211" t="s">
        <v>450</v>
      </c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</row>
    <row r="530" spans="7:27" x14ac:dyDescent="0.25">
      <c r="G530" s="204">
        <f>(((($H$21/100)/20)-$H$530)*-1)</f>
        <v>0</v>
      </c>
      <c r="H530" s="204">
        <f>($H$21/100)/20</f>
        <v>0.49099999999999999</v>
      </c>
      <c r="I530" s="204">
        <f>(($H$21/100)/20)+$H$530</f>
        <v>0.98199999999999998</v>
      </c>
      <c r="J530" s="204">
        <f>(($H$21/100)/20)+$I$530</f>
        <v>1.4729999999999999</v>
      </c>
      <c r="K530" s="204">
        <f>(($H$21/100)/20)+$J$530</f>
        <v>1.964</v>
      </c>
      <c r="L530" s="204">
        <f>(($H$21/100)/20)+$K$530</f>
        <v>2.4550000000000001</v>
      </c>
      <c r="M530" s="204">
        <f>(($H$21/100)/20)+$L$530</f>
        <v>2.9460000000000002</v>
      </c>
      <c r="N530" s="204">
        <f>(($H$21/100)/20)+$M$530</f>
        <v>3.4370000000000003</v>
      </c>
    </row>
    <row r="531" spans="7:27" x14ac:dyDescent="0.25">
      <c r="G531" s="144">
        <f ca="1">(($I$73+$I$74+$I$75)*($H$21/100)*$G$530/2)-(($I$73+$I$74+$I$75)*$G$530^2/2)</f>
        <v>0</v>
      </c>
      <c r="H531" s="144">
        <f ca="1">(($I$73+$I$74+$I$75)*($H$21/100)*$H$530/2)-(($I$73+$I$74+$I$75)*$H$530^2/2)</f>
        <v>14.38234369830997</v>
      </c>
      <c r="I531" s="144">
        <f ca="1">(($I$73+$I$74+$I$75)*($H$21/100)*$I$530/2)-(($I$73+$I$74+$I$75)*$I$530^2/2)</f>
        <v>27.250756481008363</v>
      </c>
      <c r="J531" s="144">
        <f ca="1">(($I$73+$I$74+$I$75)*($H$21/100)*$J$530/2)-(($I$73+$I$74+$I$75)*$J$530^2/2)</f>
        <v>38.605238348095185</v>
      </c>
      <c r="K531" s="144">
        <f ca="1">(($I$73+$I$74+$I$75)*($H$21/100)*$K$530/2)-(($I$73+$I$74+$I$75)*$K$530^2/2)</f>
        <v>48.445789299570421</v>
      </c>
      <c r="L531" s="144">
        <f ca="1">(($I$73+$I$74+$I$75)*($H$21/100)*$L$530/2)-(($I$73+$I$74+$I$75)*$L$530^2/2)</f>
        <v>56.772409335434091</v>
      </c>
      <c r="M531" s="144">
        <f ca="1">(($I$73+$I$74+$I$75)*($H$21/100)*$M$530/2)-(($I$73+$I$74+$I$75)*$M$530^2/2)</f>
        <v>63.585098455686193</v>
      </c>
      <c r="N531" s="144">
        <f ca="1">(($I$73+$I$74+$I$75)*($H$21/100)*$N$530/2)-(($I$73+$I$74+$I$75)*$N$530^2/2)</f>
        <v>68.8838566603267</v>
      </c>
    </row>
    <row r="532" spans="7:27" x14ac:dyDescent="0.25">
      <c r="G532" s="211" t="s">
        <v>451</v>
      </c>
      <c r="H532" s="211" t="s">
        <v>452</v>
      </c>
      <c r="I532" s="211" t="s">
        <v>453</v>
      </c>
      <c r="J532" s="211" t="s">
        <v>454</v>
      </c>
      <c r="K532" s="211" t="s">
        <v>455</v>
      </c>
      <c r="L532" s="211" t="s">
        <v>456</v>
      </c>
      <c r="M532" s="211" t="s">
        <v>457</v>
      </c>
      <c r="N532" s="212" t="s">
        <v>458</v>
      </c>
      <c r="Q532" s="144"/>
    </row>
    <row r="533" spans="7:27" x14ac:dyDescent="0.25">
      <c r="G533" s="204">
        <f>(($H$21/100)/20)+$N$530</f>
        <v>3.9280000000000004</v>
      </c>
      <c r="H533" s="204">
        <f>(($H$21/100)/20)+$G$533</f>
        <v>4.4190000000000005</v>
      </c>
      <c r="I533" s="204">
        <f>(($H$21/100)/20)+$H$533</f>
        <v>4.91</v>
      </c>
      <c r="J533" s="204">
        <f>(($H$21/100)/20)+$I$533</f>
        <v>5.4009999999999998</v>
      </c>
      <c r="K533" s="204">
        <f>(($H$21/100)/20)+$J$533</f>
        <v>5.8919999999999995</v>
      </c>
      <c r="L533" s="204">
        <f>(($H$21/100)/20)+$K$533</f>
        <v>6.3829999999999991</v>
      </c>
      <c r="M533" s="204">
        <f>(($H$21/100)/20)+$L$533</f>
        <v>6.8739999999999988</v>
      </c>
      <c r="N533" s="204">
        <f>(($H$21/100)/20)+$M$533</f>
        <v>7.3649999999999984</v>
      </c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 spans="7:27" x14ac:dyDescent="0.25">
      <c r="G534" s="144">
        <f ca="1">(($I$73+$I$74+$I$75)*($H$21/100)*$G$533/2)-(($I$73+$I$74+$I$75)*$G$533^2/2)</f>
        <v>72.668683949355653</v>
      </c>
      <c r="H534" s="144">
        <f ca="1">(($I$73+$I$74+$I$75)*($H$21/100)*$H$533/2)-(($I$73+$I$74+$I$75)*$H$533^2/2)</f>
        <v>74.939580322773011</v>
      </c>
      <c r="I534" s="144">
        <f t="shared" ref="I534:N534" ca="1" si="26">(($I$73+$I$74+$I$75)*($H$21/100)*I533/2)-(($I$73+$I$74+$I$75)*I533^2/2)</f>
        <v>75.696545780578788</v>
      </c>
      <c r="J534" s="144">
        <f t="shared" ca="1" si="26"/>
        <v>74.939580322773011</v>
      </c>
      <c r="K534" s="144">
        <f t="shared" ca="1" si="26"/>
        <v>72.668683949355653</v>
      </c>
      <c r="L534" s="144">
        <f t="shared" ca="1" si="26"/>
        <v>68.8838566603267</v>
      </c>
      <c r="M534" s="144">
        <f t="shared" ca="1" si="26"/>
        <v>63.585098455686222</v>
      </c>
      <c r="N534" s="144">
        <f t="shared" ca="1" si="26"/>
        <v>56.772409335434162</v>
      </c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 spans="7:27" x14ac:dyDescent="0.25">
      <c r="G535" s="211" t="s">
        <v>459</v>
      </c>
      <c r="H535" s="211" t="s">
        <v>460</v>
      </c>
      <c r="I535" s="211" t="s">
        <v>461</v>
      </c>
      <c r="J535" s="211" t="s">
        <v>462</v>
      </c>
      <c r="K535" s="211" t="s">
        <v>463</v>
      </c>
    </row>
    <row r="536" spans="7:27" x14ac:dyDescent="0.25">
      <c r="G536" s="204">
        <f>(($H$21/100)/20)+$N$533</f>
        <v>7.8559999999999981</v>
      </c>
      <c r="H536" s="204">
        <f>(($H$21/100)/20)+$G$536</f>
        <v>8.3469999999999978</v>
      </c>
      <c r="I536" s="204">
        <f>(($H$21/100)/20)+$H$536</f>
        <v>8.8379999999999974</v>
      </c>
      <c r="J536" s="204">
        <f>(($H$21/100)/20)+$I$536</f>
        <v>9.3289999999999971</v>
      </c>
      <c r="K536" s="204">
        <f>(($H$21/100)/20)+$J$536</f>
        <v>9.8199999999999967</v>
      </c>
    </row>
    <row r="537" spans="7:27" x14ac:dyDescent="0.25">
      <c r="G537" s="144">
        <f ca="1">(($I$73+$I$74+$I$75)*($H$21/100)*G536/2)-(($I$73+$I$74+$I$75)*G536^2/2)</f>
        <v>48.445789299570464</v>
      </c>
      <c r="H537" s="144">
        <f ca="1">(($I$73+$I$74+$I$75)*($H$21/100)*H536/2)-(($I$73+$I$74+$I$75)*H536^2/2)</f>
        <v>38.60523834809527</v>
      </c>
      <c r="I537" s="144">
        <f ca="1">(($I$73+$I$74+$I$75)*($H$21/100)*I536/2)-(($I$73+$I$74+$I$75)*I536^2/2)</f>
        <v>27.250756481008466</v>
      </c>
      <c r="J537" s="144">
        <f ca="1">(($I$73+$I$74+$I$75)*($H$21/100)*J536/2)-(($I$73+$I$74+$I$75)*J536^2/2)</f>
        <v>14.382343698310081</v>
      </c>
      <c r="K537" s="144">
        <f ca="1">(($I$73+$I$74+$I$75)*($H$21/100)*K536/2)-(($I$73+$I$74+$I$75)*K536^2/2)</f>
        <v>0</v>
      </c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</row>
    <row r="539" spans="7:27" x14ac:dyDescent="0.25">
      <c r="G539" s="645" t="s">
        <v>195</v>
      </c>
      <c r="H539" s="646"/>
      <c r="I539" s="646"/>
      <c r="J539" s="646"/>
      <c r="K539" s="646"/>
      <c r="L539" s="646"/>
      <c r="M539" s="646"/>
      <c r="N539" s="647"/>
    </row>
    <row r="540" spans="7:27" x14ac:dyDescent="0.25">
      <c r="G540" s="211" t="s">
        <v>443</v>
      </c>
      <c r="H540" s="211" t="s">
        <v>444</v>
      </c>
      <c r="I540" s="211" t="s">
        <v>445</v>
      </c>
      <c r="J540" s="211" t="s">
        <v>446</v>
      </c>
      <c r="K540" s="211" t="s">
        <v>447</v>
      </c>
      <c r="L540" s="211" t="s">
        <v>448</v>
      </c>
      <c r="M540" s="211" t="s">
        <v>449</v>
      </c>
      <c r="N540" s="211" t="s">
        <v>450</v>
      </c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 spans="7:27" x14ac:dyDescent="0.25">
      <c r="G541" s="204">
        <f>(((($H$21/100)/20)-$H$541)*-1)</f>
        <v>0</v>
      </c>
      <c r="H541" s="204">
        <f>($H$21/100)/20</f>
        <v>0.49099999999999999</v>
      </c>
      <c r="I541" s="204">
        <f>(($H$21/100)/20)+$H$541</f>
        <v>0.98199999999999998</v>
      </c>
      <c r="J541" s="204">
        <f>(($H$21/100)/20)+$I$541</f>
        <v>1.4729999999999999</v>
      </c>
      <c r="K541" s="204">
        <f>(($H$21/100)/20)+$J$541</f>
        <v>1.964</v>
      </c>
      <c r="L541" s="204">
        <f>(($H$21/100)/20)+$K$541</f>
        <v>2.4550000000000001</v>
      </c>
      <c r="M541" s="204">
        <f>(($H$21/100)/20)+$L$541</f>
        <v>2.9460000000000002</v>
      </c>
      <c r="N541" s="204">
        <f>(($H$21/100)/20)+$M$541</f>
        <v>3.4370000000000003</v>
      </c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 spans="7:27" x14ac:dyDescent="0.25">
      <c r="G542" s="144">
        <f>(($I$76+$I$77)*($H$21/100)*$G$541/2)-(($I$76+$I$77)*$G$541^2/2)</f>
        <v>0</v>
      </c>
      <c r="H542" s="144">
        <f>(($I$76+$I$77)*($H$21/100)*$H$541/2)-(($I$76+$I$77)*$H$541^2/2)</f>
        <v>8.5885106250000014</v>
      </c>
      <c r="I542" s="144">
        <f>(($I$76+$I$77)*($H$21/100)*$I$541/2)-(($I$76+$I$77)*$I$541^2/2)</f>
        <v>16.272967500000004</v>
      </c>
      <c r="J542" s="144">
        <f>(($I$76+$I$77)*($H$21/100)*$J$541/2)-(($I$76+$I$77)*$J$541^2/2)</f>
        <v>23.053370624999999</v>
      </c>
      <c r="K542" s="144">
        <f>(($I$76+$I$77)*($H$21/100)*$K$541/2)-(($I$76+$I$77)*$K$541^2/2)</f>
        <v>28.929720000000003</v>
      </c>
      <c r="L542" s="144">
        <f>(($I$76+$I$77)*($H$21/100)*$L$541/2)-(($I$76+$I$77)*$L$541^2/2)</f>
        <v>33.902015625000004</v>
      </c>
      <c r="M542" s="144">
        <f>(($I$76+$I$77)*($H$21/100)*$M$541/2)-(($I$76+$I$77)*$M$541^2/2)</f>
        <v>37.97025750000001</v>
      </c>
      <c r="N542" s="144">
        <f>(($I$76+$I$77)*($H$21/100)*$N$541/2)-(($I$76+$I$77)*$N$541^2/2)</f>
        <v>41.134445625000005</v>
      </c>
    </row>
    <row r="543" spans="7:27" x14ac:dyDescent="0.25">
      <c r="G543" s="211" t="s">
        <v>451</v>
      </c>
      <c r="H543" s="211" t="s">
        <v>452</v>
      </c>
      <c r="I543" s="211" t="s">
        <v>453</v>
      </c>
      <c r="J543" s="211" t="s">
        <v>454</v>
      </c>
      <c r="K543" s="211" t="s">
        <v>455</v>
      </c>
      <c r="L543" s="211" t="s">
        <v>456</v>
      </c>
      <c r="M543" s="211" t="s">
        <v>457</v>
      </c>
      <c r="N543" s="212" t="s">
        <v>458</v>
      </c>
      <c r="Q543" s="144"/>
    </row>
    <row r="544" spans="7:27" x14ac:dyDescent="0.25">
      <c r="G544" s="204">
        <f>(($H$21/100)/20)+$N$541</f>
        <v>3.9280000000000004</v>
      </c>
      <c r="H544" s="204">
        <f>(($H$21/100)/20)+$G$544</f>
        <v>4.4190000000000005</v>
      </c>
      <c r="I544" s="204">
        <f>(($H$21/100)/20)+$H$544</f>
        <v>4.91</v>
      </c>
      <c r="J544" s="204">
        <f>(($H$21/100)/20)+$I$544</f>
        <v>5.4009999999999998</v>
      </c>
      <c r="K544" s="204">
        <f>(($H$21/100)/20)+$J$544</f>
        <v>5.8919999999999995</v>
      </c>
      <c r="L544" s="204">
        <f>(($H$21/100)/20)+$K$544</f>
        <v>6.3829999999999991</v>
      </c>
      <c r="M544" s="204">
        <f>(($H$21/100)/20)+$L$544</f>
        <v>6.8739999999999988</v>
      </c>
      <c r="N544" s="204">
        <f>(($H$21/100)/20)+$M$544</f>
        <v>7.3649999999999984</v>
      </c>
      <c r="Q544" s="144"/>
    </row>
    <row r="545" spans="7:27" x14ac:dyDescent="0.25">
      <c r="G545" s="144">
        <f>(($I$76+$I$77)*($H$21/100)*$G$544/2)-(($I$76+$I$77)*$G$544^2/2)</f>
        <v>43.394580000000005</v>
      </c>
      <c r="H545" s="144">
        <f>(($I$76+$I$77)*($H$21/100)*$H$544/2)-(($I$76+$I$77)*$H$544^2/2)</f>
        <v>44.750660625000009</v>
      </c>
      <c r="I545" s="144">
        <f t="shared" ref="I545:N545" si="27">(($I$76+$I$77)*($H$21/100)*I544/2)-(($I$76+$I$77)*I544^2/2)</f>
        <v>45.202687500000003</v>
      </c>
      <c r="J545" s="144">
        <f t="shared" si="27"/>
        <v>44.750660625000009</v>
      </c>
      <c r="K545" s="144">
        <f t="shared" si="27"/>
        <v>43.394580000000005</v>
      </c>
      <c r="L545" s="144">
        <f t="shared" si="27"/>
        <v>41.134445625000012</v>
      </c>
      <c r="M545" s="144">
        <f t="shared" si="27"/>
        <v>37.970257500000031</v>
      </c>
      <c r="N545" s="144">
        <f t="shared" si="27"/>
        <v>33.902015625000033</v>
      </c>
      <c r="Q545" s="144"/>
      <c r="R545" s="144"/>
      <c r="S545" s="119"/>
      <c r="T545" s="119"/>
      <c r="U545" s="119"/>
      <c r="V545" s="119"/>
      <c r="W545" s="119"/>
      <c r="X545" s="119"/>
      <c r="Y545" s="119"/>
      <c r="Z545" s="119"/>
      <c r="AA545" s="119"/>
    </row>
    <row r="546" spans="7:27" x14ac:dyDescent="0.25">
      <c r="G546" s="211" t="s">
        <v>459</v>
      </c>
      <c r="H546" s="211" t="s">
        <v>460</v>
      </c>
      <c r="I546" s="211" t="s">
        <v>461</v>
      </c>
      <c r="J546" s="211" t="s">
        <v>462</v>
      </c>
      <c r="K546" s="211" t="s">
        <v>463</v>
      </c>
      <c r="Q546" s="144"/>
      <c r="R546" s="144"/>
    </row>
    <row r="547" spans="7:27" x14ac:dyDescent="0.25">
      <c r="G547" s="204">
        <f>(($H$21/100)/20)+$N$544</f>
        <v>7.8559999999999981</v>
      </c>
      <c r="H547" s="204">
        <f>(($H$21/100)/20)+$G$547</f>
        <v>8.3469999999999978</v>
      </c>
      <c r="I547" s="204">
        <f>(($H$21/100)/20)+$H$547</f>
        <v>8.8379999999999974</v>
      </c>
      <c r="J547" s="204">
        <f>(($H$21/100)/20)+$I$547</f>
        <v>9.3289999999999971</v>
      </c>
      <c r="K547" s="204">
        <f>(($H$21/100)/20)+$J$547</f>
        <v>9.8199999999999967</v>
      </c>
      <c r="Q547" s="144"/>
      <c r="R547" s="144"/>
    </row>
    <row r="548" spans="7:27" x14ac:dyDescent="0.25">
      <c r="G548" s="144">
        <f>(($I$76+$I$77)*($H$21/100)*G547/2)-(($I$76+$I$77)*G547^2/2)</f>
        <v>28.929720000000046</v>
      </c>
      <c r="H548" s="144">
        <f>(($I$76+$I$77)*($H$21/100)*H547/2)-(($I$76+$I$77)*H547^2/2)</f>
        <v>23.053370625000042</v>
      </c>
      <c r="I548" s="144">
        <f>(($I$76+$I$77)*($H$21/100)*I547/2)-(($I$76+$I$77)*I547^2/2)</f>
        <v>16.27296750000005</v>
      </c>
      <c r="J548" s="144">
        <f>(($I$76+$I$77)*($H$21/100)*J547/2)-(($I$76+$I$77)*J547^2/2)</f>
        <v>8.5885106250000547</v>
      </c>
      <c r="K548" s="144">
        <f>(($I$76+$I$77)*($H$21/100)*K547/2)-(($I$76+$I$77)*K547^2/2)</f>
        <v>0</v>
      </c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 spans="7:27" x14ac:dyDescent="0.25"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 spans="7:27" x14ac:dyDescent="0.25">
      <c r="G550" s="645" t="s">
        <v>196</v>
      </c>
      <c r="H550" s="646"/>
      <c r="I550" s="646"/>
      <c r="J550" s="646"/>
      <c r="K550" s="646"/>
      <c r="L550" s="646"/>
      <c r="M550" s="646"/>
      <c r="N550" s="647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 spans="7:27" x14ac:dyDescent="0.25">
      <c r="G551" s="211" t="s">
        <v>443</v>
      </c>
      <c r="H551" s="211" t="s">
        <v>444</v>
      </c>
      <c r="I551" s="211" t="s">
        <v>445</v>
      </c>
      <c r="J551" s="211" t="s">
        <v>446</v>
      </c>
      <c r="K551" s="211" t="s">
        <v>447</v>
      </c>
      <c r="L551" s="211" t="s">
        <v>448</v>
      </c>
      <c r="M551" s="211" t="s">
        <v>449</v>
      </c>
      <c r="N551" s="211" t="s">
        <v>450</v>
      </c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 spans="7:27" x14ac:dyDescent="0.25">
      <c r="G552" s="204">
        <f>(((($H$21/100)/20)-$H$552)*-1)</f>
        <v>0</v>
      </c>
      <c r="H552" s="204">
        <f>($H$21/100)/20</f>
        <v>0.49099999999999999</v>
      </c>
      <c r="I552" s="204">
        <f>(($H$21/100)/20)+$H$552</f>
        <v>0.98199999999999998</v>
      </c>
      <c r="J552" s="204">
        <f>(($H$21/100)/20)+$I$552</f>
        <v>1.4729999999999999</v>
      </c>
      <c r="K552" s="204">
        <f>(($H$21/100)/20)+$J$552</f>
        <v>1.964</v>
      </c>
      <c r="L552" s="204">
        <f>(($H$21/100)/20)+$K$552</f>
        <v>2.4550000000000001</v>
      </c>
      <c r="M552" s="204">
        <f>(($H$21/100)/20)+$L$552</f>
        <v>2.9460000000000002</v>
      </c>
      <c r="N552" s="204">
        <f>(($H$21/100)/20)+$M$552</f>
        <v>3.4370000000000003</v>
      </c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 spans="7:27" x14ac:dyDescent="0.25">
      <c r="G553" s="144">
        <f>(($I$78)*($H$21/100)*$G$552/2)-(($I$78)*$G$552^2/2)</f>
        <v>0</v>
      </c>
      <c r="H553" s="144">
        <f>(($I$78)*($H$21/100)*$H$552/2)-(($I$78)*$H$552^2/2)</f>
        <v>10.878780125</v>
      </c>
      <c r="I553" s="144">
        <f>(($I$78)*($H$21/100)*$I$552/2)-(($I$78)*$I$552^2/2)</f>
        <v>20.612425500000001</v>
      </c>
      <c r="J553" s="144">
        <f>(($I$78)*($H$21/100)*$J$552/2)-(($I$78)*$J$552^2/2)</f>
        <v>29.200936124999998</v>
      </c>
      <c r="K553" s="144">
        <f>(($I$78)*($H$21/100)*$K$552/2)-(($I$78)*$K$552^2/2)</f>
        <v>36.644311999999999</v>
      </c>
      <c r="L553" s="144">
        <f>(($I$78)*($H$21/100)*$L$552/2)-(($I$78)*$L$552^2/2)</f>
        <v>42.942553125000003</v>
      </c>
      <c r="M553" s="144">
        <f>(($I$78)*($H$21/100)*$M$552/2)-(($I$78)*$M$552^2/2)</f>
        <v>48.095659500000011</v>
      </c>
      <c r="N553" s="144">
        <f>(($I$78)*($H$21/100)*$N$552/2)-(($I$78)*$N$552^2/2)</f>
        <v>52.103631125000007</v>
      </c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 spans="7:27" x14ac:dyDescent="0.25">
      <c r="G554" s="211" t="s">
        <v>451</v>
      </c>
      <c r="H554" s="211" t="s">
        <v>452</v>
      </c>
      <c r="I554" s="211" t="s">
        <v>453</v>
      </c>
      <c r="J554" s="211" t="s">
        <v>454</v>
      </c>
      <c r="K554" s="211" t="s">
        <v>455</v>
      </c>
      <c r="L554" s="211" t="s">
        <v>456</v>
      </c>
      <c r="M554" s="211" t="s">
        <v>457</v>
      </c>
      <c r="N554" s="212" t="s">
        <v>458</v>
      </c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 spans="7:27" x14ac:dyDescent="0.25">
      <c r="G555" s="204">
        <f>(($H$21/100)/20)+$N$552</f>
        <v>3.9280000000000004</v>
      </c>
      <c r="H555" s="204">
        <f>(($H$21/100)/20)+$G$555</f>
        <v>4.4190000000000005</v>
      </c>
      <c r="I555" s="204">
        <f>(($H$21/100)/20)+$H$555</f>
        <v>4.91</v>
      </c>
      <c r="J555" s="204">
        <f>(($H$21/100)/20)+$I$555</f>
        <v>5.4009999999999998</v>
      </c>
      <c r="K555" s="204">
        <f>(($H$21/100)/20)+$J$555</f>
        <v>5.8919999999999995</v>
      </c>
      <c r="L555" s="204">
        <f>(($H$21/100)/20)+$K$555</f>
        <v>6.3829999999999991</v>
      </c>
      <c r="M555" s="204">
        <f>(($H$21/100)/20)+$L$555</f>
        <v>6.8739999999999988</v>
      </c>
      <c r="N555" s="204">
        <f>(($H$21/100)/20)+$M$555</f>
        <v>7.3649999999999984</v>
      </c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 spans="7:27" x14ac:dyDescent="0.25">
      <c r="G556" s="144">
        <f>(($I$78)*($H$21/100)*$G$555/2)-(($I$78)*$G$555^2/2)</f>
        <v>54.966468000000013</v>
      </c>
      <c r="H556" s="144">
        <f>(($I$78)*($H$21/100)*$H$555/2)-(($I$78)*$H$555^2/2)</f>
        <v>56.684170125000001</v>
      </c>
      <c r="I556" s="144">
        <f t="shared" ref="I556:N556" si="28">(($I$78)*($H$21/100)*I555/2)-(($I$78)*I555^2/2)</f>
        <v>57.256737500000014</v>
      </c>
      <c r="J556" s="144">
        <f t="shared" si="28"/>
        <v>56.684170125000009</v>
      </c>
      <c r="K556" s="144">
        <f t="shared" si="28"/>
        <v>54.966468000000006</v>
      </c>
      <c r="L556" s="144">
        <f t="shared" si="28"/>
        <v>52.103631125000007</v>
      </c>
      <c r="M556" s="144">
        <f t="shared" si="28"/>
        <v>48.095659500000039</v>
      </c>
      <c r="N556" s="144">
        <f t="shared" si="28"/>
        <v>42.942553125000046</v>
      </c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 spans="7:27" x14ac:dyDescent="0.25">
      <c r="G557" s="211" t="s">
        <v>459</v>
      </c>
      <c r="H557" s="211" t="s">
        <v>460</v>
      </c>
      <c r="I557" s="211" t="s">
        <v>461</v>
      </c>
      <c r="J557" s="211" t="s">
        <v>462</v>
      </c>
      <c r="K557" s="211" t="s">
        <v>463</v>
      </c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 spans="7:27" x14ac:dyDescent="0.25">
      <c r="G558" s="204">
        <f>(($H$21/100)/20)+$N$555</f>
        <v>7.8559999999999981</v>
      </c>
      <c r="H558" s="204">
        <f>(($H$21/100)/20)+$G$558</f>
        <v>8.3469999999999978</v>
      </c>
      <c r="I558" s="204">
        <f>(($H$21/100)/20)+$H$558</f>
        <v>8.8379999999999974</v>
      </c>
      <c r="J558" s="204">
        <f>(($H$21/100)/20)+$I$558</f>
        <v>9.3289999999999971</v>
      </c>
      <c r="K558" s="204">
        <f>(($H$21/100)/20)+$J$558</f>
        <v>9.8199999999999967</v>
      </c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 spans="7:27" x14ac:dyDescent="0.25">
      <c r="G559" s="144">
        <f>(($I$78)*($H$21/100)*G558/2)-(($I$78)*G558^2/2)</f>
        <v>36.644312000000014</v>
      </c>
      <c r="H559" s="144">
        <f>(($I$78)*($H$21/100)*H558/2)-(($I$78)*H558^2/2)</f>
        <v>29.200936125000055</v>
      </c>
      <c r="I559" s="144">
        <f>(($I$78)*($H$21/100)*I558/2)-(($I$78)*I558^2/2)</f>
        <v>20.612425500000057</v>
      </c>
      <c r="J559" s="144">
        <f>(($I$78)*($H$21/100)*J558/2)-(($I$78)*J558^2/2)</f>
        <v>10.878780125000077</v>
      </c>
      <c r="K559" s="144">
        <f>(($I$78)*($H$21/100)*K558/2)-(($I$78)*K558^2/2)</f>
        <v>0</v>
      </c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 spans="7:27" x14ac:dyDescent="0.25"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 spans="7:17" x14ac:dyDescent="0.25">
      <c r="G561" s="209" t="s">
        <v>95</v>
      </c>
      <c r="H561" s="239">
        <f ca="1">J237*H168+H166*J238</f>
        <v>277.17984847873464</v>
      </c>
      <c r="I561" s="115" t="s">
        <v>96</v>
      </c>
      <c r="J561" s="144"/>
      <c r="K561" s="144"/>
      <c r="L561" s="144"/>
      <c r="M561" s="144"/>
      <c r="N561" s="144"/>
      <c r="O561" s="144"/>
      <c r="P561" s="144"/>
      <c r="Q561" s="144"/>
    </row>
    <row r="562" spans="7:17" ht="14.25" customHeight="1" x14ac:dyDescent="0.25">
      <c r="G562" s="209" t="s">
        <v>97</v>
      </c>
      <c r="H562" s="239">
        <f ca="1">H166*J237*H167/100-H168*J238*H169/100</f>
        <v>72.531345375342383</v>
      </c>
      <c r="I562" s="115" t="s">
        <v>96</v>
      </c>
      <c r="J562" s="144"/>
      <c r="K562" s="144"/>
      <c r="L562" s="144"/>
      <c r="M562" s="144"/>
      <c r="N562" s="144"/>
      <c r="O562" s="144"/>
      <c r="P562" s="144"/>
      <c r="Q562" s="144"/>
    </row>
    <row r="563" spans="7:17" ht="14.25" customHeight="1" x14ac:dyDescent="0.25">
      <c r="H563" s="144"/>
      <c r="J563" s="144"/>
      <c r="K563" s="144"/>
      <c r="L563" s="144"/>
      <c r="M563" s="144"/>
      <c r="N563" s="144"/>
      <c r="O563" s="144"/>
      <c r="P563" s="144"/>
      <c r="Q563" s="144"/>
    </row>
    <row r="564" spans="7:17" ht="14.25" customHeight="1" x14ac:dyDescent="0.25">
      <c r="H564" s="144"/>
      <c r="J564" s="144"/>
      <c r="K564" s="144"/>
      <c r="L564" s="144"/>
      <c r="M564" s="144"/>
      <c r="N564" s="144"/>
    </row>
    <row r="565" spans="7:17" ht="14.25" customHeight="1" x14ac:dyDescent="0.25">
      <c r="G565" s="635" t="s">
        <v>149</v>
      </c>
      <c r="H565" s="635"/>
      <c r="I565" s="635"/>
      <c r="J565" s="635"/>
      <c r="K565" s="635"/>
      <c r="L565" s="635"/>
      <c r="M565" s="635"/>
      <c r="N565" s="635"/>
    </row>
    <row r="567" spans="7:17" x14ac:dyDescent="0.25">
      <c r="H567" s="638" t="s">
        <v>199</v>
      </c>
      <c r="I567" s="638"/>
      <c r="J567" s="638"/>
      <c r="K567" s="638"/>
      <c r="L567" s="638"/>
      <c r="M567" s="117" t="s">
        <v>180</v>
      </c>
    </row>
    <row r="568" spans="7:17" ht="15.75" thickBot="1" x14ac:dyDescent="0.3">
      <c r="H568" s="115" t="s">
        <v>169</v>
      </c>
      <c r="I568" s="144">
        <v>0</v>
      </c>
      <c r="J568" s="231" t="s">
        <v>63</v>
      </c>
      <c r="K568" s="142">
        <f>I568/1000</f>
        <v>0</v>
      </c>
      <c r="L568" s="231" t="s">
        <v>60</v>
      </c>
      <c r="M568" s="144">
        <f>U689</f>
        <v>0</v>
      </c>
    </row>
    <row r="569" spans="7:17" x14ac:dyDescent="0.25">
      <c r="H569" s="115" t="s">
        <v>170</v>
      </c>
      <c r="I569" s="350">
        <f ca="1">-(IF(Geometria!$H$280&lt;Geometria!$J$1030/100,Tensões!V9,IF(Tensões!H9="Sim",'Isolamento de cabos'!$C$58,'Perdas por Seção'!D97))/($H$36/100^2))+(IF(Geometria!$H$280&lt;Geometria!$J$1030/100,Tensões!W9,IF(Tensões!H9="Sim",'Isolamento de cabos'!$C$59,'Perdas por Seção'!D98))/($H$40/100^3))-(($H$531)/($H$40/100^3))-(($H$542)/($I$37/100^4))*((H23-((H23+H33)-I24))/100)-(($H$53*$H$553)/($I$37/100^4))*((H23-((H23+H33)-I24))/100)</f>
        <v>61.664989660939909</v>
      </c>
      <c r="J569" s="231" t="s">
        <v>63</v>
      </c>
      <c r="K569" s="353">
        <f t="shared" ref="K569:K578" ca="1" si="29">I569/1000</f>
        <v>6.166498966093991E-2</v>
      </c>
      <c r="L569" s="231" t="s">
        <v>60</v>
      </c>
      <c r="M569" s="144">
        <f>M568</f>
        <v>0</v>
      </c>
    </row>
    <row r="570" spans="7:17" x14ac:dyDescent="0.25">
      <c r="H570" s="115" t="s">
        <v>171</v>
      </c>
      <c r="I570" s="351">
        <f ca="1">-(IF(Geometria!$I$280&lt;Geometria!$J$1030/100,Tensões!V10,IF(Tensões!H10="Sim",'Isolamento de cabos'!$C$58,'Perdas por Seção'!E97))/($H$36/100^2))+(IF(Geometria!$I$280&lt;Geometria!$J$1030/100,Tensões!W10,IF(Tensões!H10="Sim",'Isolamento de cabos'!$C$59,'Perdas por Seção'!E98))/($H$40/100^3))-(($I$531)/($H$40/100^3))-(($I$542)/($I$37/100^4))*((H23-((H23+H33)-I24))/100)-(($H$53*$I$553)/($I$37/100^4))*((H23-((H23+H33)-I24))/100)</f>
        <v>-1817.3113631219171</v>
      </c>
      <c r="J570" s="231" t="s">
        <v>63</v>
      </c>
      <c r="K570" s="354">
        <f t="shared" ca="1" si="29"/>
        <v>-1.8173113631219171</v>
      </c>
      <c r="L570" s="231" t="s">
        <v>60</v>
      </c>
      <c r="M570" s="144">
        <f t="shared" ref="M570:M588" si="30">M569</f>
        <v>0</v>
      </c>
    </row>
    <row r="571" spans="7:17" x14ac:dyDescent="0.25">
      <c r="H571" s="115" t="s">
        <v>172</v>
      </c>
      <c r="I571" s="351">
        <f ca="1">-(IF(Geometria!$J$280&lt;Geometria!$J$1030/100,Tensões!V11,IF(Tensões!H11="Sim",'Isolamento de cabos'!$C$58,'Perdas por Seção'!F97))/($H$36/100^2))+(IF(Geometria!$J$280&lt;Geometria!$J$1030/100,Tensões!W11,IF(Tensões!H11="Sim",'Isolamento de cabos'!$C$59,'Perdas por Seção'!F98))/($H$40/100^3))-(($J$531)/($H$40/100^3))-(($J$542)/($I$37/100^4))*((H23-((H23+H33)-I24))/100)-(($H$53*$J$553)/($I$37/100^4))*((H23-((H23+H33)-I24))/100)</f>
        <v>-3475.2691791642483</v>
      </c>
      <c r="J571" s="231" t="s">
        <v>63</v>
      </c>
      <c r="K571" s="354">
        <f t="shared" ca="1" si="29"/>
        <v>-3.4752691791642483</v>
      </c>
      <c r="L571" s="231" t="s">
        <v>60</v>
      </c>
      <c r="M571" s="144">
        <f t="shared" si="30"/>
        <v>0</v>
      </c>
    </row>
    <row r="572" spans="7:17" x14ac:dyDescent="0.25">
      <c r="H572" s="115" t="s">
        <v>173</v>
      </c>
      <c r="I572" s="351">
        <f ca="1">-(IF(Geometria!$K$280&lt;Geometria!$J$1030/100,Tensões!V12,IF(Tensões!H12="Sim",'Isolamento de cabos'!$C$58,'Perdas por Seção'!G97))/($H$36/100^2))+(IF(Geometria!$K$280&lt;Geometria!$J$1030/100,Tensões!W12,IF(Tensões!H12="Sim",'Isolamento de cabos'!$C$59,'Perdas por Seção'!G98))/($H$40/100^3))-(($K$531)/($H$40/100^3))-(($K$542)/($I$37/100^4))*((H23-((H23+H33)-I24))/100)-(($H$53*$K$553)/($I$37/100^4))*((H23-((H23+H33)-I24))/100)</f>
        <v>-4912.1943759379919</v>
      </c>
      <c r="J572" s="231" t="s">
        <v>63</v>
      </c>
      <c r="K572" s="354">
        <f t="shared" ca="1" si="29"/>
        <v>-4.9121943759379922</v>
      </c>
      <c r="L572" s="231" t="s">
        <v>60</v>
      </c>
      <c r="M572" s="144">
        <f t="shared" si="30"/>
        <v>0</v>
      </c>
    </row>
    <row r="573" spans="7:17" x14ac:dyDescent="0.25">
      <c r="H573" s="115" t="s">
        <v>174</v>
      </c>
      <c r="I573" s="351">
        <f ca="1">-(IF(Geometria!$L$280&lt;Geometria!$J$1030/100,Tensões!V13,IF(Tensões!H13="Sim",'Isolamento de cabos'!$C$58,'Perdas por Seção'!H97))/($H$36/100^2))+(IF(Geometria!$L$280&lt;Geometria!$J$1030/100,Tensões!W13,IF(Tensões!H13="Sim",'Isolamento de cabos'!$C$59,'Perdas por Seção'!H98))/($H$40/100^3))-(($L$531)/($H$40/100^3))-(($L$542)/($I$37/100^4))*((H23-((H23+H33)-I24))/100)-(($H$53*$L$553)/($I$37/100^4))*((H23-((H23+H33)-I24))/100)</f>
        <v>-6128.0747607613603</v>
      </c>
      <c r="J573" s="231" t="s">
        <v>63</v>
      </c>
      <c r="K573" s="354">
        <f t="shared" ca="1" si="29"/>
        <v>-6.1280747607613604</v>
      </c>
      <c r="L573" s="231" t="s">
        <v>60</v>
      </c>
      <c r="M573" s="144">
        <f t="shared" si="30"/>
        <v>0</v>
      </c>
    </row>
    <row r="574" spans="7:17" x14ac:dyDescent="0.25">
      <c r="H574" s="115" t="s">
        <v>175</v>
      </c>
      <c r="I574" s="351">
        <f ca="1">-(IF(Geometria!$M$280&lt;Geometria!$J$1030/100,Tensões!V14,IF(Tensões!H14="Sim",'Isolamento de cabos'!$C$58,'Perdas por Seção'!I97))/($H$36/100^2))+(IF(Geometria!$M$280&lt;Geometria!$J$1030/100,Tensões!W14,IF(Tensões!H14="Sim",'Isolamento de cabos'!$C$59,'Perdas por Seção'!I98))/($H$40/100^3))-(($M$531)/($H$40/100^3))-(($M$542)/($I$37/100^4))*((H23-((H23+H33)-I24))/100)-(($H$53*$M$553)/($I$37/100^4))*((H23-((H23+H33)-I24))/100)</f>
        <v>-7122.9000255659475</v>
      </c>
      <c r="J574" s="231" t="s">
        <v>63</v>
      </c>
      <c r="K574" s="354">
        <f t="shared" ca="1" si="29"/>
        <v>-7.1229000255659471</v>
      </c>
      <c r="L574" s="231" t="s">
        <v>60</v>
      </c>
      <c r="M574" s="144">
        <f t="shared" si="30"/>
        <v>0</v>
      </c>
    </row>
    <row r="575" spans="7:17" x14ac:dyDescent="0.25">
      <c r="H575" s="115" t="s">
        <v>176</v>
      </c>
      <c r="I575" s="351">
        <f ca="1">-(IF(Geometria!$N$280&lt;Geometria!$J$1030/100,Tensões!V15,IF(Tensões!H15="Sim",'Isolamento de cabos'!$C$58,'Perdas por Seção'!J97))/($H$36/100^2))+(IF(Geometria!$N$280&lt;Geometria!$J$1030/100,Tensões!W15,IF(Tensões!H15="Sim",'Isolamento de cabos'!$C$59,'Perdas por Seção'!J98))/($H$40/100^3))-(($N$531)/($H$40/100^3))-(($N$542)/($I$37/100^4))*((H23-((H23+H33)-I24))/100)-(($H$53*$N$553)/($I$37/100^4))*((H23-((H23+H33)-I24))/100)</f>
        <v>-7896.6617424801761</v>
      </c>
      <c r="J575" s="231" t="s">
        <v>63</v>
      </c>
      <c r="K575" s="354">
        <f t="shared" ca="1" si="29"/>
        <v>-7.8966617424801759</v>
      </c>
      <c r="L575" s="231" t="s">
        <v>60</v>
      </c>
      <c r="M575" s="144">
        <f t="shared" si="30"/>
        <v>0</v>
      </c>
    </row>
    <row r="576" spans="7:17" x14ac:dyDescent="0.25">
      <c r="H576" s="115" t="s">
        <v>177</v>
      </c>
      <c r="I576" s="351">
        <f ca="1">-(IF(Geometria!$G$283&lt;Geometria!$J$1030/100,Tensões!V16,IF(Tensões!H16="Sim",'Isolamento de cabos'!$C$58,'Perdas por Seção'!K97))/($H$36/100^2))+(IF(Geometria!$G$283&lt;Geometria!$J$1030/100,Tensões!W16,IF(Tensões!H16="Sim",'Isolamento de cabos'!$C$59,'Perdas por Seção'!K98))/($H$40/100^3))-(($G$534)/($H$40/100^3))-(($G$545)/($I$37/100^4))*((H23-((H23+H33)-I24))/100)-(($H$53*$G$556)/($I$37/100^4))*((H23-((H23+H33)-I24))/100)</f>
        <v>-8449.3533602234766</v>
      </c>
      <c r="J576" s="231" t="s">
        <v>63</v>
      </c>
      <c r="K576" s="354">
        <f t="shared" ca="1" si="29"/>
        <v>-8.4493533602234763</v>
      </c>
      <c r="L576" s="231" t="s">
        <v>60</v>
      </c>
      <c r="M576" s="144">
        <f t="shared" si="30"/>
        <v>0</v>
      </c>
    </row>
    <row r="577" spans="8:30" x14ac:dyDescent="0.25">
      <c r="H577" s="115" t="s">
        <v>178</v>
      </c>
      <c r="I577" s="351">
        <f ca="1">-(IF(Geometria!$H$283&lt;Geometria!$J$1030/100,Tensões!V17,IF(Tensões!H17="Sim",'Isolamento de cabos'!$C$58,'Perdas por Seção'!L97))/($H$36/100^2))+(IF(Geometria!$H$283&lt;Geometria!$J$1030/100,Tensões!W17,IF(Tensões!H17="Sim",'Isolamento de cabos'!$C$59,'Perdas por Seção'!L98))/($H$40/100^3))-(($H$534)/($H$40/100^3))-(($H$545)/($I$37/100^4))*((H23-((H23+H33)-I24))/100)-(($H$53*$H$556)/($I$37/100^4))*((H23-((H23+H33)-I24))/100)</f>
        <v>-8780.9702013064707</v>
      </c>
      <c r="J577" s="231" t="s">
        <v>63</v>
      </c>
      <c r="K577" s="354">
        <f t="shared" ca="1" si="29"/>
        <v>-8.7809702013064701</v>
      </c>
      <c r="L577" s="231" t="s">
        <v>60</v>
      </c>
      <c r="M577" s="144">
        <f t="shared" si="30"/>
        <v>0</v>
      </c>
    </row>
    <row r="578" spans="8:30" x14ac:dyDescent="0.25">
      <c r="H578" s="115" t="s">
        <v>179</v>
      </c>
      <c r="I578" s="351">
        <f ca="1">-(IF(Geometria!$I$283&lt;Geometria!$J$1030/100,Tensões!V18,IF(Tensões!H18="Sim",'Isolamento de cabos'!$C$58,'Perdas por Seção'!M97))/($H$36/100^2))+(IF(Geometria!$I$283&lt;Geometria!$J$1030/100,Tensões!W18,IF(Tensões!H18="Sim",'Isolamento de cabos'!$C$59,'Perdas por Seção'!M98))/($H$40/100^3))-(($I$534)/($H$40/100^3))-(($I$545)/($I$37/100^4))*((H23-((H23+H33)-I24))/100)-(($H$53*$I$556)/($I$37/100^4))*((H23-((H23+H33)-I24))/100)</f>
        <v>-8891.509460033747</v>
      </c>
      <c r="J578" s="231" t="s">
        <v>63</v>
      </c>
      <c r="K578" s="354">
        <f t="shared" ca="1" si="29"/>
        <v>-8.8915094600337472</v>
      </c>
      <c r="L578" s="231" t="s">
        <v>60</v>
      </c>
      <c r="M578" s="144">
        <f t="shared" si="30"/>
        <v>0</v>
      </c>
    </row>
    <row r="579" spans="8:30" x14ac:dyDescent="0.25">
      <c r="H579" s="115" t="s">
        <v>359</v>
      </c>
      <c r="I579" s="351">
        <f ca="1">-(IF(Geometria!$H$283&lt;Geometria!$J$1030/100,Tensões!V19,IF(Tensões!H19="Sim",'Isolamento de cabos'!$C$58,'Perdas por Seção'!N97))/($H$36/100^2))+(IF(Geometria!$H$283&lt;Geometria!$J$1030/100,Tensões!W19,IF(Tensões!H19="Sim",'Isolamento de cabos'!$C$59,'Perdas por Seção'!N98))/($H$40/100^3))-(($J$534)/($H$40/100^3))-(($J$545)/($I$37/100^4))*((H23-((H23+H33)-I24))/100)-(($H$53*$J$556)/($I$37/100^4))*((H23-((H23+H33)-I24))/100)</f>
        <v>-8780.9702013064707</v>
      </c>
      <c r="J579" s="231" t="s">
        <v>63</v>
      </c>
      <c r="K579" s="354">
        <f t="shared" ref="K579:K588" ca="1" si="31">I579/1000</f>
        <v>-8.7809702013064701</v>
      </c>
      <c r="L579" s="231" t="s">
        <v>60</v>
      </c>
      <c r="M579" s="144">
        <f t="shared" si="30"/>
        <v>0</v>
      </c>
    </row>
    <row r="580" spans="8:30" x14ac:dyDescent="0.25">
      <c r="H580" s="115" t="s">
        <v>360</v>
      </c>
      <c r="I580" s="351">
        <f ca="1">-(IF(Geometria!$G$283&lt;Geometria!$J$1030/100,Tensões!V20,IF(Tensões!H20="Sim",'Isolamento de cabos'!$C$58,'Perdas por Seção'!O97))/($H$36/100^2))+(IF(Geometria!$G$283&lt;Geometria!$J$1030/100,Tensões!W20,IF(Tensões!H20="Sim",'Isolamento de cabos'!$C$59,'Perdas por Seção'!O98))/($H$40/100^3))-(($K$534)/($H$40/100^3))-(($K$545)/($I$37/100^4))*((H23-((H23+H33)-I24))/100)-(($H$53*$K$556)/($I$37/100^4))*((H23-((H23+H33)-I24))/100)</f>
        <v>-8449.3533602234766</v>
      </c>
      <c r="J580" s="231" t="s">
        <v>63</v>
      </c>
      <c r="K580" s="354">
        <f t="shared" ca="1" si="31"/>
        <v>-8.4493533602234763</v>
      </c>
      <c r="L580" s="231" t="s">
        <v>60</v>
      </c>
      <c r="M580" s="144">
        <f t="shared" si="30"/>
        <v>0</v>
      </c>
      <c r="Z580" s="115" t="s">
        <v>180</v>
      </c>
    </row>
    <row r="581" spans="8:30" x14ac:dyDescent="0.25">
      <c r="H581" s="115" t="s">
        <v>361</v>
      </c>
      <c r="I581" s="351">
        <f ca="1">-(IF(Geometria!$N$280&lt;Geometria!$J$1030/100,Tensões!V21,IF(Tensões!H21="Sim",'Isolamento de cabos'!$C$58,'Perdas por Seção'!P97))/($H$36/100^2))+(IF(Geometria!$N$280&lt;Geometria!$J$1030/100,Tensões!W21,IF(Tensões!H21="Sim",'Isolamento de cabos'!$C$59,'Perdas por Seção'!P98))/($H$40/100^3))-(($L$534)/($H$40/100^3))-(($L$545)/($I$37/100^4))*((H23-((H23+H33)-I24))/100)-(($H$53*$L$556)/($I$37/100^4))*((H23-((H23+H33)-I24))/100)</f>
        <v>-7896.6617424801771</v>
      </c>
      <c r="J581" s="231" t="s">
        <v>63</v>
      </c>
      <c r="K581" s="354">
        <f t="shared" ca="1" si="31"/>
        <v>-7.8966617424801768</v>
      </c>
      <c r="L581" s="231" t="s">
        <v>60</v>
      </c>
      <c r="M581" s="144">
        <f t="shared" si="30"/>
        <v>0</v>
      </c>
      <c r="Z581" s="115" t="s">
        <v>146</v>
      </c>
      <c r="AA581" s="119">
        <f>0.7*H58*-1000</f>
        <v>-35000</v>
      </c>
      <c r="AB581" s="115" t="s">
        <v>63</v>
      </c>
      <c r="AC581" s="119">
        <f>AA581/1000</f>
        <v>-35</v>
      </c>
      <c r="AD581" s="115" t="s">
        <v>60</v>
      </c>
    </row>
    <row r="582" spans="8:30" x14ac:dyDescent="0.25">
      <c r="H582" s="115" t="s">
        <v>362</v>
      </c>
      <c r="I582" s="351">
        <f ca="1">-(IF(Geometria!$M$280&lt;Geometria!$J$1030/100,Tensões!V22,IF(Tensões!H22="Sim",'Isolamento de cabos'!$C$58,'Perdas por Seção'!Q97))/($H$36/100^2))+(IF(Geometria!$M$280&lt;Geometria!$J$1030/100,Tensões!W22,IF(Tensões!H22="Sim",'Isolamento de cabos'!$C$59,'Perdas por Seção'!Q98))/($H$40/100^3))-(($M$534)/($H$40/100^3))-(($M$545)/($I$37/100^4))*((H23-((H23+H33)-I24))/100)-(($H$53*$M$556)/($I$37/100^4))*((H23-((H23+H33)-I24))/100)</f>
        <v>-7122.9000255659512</v>
      </c>
      <c r="J582" s="231" t="s">
        <v>63</v>
      </c>
      <c r="K582" s="354">
        <f t="shared" ca="1" si="31"/>
        <v>-7.1229000255659516</v>
      </c>
      <c r="L582" s="231" t="s">
        <v>60</v>
      </c>
      <c r="M582" s="144">
        <f t="shared" si="30"/>
        <v>0</v>
      </c>
      <c r="Z582" s="115" t="s">
        <v>145</v>
      </c>
      <c r="AA582" s="144">
        <v>0</v>
      </c>
      <c r="AB582" s="115" t="s">
        <v>63</v>
      </c>
      <c r="AC582" s="142">
        <f>AA582/1000</f>
        <v>0</v>
      </c>
      <c r="AD582" s="115" t="s">
        <v>60</v>
      </c>
    </row>
    <row r="583" spans="8:30" x14ac:dyDescent="0.25">
      <c r="H583" s="115" t="s">
        <v>363</v>
      </c>
      <c r="I583" s="351">
        <f ca="1">-(IF(Geometria!$L$280&lt;Geometria!$J$1030/100,Tensões!V23,IF(Tensões!H23="Sim",'Isolamento de cabos'!$C$58,'Perdas por Seção'!R97))/($H$36/100^2))+(IF(Geometria!$L$280&lt;Geometria!$J$1030/100,Tensões!W23,IF(Tensões!H23="Sim",'Isolamento de cabos'!$C$59,'Perdas por Seção'!R98))/($H$40/100^3))-(($N$534)/($H$40/100^3))-(($N$545)/($I$37/100^4))*((H23-((H23+H33)-I24))/100)-(($H$53*$N$556)/($I$37/100^4))*((H23-((H23+H33)-I24))/100)</f>
        <v>-6128.0747607613694</v>
      </c>
      <c r="J583" s="231" t="s">
        <v>63</v>
      </c>
      <c r="K583" s="354">
        <f t="shared" ca="1" si="31"/>
        <v>-6.1280747607613693</v>
      </c>
      <c r="L583" s="231" t="s">
        <v>60</v>
      </c>
      <c r="M583" s="144">
        <f t="shared" si="30"/>
        <v>0</v>
      </c>
    </row>
    <row r="584" spans="8:30" x14ac:dyDescent="0.25">
      <c r="H584" s="115" t="s">
        <v>364</v>
      </c>
      <c r="I584" s="351">
        <f ca="1">-(IF(Geometria!$K$280&lt;Geometria!$J$1030/100,Tensões!V24,IF(Tensões!H24="Sim",'Isolamento de cabos'!$C$58,'Perdas por Seção'!S97))/($H$36/100^2))+(IF(Geometria!$K$280&lt;Geometria!$J$1030/100,Tensões!W24,IF(Tensões!H24="Sim",'Isolamento de cabos'!$C$59,'Perdas por Seção'!S98))/($H$40/100^3))-(($G$537)/($H$40/100^3))-(($G$548)/($I$37/100^4))*((H23-((H23+H33)-I24))/100)-(($H$53*$G$559)/($I$37/100^4))*((H23-((H23+H33)-I24))/100)</f>
        <v>-4912.1943759379992</v>
      </c>
      <c r="J584" s="231" t="s">
        <v>63</v>
      </c>
      <c r="K584" s="354">
        <f t="shared" ca="1" si="31"/>
        <v>-4.9121943759379993</v>
      </c>
      <c r="L584" s="231" t="s">
        <v>60</v>
      </c>
      <c r="M584" s="144">
        <f t="shared" si="30"/>
        <v>0</v>
      </c>
    </row>
    <row r="585" spans="8:30" x14ac:dyDescent="0.25">
      <c r="H585" s="115" t="s">
        <v>365</v>
      </c>
      <c r="I585" s="351">
        <f ca="1">-(IF(Geometria!$J$280&lt;Geometria!$J$1030/100,Tensões!V25,IF(Tensões!H25="Sim",'Isolamento de cabos'!$C$58,'Perdas por Seção'!T97))/($H$36/100^2))+(IF(Geometria!$J$280&lt;Geometria!$J$1030/100,Tensões!W25,IF(Tensões!H25="Sim",'Isolamento de cabos'!$C$59,'Perdas por Seção'!T98))/($H$40/100^3))-(($H$537)/($H$40/100^3))-(($H$548)/($I$37/100^4))*((H23-((H23+H33)-I24))/100)-(($H$53*$H$559)/($I$37/100^4))*((H23-((H23+H33)-I24))/100)</f>
        <v>-3475.2691791642605</v>
      </c>
      <c r="J585" s="231" t="s">
        <v>63</v>
      </c>
      <c r="K585" s="354">
        <f t="shared" ca="1" si="31"/>
        <v>-3.4752691791642607</v>
      </c>
      <c r="L585" s="231" t="s">
        <v>60</v>
      </c>
      <c r="M585" s="144">
        <f t="shared" si="30"/>
        <v>0</v>
      </c>
    </row>
    <row r="586" spans="8:30" x14ac:dyDescent="0.25">
      <c r="H586" s="115" t="s">
        <v>366</v>
      </c>
      <c r="I586" s="351">
        <f ca="1">-(IF(Geometria!$I$280&lt;Geometria!$J$1030/100,Tensões!V26,IF(Tensões!H26="Sim",'Isolamento de cabos'!$C$58,'Perdas por Seção'!U97))/($H$36/100^2))+(IF(Geometria!$I$280&lt;Geometria!$J$1030/100,Tensões!W26,IF(Tensões!H26="Sim",'Isolamento de cabos'!$C$59,'Perdas por Seção'!U98))/($H$40/100^3))-(($I$537)/($H$40/100^3))-(($I$548)/($I$37/100^4))*((H23-((H23+H33)-I24))/100)-(($H$53*$I$559)/($I$37/100^4))*((H23-((H23+H33)-I24))/100)</f>
        <v>-1817.3113631219305</v>
      </c>
      <c r="J586" s="231" t="s">
        <v>63</v>
      </c>
      <c r="K586" s="354">
        <f t="shared" ca="1" si="31"/>
        <v>-1.8173113631219304</v>
      </c>
      <c r="L586" s="231" t="s">
        <v>60</v>
      </c>
      <c r="M586" s="144">
        <f t="shared" si="30"/>
        <v>0</v>
      </c>
    </row>
    <row r="587" spans="8:30" ht="15.75" thickBot="1" x14ac:dyDescent="0.3">
      <c r="H587" s="115" t="s">
        <v>367</v>
      </c>
      <c r="I587" s="352">
        <f ca="1">-(IF(Geometria!$H$280&lt;Geometria!$J$1030/100,Tensões!V27,IF(Tensões!H27="Sim",'Isolamento de cabos'!$C$58,'Perdas por Seção'!V97))/($H$36/100^2))+(IF(Geometria!$H$280&lt;Geometria!$J$1030/100,Tensões!W27,IF(Tensões!H27="Sim",'Isolamento de cabos'!$C$59,'Perdas por Seção'!V98))/($H$40/100^3))-(($J$537)/($H$40/100^3))-(($J$548)/($I$37/100^4))*((H23-((H23+H33)-I24))/100)-(($H$53*$J$559)/($I$37/100^4))*((H23-((H23+H33)-I24))/100)</f>
        <v>61.66498966092513</v>
      </c>
      <c r="J587" s="231" t="s">
        <v>63</v>
      </c>
      <c r="K587" s="355">
        <f t="shared" ca="1" si="31"/>
        <v>6.1664989660925131E-2</v>
      </c>
      <c r="L587" s="231" t="s">
        <v>60</v>
      </c>
      <c r="M587" s="144">
        <f t="shared" si="30"/>
        <v>0</v>
      </c>
    </row>
    <row r="588" spans="8:30" x14ac:dyDescent="0.25">
      <c r="H588" s="133" t="s">
        <v>368</v>
      </c>
      <c r="I588" s="191">
        <v>0</v>
      </c>
      <c r="J588" s="275" t="s">
        <v>63</v>
      </c>
      <c r="K588" s="193">
        <f t="shared" si="31"/>
        <v>0</v>
      </c>
      <c r="L588" s="275" t="s">
        <v>60</v>
      </c>
      <c r="M588" s="191">
        <f t="shared" si="30"/>
        <v>0</v>
      </c>
    </row>
    <row r="589" spans="8:30" x14ac:dyDescent="0.25">
      <c r="M589" s="144"/>
    </row>
    <row r="590" spans="8:30" x14ac:dyDescent="0.25">
      <c r="H590" s="638" t="s">
        <v>197</v>
      </c>
      <c r="I590" s="638"/>
      <c r="J590" s="638"/>
      <c r="K590" s="638"/>
      <c r="L590" s="638"/>
      <c r="M590" s="117" t="s">
        <v>180</v>
      </c>
    </row>
    <row r="591" spans="8:30" ht="15.75" thickBot="1" x14ac:dyDescent="0.3">
      <c r="H591" s="115" t="s">
        <v>169</v>
      </c>
      <c r="I591" s="144">
        <v>0</v>
      </c>
      <c r="J591" s="231" t="s">
        <v>63</v>
      </c>
      <c r="K591" s="142">
        <f>I591/1000</f>
        <v>0</v>
      </c>
      <c r="L591" s="231" t="s">
        <v>60</v>
      </c>
      <c r="M591" s="142">
        <f>AC581</f>
        <v>-35</v>
      </c>
    </row>
    <row r="592" spans="8:30" x14ac:dyDescent="0.25">
      <c r="H592" s="115" t="s">
        <v>170</v>
      </c>
      <c r="I592" s="350">
        <f ca="1">-(IF(Geometria!$H$280&lt;Geometria!$J$1031/100,Tensões!V32,IF(Tensões!H32="Sim",'Isolamento de cabos'!$C$58,'Perdas por Seção'!D97))/($H$36/100^2))-(IF(Geometria!$H$280&lt;Geometria!$J$1031/100,Tensões!W32,IF(Tensões!H32="Sim",'Isolamento de cabos'!$C$59,'Perdas por Seção'!D98))/($H$41/100^3))+(($H$531)/($H$41/100^3))+(($H$542)/($I$41/100^3))+(($H$53*$H$553)/($I$41/100^3))</f>
        <v>-6099.1614205433398</v>
      </c>
      <c r="J592" s="231" t="s">
        <v>63</v>
      </c>
      <c r="K592" s="353">
        <f ca="1">I592/1000</f>
        <v>-6.0991614205433402</v>
      </c>
      <c r="L592" s="231" t="s">
        <v>60</v>
      </c>
      <c r="M592" s="142">
        <f>M591</f>
        <v>-35</v>
      </c>
    </row>
    <row r="593" spans="8:13" x14ac:dyDescent="0.25">
      <c r="H593" s="115" t="s">
        <v>171</v>
      </c>
      <c r="I593" s="351">
        <f ca="1">-(IF(Geometria!$I$280&lt;Geometria!$J$1031/100,Tensões!V33,IF(Tensões!H33="Sim",'Isolamento de cabos'!$C$58,'Perdas por Seção'!E97))/($H$36/100^2))-(IF(Geometria!$I$280&lt;Geometria!$J$1031/100,Tensões!W33,IF(Tensões!H33="Sim",'Isolamento de cabos'!$C$59,'Perdas por Seção'!E98))/($H$41/100^3))+(($I$531)/($H$41/100^3))+(($I$542)/($I$41/100^3))+(($H$53*$I$553)/($I$41/100^3))</f>
        <v>-6792.7405205233044</v>
      </c>
      <c r="J593" s="231" t="s">
        <v>63</v>
      </c>
      <c r="K593" s="354">
        <f ca="1">I593/1000</f>
        <v>-6.7927405205233047</v>
      </c>
      <c r="L593" s="231" t="s">
        <v>60</v>
      </c>
      <c r="M593" s="142">
        <f t="shared" ref="M593:M611" si="32">M592</f>
        <v>-35</v>
      </c>
    </row>
    <row r="594" spans="8:13" x14ac:dyDescent="0.25">
      <c r="H594" s="115" t="s">
        <v>172</v>
      </c>
      <c r="I594" s="351">
        <f ca="1">-(IF(Geometria!$J$280&lt;Geometria!$J$1031/100,Tensões!V34,IF(Tensões!H34="Sim",'Isolamento de cabos'!$C$58,'Perdas por Seção'!F97))/($H$36/100^2))-(IF(Geometria!$J$280&lt;Geometria!$J$1031/100,Tensões!W34,IF(Tensões!H34="Sim",'Isolamento de cabos'!$C$59,'Perdas por Seção'!F98))/($H$41/100^3))+(($J$531)/($H$41/100^3))+(($J$542)/($I$41/100^3))+(($H$53*$J$553)/($I$41/100^3))</f>
        <v>-5036.5590851185307</v>
      </c>
      <c r="J594" s="231" t="s">
        <v>63</v>
      </c>
      <c r="K594" s="354">
        <f t="shared" ref="K594:K611" ca="1" si="33">I594/1000</f>
        <v>-5.0365590851185305</v>
      </c>
      <c r="L594" s="231" t="s">
        <v>60</v>
      </c>
      <c r="M594" s="142">
        <f t="shared" si="32"/>
        <v>-35</v>
      </c>
    </row>
    <row r="595" spans="8:13" x14ac:dyDescent="0.25">
      <c r="H595" s="115" t="s">
        <v>173</v>
      </c>
      <c r="I595" s="351">
        <f ca="1">-(IF(Geometria!$K$280&lt;Geometria!$J$1031/100,Tensões!V35,IF(Tensões!H35="Sim",'Isolamento de cabos'!$C$58,'Perdas por Seção'!G97))/($H$36/100^2))-(IF(Geometria!$K$280&lt;Geometria!$J$1031/100,Tensões!W35,IF(Tensões!H35="Sim",'Isolamento de cabos'!$C$59,'Perdas por Seção'!G98))/($H$41/100^3))+(($K$531)/($H$41/100^3))+(($K$542)/($I$41/100^3))+(($H$53*$K$553)/($I$41/100^3))</f>
        <v>-3514.3904484055356</v>
      </c>
      <c r="J595" s="231" t="s">
        <v>63</v>
      </c>
      <c r="K595" s="354">
        <f t="shared" ca="1" si="33"/>
        <v>-3.5143904484055355</v>
      </c>
      <c r="L595" s="231" t="s">
        <v>60</v>
      </c>
      <c r="M595" s="142">
        <f t="shared" si="32"/>
        <v>-35</v>
      </c>
    </row>
    <row r="596" spans="8:13" x14ac:dyDescent="0.25">
      <c r="H596" s="115" t="s">
        <v>174</v>
      </c>
      <c r="I596" s="351">
        <f ca="1">-(IF(Geometria!$L$280&lt;Geometria!$J$1031/100,Tensões!V36,IF(Tensões!H36="Sim",'Isolamento de cabos'!$C$58,'Perdas por Seção'!H97))/($H$36/100^2))-(IF(Geometria!$L$280&lt;Geometria!$J$1031/100,Tensões!W36,IF(Tensões!H36="Sim",'Isolamento de cabos'!$C$59,'Perdas por Seção'!H98))/($H$41/100^3))+(($L$531)/($H$41/100^3))+(($L$542)/($I$41/100^3))+(($H$53*$L$553)/($I$41/100^3))</f>
        <v>-2226.2966941356144</v>
      </c>
      <c r="J596" s="231" t="s">
        <v>63</v>
      </c>
      <c r="K596" s="354">
        <f t="shared" ca="1" si="33"/>
        <v>-2.2262966941356144</v>
      </c>
      <c r="L596" s="231" t="s">
        <v>60</v>
      </c>
      <c r="M596" s="142">
        <f t="shared" si="32"/>
        <v>-35</v>
      </c>
    </row>
    <row r="597" spans="8:13" x14ac:dyDescent="0.25">
      <c r="H597" s="115" t="s">
        <v>175</v>
      </c>
      <c r="I597" s="351">
        <f ca="1">-(IF(Geometria!$M$280&lt;Geometria!$J$1031/100,Tensões!V37,IF(Tensões!H37="Sim",'Isolamento de cabos'!$C$58,'Perdas por Seção'!I97))/($H$36/100^2))-(IF(Geometria!$M$280&lt;Geometria!$J$1031/100,Tensões!W37,IF(Tensões!H37="Sim",'Isolamento de cabos'!$C$59,'Perdas por Seção'!I98))/($H$41/100^3))+(($M$531)/($H$41/100^3))+(($M$542)/($I$41/100^3))+(($H$53*$M$553)/($I$41/100^3))</f>
        <v>-1172.3303098226961</v>
      </c>
      <c r="J597" s="231" t="s">
        <v>63</v>
      </c>
      <c r="K597" s="354">
        <f t="shared" ca="1" si="33"/>
        <v>-1.172330309822696</v>
      </c>
      <c r="L597" s="231" t="s">
        <v>60</v>
      </c>
      <c r="M597" s="142">
        <f t="shared" si="32"/>
        <v>-35</v>
      </c>
    </row>
    <row r="598" spans="8:13" x14ac:dyDescent="0.25">
      <c r="H598" s="115" t="s">
        <v>176</v>
      </c>
      <c r="I598" s="351">
        <f ca="1">-(IF(Geometria!$N$280&lt;Geometria!$J$1031/100,Tensões!V38,IF(Tensões!H38="Sim",'Isolamento de cabos'!$C$58,'Perdas por Seção'!J97))/($H$36/100^2))-(IF(Geometria!$N$280&lt;Geometria!$J$1031/100,Tensões!W38,IF(Tensões!H38="Sim",'Isolamento de cabos'!$C$59,'Perdas por Seção'!J98))/($H$41/100^3))+(($N$531)/($H$41/100^3))+(($N$542)/($I$41/100^3))+(($H$53*$N$553)/($I$41/100^3))</f>
        <v>-352.53420923191607</v>
      </c>
      <c r="J598" s="231" t="s">
        <v>63</v>
      </c>
      <c r="K598" s="354">
        <f t="shared" ca="1" si="33"/>
        <v>-0.35253420923191608</v>
      </c>
      <c r="L598" s="231" t="s">
        <v>60</v>
      </c>
      <c r="M598" s="142">
        <f t="shared" si="32"/>
        <v>-35</v>
      </c>
    </row>
    <row r="599" spans="8:13" x14ac:dyDescent="0.25">
      <c r="H599" s="115" t="s">
        <v>177</v>
      </c>
      <c r="I599" s="351">
        <f ca="1">-(IF(Geometria!$G$283&lt;Geometria!$J$1031/100,Tensões!V39,IF(Tensões!H39="Sim",'Isolamento de cabos'!$C$58,'Perdas por Seção'!K97))/($H$36/100^2))-(IF(Geometria!$G$283&lt;Geometria!$J$1031/100,Tensões!W39,IF(Tensões!H39="Sim",'Isolamento de cabos'!$C$59,'Perdas por Seção'!K98))/($H$41/100^3))+(($G$534)/($H$41/100^3))+(($G$545)/($I$41/100^3))+(($H$53*$G$556)/($I$41/100^3))</f>
        <v>233.05824925985212</v>
      </c>
      <c r="J599" s="231" t="s">
        <v>63</v>
      </c>
      <c r="K599" s="354">
        <f t="shared" ca="1" si="33"/>
        <v>0.23305824925985211</v>
      </c>
      <c r="L599" s="231" t="s">
        <v>60</v>
      </c>
      <c r="M599" s="142">
        <f t="shared" si="32"/>
        <v>-35</v>
      </c>
    </row>
    <row r="600" spans="8:13" x14ac:dyDescent="0.25">
      <c r="H600" s="115" t="s">
        <v>178</v>
      </c>
      <c r="I600" s="351">
        <f ca="1">-(IF(Geometria!$H$283&lt;Geometria!$J$1031/100,Tensões!V40,IF(Tensões!H40="Sim",'Isolamento de cabos'!$C$58,'Perdas por Seção'!L97))/($H$36/100^2))-(IF(Geometria!$H$283&lt;Geometria!$J$1031/100,Tensões!W40,IF(Tensões!H40="Sim",'Isolamento de cabos'!$C$59,'Perdas por Seção'!L98))/($H$41/100^3))+(($H$534)/($H$41/100^3))+(($H$545)/($I$41/100^3))+(($H$53*$H$556)/($I$41/100^3))</f>
        <v>584.4232484078384</v>
      </c>
      <c r="J600" s="231" t="s">
        <v>63</v>
      </c>
      <c r="K600" s="354">
        <f t="shared" ca="1" si="33"/>
        <v>0.58442324840783844</v>
      </c>
      <c r="L600" s="231" t="s">
        <v>60</v>
      </c>
      <c r="M600" s="142">
        <f t="shared" si="32"/>
        <v>-35</v>
      </c>
    </row>
    <row r="601" spans="8:13" x14ac:dyDescent="0.25">
      <c r="H601" s="115" t="s">
        <v>179</v>
      </c>
      <c r="I601" s="351">
        <f ca="1">-(IF(Geometria!$I$283&lt;Geometria!$J$1031/100,Tensões!V41,IF(Tensões!H41="Sim",'Isolamento de cabos'!$C$58,'Perdas por Seção'!M97))/($H$36/100^2))-(IF(Geometria!$I$283&lt;Geometria!$J$1031/100,Tensões!W41,IF(Tensões!H41="Sim",'Isolamento de cabos'!$C$59,'Perdas por Seção'!M98))/($H$41/100^3))+(($I$534)/($H$41/100^3))+(($I$545)/($I$41/100^3))+(($H$53*$I$556)/($I$41/100^3))</f>
        <v>701.54650192951726</v>
      </c>
      <c r="J601" s="231" t="s">
        <v>63</v>
      </c>
      <c r="K601" s="354">
        <f t="shared" ca="1" si="33"/>
        <v>0.70154650192951729</v>
      </c>
      <c r="L601" s="231" t="s">
        <v>60</v>
      </c>
      <c r="M601" s="142">
        <f t="shared" si="32"/>
        <v>-35</v>
      </c>
    </row>
    <row r="602" spans="8:13" x14ac:dyDescent="0.25">
      <c r="H602" s="115" t="s">
        <v>359</v>
      </c>
      <c r="I602" s="351">
        <f ca="1">-(IF(Geometria!$H$283&lt;Geometria!$J$1031/100,Tensões!V42,IF(Tensões!H42="Sim",'Isolamento de cabos'!$C$58,'Perdas por Seção'!N97))/($H$36/100^2))-(IF(Geometria!$H$283&lt;Geometria!$J$1031/100,Tensões!W42,IF(Tensões!H42="Sim",'Isolamento de cabos'!$C$59,'Perdas por Seção'!N98))/($H$41/100^3))+(($J$534)/($H$41/100^3))+(($J$545)/($I$41/100^3))+(($H$53*$J$556)/($I$41/100^3))</f>
        <v>584.4232484078384</v>
      </c>
      <c r="J602" s="231" t="s">
        <v>63</v>
      </c>
      <c r="K602" s="354">
        <f t="shared" ca="1" si="33"/>
        <v>0.58442324840783844</v>
      </c>
      <c r="L602" s="231" t="s">
        <v>60</v>
      </c>
      <c r="M602" s="142">
        <f t="shared" si="32"/>
        <v>-35</v>
      </c>
    </row>
    <row r="603" spans="8:13" x14ac:dyDescent="0.25">
      <c r="H603" s="115" t="s">
        <v>360</v>
      </c>
      <c r="I603" s="351">
        <f ca="1">-(IF(Geometria!$G$283&lt;Geometria!$J$1031/100,Tensões!V43,IF(Tensões!H43="Sim",'Isolamento de cabos'!$C$58,'Perdas por Seção'!O97))/($H$36/100^2))-(IF(Geometria!$G$283&lt;Geometria!$J$1031/100,Tensões!W43,IF(Tensões!H43="Sim",'Isolamento de cabos'!$C$59,'Perdas por Seção'!O98))/($H$41/100^3))+(($K$534)/($H$41/100^3))+(($K$545)/($I$41/100^3))+(($H$53*$K$556)/($I$41/100^3))</f>
        <v>233.05824925984984</v>
      </c>
      <c r="J603" s="231" t="s">
        <v>63</v>
      </c>
      <c r="K603" s="354">
        <f t="shared" ca="1" si="33"/>
        <v>0.23305824925984983</v>
      </c>
      <c r="L603" s="231" t="s">
        <v>60</v>
      </c>
      <c r="M603" s="142">
        <f t="shared" si="32"/>
        <v>-35</v>
      </c>
    </row>
    <row r="604" spans="8:13" x14ac:dyDescent="0.25">
      <c r="H604" s="115" t="s">
        <v>361</v>
      </c>
      <c r="I604" s="351">
        <f ca="1">-(IF(Geometria!$N$280&lt;Geometria!$J$1031/100,Tensões!V44,IF(Tensões!H44="Sim",'Isolamento de cabos'!$C$58,'Perdas por Seção'!P97))/($H$36/100^2))-(IF(Geometria!$N$280&lt;Geometria!$J$1031/100,Tensões!W44,IF(Tensões!H44="Sim",'Isolamento de cabos'!$C$59,'Perdas por Seção'!P98))/($H$41/100^3))+(($L$534)/($H$41/100^3))+(($L$545)/($I$41/100^3))+(($H$53*$L$556)/($I$41/100^3))</f>
        <v>-352.53420923191561</v>
      </c>
      <c r="J604" s="231" t="s">
        <v>63</v>
      </c>
      <c r="K604" s="354">
        <f t="shared" ca="1" si="33"/>
        <v>-0.35253420923191559</v>
      </c>
      <c r="L604" s="231" t="s">
        <v>60</v>
      </c>
      <c r="M604" s="142">
        <f t="shared" si="32"/>
        <v>-35</v>
      </c>
    </row>
    <row r="605" spans="8:13" x14ac:dyDescent="0.25">
      <c r="H605" s="115" t="s">
        <v>362</v>
      </c>
      <c r="I605" s="351">
        <f ca="1">-(IF(Geometria!$M$280&lt;Geometria!$J$1031/100,Tensões!V45,IF(Tensões!H45="Sim",'Isolamento de cabos'!$C$58,'Perdas por Seção'!Q97))/($H$36/100^2))-(IF(Geometria!$M$280&lt;Geometria!$J$1031/100,Tensões!W45,IF(Tensões!H45="Sim",'Isolamento de cabos'!$C$59,'Perdas por Seção'!Q98))/($H$41/100^3))+(($M$534)/($H$41/100^3))+(($M$545)/($I$41/100^3))+(($H$53*$M$556)/($I$41/100^3))</f>
        <v>-1172.3303098226907</v>
      </c>
      <c r="J605" s="231" t="s">
        <v>63</v>
      </c>
      <c r="K605" s="354">
        <f t="shared" ca="1" si="33"/>
        <v>-1.1723303098226907</v>
      </c>
      <c r="L605" s="231" t="s">
        <v>60</v>
      </c>
      <c r="M605" s="142">
        <f t="shared" si="32"/>
        <v>-35</v>
      </c>
    </row>
    <row r="606" spans="8:13" x14ac:dyDescent="0.25">
      <c r="H606" s="115" t="s">
        <v>363</v>
      </c>
      <c r="I606" s="351">
        <f ca="1">-(IF(Geometria!$L$280&lt;Geometria!$J$1031/100,Tensões!V46,IF(Tensões!H46="Sim",'Isolamento de cabos'!$C$58,'Perdas por Seção'!R97))/($H$36/100^2))-(IF(Geometria!$L$280&lt;Geometria!$J$1031/100,Tensões!W46,IF(Tensões!H46="Sim",'Isolamento de cabos'!$C$59,'Perdas por Seção'!R98))/($H$41/100^3))+(($N$534)/($H$41/100^3))+(($N$545)/($I$41/100^3))+(($H$53*$N$556)/($I$41/100^3))</f>
        <v>-2226.2966941356035</v>
      </c>
      <c r="J606" s="231" t="s">
        <v>63</v>
      </c>
      <c r="K606" s="354">
        <f t="shared" ca="1" si="33"/>
        <v>-2.2262966941356037</v>
      </c>
      <c r="L606" s="231" t="s">
        <v>60</v>
      </c>
      <c r="M606" s="142">
        <f t="shared" si="32"/>
        <v>-35</v>
      </c>
    </row>
    <row r="607" spans="8:13" x14ac:dyDescent="0.25">
      <c r="H607" s="115" t="s">
        <v>364</v>
      </c>
      <c r="I607" s="351">
        <f ca="1">-(IF(Geometria!$K$280&lt;Geometria!$J$1031/100,Tensões!V47,IF(Tensões!H47="Sim",'Isolamento de cabos'!$C$58,'Perdas por Seção'!S97))/($H$36/100^2))-(IF(Geometria!$K$280&lt;Geometria!$J$1031/100,Tensões!W47,IF(Tensões!H47="Sim",'Isolamento de cabos'!$C$59,'Perdas por Seção'!S98))/($H$41/100^3))+(($G$537)/($H$41/100^3))+(($G$548)/($I$41/100^3))+(($H$53*$G$559)/($I$41/100^3))</f>
        <v>-3514.3904484055283</v>
      </c>
      <c r="J607" s="231" t="s">
        <v>63</v>
      </c>
      <c r="K607" s="354">
        <f t="shared" ca="1" si="33"/>
        <v>-3.5143904484055284</v>
      </c>
      <c r="L607" s="231" t="s">
        <v>60</v>
      </c>
      <c r="M607" s="142">
        <f t="shared" si="32"/>
        <v>-35</v>
      </c>
    </row>
    <row r="608" spans="8:13" x14ac:dyDescent="0.25">
      <c r="H608" s="115" t="s">
        <v>365</v>
      </c>
      <c r="I608" s="351">
        <f ca="1">-(IF(Geometria!$J$280&lt;Geometria!$J$1031/100,Tensões!V48,IF(Tensões!H48="Sim",'Isolamento de cabos'!$C$58,'Perdas por Seção'!T97))/($H$36/100^2))-(IF(Geometria!$J$280&lt;Geometria!$J$1031/100,Tensões!W48,IF(Tensões!H48="Sim",'Isolamento de cabos'!$C$59,'Perdas por Seção'!T98))/($H$41/100^3))+(($H$537)/($H$41/100^3))+(($H$548)/($I$41/100^3))+(($H$53*$H$559)/($I$41/100^3))</f>
        <v>-5036.5590851185179</v>
      </c>
      <c r="J608" s="231" t="s">
        <v>63</v>
      </c>
      <c r="K608" s="354">
        <f t="shared" ca="1" si="33"/>
        <v>-5.036559085118518</v>
      </c>
      <c r="L608" s="231" t="s">
        <v>60</v>
      </c>
      <c r="M608" s="142">
        <f t="shared" si="32"/>
        <v>-35</v>
      </c>
    </row>
    <row r="609" spans="8:17" x14ac:dyDescent="0.25">
      <c r="H609" s="115" t="s">
        <v>366</v>
      </c>
      <c r="I609" s="351">
        <f ca="1">-(IF(Geometria!$I$280&lt;Geometria!$J$1031/100,Tensões!V49,IF(Tensões!H49="Sim",'Isolamento de cabos'!$C$58,'Perdas por Seção'!U97))/($H$36/100^2))-(IF(Geometria!$I$280&lt;Geometria!$J$1031/100,Tensões!W49,IF(Tensões!H49="Sim",'Isolamento de cabos'!$C$59,'Perdas por Seção'!U98))/($H$41/100^3))+(($I$537)/($H$41/100^3))+(($I$548)/($I$41/100^3))+(($H$53*$I$559)/($I$41/100^3))</f>
        <v>-6792.7405205232899</v>
      </c>
      <c r="J609" s="231" t="s">
        <v>63</v>
      </c>
      <c r="K609" s="354">
        <f t="shared" ca="1" si="33"/>
        <v>-6.7927405205232896</v>
      </c>
      <c r="L609" s="231" t="s">
        <v>60</v>
      </c>
      <c r="M609" s="142">
        <f t="shared" si="32"/>
        <v>-35</v>
      </c>
    </row>
    <row r="610" spans="8:17" ht="15.75" thickBot="1" x14ac:dyDescent="0.3">
      <c r="H610" s="115" t="s">
        <v>367</v>
      </c>
      <c r="I610" s="352">
        <f ca="1">-(IF(Geometria!$H$280&lt;Geometria!$J$1031/100,Tensões!V50,IF(Tensões!H50="Sim",'Isolamento de cabos'!$C$58,'Perdas por Seção'!V97))/($H$36/100^2))-(IF(Geometria!$H$280&lt;Geometria!$J$1031/100,Tensões!W50,IF(Tensões!H50="Sim",'Isolamento de cabos'!$C$59,'Perdas por Seção'!V98))/($H$41/100^3))+(($J$537)/($H$41/100^3))+(($J$548)/($I$41/100^3))+(($H$53*$J$559)/($I$41/100^3))</f>
        <v>-6099.1614205433207</v>
      </c>
      <c r="J610" s="231" t="s">
        <v>63</v>
      </c>
      <c r="K610" s="355">
        <f t="shared" ca="1" si="33"/>
        <v>-6.0991614205433207</v>
      </c>
      <c r="L610" s="231" t="s">
        <v>60</v>
      </c>
      <c r="M610" s="142">
        <f t="shared" si="32"/>
        <v>-35</v>
      </c>
    </row>
    <row r="611" spans="8:17" x14ac:dyDescent="0.25">
      <c r="H611" s="133" t="s">
        <v>368</v>
      </c>
      <c r="I611" s="191">
        <v>0</v>
      </c>
      <c r="J611" s="133"/>
      <c r="K611" s="193">
        <f t="shared" si="33"/>
        <v>0</v>
      </c>
      <c r="L611" s="133" t="s">
        <v>60</v>
      </c>
      <c r="M611" s="193">
        <f t="shared" si="32"/>
        <v>-35</v>
      </c>
      <c r="N611" s="144"/>
      <c r="O611" s="144"/>
    </row>
    <row r="612" spans="8:17" x14ac:dyDescent="0.25">
      <c r="N612" s="144"/>
      <c r="O612" s="144"/>
    </row>
    <row r="613" spans="8:17" x14ac:dyDescent="0.25">
      <c r="N613" s="144"/>
      <c r="O613" s="144"/>
    </row>
    <row r="614" spans="8:17" x14ac:dyDescent="0.25">
      <c r="N614" s="144"/>
      <c r="O614" s="144"/>
    </row>
    <row r="615" spans="8:17" x14ac:dyDescent="0.25">
      <c r="L615" s="144"/>
      <c r="M615" s="144"/>
      <c r="N615" s="144"/>
      <c r="O615" s="144"/>
      <c r="P615" s="144"/>
      <c r="Q615" s="144"/>
    </row>
    <row r="616" spans="8:17" x14ac:dyDescent="0.25">
      <c r="L616" s="144"/>
      <c r="M616" s="144"/>
      <c r="N616" s="144"/>
      <c r="O616" s="144"/>
      <c r="P616" s="144"/>
      <c r="Q616" s="144"/>
    </row>
    <row r="617" spans="8:17" x14ac:dyDescent="0.25">
      <c r="L617" s="144"/>
      <c r="M617" s="144"/>
      <c r="N617" s="144"/>
      <c r="O617" s="144"/>
      <c r="P617" s="144"/>
      <c r="Q617" s="144"/>
    </row>
    <row r="618" spans="8:17" x14ac:dyDescent="0.25">
      <c r="L618" s="144"/>
      <c r="M618" s="144"/>
      <c r="N618" s="144"/>
      <c r="O618" s="144"/>
      <c r="P618" s="144"/>
      <c r="Q618" s="144"/>
    </row>
    <row r="619" spans="8:17" x14ac:dyDescent="0.25">
      <c r="L619" s="144"/>
      <c r="M619" s="144"/>
      <c r="N619" s="144"/>
      <c r="O619" s="144"/>
      <c r="P619" s="144"/>
      <c r="Q619" s="144"/>
    </row>
    <row r="620" spans="8:17" x14ac:dyDescent="0.25">
      <c r="L620" s="144"/>
      <c r="M620" s="144"/>
      <c r="N620" s="144"/>
      <c r="O620" s="144"/>
      <c r="P620" s="144"/>
      <c r="Q620" s="144"/>
    </row>
    <row r="621" spans="8:17" x14ac:dyDescent="0.25">
      <c r="L621" s="144"/>
      <c r="M621" s="144"/>
      <c r="N621" s="144"/>
      <c r="O621" s="144"/>
      <c r="P621" s="144"/>
      <c r="Q621" s="144"/>
    </row>
    <row r="622" spans="8:17" x14ac:dyDescent="0.25">
      <c r="L622" s="144"/>
      <c r="M622" s="144"/>
      <c r="N622" s="144"/>
      <c r="O622" s="144"/>
      <c r="P622" s="144"/>
      <c r="Q622" s="144"/>
    </row>
    <row r="623" spans="8:17" x14ac:dyDescent="0.25">
      <c r="L623" s="144"/>
      <c r="M623" s="144"/>
      <c r="N623" s="144"/>
      <c r="O623" s="144"/>
      <c r="P623" s="144"/>
      <c r="Q623" s="144"/>
    </row>
    <row r="624" spans="8:17" x14ac:dyDescent="0.25">
      <c r="L624" s="144"/>
      <c r="M624" s="144"/>
      <c r="N624" s="144"/>
      <c r="O624" s="144"/>
      <c r="P624" s="144"/>
      <c r="Q624" s="144"/>
    </row>
    <row r="625" spans="7:17" x14ac:dyDescent="0.25">
      <c r="L625" s="144"/>
      <c r="M625" s="144"/>
      <c r="N625" s="144"/>
      <c r="O625" s="144"/>
      <c r="P625" s="144"/>
      <c r="Q625" s="144"/>
    </row>
    <row r="626" spans="7:17" x14ac:dyDescent="0.25">
      <c r="L626" s="144"/>
      <c r="M626" s="144"/>
      <c r="N626" s="144"/>
      <c r="O626" s="144"/>
      <c r="P626" s="144"/>
      <c r="Q626" s="144"/>
    </row>
    <row r="627" spans="7:17" x14ac:dyDescent="0.25">
      <c r="L627" s="144"/>
      <c r="M627" s="144"/>
      <c r="N627" s="144"/>
      <c r="O627" s="144"/>
      <c r="P627" s="144"/>
      <c r="Q627" s="144"/>
    </row>
    <row r="628" spans="7:17" x14ac:dyDescent="0.25">
      <c r="L628" s="144"/>
      <c r="M628" s="144"/>
      <c r="N628" s="144"/>
      <c r="O628" s="144"/>
      <c r="P628" s="144"/>
      <c r="Q628" s="144"/>
    </row>
    <row r="629" spans="7:17" x14ac:dyDescent="0.25">
      <c r="L629" s="144"/>
      <c r="M629" s="144"/>
      <c r="N629" s="144"/>
      <c r="O629" s="144"/>
      <c r="P629" s="144"/>
      <c r="Q629" s="144"/>
    </row>
    <row r="630" spans="7:17" x14ac:dyDescent="0.25">
      <c r="L630" s="144"/>
      <c r="M630" s="144"/>
      <c r="N630" s="144"/>
      <c r="O630" s="144"/>
      <c r="P630" s="144"/>
      <c r="Q630" s="144"/>
    </row>
    <row r="631" spans="7:17" x14ac:dyDescent="0.25">
      <c r="L631" s="144"/>
      <c r="M631" s="144"/>
      <c r="N631" s="144"/>
    </row>
    <row r="632" spans="7:17" x14ac:dyDescent="0.25">
      <c r="L632" s="144"/>
      <c r="M632" s="144"/>
      <c r="N632" s="144"/>
    </row>
    <row r="633" spans="7:17" x14ac:dyDescent="0.25">
      <c r="L633" s="144"/>
      <c r="M633" s="144"/>
      <c r="N633" s="144"/>
    </row>
    <row r="634" spans="7:17" x14ac:dyDescent="0.25">
      <c r="L634" s="144"/>
      <c r="M634" s="144"/>
      <c r="N634" s="144"/>
    </row>
    <row r="635" spans="7:17" x14ac:dyDescent="0.25">
      <c r="L635" s="144"/>
      <c r="M635" s="144"/>
      <c r="N635" s="144"/>
    </row>
    <row r="636" spans="7:17" x14ac:dyDescent="0.25">
      <c r="L636" s="144"/>
      <c r="M636" s="144"/>
      <c r="N636" s="144"/>
    </row>
    <row r="637" spans="7:17" x14ac:dyDescent="0.25">
      <c r="L637" s="144"/>
      <c r="M637" s="144"/>
      <c r="N637" s="144"/>
    </row>
    <row r="638" spans="7:17" x14ac:dyDescent="0.25">
      <c r="G638" s="635" t="s">
        <v>149</v>
      </c>
      <c r="H638" s="635"/>
      <c r="I638" s="635"/>
      <c r="J638" s="635"/>
      <c r="K638" s="635"/>
      <c r="L638" s="635"/>
      <c r="M638" s="635"/>
      <c r="N638" s="635"/>
    </row>
    <row r="639" spans="7:17" x14ac:dyDescent="0.25">
      <c r="L639" s="144"/>
      <c r="M639" s="144"/>
      <c r="N639" s="144"/>
    </row>
    <row r="640" spans="7:17" x14ac:dyDescent="0.25">
      <c r="H640" s="638" t="s">
        <v>200</v>
      </c>
      <c r="I640" s="638"/>
      <c r="J640" s="638"/>
      <c r="K640" s="638"/>
      <c r="L640" s="638"/>
      <c r="M640" s="117" t="s">
        <v>180</v>
      </c>
    </row>
    <row r="641" spans="8:13" ht="15.75" thickBot="1" x14ac:dyDescent="0.3">
      <c r="H641" s="115" t="s">
        <v>169</v>
      </c>
      <c r="I641" s="144">
        <v>0</v>
      </c>
      <c r="J641" s="231" t="s">
        <v>63</v>
      </c>
      <c r="K641" s="142">
        <f>I641/1000</f>
        <v>0</v>
      </c>
      <c r="L641" s="231" t="s">
        <v>60</v>
      </c>
      <c r="M641" s="144">
        <f>H734</f>
        <v>0</v>
      </c>
    </row>
    <row r="642" spans="8:13" x14ac:dyDescent="0.25">
      <c r="H642" s="115" t="s">
        <v>170</v>
      </c>
      <c r="I642" s="350">
        <f ca="1">-(IF(Geometria!$H$280&lt;Geometria!$J$1030/100,Tensões!V9,IF(Tensões!H9="Sim",'Isolamento de cabos'!$C$58,'Perdas por Seção'!D97))/($H$36/100^2))+(IF(Geometria!$H$280&lt;Geometria!$J$1030/100,Tensões!W9,IF(Tensões!H9="Sim",'Isolamento de cabos'!$C$59,'Perdas por Seção'!D98))/($H$40/100^3))-(($H$531)/($H$40/100^3))-(($H$542)/($I$37/100^4))*((($H$30+$H$33-$I$24)-$H$33)/100)</f>
        <v>378.64047107290196</v>
      </c>
      <c r="J642" s="231" t="s">
        <v>63</v>
      </c>
      <c r="K642" s="353">
        <f t="shared" ref="K642:K651" ca="1" si="34">I642/1000</f>
        <v>0.37864047107290194</v>
      </c>
      <c r="L642" s="231" t="s">
        <v>60</v>
      </c>
      <c r="M642" s="144">
        <f>M641</f>
        <v>0</v>
      </c>
    </row>
    <row r="643" spans="8:13" x14ac:dyDescent="0.25">
      <c r="H643" s="115" t="s">
        <v>171</v>
      </c>
      <c r="I643" s="351">
        <f ca="1">-(IF(Geometria!$I$280&lt;Geometria!$J$1030/100,Tensões!V10,IF(Tensões!H10="Sim",'Isolamento de cabos'!$C$58,'Perdas por Seção'!E97))/($H$36/100^2))+(IF(Geometria!$I$280&lt;Geometria!$J$1030/100,Tensões!W10,IF(Tensões!H10="Sim",'Isolamento de cabos'!$C$59,'Perdas por Seção'!E98))/($H$40/100^3))-(($I$531)/($H$40/100^3))-(($I$542)/($I$37/100^4))*((($H$30+$H$33-$I$24)-$H$33)/100)</f>
        <v>-1216.7262404466207</v>
      </c>
      <c r="J643" s="231" t="s">
        <v>63</v>
      </c>
      <c r="K643" s="354">
        <f t="shared" ca="1" si="34"/>
        <v>-1.2167262404466208</v>
      </c>
      <c r="L643" s="231" t="s">
        <v>60</v>
      </c>
      <c r="M643" s="144">
        <f t="shared" ref="M643:M659" si="35">M642</f>
        <v>0</v>
      </c>
    </row>
    <row r="644" spans="8:13" x14ac:dyDescent="0.25">
      <c r="H644" s="115" t="s">
        <v>172</v>
      </c>
      <c r="I644" s="351">
        <f ca="1">-(IF(Geometria!$J$280&lt;Geometria!$J$1030/100,Tensões!V11,IF(Tensões!H11="Sim",'Isolamento de cabos'!$C$58,'Perdas por Seção'!F97))/($H$36/100^2))+(IF(Geometria!$J$280&lt;Geometria!$J$1030/100,Tensões!W11,IF(Tensões!H11="Sim",'Isolamento de cabos'!$C$59,'Perdas por Seção'!F98))/($H$40/100^3))-(($J$531)/($H$40/100^3))-(($J$542)/($I$37/100^4))*((($H$30+$H$33-$I$24)-$H$33)/100)</f>
        <v>-2624.4402553742452</v>
      </c>
      <c r="J644" s="231" t="s">
        <v>63</v>
      </c>
      <c r="K644" s="354">
        <f t="shared" ca="1" si="34"/>
        <v>-2.6244402553742452</v>
      </c>
      <c r="L644" s="231" t="s">
        <v>60</v>
      </c>
      <c r="M644" s="144">
        <f t="shared" si="35"/>
        <v>0</v>
      </c>
    </row>
    <row r="645" spans="8:13" x14ac:dyDescent="0.25">
      <c r="H645" s="115" t="s">
        <v>173</v>
      </c>
      <c r="I645" s="351">
        <f ca="1">-(IF(Geometria!$K$280&lt;Geometria!$J$1030/100,Tensões!V12,IF(Tensões!H12="Sim",'Isolamento de cabos'!$C$58,'Perdas por Seção'!G97))/($H$36/100^2))+(IF(Geometria!$K$280&lt;Geometria!$J$1030/100,Tensões!W12,IF(Tensões!H12="Sim",'Isolamento de cabos'!$C$59,'Perdas por Seção'!G98))/($H$40/100^3))-(($K$531)/($H$40/100^3))-(($K$542)/($I$37/100^4))*((($H$30+$H$33-$I$24)-$H$33)/100)</f>
        <v>-3844.4874911819097</v>
      </c>
      <c r="J645" s="231" t="s">
        <v>63</v>
      </c>
      <c r="K645" s="354">
        <f t="shared" ca="1" si="34"/>
        <v>-3.8444874911819098</v>
      </c>
      <c r="L645" s="231" t="s">
        <v>60</v>
      </c>
      <c r="M645" s="144">
        <f t="shared" si="35"/>
        <v>0</v>
      </c>
    </row>
    <row r="646" spans="8:13" x14ac:dyDescent="0.25">
      <c r="H646" s="115" t="s">
        <v>174</v>
      </c>
      <c r="I646" s="351">
        <f ca="1">-(IF(Geometria!$L$280&lt;Geometria!$J$1030/100,Tensões!V13,IF(Tensões!H13="Sim",'Isolamento de cabos'!$C$58,'Perdas por Seção'!H97))/($H$36/100^2))+(IF(Geometria!$L$280&lt;Geometria!$J$1030/100,Tensões!W13,IF(Tensões!H13="Sim",'Isolamento de cabos'!$C$59,'Perdas por Seção'!H98))/($H$40/100^3))-(($L$531)/($H$40/100^3))-(($L$542)/($I$37/100^4))*((($H$30+$H$33-$I$24)-$H$33)/100)</f>
        <v>-4876.8557551878257</v>
      </c>
      <c r="J646" s="231" t="s">
        <v>63</v>
      </c>
      <c r="K646" s="354">
        <f t="shared" ca="1" si="34"/>
        <v>-4.876855755187826</v>
      </c>
      <c r="L646" s="231" t="s">
        <v>60</v>
      </c>
      <c r="M646" s="144">
        <f t="shared" si="35"/>
        <v>0</v>
      </c>
    </row>
    <row r="647" spans="8:13" x14ac:dyDescent="0.25">
      <c r="H647" s="115" t="s">
        <v>175</v>
      </c>
      <c r="I647" s="351">
        <f ca="1">-(IF(Geometria!$M$280&lt;Geometria!$J$1030/100,Tensões!V14,IF(Tensões!H14="Sim",'Isolamento de cabos'!$C$58,'Perdas por Seção'!I97))/($H$36/100^2))+(IF(Geometria!$M$280&lt;Geometria!$J$1030/100,Tensões!W14,IF(Tensões!H14="Sim",'Isolamento de cabos'!$C$59,'Perdas por Seção'!I98))/($H$40/100^3))-(($M$531)/($H$40/100^3))-(($M$542)/($I$37/100^4))*((($H$30+$H$33-$I$24)-$H$33)/100)</f>
        <v>-5721.5347393235879</v>
      </c>
      <c r="J647" s="231" t="s">
        <v>63</v>
      </c>
      <c r="K647" s="354">
        <f t="shared" ca="1" si="34"/>
        <v>-5.7215347393235882</v>
      </c>
      <c r="L647" s="231" t="s">
        <v>60</v>
      </c>
      <c r="M647" s="144">
        <f t="shared" si="35"/>
        <v>0</v>
      </c>
    </row>
    <row r="648" spans="8:13" x14ac:dyDescent="0.25">
      <c r="H648" s="115" t="s">
        <v>176</v>
      </c>
      <c r="I648" s="351">
        <f ca="1">-(IF(Geometria!$N$280&lt;Geometria!$J$1030/100,Tensões!V15,IF(Tensões!H15="Sim",'Isolamento de cabos'!$C$58,'Perdas por Seção'!J97))/($H$36/100^2))+(IF(Geometria!$N$280&lt;Geometria!$J$1030/100,Tensões!W15,IF(Tensões!H15="Sim",'Isolamento de cabos'!$C$59,'Perdas por Seção'!J98))/($H$40/100^3))-(($N$531)/($H$40/100^3))-(($N$542)/($I$37/100^4))*((($H$30+$H$33-$I$24)-$H$33)/100)</f>
        <v>-6378.5160157176215</v>
      </c>
      <c r="J648" s="231" t="s">
        <v>63</v>
      </c>
      <c r="K648" s="354">
        <f t="shared" ca="1" si="34"/>
        <v>-6.3785160157176213</v>
      </c>
      <c r="L648" s="231" t="s">
        <v>60</v>
      </c>
      <c r="M648" s="144">
        <f t="shared" si="35"/>
        <v>0</v>
      </c>
    </row>
    <row r="649" spans="8:13" x14ac:dyDescent="0.25">
      <c r="H649" s="115" t="s">
        <v>177</v>
      </c>
      <c r="I649" s="351">
        <f ca="1">-(IF(Geometria!$G$283&lt;Geometria!$J$1030/100,Tensões!V16,IF(Tensões!H16="Sim",'Isolamento de cabos'!$C$58,'Perdas por Seção'!K97))/($H$36/100^2))+(IF(Geometria!$G$283&lt;Geometria!$J$1030/100,Tensões!W16,IF(Tensões!H16="Sim",'Isolamento de cabos'!$C$59,'Perdas por Seção'!K98))/($H$40/100^3))-(($G$534)/($H$40/100^3))-(($G$545)/($I$37/100^4))*((($H$30+$H$33-$I$24)-$H$33)/100)</f>
        <v>-6847.7930330893523</v>
      </c>
      <c r="J649" s="231" t="s">
        <v>63</v>
      </c>
      <c r="K649" s="354">
        <f t="shared" ca="1" si="34"/>
        <v>-6.8477930330893519</v>
      </c>
      <c r="L649" s="231" t="s">
        <v>60</v>
      </c>
      <c r="M649" s="144">
        <f t="shared" si="35"/>
        <v>0</v>
      </c>
    </row>
    <row r="650" spans="8:13" x14ac:dyDescent="0.25">
      <c r="H650" s="115" t="s">
        <v>178</v>
      </c>
      <c r="I650" s="351">
        <f ca="1">-(IF(Geometria!$H$283&lt;Geometria!$J$1030/100,Tensões!V17,IF(Tensões!H17="Sim",'Isolamento de cabos'!$C$58,'Perdas por Seção'!L97))/($H$36/100^2))+(IF(Geometria!$H$283&lt;Geometria!$J$1030/100,Tensões!W17,IF(Tensões!H17="Sim",'Isolamento de cabos'!$C$59,'Perdas por Seção'!L98))/($H$40/100^3))-(($H$534)/($H$40/100^3))-(($H$545)/($I$37/100^4))*((($H$30+$H$33-$I$24)-$H$33)/100)</f>
        <v>-7129.361113949406</v>
      </c>
      <c r="J650" s="231" t="s">
        <v>63</v>
      </c>
      <c r="K650" s="354">
        <f t="shared" ca="1" si="34"/>
        <v>-7.1293611139494057</v>
      </c>
      <c r="L650" s="231" t="s">
        <v>60</v>
      </c>
      <c r="M650" s="144">
        <f t="shared" si="35"/>
        <v>0</v>
      </c>
    </row>
    <row r="651" spans="8:13" x14ac:dyDescent="0.25">
      <c r="H651" s="115" t="s">
        <v>179</v>
      </c>
      <c r="I651" s="351">
        <f ca="1">-(IF(Geometria!$I$283&lt;Geometria!$J$1030/100,Tensões!V18,IF(Tensões!H18="Sim",'Isolamento de cabos'!$C$58,'Perdas por Seção'!M97))/($H$36/100^2))+(IF(Geometria!$I$283&lt;Geometria!$J$1030/100,Tensões!W18,IF(Tensões!H18="Sim",'Isolamento de cabos'!$C$59,'Perdas por Seção'!M98))/($H$40/100^3))-(($I$534)/($H$40/100^3))-(($I$545)/($I$37/100^4))*((($H$30+$H$33-$I$24)-$H$33)/100)</f>
        <v>-7223.2174526023664</v>
      </c>
      <c r="J651" s="231" t="s">
        <v>63</v>
      </c>
      <c r="K651" s="354">
        <f t="shared" ca="1" si="34"/>
        <v>-7.2232174526023663</v>
      </c>
      <c r="L651" s="231" t="s">
        <v>60</v>
      </c>
      <c r="M651" s="144">
        <f t="shared" si="35"/>
        <v>0</v>
      </c>
    </row>
    <row r="652" spans="8:13" x14ac:dyDescent="0.25">
      <c r="H652" s="115" t="s">
        <v>359</v>
      </c>
      <c r="I652" s="351">
        <f ca="1">-(IF(Geometria!$H$283&lt;Geometria!$J$1030/100,Tensões!V19,IF(Tensões!H19="Sim",'Isolamento de cabos'!$C$58,'Perdas por Seção'!N97))/($H$36/100^2))+(IF(Geometria!$H$283&lt;Geometria!$J$1030/100,Tensões!W19,IF(Tensões!H19="Sim",'Isolamento de cabos'!$C$59,'Perdas por Seção'!N98))/($H$40/100^3))-(($J$534)/($H$40/100^3))-(($J$545)/($I$37/100^4))*((($H$30+$H$33-$I$24)-$H$33)/100)</f>
        <v>-7129.361113949406</v>
      </c>
      <c r="J652" s="231" t="s">
        <v>63</v>
      </c>
      <c r="K652" s="354">
        <f t="shared" ref="K652:K661" ca="1" si="36">I652/1000</f>
        <v>-7.1293611139494057</v>
      </c>
      <c r="L652" s="231" t="s">
        <v>60</v>
      </c>
      <c r="M652" s="144">
        <f t="shared" si="35"/>
        <v>0</v>
      </c>
    </row>
    <row r="653" spans="8:13" x14ac:dyDescent="0.25">
      <c r="H653" s="115" t="s">
        <v>360</v>
      </c>
      <c r="I653" s="351">
        <f ca="1">-(IF(Geometria!$G$283&lt;Geometria!$J$1030/100,Tensões!V20,IF(Tensões!H20="Sim",'Isolamento de cabos'!$C$58,'Perdas por Seção'!O97))/($H$36/100^2))+(IF(Geometria!$G$283&lt;Geometria!$J$1030/100,Tensões!W20,IF(Tensões!H20="Sim",'Isolamento de cabos'!$C$59,'Perdas por Seção'!O98))/($H$40/100^3))-(($K$534)/($H$40/100^3))-(($K$545)/($I$37/100^4))*((($H$30+$H$33-$I$24)-$H$33)/100)</f>
        <v>-6847.7930330893523</v>
      </c>
      <c r="J653" s="231" t="s">
        <v>63</v>
      </c>
      <c r="K653" s="354">
        <f t="shared" ca="1" si="36"/>
        <v>-6.8477930330893519</v>
      </c>
      <c r="L653" s="231" t="s">
        <v>60</v>
      </c>
      <c r="M653" s="144">
        <f t="shared" si="35"/>
        <v>0</v>
      </c>
    </row>
    <row r="654" spans="8:13" x14ac:dyDescent="0.25">
      <c r="H654" s="115" t="s">
        <v>361</v>
      </c>
      <c r="I654" s="351">
        <f ca="1">-(IF(Geometria!$N$280&lt;Geometria!$J$1030/100,Tensões!V21,IF(Tensões!H21="Sim",'Isolamento de cabos'!$C$58,'Perdas por Seção'!P97))/($H$36/100^2))+(IF(Geometria!$N$280&lt;Geometria!$J$1030/100,Tensões!W21,IF(Tensões!H21="Sim",'Isolamento de cabos'!$C$59,'Perdas por Seção'!P98))/($H$40/100^3))-(($L$534)/($H$40/100^3))-(($L$545)/($I$37/100^4))*((($H$30+$H$33-$I$24)-$H$33)/100)</f>
        <v>-6378.5160157176224</v>
      </c>
      <c r="J654" s="231" t="s">
        <v>63</v>
      </c>
      <c r="K654" s="354">
        <f t="shared" ca="1" si="36"/>
        <v>-6.3785160157176222</v>
      </c>
      <c r="L654" s="231" t="s">
        <v>60</v>
      </c>
      <c r="M654" s="144">
        <f t="shared" si="35"/>
        <v>0</v>
      </c>
    </row>
    <row r="655" spans="8:13" x14ac:dyDescent="0.25">
      <c r="H655" s="115" t="s">
        <v>362</v>
      </c>
      <c r="I655" s="351">
        <f ca="1">-(IF(Geometria!$M$280&lt;Geometria!$J$1030/100,Tensões!V22,IF(Tensões!H22="Sim",'Isolamento de cabos'!$C$58,'Perdas por Seção'!Q97))/($H$36/100^2))+(IF(Geometria!$M$280&lt;Geometria!$J$1030/100,Tensões!W22,IF(Tensões!H22="Sim",'Isolamento de cabos'!$C$59,'Perdas por Seção'!Q98))/($H$40/100^3))-(($M$534)/($H$40/100^3))-(($M$545)/($I$37/100^4))*((($H$30+$H$33-$I$24)-$H$33)/100)</f>
        <v>-5721.5347393235916</v>
      </c>
      <c r="J655" s="231" t="s">
        <v>63</v>
      </c>
      <c r="K655" s="354">
        <f t="shared" ca="1" si="36"/>
        <v>-5.7215347393235918</v>
      </c>
      <c r="L655" s="231" t="s">
        <v>60</v>
      </c>
      <c r="M655" s="144">
        <f t="shared" si="35"/>
        <v>0</v>
      </c>
    </row>
    <row r="656" spans="8:13" x14ac:dyDescent="0.25">
      <c r="H656" s="115" t="s">
        <v>363</v>
      </c>
      <c r="I656" s="351">
        <f ca="1">-(IF(Geometria!$L$280&lt;Geometria!$J$1030/100,Tensões!V23,IF(Tensões!H23="Sim",'Isolamento de cabos'!$C$58,'Perdas por Seção'!R97))/($H$36/100^2))+(IF(Geometria!$L$280&lt;Geometria!$J$1030/100,Tensões!W23,IF(Tensões!H23="Sim",'Isolamento de cabos'!$C$59,'Perdas por Seção'!R98))/($H$40/100^3))-(($N$534)/($H$40/100^3))-(($N$545)/($I$37/100^4))*((($H$30+$H$33-$I$24)-$H$33)/100)</f>
        <v>-4876.8557551878339</v>
      </c>
      <c r="J656" s="231" t="s">
        <v>63</v>
      </c>
      <c r="K656" s="354">
        <f t="shared" ca="1" si="36"/>
        <v>-4.876855755187834</v>
      </c>
      <c r="L656" s="231" t="s">
        <v>60</v>
      </c>
      <c r="M656" s="144">
        <f t="shared" si="35"/>
        <v>0</v>
      </c>
    </row>
    <row r="657" spans="8:13" x14ac:dyDescent="0.25">
      <c r="H657" s="115" t="s">
        <v>364</v>
      </c>
      <c r="I657" s="351">
        <f ca="1">-(IF(Geometria!$K$280&lt;Geometria!$J$1030/100,Tensões!V24,IF(Tensões!H24="Sim",'Isolamento de cabos'!$C$58,'Perdas por Seção'!S97))/($H$36/100^2))+(IF(Geometria!$K$280&lt;Geometria!$J$1030/100,Tensões!W24,IF(Tensões!H24="Sim",'Isolamento de cabos'!$C$59,'Perdas por Seção'!S98))/($H$40/100^3))-(($G$537)/($H$40/100^3))-(($G$548)/($I$37/100^4))*((($H$30+$H$33-$I$24)-$H$33)/100)</f>
        <v>-3844.4874911819161</v>
      </c>
      <c r="J657" s="231" t="s">
        <v>63</v>
      </c>
      <c r="K657" s="354">
        <f t="shared" ca="1" si="36"/>
        <v>-3.844487491181916</v>
      </c>
      <c r="L657" s="231" t="s">
        <v>60</v>
      </c>
      <c r="M657" s="144">
        <f t="shared" si="35"/>
        <v>0</v>
      </c>
    </row>
    <row r="658" spans="8:13" x14ac:dyDescent="0.25">
      <c r="H658" s="115" t="s">
        <v>365</v>
      </c>
      <c r="I658" s="351">
        <f ca="1">-(IF(Geometria!$J$280&lt;Geometria!$J$1030/100,Tensões!V25,IF(Tensões!H25="Sim",'Isolamento de cabos'!$C$58,'Perdas por Seção'!T97))/($H$36/100^2))+(IF(Geometria!$J$280&lt;Geometria!$J$1030/100,Tensões!W25,IF(Tensões!H25="Sim",'Isolamento de cabos'!$C$59,'Perdas por Seção'!T98))/($H$40/100^3))-(($H$537)/($H$40/100^3))-(($H$548)/($I$37/100^4))*((($H$30+$H$33-$I$24)-$H$33)/100)</f>
        <v>-2624.4402553742557</v>
      </c>
      <c r="J658" s="231" t="s">
        <v>63</v>
      </c>
      <c r="K658" s="354">
        <f t="shared" ca="1" si="36"/>
        <v>-2.6244402553742558</v>
      </c>
      <c r="L658" s="231" t="s">
        <v>60</v>
      </c>
      <c r="M658" s="144">
        <f t="shared" si="35"/>
        <v>0</v>
      </c>
    </row>
    <row r="659" spans="8:13" x14ac:dyDescent="0.25">
      <c r="H659" s="115" t="s">
        <v>366</v>
      </c>
      <c r="I659" s="351">
        <f ca="1">-(IF(Geometria!$I$280&lt;Geometria!$J$1030/100,Tensões!V26,IF(Tensões!H26="Sim",'Isolamento de cabos'!$C$58,'Perdas por Seção'!U97))/($H$36/100^2))+(IF(Geometria!$I$280&lt;Geometria!$J$1030/100,Tensões!W26,IF(Tensões!H26="Sim",'Isolamento de cabos'!$C$59,'Perdas por Seção'!U98))/($H$40/100^3))-(($I$537)/($H$40/100^3))-(($I$548)/($I$37/100^4))*((($H$30+$H$33-$I$24)-$H$33)/100)</f>
        <v>-1216.7262404466323</v>
      </c>
      <c r="J659" s="231" t="s">
        <v>63</v>
      </c>
      <c r="K659" s="354">
        <f t="shared" ca="1" si="36"/>
        <v>-1.2167262404466324</v>
      </c>
      <c r="L659" s="231" t="s">
        <v>60</v>
      </c>
      <c r="M659" s="144">
        <f t="shared" si="35"/>
        <v>0</v>
      </c>
    </row>
    <row r="660" spans="8:13" ht="15.75" thickBot="1" x14ac:dyDescent="0.3">
      <c r="H660" s="115" t="s">
        <v>367</v>
      </c>
      <c r="I660" s="352">
        <f ca="1">-(IF(Geometria!$H$280&lt;Geometria!$J$1030/100,Tensões!V27,IF(Tensões!H27="Sim",'Isolamento de cabos'!$C$58,'Perdas por Seção'!V97))/($H$36/100^2))+(IF(Geometria!$H$280&lt;Geometria!$J$1030/100,Tensões!W27,IF(Tensões!H27="Sim",'Isolamento de cabos'!$C$59,'Perdas por Seção'!V98))/($H$40/100^3))-(($J$537)/($H$40/100^3))-(($J$548)/($I$37/100^4))*((($H$30+$H$33-$I$24)-$H$33)/100)</f>
        <v>378.64047107288934</v>
      </c>
      <c r="J660" s="231" t="s">
        <v>63</v>
      </c>
      <c r="K660" s="355">
        <f t="shared" ca="1" si="36"/>
        <v>0.37864047107288934</v>
      </c>
      <c r="L660" s="231" t="s">
        <v>60</v>
      </c>
      <c r="M660" s="144">
        <f>M659</f>
        <v>0</v>
      </c>
    </row>
    <row r="661" spans="8:13" x14ac:dyDescent="0.25">
      <c r="H661" s="133" t="s">
        <v>368</v>
      </c>
      <c r="I661" s="191">
        <v>0</v>
      </c>
      <c r="J661" s="275" t="s">
        <v>63</v>
      </c>
      <c r="K661" s="193">
        <f t="shared" si="36"/>
        <v>0</v>
      </c>
      <c r="L661" s="275" t="s">
        <v>60</v>
      </c>
      <c r="M661" s="191">
        <v>0</v>
      </c>
    </row>
    <row r="662" spans="8:13" x14ac:dyDescent="0.25">
      <c r="K662" s="144"/>
      <c r="L662" s="144"/>
      <c r="M662" s="144"/>
    </row>
    <row r="663" spans="8:13" x14ac:dyDescent="0.25">
      <c r="K663" s="144"/>
      <c r="L663" s="144"/>
      <c r="M663" s="144"/>
    </row>
    <row r="664" spans="8:13" x14ac:dyDescent="0.25">
      <c r="H664" s="638" t="s">
        <v>198</v>
      </c>
      <c r="I664" s="638"/>
      <c r="J664" s="638"/>
      <c r="K664" s="638"/>
      <c r="L664" s="638"/>
      <c r="M664" s="117" t="s">
        <v>180</v>
      </c>
    </row>
    <row r="665" spans="8:13" ht="15.75" thickBot="1" x14ac:dyDescent="0.3">
      <c r="H665" s="115" t="s">
        <v>169</v>
      </c>
      <c r="I665" s="144">
        <v>0</v>
      </c>
      <c r="J665" s="231" t="s">
        <v>63</v>
      </c>
      <c r="K665" s="142">
        <f>I665/1000</f>
        <v>0</v>
      </c>
      <c r="L665" s="231" t="s">
        <v>60</v>
      </c>
      <c r="M665" s="142">
        <f>H732</f>
        <v>-35</v>
      </c>
    </row>
    <row r="666" spans="8:13" x14ac:dyDescent="0.25">
      <c r="H666" s="115" t="s">
        <v>170</v>
      </c>
      <c r="I666" s="350">
        <f ca="1">-(IF(Geometria!$H$280&lt;Geometria!$J$1031/100,Tensões!V32,IF(Tensões!H32="Sim",'Isolamento de cabos'!$C$58,'Perdas por Seção'!D97))/($H$36/100^2))-(IF(Geometria!$H$280&lt;Geometria!$J$1031/100,Tensões!W32,IF(Tensões!H32="Sim",'Isolamento de cabos'!$C$59,'Perdas por Seção'!D98))/($H$41/100^3))+(($H$531)/($H$41/100^3))+(($H$542)/($I$41/100^3))</f>
        <v>-6438.2962298767852</v>
      </c>
      <c r="J666" s="231" t="s">
        <v>63</v>
      </c>
      <c r="K666" s="353">
        <f t="shared" ref="K666:K675" ca="1" si="37">I666/1000</f>
        <v>-6.4382962298767854</v>
      </c>
      <c r="L666" s="231" t="s">
        <v>60</v>
      </c>
      <c r="M666" s="142">
        <f>M665</f>
        <v>-35</v>
      </c>
    </row>
    <row r="667" spans="8:13" x14ac:dyDescent="0.25">
      <c r="H667" s="115" t="s">
        <v>171</v>
      </c>
      <c r="I667" s="351">
        <f ca="1">-(IF(Geometria!$I$280&lt;Geometria!$J$1031/100,Tensões!V33,IF(Tensões!H33="Sim",'Isolamento de cabos'!$C$58,'Perdas por Seção'!E97))/($H$36/100^2))-(IF(Geometria!$I$280&lt;Geometria!$J$1031/100,Tensões!W33,IF(Tensões!H33="Sim",'Isolamento de cabos'!$C$59,'Perdas por Seção'!E98))/($H$41/100^3))+(($I$531)/($H$41/100^3))+(($I$542)/($I$41/100^3))</f>
        <v>-7435.3117382077271</v>
      </c>
      <c r="J667" s="231" t="s">
        <v>63</v>
      </c>
      <c r="K667" s="354">
        <f t="shared" ca="1" si="37"/>
        <v>-7.4353117382077274</v>
      </c>
      <c r="L667" s="231" t="s">
        <v>60</v>
      </c>
      <c r="M667" s="142">
        <f t="shared" ref="M667:M675" si="38">M666</f>
        <v>-35</v>
      </c>
    </row>
    <row r="668" spans="8:13" x14ac:dyDescent="0.25">
      <c r="H668" s="115" t="s">
        <v>172</v>
      </c>
      <c r="I668" s="351">
        <f ca="1">-(IF(Geometria!$J$280&lt;Geometria!$J$1031/100,Tensões!V34,IF(Tensões!H34="Sim",'Isolamento de cabos'!$C$58,'Perdas por Seção'!F97))/($H$36/100^2))-(IF(Geometria!$J$280&lt;Geometria!$J$1031/100,Tensões!W34,IF(Tensões!H34="Sim",'Isolamento de cabos'!$C$59,'Perdas por Seção'!F98))/($H$41/100^3))+(($J$531)/($H$41/100^3))+(($J$542)/($I$41/100^3))</f>
        <v>-5946.8683101714632</v>
      </c>
      <c r="J668" s="231" t="s">
        <v>63</v>
      </c>
      <c r="K668" s="354">
        <f t="shared" ca="1" si="37"/>
        <v>-5.946868310171463</v>
      </c>
      <c r="L668" s="231" t="s">
        <v>60</v>
      </c>
      <c r="M668" s="142">
        <f t="shared" si="38"/>
        <v>-35</v>
      </c>
    </row>
    <row r="669" spans="8:13" x14ac:dyDescent="0.25">
      <c r="H669" s="115" t="s">
        <v>173</v>
      </c>
      <c r="I669" s="351">
        <f ca="1">-(IF(Geometria!$K$280&lt;Geometria!$J$1031/100,Tensões!V35,IF(Tensões!H35="Sim",'Isolamento de cabos'!$C$58,'Perdas por Seção'!G97))/($H$36/100^2))-(IF(Geometria!$K$280&lt;Geometria!$J$1031/100,Tensões!W35,IF(Tensões!H35="Sim",'Isolamento de cabos'!$C$59,'Perdas por Seção'!G98))/($H$41/100^3))+(($K$531)/($H$41/100^3))+(($K$542)/($I$41/100^3))</f>
        <v>-4656.7392798445098</v>
      </c>
      <c r="J669" s="231" t="s">
        <v>63</v>
      </c>
      <c r="K669" s="354">
        <f t="shared" ca="1" si="37"/>
        <v>-4.6567392798445102</v>
      </c>
      <c r="L669" s="231" t="s">
        <v>60</v>
      </c>
      <c r="M669" s="142">
        <f t="shared" si="38"/>
        <v>-35</v>
      </c>
    </row>
    <row r="670" spans="8:13" x14ac:dyDescent="0.25">
      <c r="H670" s="115" t="s">
        <v>174</v>
      </c>
      <c r="I670" s="351">
        <f ca="1">-(IF(Geometria!$L$280&lt;Geometria!$J$1031/100,Tensões!V36,IF(Tensões!H36="Sim",'Isolamento de cabos'!$C$58,'Perdas por Seção'!H97))/($H$36/100^2))-(IF(Geometria!$L$280&lt;Geometria!$J$1031/100,Tensões!W36,IF(Tensões!H36="Sim",'Isolamento de cabos'!$C$59,'Perdas por Seção'!H98))/($H$41/100^3))+(($L$531)/($H$41/100^3))+(($L$542)/($I$41/100^3))</f>
        <v>-3564.9867309781625</v>
      </c>
      <c r="J670" s="231" t="s">
        <v>63</v>
      </c>
      <c r="K670" s="354">
        <f t="shared" ca="1" si="37"/>
        <v>-3.5649867309781627</v>
      </c>
      <c r="L670" s="231" t="s">
        <v>60</v>
      </c>
      <c r="M670" s="142">
        <f t="shared" si="38"/>
        <v>-35</v>
      </c>
    </row>
    <row r="671" spans="8:13" x14ac:dyDescent="0.25">
      <c r="H671" s="115" t="s">
        <v>175</v>
      </c>
      <c r="I671" s="351">
        <f ca="1">-(IF(Geometria!$M$280&lt;Geometria!$J$1031/100,Tensões!V37,IF(Tensões!H37="Sim",'Isolamento de cabos'!$C$58,'Perdas por Seção'!I97))/($H$36/100^2))-(IF(Geometria!$M$280&lt;Geometria!$J$1031/100,Tensões!W37,IF(Tensões!H37="Sim",'Isolamento de cabos'!$C$59,'Perdas por Seção'!I98))/($H$41/100^3))+(($M$531)/($H$41/100^3))+(($M$542)/($I$41/100^3))</f>
        <v>-2671.6631510863499</v>
      </c>
      <c r="J671" s="231" t="s">
        <v>63</v>
      </c>
      <c r="K671" s="354">
        <f t="shared" ca="1" si="37"/>
        <v>-2.6716631510863498</v>
      </c>
      <c r="L671" s="231" t="s">
        <v>60</v>
      </c>
      <c r="M671" s="142">
        <f t="shared" si="38"/>
        <v>-35</v>
      </c>
    </row>
    <row r="672" spans="8:13" x14ac:dyDescent="0.25">
      <c r="H672" s="115" t="s">
        <v>176</v>
      </c>
      <c r="I672" s="351">
        <f ca="1">-(IF(Geometria!$N$280&lt;Geometria!$J$1031/100,Tensões!V38,IF(Tensões!H38="Sim",'Isolamento de cabos'!$C$58,'Perdas por Seção'!J97))/($H$36/100^2))-(IF(Geometria!$N$280&lt;Geometria!$J$1031/100,Tensões!W38,IF(Tensões!H38="Sim",'Isolamento de cabos'!$C$59,'Perdas por Seção'!J98))/($H$41/100^3))+(($N$531)/($H$41/100^3))+(($N$542)/($I$41/100^3))</f>
        <v>-1976.8114539342077</v>
      </c>
      <c r="J672" s="231" t="s">
        <v>63</v>
      </c>
      <c r="K672" s="354">
        <f t="shared" ca="1" si="37"/>
        <v>-1.9768114539342077</v>
      </c>
      <c r="L672" s="231" t="s">
        <v>60</v>
      </c>
      <c r="M672" s="142">
        <f t="shared" si="38"/>
        <v>-35</v>
      </c>
    </row>
    <row r="673" spans="8:22" x14ac:dyDescent="0.25">
      <c r="H673" s="115" t="s">
        <v>177</v>
      </c>
      <c r="I673" s="351">
        <f ca="1">-(IF(Geometria!$G$283&lt;Geometria!$J$1031/100,Tensões!V39,IF(Tensões!H39="Sim",'Isolamento de cabos'!$C$58,'Perdas por Seção'!K97))/($H$36/100^2))-(IF(Geometria!$G$283&lt;Geometria!$J$1031/100,Tensões!W39,IF(Tensões!H39="Sim",'Isolamento de cabos'!$C$59,'Perdas por Seção'!K98))/($H$41/100^3))+(($G$534)/($H$41/100^3))+(($G$545)/($I$41/100^3))</f>
        <v>-1480.4649978986095</v>
      </c>
      <c r="J673" s="231" t="s">
        <v>63</v>
      </c>
      <c r="K673" s="354">
        <f t="shared" ca="1" si="37"/>
        <v>-1.4804649978986095</v>
      </c>
      <c r="L673" s="231" t="s">
        <v>60</v>
      </c>
      <c r="M673" s="142">
        <f t="shared" si="38"/>
        <v>-35</v>
      </c>
    </row>
    <row r="674" spans="8:22" x14ac:dyDescent="0.25">
      <c r="H674" s="115" t="s">
        <v>178</v>
      </c>
      <c r="I674" s="351">
        <f ca="1">-(IF(Geometria!$H$283&lt;Geometria!$J$1031/100,Tensões!V40,IF(Tensões!H40="Sim",'Isolamento de cabos'!$C$58,'Perdas por Seção'!L97))/($H$36/100^2))-(IF(Geometria!$H$283&lt;Geometria!$J$1031/100,Tensões!W40,IF(Tensões!H40="Sim",'Isolamento de cabos'!$C$59,'Perdas por Seção'!L98))/($H$41/100^3))+(($H$534)/($H$41/100^3))+(($H$545)/($I$41/100^3))</f>
        <v>-1182.6476002243248</v>
      </c>
      <c r="J674" s="231" t="s">
        <v>63</v>
      </c>
      <c r="K674" s="354">
        <f t="shared" ca="1" si="37"/>
        <v>-1.1826476002243249</v>
      </c>
      <c r="L674" s="231" t="s">
        <v>60</v>
      </c>
      <c r="M674" s="142">
        <f t="shared" si="38"/>
        <v>-35</v>
      </c>
    </row>
    <row r="675" spans="8:22" x14ac:dyDescent="0.25">
      <c r="H675" s="115" t="s">
        <v>179</v>
      </c>
      <c r="I675" s="351">
        <f ca="1">-(IF(Geometria!$I$283&lt;Geometria!$J$1031/100,Tensões!V41,IF(Tensões!H41="Sim",'Isolamento de cabos'!$C$58,'Perdas por Seção'!M97))/($H$36/100^2))-(IF(Geometria!$I$283&lt;Geometria!$J$1031/100,Tensões!W41,IF(Tensões!H41="Sim",'Isolamento de cabos'!$C$59,'Perdas por Seção'!M98))/($H$41/100^3))+(($I$534)/($H$41/100^3))+(($I$545)/($I$41/100^3))</f>
        <v>-1083.3735471938803</v>
      </c>
      <c r="J675" s="231" t="s">
        <v>63</v>
      </c>
      <c r="K675" s="354">
        <f t="shared" ca="1" si="37"/>
        <v>-1.0833735471938803</v>
      </c>
      <c r="L675" s="231" t="s">
        <v>60</v>
      </c>
      <c r="M675" s="142">
        <f t="shared" si="38"/>
        <v>-35</v>
      </c>
    </row>
    <row r="676" spans="8:22" x14ac:dyDescent="0.25">
      <c r="H676" s="115" t="s">
        <v>359</v>
      </c>
      <c r="I676" s="351">
        <f ca="1">-(IF(Geometria!$H$283&lt;Geometria!$J$1031/100,Tensões!V42,IF(Tensões!H42="Sim",'Isolamento de cabos'!$C$58,'Perdas por Seção'!N97))/($H$36/100^2))-(IF(Geometria!$H$283&lt;Geometria!$J$1031/100,Tensões!W42,IF(Tensões!H42="Sim",'Isolamento de cabos'!$C$59,'Perdas por Seção'!N98))/($H$41/100^3))+(($J$534)/($H$41/100^3))+(($J$545)/($I$41/100^3))</f>
        <v>-1182.6476002243248</v>
      </c>
      <c r="J676" s="231" t="s">
        <v>63</v>
      </c>
      <c r="K676" s="354">
        <f t="shared" ref="K676:K685" ca="1" si="39">I676/1000</f>
        <v>-1.1826476002243249</v>
      </c>
      <c r="L676" s="231" t="s">
        <v>60</v>
      </c>
      <c r="M676" s="142">
        <f t="shared" ref="M676:M685" si="40">M675</f>
        <v>-35</v>
      </c>
    </row>
    <row r="677" spans="8:22" x14ac:dyDescent="0.25">
      <c r="H677" s="115" t="s">
        <v>360</v>
      </c>
      <c r="I677" s="351">
        <f ca="1">-(IF(Geometria!$G$283&lt;Geometria!$J$1031/100,Tensões!V43,IF(Tensões!H43="Sim",'Isolamento de cabos'!$C$58,'Perdas por Seção'!O97))/($H$36/100^2))-(IF(Geometria!$G$283&lt;Geometria!$J$1031/100,Tensões!W43,IF(Tensões!H43="Sim",'Isolamento de cabos'!$C$59,'Perdas por Seção'!O98))/($H$41/100^3))+(($K$534)/($H$41/100^3))+(($K$545)/($I$41/100^3))</f>
        <v>-1480.4649978986113</v>
      </c>
      <c r="J677" s="231" t="s">
        <v>63</v>
      </c>
      <c r="K677" s="354">
        <f t="shared" ca="1" si="39"/>
        <v>-1.4804649978986113</v>
      </c>
      <c r="L677" s="231" t="s">
        <v>60</v>
      </c>
      <c r="M677" s="142">
        <f t="shared" si="40"/>
        <v>-35</v>
      </c>
    </row>
    <row r="678" spans="8:22" x14ac:dyDescent="0.25">
      <c r="H678" s="115" t="s">
        <v>361</v>
      </c>
      <c r="I678" s="351">
        <f ca="1">-(IF(Geometria!$N$280&lt;Geometria!$J$1031/100,Tensões!V44,IF(Tensões!H44="Sim",'Isolamento de cabos'!$C$58,'Perdas por Seção'!P97))/($H$36/100^2))-(IF(Geometria!$N$280&lt;Geometria!$J$1031/100,Tensões!W44,IF(Tensões!H44="Sim",'Isolamento de cabos'!$C$59,'Perdas por Seção'!P98))/($H$41/100^3))+(($L$534)/($H$41/100^3))+(($L$545)/($I$41/100^3))</f>
        <v>-1976.8114539342073</v>
      </c>
      <c r="J678" s="231" t="s">
        <v>63</v>
      </c>
      <c r="K678" s="354">
        <f t="shared" ca="1" si="39"/>
        <v>-1.9768114539342072</v>
      </c>
      <c r="L678" s="231" t="s">
        <v>60</v>
      </c>
      <c r="M678" s="142">
        <f t="shared" si="40"/>
        <v>-35</v>
      </c>
    </row>
    <row r="679" spans="8:22" x14ac:dyDescent="0.25">
      <c r="H679" s="115" t="s">
        <v>362</v>
      </c>
      <c r="I679" s="351">
        <f ca="1">-(IF(Geometria!$M$280&lt;Geometria!$J$1031/100,Tensões!V45,IF(Tensões!H45="Sim",'Isolamento de cabos'!$C$58,'Perdas por Seção'!Q97))/($H$36/100^2))-(IF(Geometria!$M$280&lt;Geometria!$J$1031/100,Tensões!W45,IF(Tensões!H45="Sim",'Isolamento de cabos'!$C$59,'Perdas por Seção'!Q98))/($H$41/100^3))+(($M$534)/($H$41/100^3))+(($M$545)/($I$41/100^3))</f>
        <v>-2671.6631510863454</v>
      </c>
      <c r="J679" s="231" t="s">
        <v>63</v>
      </c>
      <c r="K679" s="354">
        <f t="shared" ca="1" si="39"/>
        <v>-2.6716631510863453</v>
      </c>
      <c r="L679" s="231" t="s">
        <v>60</v>
      </c>
      <c r="M679" s="142">
        <f t="shared" si="40"/>
        <v>-35</v>
      </c>
    </row>
    <row r="680" spans="8:22" x14ac:dyDescent="0.25">
      <c r="H680" s="115" t="s">
        <v>363</v>
      </c>
      <c r="I680" s="351">
        <f ca="1">-(IF(Geometria!$L$280&lt;Geometria!$J$1031/100,Tensões!V46,IF(Tensões!H46="Sim",'Isolamento de cabos'!$C$58,'Perdas por Seção'!R97))/($H$36/100^2))-(IF(Geometria!$L$280&lt;Geometria!$J$1031/100,Tensões!W46,IF(Tensões!H46="Sim",'Isolamento de cabos'!$C$59,'Perdas por Seção'!R98))/($H$41/100^3))+(($N$534)/($H$41/100^3))+(($N$545)/($I$41/100^3))</f>
        <v>-3564.986730978153</v>
      </c>
      <c r="J680" s="231" t="s">
        <v>63</v>
      </c>
      <c r="K680" s="354">
        <f t="shared" ca="1" si="39"/>
        <v>-3.5649867309781529</v>
      </c>
      <c r="L680" s="231" t="s">
        <v>60</v>
      </c>
      <c r="M680" s="142">
        <f t="shared" si="40"/>
        <v>-35</v>
      </c>
    </row>
    <row r="681" spans="8:22" x14ac:dyDescent="0.25">
      <c r="H681" s="115" t="s">
        <v>364</v>
      </c>
      <c r="I681" s="351">
        <f ca="1">-(IF(Geometria!$K$280&lt;Geometria!$J$1031/100,Tensões!V47,IF(Tensões!H47="Sim",'Isolamento de cabos'!$C$58,'Perdas por Seção'!S97))/($H$36/100^2))-(IF(Geometria!$K$280&lt;Geometria!$J$1031/100,Tensões!W47,IF(Tensões!H47="Sim",'Isolamento de cabos'!$C$59,'Perdas por Seção'!S98))/($H$41/100^3))+(($G$537)/($H$41/100^3))+(($G$548)/($I$41/100^3))</f>
        <v>-4656.7392798445026</v>
      </c>
      <c r="J681" s="231" t="s">
        <v>63</v>
      </c>
      <c r="K681" s="354">
        <f t="shared" ca="1" si="39"/>
        <v>-4.6567392798445022</v>
      </c>
      <c r="L681" s="231" t="s">
        <v>60</v>
      </c>
      <c r="M681" s="142">
        <f t="shared" si="40"/>
        <v>-35</v>
      </c>
    </row>
    <row r="682" spans="8:22" x14ac:dyDescent="0.25">
      <c r="H682" s="115" t="s">
        <v>365</v>
      </c>
      <c r="I682" s="351">
        <f ca="1">-(IF(Geometria!$J$280&lt;Geometria!$J$1031/100,Tensões!V48,IF(Tensões!H48="Sim",'Isolamento de cabos'!$C$58,'Perdas por Seção'!T97))/($H$36/100^2))-(IF(Geometria!$J$280&lt;Geometria!$J$1031/100,Tensões!W48,IF(Tensões!H48="Sim",'Isolamento de cabos'!$C$59,'Perdas por Seção'!T98))/($H$41/100^3))+(($H$537)/($H$41/100^3))+(($H$548)/($I$41/100^3))</f>
        <v>-5946.8683101714523</v>
      </c>
      <c r="J682" s="231" t="s">
        <v>63</v>
      </c>
      <c r="K682" s="354">
        <f t="shared" ca="1" si="39"/>
        <v>-5.9468683101714523</v>
      </c>
      <c r="L682" s="231" t="s">
        <v>60</v>
      </c>
      <c r="M682" s="142">
        <f t="shared" si="40"/>
        <v>-35</v>
      </c>
    </row>
    <row r="683" spans="8:22" x14ac:dyDescent="0.25">
      <c r="H683" s="115" t="s">
        <v>366</v>
      </c>
      <c r="I683" s="351">
        <f ca="1">-(IF(Geometria!$I$280&lt;Geometria!$J$1031/100,Tensões!V49,IF(Tensões!H49="Sim",'Isolamento de cabos'!$C$58,'Perdas por Seção'!U97))/($H$36/100^2))-(IF(Geometria!$I$280&lt;Geometria!$J$1031/100,Tensões!W49,IF(Tensões!H49="Sim",'Isolamento de cabos'!$C$59,'Perdas por Seção'!U98))/($H$41/100^3))+(($I$537)/($H$41/100^3))+(($I$548)/($I$41/100^3))</f>
        <v>-7435.3117382077144</v>
      </c>
      <c r="J683" s="231" t="s">
        <v>63</v>
      </c>
      <c r="K683" s="354">
        <f t="shared" ca="1" si="39"/>
        <v>-7.4353117382077141</v>
      </c>
      <c r="L683" s="231" t="s">
        <v>60</v>
      </c>
      <c r="M683" s="142">
        <f t="shared" si="40"/>
        <v>-35</v>
      </c>
    </row>
    <row r="684" spans="8:22" ht="15.75" thickBot="1" x14ac:dyDescent="0.3">
      <c r="H684" s="115" t="s">
        <v>367</v>
      </c>
      <c r="I684" s="352">
        <f ca="1">-(IF(Geometria!$H$280&lt;Geometria!$J$1031/100,Tensões!V50,IF(Tensões!H50="Sim",'Isolamento de cabos'!$C$58,'Perdas por Seção'!V97))/($H$36/100^2))-(IF(Geometria!$H$280&lt;Geometria!$J$1031/100,Tensões!W50,IF(Tensões!H50="Sim",'Isolamento de cabos'!$C$59,'Perdas por Seção'!V98))/($H$41/100^3))+(($J$537)/($H$41/100^3))+(($J$548)/($I$41/100^3))</f>
        <v>-6438.2962298767688</v>
      </c>
      <c r="J684" s="231" t="s">
        <v>63</v>
      </c>
      <c r="K684" s="355">
        <f t="shared" ca="1" si="39"/>
        <v>-6.4382962298767685</v>
      </c>
      <c r="L684" s="231" t="s">
        <v>60</v>
      </c>
      <c r="M684" s="142">
        <f t="shared" si="40"/>
        <v>-35</v>
      </c>
    </row>
    <row r="685" spans="8:22" x14ac:dyDescent="0.25">
      <c r="H685" s="133" t="s">
        <v>368</v>
      </c>
      <c r="I685" s="191">
        <v>0</v>
      </c>
      <c r="J685" s="275" t="s">
        <v>63</v>
      </c>
      <c r="K685" s="193">
        <f t="shared" si="39"/>
        <v>0</v>
      </c>
      <c r="L685" s="275" t="s">
        <v>60</v>
      </c>
      <c r="M685" s="193">
        <f t="shared" si="40"/>
        <v>-35</v>
      </c>
    </row>
    <row r="686" spans="8:22" x14ac:dyDescent="0.25">
      <c r="J686" s="231"/>
    </row>
    <row r="687" spans="8:22" x14ac:dyDescent="0.25">
      <c r="M687" s="144"/>
      <c r="N687" s="144"/>
      <c r="O687" s="144"/>
      <c r="P687" s="144"/>
      <c r="Q687" s="144"/>
    </row>
    <row r="688" spans="8:22" x14ac:dyDescent="0.25">
      <c r="M688" s="144"/>
      <c r="N688" s="144"/>
      <c r="O688" s="144"/>
      <c r="P688" s="144"/>
      <c r="Q688" s="144"/>
      <c r="S688" s="119"/>
      <c r="U688" s="119"/>
      <c r="V688" s="115" t="s">
        <v>60</v>
      </c>
    </row>
    <row r="689" spans="8:22" x14ac:dyDescent="0.25">
      <c r="M689" s="144"/>
      <c r="N689" s="144"/>
      <c r="O689" s="144"/>
      <c r="P689" s="144"/>
      <c r="Q689" s="144"/>
      <c r="S689" s="144"/>
      <c r="U689" s="142"/>
      <c r="V689" s="115" t="s">
        <v>60</v>
      </c>
    </row>
    <row r="690" spans="8:22" x14ac:dyDescent="0.25">
      <c r="M690" s="144"/>
      <c r="N690" s="144"/>
      <c r="O690" s="144"/>
      <c r="P690" s="144"/>
      <c r="Q690" s="144"/>
    </row>
    <row r="691" spans="8:22" x14ac:dyDescent="0.25">
      <c r="L691" s="144"/>
      <c r="M691" s="144"/>
      <c r="N691" s="144"/>
      <c r="O691" s="144"/>
      <c r="P691" s="144"/>
      <c r="Q691" s="144"/>
    </row>
    <row r="692" spans="8:22" x14ac:dyDescent="0.25">
      <c r="L692" s="144"/>
      <c r="M692" s="144"/>
      <c r="N692" s="144"/>
      <c r="O692" s="144"/>
      <c r="P692" s="144"/>
      <c r="Q692" s="144"/>
    </row>
    <row r="693" spans="8:22" x14ac:dyDescent="0.25">
      <c r="L693" s="144"/>
      <c r="M693" s="144"/>
      <c r="N693" s="144"/>
      <c r="O693" s="144"/>
      <c r="P693" s="144"/>
      <c r="Q693" s="144"/>
    </row>
    <row r="694" spans="8:22" x14ac:dyDescent="0.25">
      <c r="L694" s="144"/>
      <c r="M694" s="144"/>
      <c r="N694" s="144"/>
      <c r="O694" s="144"/>
      <c r="P694" s="144"/>
      <c r="Q694" s="144"/>
    </row>
    <row r="695" spans="8:22" x14ac:dyDescent="0.25">
      <c r="L695" s="144"/>
      <c r="M695" s="144"/>
      <c r="N695" s="144"/>
      <c r="O695" s="144"/>
      <c r="P695" s="144"/>
      <c r="Q695" s="144"/>
    </row>
    <row r="696" spans="8:22" x14ac:dyDescent="0.25">
      <c r="L696" s="144"/>
      <c r="M696" s="144"/>
      <c r="N696" s="144"/>
      <c r="O696" s="144"/>
      <c r="P696" s="144"/>
      <c r="Q696" s="144"/>
    </row>
    <row r="697" spans="8:22" x14ac:dyDescent="0.25">
      <c r="H697" s="144"/>
      <c r="J697" s="144"/>
      <c r="K697" s="144"/>
      <c r="L697" s="144"/>
      <c r="M697" s="144"/>
      <c r="N697" s="144"/>
      <c r="O697" s="144"/>
      <c r="P697" s="144"/>
      <c r="Q697" s="144"/>
    </row>
    <row r="698" spans="8:22" x14ac:dyDescent="0.25">
      <c r="M698" s="144"/>
      <c r="N698" s="144"/>
      <c r="O698" s="144"/>
      <c r="P698" s="144"/>
      <c r="Q698" s="144"/>
    </row>
    <row r="699" spans="8:22" x14ac:dyDescent="0.25">
      <c r="M699" s="144"/>
      <c r="N699" s="144"/>
      <c r="O699" s="144"/>
      <c r="P699" s="144"/>
      <c r="Q699" s="144"/>
    </row>
    <row r="700" spans="8:22" x14ac:dyDescent="0.25">
      <c r="M700" s="144"/>
      <c r="N700" s="144"/>
      <c r="O700" s="144"/>
      <c r="P700" s="144"/>
      <c r="Q700" s="144"/>
    </row>
    <row r="701" spans="8:22" x14ac:dyDescent="0.25">
      <c r="M701" s="144"/>
      <c r="N701" s="144"/>
      <c r="O701" s="144"/>
      <c r="P701" s="144"/>
      <c r="Q701" s="144"/>
    </row>
    <row r="702" spans="8:22" x14ac:dyDescent="0.25">
      <c r="M702" s="144"/>
      <c r="N702" s="144"/>
      <c r="O702" s="144"/>
      <c r="P702" s="144"/>
      <c r="Q702" s="144"/>
    </row>
    <row r="703" spans="8:22" x14ac:dyDescent="0.25">
      <c r="M703" s="144"/>
      <c r="N703" s="144"/>
      <c r="O703" s="144"/>
      <c r="P703" s="144"/>
      <c r="Q703" s="144"/>
    </row>
    <row r="704" spans="8:22" x14ac:dyDescent="0.25">
      <c r="M704" s="144"/>
      <c r="N704" s="144"/>
      <c r="O704" s="144"/>
      <c r="P704" s="144"/>
      <c r="Q704" s="144"/>
    </row>
    <row r="705" spans="9:17" x14ac:dyDescent="0.25">
      <c r="M705" s="144"/>
      <c r="N705" s="144"/>
      <c r="O705" s="144"/>
      <c r="P705" s="144"/>
      <c r="Q705" s="144"/>
    </row>
    <row r="706" spans="9:17" x14ac:dyDescent="0.25">
      <c r="M706" s="144"/>
      <c r="N706" s="144"/>
    </row>
    <row r="707" spans="9:17" x14ac:dyDescent="0.25">
      <c r="M707" s="144"/>
    </row>
    <row r="708" spans="9:17" x14ac:dyDescent="0.25">
      <c r="M708" s="144"/>
    </row>
    <row r="709" spans="9:17" x14ac:dyDescent="0.25">
      <c r="M709" s="144"/>
    </row>
    <row r="710" spans="9:17" x14ac:dyDescent="0.25">
      <c r="M710" s="144"/>
    </row>
    <row r="711" spans="9:17" x14ac:dyDescent="0.25">
      <c r="M711" s="144"/>
    </row>
    <row r="713" spans="9:17" hidden="1" x14ac:dyDescent="0.25">
      <c r="I713" s="670" t="s">
        <v>149</v>
      </c>
      <c r="J713" s="670"/>
      <c r="K713" s="670"/>
      <c r="L713" s="670"/>
    </row>
    <row r="714" spans="9:17" hidden="1" x14ac:dyDescent="0.25">
      <c r="I714" s="115" t="s">
        <v>182</v>
      </c>
    </row>
    <row r="715" spans="9:17" hidden="1" x14ac:dyDescent="0.25">
      <c r="I715" s="209" t="s">
        <v>183</v>
      </c>
      <c r="J715" s="246">
        <f ca="1">((ABS(MAX($I$591:$I$611)))/((ABS(MAX($I$591:$I$611)))+(ABS(MIN($I$568:$I$588))))*(IF($I$16="1 - Retângular",$H$23/100,(#REF!+#REF!+#REF!+#REF!+#REF!)/100)))</f>
        <v>1.8282664687644085E-2</v>
      </c>
      <c r="K715" s="231" t="s">
        <v>83</v>
      </c>
      <c r="N715" s="201"/>
    </row>
    <row r="716" spans="9:17" hidden="1" x14ac:dyDescent="0.25">
      <c r="I716" s="209" t="s">
        <v>184</v>
      </c>
      <c r="J716" s="245">
        <f ca="1">(ABS(MAX($I$754:$I$774)))*(IF($I$16="1 - Retângular",$H$22/100,(#REF!/100))*J715/2)</f>
        <v>20.120587277144931</v>
      </c>
      <c r="K716" s="231" t="s">
        <v>96</v>
      </c>
      <c r="L716" s="656" t="str">
        <f>IF($I$16="1 - Retângular","Ok",IF((#REF!/100)&lt;J715,"OBS: Valor da linha neutra é MAIOR que hf1 - armadura ativa necessita verificação","Ok"))</f>
        <v>Ok</v>
      </c>
      <c r="M716" s="656"/>
      <c r="N716" s="656"/>
    </row>
    <row r="717" spans="9:17" hidden="1" x14ac:dyDescent="0.25">
      <c r="I717" s="255" t="s">
        <v>185</v>
      </c>
      <c r="J717" s="237">
        <f ca="1">J716/((250/1.15)/10)</f>
        <v>0.92554701474866685</v>
      </c>
      <c r="K717" s="231" t="s">
        <v>14</v>
      </c>
      <c r="L717" s="656"/>
      <c r="M717" s="656"/>
      <c r="N717" s="656"/>
    </row>
    <row r="718" spans="9:17" hidden="1" x14ac:dyDescent="0.25">
      <c r="J718" s="121"/>
      <c r="K718" s="231"/>
      <c r="L718" s="656"/>
      <c r="M718" s="656"/>
      <c r="N718" s="656"/>
    </row>
    <row r="719" spans="9:17" hidden="1" x14ac:dyDescent="0.25">
      <c r="I719" s="117">
        <f ca="1">ROUNDUP(J717/VLOOKUP(K719,$M$836:$N$843,2),0)</f>
        <v>1</v>
      </c>
      <c r="J719" s="117" t="s">
        <v>186</v>
      </c>
      <c r="K719" s="207">
        <v>12.5</v>
      </c>
      <c r="L719" s="282" t="s">
        <v>187</v>
      </c>
    </row>
    <row r="720" spans="9:17" hidden="1" x14ac:dyDescent="0.25"/>
    <row r="721" spans="7:17" hidden="1" x14ac:dyDescent="0.25"/>
    <row r="722" spans="7:17" hidden="1" x14ac:dyDescent="0.25">
      <c r="I722" s="670" t="s">
        <v>155</v>
      </c>
      <c r="J722" s="670"/>
      <c r="K722" s="670"/>
      <c r="L722" s="670"/>
    </row>
    <row r="723" spans="7:17" hidden="1" x14ac:dyDescent="0.25">
      <c r="I723" s="115" t="s">
        <v>182</v>
      </c>
    </row>
    <row r="724" spans="7:17" hidden="1" x14ac:dyDescent="0.25">
      <c r="I724" s="209" t="s">
        <v>183</v>
      </c>
      <c r="J724" s="246">
        <f ca="1">((ABS(MAX($I$665:$I$685)))/((ABS(MAX($I$665:$I$685)))+(ABS(MIN($I$641:$I$661))))*(IF($I$16="1 - Retângular",$H$23/100,(#REF!+#REF!+#REF!+#REF!+#REF!)/100)))</f>
        <v>0</v>
      </c>
      <c r="K724" s="231" t="s">
        <v>83</v>
      </c>
      <c r="N724" s="201"/>
    </row>
    <row r="725" spans="7:17" hidden="1" x14ac:dyDescent="0.25">
      <c r="I725" s="209" t="s">
        <v>184</v>
      </c>
      <c r="J725" s="245">
        <f ca="1">(ABS(MAX($I$754:$I$774)))*(IF($I$16="1 - Retângular",$H$22/100,(#REF!/100))*J724/2)</f>
        <v>0</v>
      </c>
      <c r="K725" s="231" t="s">
        <v>96</v>
      </c>
      <c r="L725" s="656" t="str">
        <f>IF($I$16="1 - Retângular","Ok",IF((#REF!/100)&lt;J724,"OBS: Valor da linha neutra é MAIOR que hf1 - armadura ativa necessita verificação","Ok"))</f>
        <v>Ok</v>
      </c>
      <c r="M725" s="656"/>
      <c r="N725" s="656"/>
    </row>
    <row r="726" spans="7:17" hidden="1" x14ac:dyDescent="0.25">
      <c r="I726" s="255" t="s">
        <v>185</v>
      </c>
      <c r="J726" s="237">
        <f ca="1">J725/((250/1.15)/10)</f>
        <v>0</v>
      </c>
      <c r="K726" s="231" t="s">
        <v>14</v>
      </c>
      <c r="L726" s="656"/>
      <c r="M726" s="656"/>
      <c r="N726" s="656"/>
    </row>
    <row r="727" spans="7:17" hidden="1" x14ac:dyDescent="0.25">
      <c r="J727" s="121"/>
      <c r="L727" s="656"/>
      <c r="M727" s="656"/>
      <c r="N727" s="656"/>
    </row>
    <row r="728" spans="7:17" hidden="1" x14ac:dyDescent="0.25">
      <c r="I728" s="117">
        <f ca="1">ROUNDUP(J726/VLOOKUP(K728,$M$836:$N$843,2),0)</f>
        <v>0</v>
      </c>
      <c r="J728" s="117" t="s">
        <v>186</v>
      </c>
      <c r="K728" s="207">
        <v>16</v>
      </c>
      <c r="L728" s="282" t="s">
        <v>187</v>
      </c>
      <c r="O728" s="144"/>
      <c r="P728" s="144"/>
      <c r="Q728" s="144"/>
    </row>
    <row r="729" spans="7:17" hidden="1" x14ac:dyDescent="0.25">
      <c r="I729" s="119"/>
      <c r="J729" s="119"/>
      <c r="O729" s="144"/>
      <c r="P729" s="144"/>
      <c r="Q729" s="144"/>
    </row>
    <row r="730" spans="7:17" hidden="1" x14ac:dyDescent="0.25">
      <c r="G730" s="643" t="s">
        <v>166</v>
      </c>
      <c r="H730" s="643"/>
      <c r="I730" s="643"/>
      <c r="L730" s="144"/>
      <c r="M730" s="144"/>
      <c r="N730" s="144"/>
      <c r="O730" s="144"/>
      <c r="P730" s="144"/>
      <c r="Q730" s="144"/>
    </row>
    <row r="731" spans="7:17" hidden="1" x14ac:dyDescent="0.25">
      <c r="G731" s="644" t="s">
        <v>146</v>
      </c>
      <c r="H731" s="240">
        <f>0.7*H58*-1000</f>
        <v>-35000</v>
      </c>
      <c r="I731" s="231" t="s">
        <v>63</v>
      </c>
      <c r="L731" s="144"/>
      <c r="M731" s="144"/>
      <c r="N731" s="144"/>
      <c r="O731" s="144"/>
      <c r="P731" s="144"/>
      <c r="Q731" s="144"/>
    </row>
    <row r="732" spans="7:17" hidden="1" x14ac:dyDescent="0.25">
      <c r="G732" s="644"/>
      <c r="H732" s="240">
        <f>H731/1000</f>
        <v>-35</v>
      </c>
      <c r="I732" s="231" t="s">
        <v>60</v>
      </c>
      <c r="L732" s="144"/>
      <c r="M732" s="144"/>
      <c r="N732" s="144"/>
      <c r="O732" s="144"/>
      <c r="P732" s="144"/>
      <c r="Q732" s="144"/>
    </row>
    <row r="733" spans="7:17" hidden="1" x14ac:dyDescent="0.25">
      <c r="G733" s="644" t="s">
        <v>145</v>
      </c>
      <c r="H733" s="239">
        <v>0</v>
      </c>
      <c r="I733" s="231" t="s">
        <v>63</v>
      </c>
      <c r="L733" s="144"/>
      <c r="M733" s="144"/>
      <c r="N733" s="144"/>
    </row>
    <row r="734" spans="7:17" hidden="1" x14ac:dyDescent="0.25">
      <c r="G734" s="644"/>
      <c r="H734" s="245">
        <f>H733/1000</f>
        <v>0</v>
      </c>
      <c r="I734" s="231" t="s">
        <v>60</v>
      </c>
      <c r="J734" s="142"/>
      <c r="L734" s="144"/>
      <c r="M734" s="144"/>
      <c r="N734" s="144"/>
    </row>
    <row r="735" spans="7:17" ht="15.75" hidden="1" customHeight="1" x14ac:dyDescent="0.25">
      <c r="H735" s="144"/>
      <c r="J735" s="144"/>
      <c r="K735" s="144"/>
      <c r="L735" s="144"/>
      <c r="M735" s="144"/>
      <c r="N735" s="144"/>
    </row>
    <row r="736" spans="7:17" ht="15.75" customHeight="1" x14ac:dyDescent="0.25">
      <c r="G736" s="635" t="s">
        <v>441</v>
      </c>
      <c r="H736" s="635"/>
      <c r="I736" s="635"/>
      <c r="J736" s="635"/>
      <c r="K736" s="635"/>
      <c r="L736" s="635"/>
      <c r="M736" s="635"/>
      <c r="N736" s="635"/>
    </row>
    <row r="737" spans="7:28" ht="15.75" customHeight="1" x14ac:dyDescent="0.25">
      <c r="H737" s="144"/>
      <c r="J737" s="144"/>
      <c r="K737" s="144"/>
      <c r="L737" s="144"/>
      <c r="M737" s="144"/>
      <c r="N737" s="144"/>
    </row>
    <row r="738" spans="7:28" ht="15.75" customHeight="1" x14ac:dyDescent="0.25">
      <c r="G738" s="645" t="s">
        <v>167</v>
      </c>
      <c r="H738" s="646"/>
      <c r="I738" s="646"/>
      <c r="J738" s="646"/>
      <c r="K738" s="646"/>
      <c r="L738" s="646"/>
      <c r="M738" s="646"/>
      <c r="N738" s="647"/>
    </row>
    <row r="739" spans="7:28" ht="15.75" customHeight="1" x14ac:dyDescent="0.25">
      <c r="G739" s="211" t="s">
        <v>443</v>
      </c>
      <c r="H739" s="211" t="s">
        <v>444</v>
      </c>
      <c r="I739" s="211" t="s">
        <v>445</v>
      </c>
      <c r="J739" s="211" t="s">
        <v>446</v>
      </c>
      <c r="K739" s="211" t="s">
        <v>447</v>
      </c>
      <c r="L739" s="211" t="s">
        <v>448</v>
      </c>
      <c r="M739" s="211" t="s">
        <v>449</v>
      </c>
      <c r="N739" s="211" t="s">
        <v>450</v>
      </c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</row>
    <row r="740" spans="7:28" ht="15.75" customHeight="1" x14ac:dyDescent="0.25">
      <c r="G740" s="119">
        <f>(($H$21/100)/20)-$H$740</f>
        <v>0</v>
      </c>
      <c r="H740" s="119">
        <f>($H$21/100)/20</f>
        <v>0.49099999999999999</v>
      </c>
      <c r="I740" s="119">
        <f>(($H$21/100)/20)+$H$740</f>
        <v>0.98199999999999998</v>
      </c>
      <c r="J740" s="119">
        <f>(($H$21/100)/20)+$I$740</f>
        <v>1.4729999999999999</v>
      </c>
      <c r="K740" s="119">
        <f>(($H$21/100)/20)+$J$740</f>
        <v>1.964</v>
      </c>
      <c r="L740" s="119">
        <f>(($H$21/100)/20)+$K$740</f>
        <v>2.4550000000000001</v>
      </c>
      <c r="M740" s="119">
        <f>(($H$21/100)/20)+$L$740</f>
        <v>2.9460000000000002</v>
      </c>
      <c r="N740" s="119">
        <f>(($H$21/100)/20)+$M$740</f>
        <v>3.4370000000000003</v>
      </c>
    </row>
    <row r="741" spans="7:28" ht="15.75" customHeight="1" x14ac:dyDescent="0.25">
      <c r="G741" s="144">
        <f t="shared" ref="G741:N741" ca="1" si="41">($I$73*($H$21/100)*G740/2)-($I$73*G740^2/2)</f>
        <v>0</v>
      </c>
      <c r="H741" s="144">
        <f t="shared" ca="1" si="41"/>
        <v>8.9256563754112204</v>
      </c>
      <c r="I741" s="144">
        <f t="shared" ca="1" si="41"/>
        <v>16.911769974463365</v>
      </c>
      <c r="J741" s="144">
        <f t="shared" ca="1" si="41"/>
        <v>23.958340797156431</v>
      </c>
      <c r="K741" s="144">
        <f t="shared" ca="1" si="41"/>
        <v>30.065368843490429</v>
      </c>
      <c r="L741" s="144">
        <f t="shared" ca="1" si="41"/>
        <v>35.232854113465351</v>
      </c>
      <c r="M741" s="144">
        <f t="shared" ca="1" si="41"/>
        <v>39.460796607081193</v>
      </c>
      <c r="N741" s="144">
        <f t="shared" ca="1" si="41"/>
        <v>42.749196324337944</v>
      </c>
    </row>
    <row r="742" spans="7:28" ht="15.75" customHeight="1" x14ac:dyDescent="0.25">
      <c r="G742" s="211" t="s">
        <v>451</v>
      </c>
      <c r="H742" s="211" t="s">
        <v>452</v>
      </c>
      <c r="I742" s="211" t="s">
        <v>453</v>
      </c>
      <c r="J742" s="211" t="s">
        <v>454</v>
      </c>
      <c r="K742" s="211" t="s">
        <v>455</v>
      </c>
      <c r="L742" s="211" t="s">
        <v>456</v>
      </c>
      <c r="M742" s="211" t="s">
        <v>457</v>
      </c>
      <c r="N742" s="212" t="s">
        <v>458</v>
      </c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 spans="7:28" ht="15.75" customHeight="1" x14ac:dyDescent="0.25">
      <c r="G743" s="119">
        <f>(($H$21/100)/20)+$N$740</f>
        <v>3.9280000000000004</v>
      </c>
      <c r="H743" s="119">
        <f>(($H$21/100)/20)+$G$743</f>
        <v>4.4190000000000005</v>
      </c>
      <c r="I743" s="119">
        <f>(($H$21/100)/20)+$H$743</f>
        <v>4.91</v>
      </c>
      <c r="J743" s="119">
        <f>(($H$21/100)/20)+$I$743</f>
        <v>5.4009999999999998</v>
      </c>
      <c r="K743" s="119">
        <f>(($H$21/100)/20)+$J$743</f>
        <v>5.8919999999999995</v>
      </c>
      <c r="L743" s="119">
        <f>(($H$21/100)/20)+$K$743</f>
        <v>6.3829999999999991</v>
      </c>
      <c r="M743" s="119">
        <f>(($H$21/100)/20)+$L$743</f>
        <v>6.8739999999999988</v>
      </c>
      <c r="N743" s="119">
        <f>(($H$21/100)/20)+$M$743</f>
        <v>7.3649999999999984</v>
      </c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 spans="7:28" ht="15.75" customHeight="1" x14ac:dyDescent="0.25">
      <c r="G744" s="144">
        <f t="shared" ref="G744:N744" ca="1" si="42">($I$73*($H$21/100)*G743/2)-($I$73*G743^2/2)</f>
        <v>45.098053265235635</v>
      </c>
      <c r="H744" s="144">
        <f t="shared" ca="1" si="42"/>
        <v>46.507367429774249</v>
      </c>
      <c r="I744" s="144">
        <f t="shared" ca="1" si="42"/>
        <v>46.977138817953801</v>
      </c>
      <c r="J744" s="144">
        <f t="shared" ca="1" si="42"/>
        <v>46.507367429774263</v>
      </c>
      <c r="K744" s="144">
        <f t="shared" ca="1" si="42"/>
        <v>45.098053265235635</v>
      </c>
      <c r="L744" s="144">
        <f t="shared" ca="1" si="42"/>
        <v>42.749196324337959</v>
      </c>
      <c r="M744" s="144">
        <f t="shared" ca="1" si="42"/>
        <v>39.460796607081207</v>
      </c>
      <c r="N744" s="144">
        <f t="shared" ca="1" si="42"/>
        <v>35.232854113465379</v>
      </c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 spans="7:28" ht="15.75" customHeight="1" x14ac:dyDescent="0.25">
      <c r="G745" s="211" t="s">
        <v>459</v>
      </c>
      <c r="H745" s="211" t="s">
        <v>460</v>
      </c>
      <c r="I745" s="211" t="s">
        <v>461</v>
      </c>
      <c r="J745" s="211" t="s">
        <v>462</v>
      </c>
      <c r="K745" s="211" t="s">
        <v>463</v>
      </c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 spans="7:28" ht="15.75" customHeight="1" x14ac:dyDescent="0.25">
      <c r="G746" s="119">
        <f>(($H$21/100)/20)+$N$743</f>
        <v>7.8559999999999981</v>
      </c>
      <c r="H746" s="119">
        <f>(($H$21/100)/20)+$G$746</f>
        <v>8.3469999999999978</v>
      </c>
      <c r="I746" s="119">
        <f>(($H$21/100)/20)+$H$746</f>
        <v>8.8379999999999974</v>
      </c>
      <c r="J746" s="119">
        <f>(($H$21/100)/20)+$I$746</f>
        <v>9.3289999999999971</v>
      </c>
      <c r="K746" s="119">
        <f>(($H$21/100)/20)+$J$746</f>
        <v>9.8199999999999967</v>
      </c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 spans="7:28" ht="15.75" customHeight="1" x14ac:dyDescent="0.25">
      <c r="G747" s="144">
        <f ca="1">($I$73*($H$21/100)*G746/2)-($I$73*G746^2/2)</f>
        <v>30.065368843490447</v>
      </c>
      <c r="H747" s="144">
        <f ca="1">($I$73*($H$21/100)*H746/2)-($I$73*H746^2/2)</f>
        <v>23.958340797156467</v>
      </c>
      <c r="I747" s="144">
        <f ca="1">($I$73*($H$21/100)*I746/2)-($I$73*I746^2/2)</f>
        <v>16.911769974463425</v>
      </c>
      <c r="J747" s="144">
        <f ca="1">($I$73*($H$21/100)*J746/2)-($I$73*J746^2/2)</f>
        <v>8.9256563754113074</v>
      </c>
      <c r="K747" s="144">
        <f ca="1">($I$73*($H$21/100)*K746/2)-($I$73*K746^2/2)</f>
        <v>0</v>
      </c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 spans="7:28" ht="15.75" customHeight="1" x14ac:dyDescent="0.25">
      <c r="G748" s="144"/>
      <c r="H748" s="144"/>
      <c r="I748" s="144"/>
      <c r="J748" s="144"/>
      <c r="K748" s="144"/>
      <c r="L748" s="144"/>
      <c r="M748" s="144">
        <f ca="1">$H$166*$I$193+$H$168*$I$195</f>
        <v>693.94592214361865</v>
      </c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 spans="7:28" ht="15.75" customHeight="1" x14ac:dyDescent="0.25">
      <c r="G749" s="115" t="s">
        <v>95</v>
      </c>
      <c r="H749" s="239">
        <f ca="1">$H$166*$I$194+$H$168*$I$195</f>
        <v>867.43240267952342</v>
      </c>
      <c r="I749" s="231" t="s">
        <v>96</v>
      </c>
      <c r="J749" s="239">
        <f ca="1">-H749/(H36/100^2)-(H750/(H40/100^3))</f>
        <v>-13832.901935278451</v>
      </c>
      <c r="K749" s="375">
        <f ca="1">J749/1000</f>
        <v>-13.83290193527845</v>
      </c>
      <c r="L749" s="144"/>
      <c r="M749" s="144">
        <f ca="1">M748/H36</f>
        <v>0.44515582756278854</v>
      </c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 spans="7:28" ht="15.75" customHeight="1" x14ac:dyDescent="0.25">
      <c r="G750" s="115" t="s">
        <v>97</v>
      </c>
      <c r="H750" s="239">
        <f ca="1">$H$166*$I$194*$H$167/100-$H$168*$I$195*$H$169/100</f>
        <v>81.982109646974479</v>
      </c>
      <c r="I750" s="231" t="s">
        <v>96</v>
      </c>
      <c r="J750" s="239">
        <f ca="1">-H749/(H36/100^2)+(H750/(H40/100^3))</f>
        <v>2704.0062462087353</v>
      </c>
      <c r="K750" s="375">
        <f ca="1">J750/1000</f>
        <v>2.7040062462087353</v>
      </c>
      <c r="L750" s="144"/>
      <c r="M750" s="144"/>
      <c r="N750" s="144"/>
      <c r="O750" s="144"/>
      <c r="P750" s="144"/>
      <c r="Q750" s="144"/>
    </row>
    <row r="751" spans="7:28" ht="15.75" customHeight="1" x14ac:dyDescent="0.25">
      <c r="H751" s="144"/>
      <c r="J751" s="144"/>
      <c r="K751" s="144"/>
      <c r="L751" s="144"/>
      <c r="M751" s="144"/>
      <c r="O751" s="144"/>
      <c r="P751" s="144"/>
      <c r="Q751" s="144"/>
    </row>
    <row r="752" spans="7:28" ht="15.75" customHeight="1" x14ac:dyDescent="0.25">
      <c r="AB752" s="121"/>
    </row>
    <row r="753" spans="8:28" ht="15.75" customHeight="1" x14ac:dyDescent="0.25">
      <c r="H753" s="638" t="s">
        <v>181</v>
      </c>
      <c r="I753" s="638"/>
      <c r="J753" s="638"/>
      <c r="K753" s="638"/>
      <c r="L753" s="638"/>
      <c r="M753" s="117" t="s">
        <v>180</v>
      </c>
      <c r="AB753" s="121"/>
    </row>
    <row r="754" spans="8:28" ht="15.75" customHeight="1" thickBot="1" x14ac:dyDescent="0.3">
      <c r="H754" s="115" t="s">
        <v>169</v>
      </c>
      <c r="I754" s="144">
        <v>0</v>
      </c>
      <c r="J754" s="231" t="s">
        <v>63</v>
      </c>
      <c r="K754" s="142">
        <f>I754/1000</f>
        <v>0</v>
      </c>
      <c r="L754" s="231" t="s">
        <v>60</v>
      </c>
      <c r="M754" s="142">
        <f>J824</f>
        <v>3.8519549300342844</v>
      </c>
      <c r="AB754" s="121"/>
    </row>
    <row r="755" spans="8:28" ht="15.75" customHeight="1" x14ac:dyDescent="0.25">
      <c r="H755" s="115" t="s">
        <v>170</v>
      </c>
      <c r="I755" s="350">
        <f ca="1">Tensões!C9</f>
        <v>1760.8450514978126</v>
      </c>
      <c r="J755" s="231" t="s">
        <v>63</v>
      </c>
      <c r="K755" s="353">
        <f t="shared" ref="K755:K763" ca="1" si="43">I755/1000</f>
        <v>1.7608450514978127</v>
      </c>
      <c r="L755" s="231" t="s">
        <v>60</v>
      </c>
      <c r="M755" s="142">
        <f>M754</f>
        <v>3.8519549300342844</v>
      </c>
      <c r="AB755" s="121"/>
    </row>
    <row r="756" spans="8:28" ht="15.75" customHeight="1" x14ac:dyDescent="0.25">
      <c r="H756" s="115" t="s">
        <v>171</v>
      </c>
      <c r="I756" s="351">
        <f ca="1">Tensões!C10</f>
        <v>964.40487597263586</v>
      </c>
      <c r="J756" s="231" t="s">
        <v>63</v>
      </c>
      <c r="K756" s="354">
        <f t="shared" ca="1" si="43"/>
        <v>0.96440487597263591</v>
      </c>
      <c r="L756" s="231" t="s">
        <v>60</v>
      </c>
      <c r="M756" s="142">
        <f t="shared" ref="M756:M774" si="44">M755</f>
        <v>3.8519549300342844</v>
      </c>
      <c r="AB756" s="121"/>
    </row>
    <row r="757" spans="8:28" ht="15.75" customHeight="1" x14ac:dyDescent="0.25">
      <c r="H757" s="115" t="s">
        <v>172</v>
      </c>
      <c r="I757" s="351">
        <f ca="1">Tensões!C11</f>
        <v>261.66354462689105</v>
      </c>
      <c r="J757" s="231" t="s">
        <v>63</v>
      </c>
      <c r="K757" s="354">
        <f t="shared" ca="1" si="43"/>
        <v>0.26166354462689106</v>
      </c>
      <c r="L757" s="231" t="s">
        <v>60</v>
      </c>
      <c r="M757" s="142">
        <f t="shared" si="44"/>
        <v>3.8519549300342844</v>
      </c>
      <c r="AB757" s="121"/>
    </row>
    <row r="758" spans="8:28" ht="15.75" customHeight="1" x14ac:dyDescent="0.25">
      <c r="H758" s="115" t="s">
        <v>173</v>
      </c>
      <c r="I758" s="351">
        <f ca="1">Tensões!C12</f>
        <v>-347.37894253942022</v>
      </c>
      <c r="J758" s="231" t="s">
        <v>63</v>
      </c>
      <c r="K758" s="354">
        <f t="shared" ca="1" si="43"/>
        <v>-0.3473789425394202</v>
      </c>
      <c r="L758" s="231" t="s">
        <v>60</v>
      </c>
      <c r="M758" s="142">
        <f t="shared" si="44"/>
        <v>3.8519549300342844</v>
      </c>
      <c r="AB758" s="121"/>
    </row>
    <row r="759" spans="8:28" ht="15.75" customHeight="1" x14ac:dyDescent="0.25">
      <c r="H759" s="115" t="s">
        <v>174</v>
      </c>
      <c r="I759" s="351">
        <f ca="1">Tensões!C13</f>
        <v>-862.72258552630092</v>
      </c>
      <c r="J759" s="231" t="s">
        <v>63</v>
      </c>
      <c r="K759" s="354">
        <f t="shared" ca="1" si="43"/>
        <v>-0.86272258552630088</v>
      </c>
      <c r="L759" s="231" t="s">
        <v>60</v>
      </c>
      <c r="M759" s="142">
        <f t="shared" si="44"/>
        <v>3.8519549300342844</v>
      </c>
      <c r="AB759" s="121"/>
    </row>
    <row r="760" spans="8:28" ht="15.75" customHeight="1" x14ac:dyDescent="0.25">
      <c r="H760" s="115" t="s">
        <v>175</v>
      </c>
      <c r="I760" s="351">
        <f ca="1">Tensões!C14</f>
        <v>-1284.3673843337469</v>
      </c>
      <c r="J760" s="231" t="s">
        <v>63</v>
      </c>
      <c r="K760" s="354">
        <f t="shared" ca="1" si="43"/>
        <v>-1.2843673843337469</v>
      </c>
      <c r="L760" s="231" t="s">
        <v>60</v>
      </c>
      <c r="M760" s="142">
        <f t="shared" si="44"/>
        <v>3.8519549300342844</v>
      </c>
      <c r="AB760" s="121"/>
    </row>
    <row r="761" spans="8:28" ht="15.75" customHeight="1" x14ac:dyDescent="0.25">
      <c r="H761" s="115" t="s">
        <v>176</v>
      </c>
      <c r="I761" s="351">
        <f ca="1">Tensões!C15</f>
        <v>-1612.3133389617606</v>
      </c>
      <c r="J761" s="231" t="s">
        <v>63</v>
      </c>
      <c r="K761" s="354">
        <f t="shared" ca="1" si="43"/>
        <v>-1.6123133389617605</v>
      </c>
      <c r="L761" s="231" t="s">
        <v>60</v>
      </c>
      <c r="M761" s="142">
        <f t="shared" si="44"/>
        <v>3.8519549300342844</v>
      </c>
      <c r="AB761" s="121"/>
    </row>
    <row r="762" spans="8:28" ht="15.75" customHeight="1" x14ac:dyDescent="0.25">
      <c r="H762" s="115" t="s">
        <v>177</v>
      </c>
      <c r="I762" s="351">
        <f ca="1">Tensões!C16</f>
        <v>-1846.5604494103409</v>
      </c>
      <c r="J762" s="231" t="s">
        <v>63</v>
      </c>
      <c r="K762" s="354">
        <f t="shared" ca="1" si="43"/>
        <v>-1.8465604494103409</v>
      </c>
      <c r="L762" s="231" t="s">
        <v>60</v>
      </c>
      <c r="M762" s="142">
        <f t="shared" si="44"/>
        <v>3.8519549300342844</v>
      </c>
      <c r="AB762" s="121"/>
    </row>
    <row r="763" spans="8:28" ht="15.75" customHeight="1" x14ac:dyDescent="0.25">
      <c r="H763" s="115" t="s">
        <v>178</v>
      </c>
      <c r="I763" s="351">
        <f ca="1">Tensões!C17</f>
        <v>-1987.1087156794902</v>
      </c>
      <c r="J763" s="231" t="s">
        <v>63</v>
      </c>
      <c r="K763" s="354">
        <f t="shared" ca="1" si="43"/>
        <v>-1.9871087156794902</v>
      </c>
      <c r="L763" s="231" t="s">
        <v>60</v>
      </c>
      <c r="M763" s="142">
        <f t="shared" si="44"/>
        <v>3.8519549300342844</v>
      </c>
      <c r="AB763" s="121"/>
    </row>
    <row r="764" spans="8:28" ht="15.75" customHeight="1" x14ac:dyDescent="0.25">
      <c r="H764" s="115" t="s">
        <v>179</v>
      </c>
      <c r="I764" s="351">
        <f ca="1">Tensões!C18</f>
        <v>-2033.9581377692084</v>
      </c>
      <c r="J764" s="231" t="s">
        <v>63</v>
      </c>
      <c r="K764" s="354">
        <f ca="1">I764/1000</f>
        <v>-2.0339581377692082</v>
      </c>
      <c r="L764" s="231" t="s">
        <v>60</v>
      </c>
      <c r="M764" s="142">
        <f t="shared" si="44"/>
        <v>3.8519549300342844</v>
      </c>
      <c r="AB764" s="121"/>
    </row>
    <row r="765" spans="8:28" ht="15.75" customHeight="1" x14ac:dyDescent="0.25">
      <c r="H765" s="115" t="s">
        <v>359</v>
      </c>
      <c r="I765" s="351">
        <f ca="1">Tensões!C19</f>
        <v>-1987.108715679492</v>
      </c>
      <c r="J765" s="231" t="s">
        <v>63</v>
      </c>
      <c r="K765" s="354">
        <f t="shared" ref="K765:K774" ca="1" si="45">I765/1000</f>
        <v>-1.987108715679492</v>
      </c>
      <c r="L765" s="231" t="s">
        <v>60</v>
      </c>
      <c r="M765" s="142">
        <f t="shared" si="44"/>
        <v>3.8519549300342844</v>
      </c>
      <c r="AB765" s="121"/>
    </row>
    <row r="766" spans="8:28" ht="15.75" customHeight="1" x14ac:dyDescent="0.25">
      <c r="H766" s="115" t="s">
        <v>360</v>
      </c>
      <c r="I766" s="351">
        <f ca="1">Tensões!C20</f>
        <v>-1846.5604494103409</v>
      </c>
      <c r="J766" s="231" t="s">
        <v>63</v>
      </c>
      <c r="K766" s="354">
        <f t="shared" ca="1" si="45"/>
        <v>-1.8465604494103409</v>
      </c>
      <c r="L766" s="231" t="s">
        <v>60</v>
      </c>
      <c r="M766" s="142">
        <f t="shared" si="44"/>
        <v>3.8519549300342844</v>
      </c>
      <c r="AB766" s="121"/>
    </row>
    <row r="767" spans="8:28" ht="15.75" customHeight="1" x14ac:dyDescent="0.25">
      <c r="H767" s="115" t="s">
        <v>361</v>
      </c>
      <c r="I767" s="351">
        <f ca="1">Tensões!C21</f>
        <v>-1612.3133389617624</v>
      </c>
      <c r="J767" s="231" t="s">
        <v>63</v>
      </c>
      <c r="K767" s="354">
        <f t="shared" ca="1" si="45"/>
        <v>-1.6123133389617623</v>
      </c>
      <c r="L767" s="231" t="s">
        <v>60</v>
      </c>
      <c r="M767" s="142">
        <f t="shared" si="44"/>
        <v>3.8519549300342844</v>
      </c>
      <c r="AB767" s="121"/>
    </row>
    <row r="768" spans="8:28" ht="15.75" customHeight="1" x14ac:dyDescent="0.25">
      <c r="H768" s="115" t="s">
        <v>362</v>
      </c>
      <c r="I768" s="351">
        <f ca="1">Tensões!C22</f>
        <v>-1284.3673843337483</v>
      </c>
      <c r="J768" s="231" t="s">
        <v>63</v>
      </c>
      <c r="K768" s="354">
        <f t="shared" ca="1" si="45"/>
        <v>-1.2843673843337482</v>
      </c>
      <c r="L768" s="231" t="s">
        <v>60</v>
      </c>
      <c r="M768" s="142">
        <f t="shared" si="44"/>
        <v>3.8519549300342844</v>
      </c>
      <c r="AB768" s="121"/>
    </row>
    <row r="769" spans="8:36" ht="15.75" customHeight="1" x14ac:dyDescent="0.25">
      <c r="H769" s="115" t="s">
        <v>363</v>
      </c>
      <c r="I769" s="351">
        <f ca="1">Tensões!C23</f>
        <v>-862.72258552630365</v>
      </c>
      <c r="J769" s="231" t="s">
        <v>63</v>
      </c>
      <c r="K769" s="354">
        <f t="shared" ca="1" si="45"/>
        <v>-0.86272258552630365</v>
      </c>
      <c r="L769" s="231" t="s">
        <v>60</v>
      </c>
      <c r="M769" s="142">
        <f t="shared" si="44"/>
        <v>3.8519549300342844</v>
      </c>
      <c r="AB769" s="121"/>
    </row>
    <row r="770" spans="8:36" ht="15.75" customHeight="1" x14ac:dyDescent="0.25">
      <c r="H770" s="115" t="s">
        <v>364</v>
      </c>
      <c r="I770" s="351">
        <f ca="1">Tensões!C24</f>
        <v>-347.37894253942204</v>
      </c>
      <c r="J770" s="231" t="s">
        <v>63</v>
      </c>
      <c r="K770" s="354">
        <f t="shared" ca="1" si="45"/>
        <v>-0.34737894253942203</v>
      </c>
      <c r="L770" s="231" t="s">
        <v>60</v>
      </c>
      <c r="M770" s="142">
        <f t="shared" si="44"/>
        <v>3.8519549300342844</v>
      </c>
      <c r="AB770" s="121"/>
    </row>
    <row r="771" spans="8:36" ht="15.75" customHeight="1" x14ac:dyDescent="0.25">
      <c r="H771" s="115" t="s">
        <v>365</v>
      </c>
      <c r="I771" s="351">
        <f ca="1">Tensões!C25</f>
        <v>261.66354462688787</v>
      </c>
      <c r="J771" s="231" t="s">
        <v>63</v>
      </c>
      <c r="K771" s="354">
        <f t="shared" ca="1" si="45"/>
        <v>0.26166354462688785</v>
      </c>
      <c r="L771" s="231" t="s">
        <v>60</v>
      </c>
      <c r="M771" s="142">
        <f t="shared" si="44"/>
        <v>3.8519549300342844</v>
      </c>
      <c r="AB771" s="121"/>
      <c r="AC771" s="144"/>
      <c r="AD771" s="144"/>
      <c r="AE771" s="144"/>
      <c r="AF771" s="144"/>
    </row>
    <row r="772" spans="8:36" ht="15.75" customHeight="1" x14ac:dyDescent="0.25">
      <c r="H772" s="115" t="s">
        <v>366</v>
      </c>
      <c r="I772" s="351">
        <f ca="1">Tensões!C26</f>
        <v>964.40487597263063</v>
      </c>
      <c r="J772" s="231" t="s">
        <v>63</v>
      </c>
      <c r="K772" s="354">
        <f t="shared" ca="1" si="45"/>
        <v>0.96440487597263058</v>
      </c>
      <c r="L772" s="231" t="s">
        <v>60</v>
      </c>
      <c r="M772" s="142">
        <f t="shared" si="44"/>
        <v>3.8519549300342844</v>
      </c>
      <c r="X772" s="144"/>
      <c r="Y772" s="144"/>
      <c r="Z772" s="144"/>
      <c r="AA772" s="144"/>
      <c r="AB772" s="121"/>
      <c r="AG772" s="144"/>
      <c r="AH772" s="144"/>
      <c r="AI772" s="144"/>
      <c r="AJ772" s="144"/>
    </row>
    <row r="773" spans="8:36" ht="15.75" customHeight="1" thickBot="1" x14ac:dyDescent="0.3">
      <c r="H773" s="115" t="s">
        <v>367</v>
      </c>
      <c r="I773" s="352">
        <f ca="1">Tensões!$C$27</f>
        <v>1760.845051497804</v>
      </c>
      <c r="J773" s="231" t="s">
        <v>63</v>
      </c>
      <c r="K773" s="355">
        <f t="shared" ca="1" si="45"/>
        <v>1.760845051497804</v>
      </c>
      <c r="L773" s="231" t="s">
        <v>60</v>
      </c>
      <c r="M773" s="142">
        <f t="shared" si="44"/>
        <v>3.8519549300342844</v>
      </c>
      <c r="AB773" s="121"/>
    </row>
    <row r="774" spans="8:36" ht="15.75" customHeight="1" x14ac:dyDescent="0.25">
      <c r="H774" s="133" t="s">
        <v>368</v>
      </c>
      <c r="I774" s="191">
        <v>0</v>
      </c>
      <c r="J774" s="275" t="s">
        <v>63</v>
      </c>
      <c r="K774" s="193">
        <f t="shared" si="45"/>
        <v>0</v>
      </c>
      <c r="L774" s="275" t="s">
        <v>60</v>
      </c>
      <c r="M774" s="193">
        <f t="shared" si="44"/>
        <v>3.8519549300342844</v>
      </c>
      <c r="AB774" s="121"/>
    </row>
    <row r="775" spans="8:36" ht="15.75" customHeight="1" x14ac:dyDescent="0.25">
      <c r="K775" s="194"/>
      <c r="L775" s="144"/>
      <c r="M775" s="144"/>
      <c r="AB775" s="121"/>
    </row>
    <row r="776" spans="8:36" ht="15.75" customHeight="1" x14ac:dyDescent="0.25">
      <c r="H776" s="638" t="s">
        <v>168</v>
      </c>
      <c r="I776" s="638"/>
      <c r="J776" s="638"/>
      <c r="K776" s="638"/>
      <c r="L776" s="638"/>
      <c r="M776" s="117" t="s">
        <v>180</v>
      </c>
      <c r="AB776" s="121"/>
    </row>
    <row r="777" spans="8:36" ht="15.75" customHeight="1" thickBot="1" x14ac:dyDescent="0.3">
      <c r="H777" s="115" t="s">
        <v>169</v>
      </c>
      <c r="I777" s="144">
        <v>0</v>
      </c>
      <c r="J777" s="231" t="s">
        <v>63</v>
      </c>
      <c r="K777" s="142">
        <f>I777/1000</f>
        <v>0</v>
      </c>
      <c r="L777" s="231" t="s">
        <v>60</v>
      </c>
      <c r="M777" s="142">
        <f>J822</f>
        <v>-24.5</v>
      </c>
      <c r="AB777" s="121"/>
    </row>
    <row r="778" spans="8:36" ht="15.75" customHeight="1" x14ac:dyDescent="0.25">
      <c r="H778" s="115" t="s">
        <v>170</v>
      </c>
      <c r="I778" s="350">
        <f ca="1">Tensões!$C$32</f>
        <v>-9418.6990683655295</v>
      </c>
      <c r="J778" s="231" t="s">
        <v>63</v>
      </c>
      <c r="K778" s="353">
        <f t="shared" ref="K778:K787" ca="1" si="46">I778/1000</f>
        <v>-9.4186990683655303</v>
      </c>
      <c r="L778" s="231" t="s">
        <v>60</v>
      </c>
      <c r="M778" s="142">
        <f>M777</f>
        <v>-24.5</v>
      </c>
      <c r="AB778" s="121"/>
    </row>
    <row r="779" spans="8:36" ht="15.75" customHeight="1" x14ac:dyDescent="0.25">
      <c r="H779" s="115" t="s">
        <v>171</v>
      </c>
      <c r="I779" s="351">
        <f ca="1">Tensões!C33</f>
        <v>-11903.323270456392</v>
      </c>
      <c r="J779" s="231" t="s">
        <v>63</v>
      </c>
      <c r="K779" s="354">
        <f t="shared" ca="1" si="46"/>
        <v>-11.903323270456392</v>
      </c>
      <c r="L779" s="231" t="s">
        <v>60</v>
      </c>
      <c r="M779" s="142">
        <f t="shared" ref="M779:M797" si="47">M778</f>
        <v>-24.5</v>
      </c>
      <c r="AB779" s="121"/>
    </row>
    <row r="780" spans="8:36" ht="15.75" customHeight="1" x14ac:dyDescent="0.25">
      <c r="H780" s="115" t="s">
        <v>172</v>
      </c>
      <c r="I780" s="351">
        <f ca="1">Tensões!C34</f>
        <v>-11238.662176962398</v>
      </c>
      <c r="J780" s="231" t="s">
        <v>63</v>
      </c>
      <c r="K780" s="354">
        <f t="shared" ca="1" si="46"/>
        <v>-11.238662176962398</v>
      </c>
      <c r="L780" s="231" t="s">
        <v>60</v>
      </c>
      <c r="M780" s="142">
        <f t="shared" si="47"/>
        <v>-24.5</v>
      </c>
      <c r="AB780" s="121"/>
    </row>
    <row r="781" spans="8:36" ht="15.75" customHeight="1" x14ac:dyDescent="0.25">
      <c r="H781" s="115" t="s">
        <v>173</v>
      </c>
      <c r="I781" s="351">
        <f ca="1">Tensões!C35</f>
        <v>-10662.622562600942</v>
      </c>
      <c r="J781" s="231" t="s">
        <v>63</v>
      </c>
      <c r="K781" s="354">
        <f t="shared" ca="1" si="46"/>
        <v>-10.662622562600943</v>
      </c>
      <c r="L781" s="231" t="s">
        <v>60</v>
      </c>
      <c r="M781" s="142">
        <f t="shared" si="47"/>
        <v>-24.5</v>
      </c>
      <c r="AB781" s="121"/>
    </row>
    <row r="782" spans="8:36" ht="15.75" customHeight="1" x14ac:dyDescent="0.25">
      <c r="H782" s="115" t="s">
        <v>174</v>
      </c>
      <c r="I782" s="351">
        <f ca="1">Tensões!C36</f>
        <v>-10175.204427372013</v>
      </c>
      <c r="J782" s="231" t="s">
        <v>63</v>
      </c>
      <c r="K782" s="354">
        <f t="shared" ca="1" si="46"/>
        <v>-10.175204427372012</v>
      </c>
      <c r="L782" s="231" t="s">
        <v>60</v>
      </c>
      <c r="M782" s="142">
        <f t="shared" si="47"/>
        <v>-24.5</v>
      </c>
      <c r="AB782" s="121"/>
    </row>
    <row r="783" spans="8:36" ht="15.75" customHeight="1" x14ac:dyDescent="0.25">
      <c r="H783" s="115" t="s">
        <v>175</v>
      </c>
      <c r="I783" s="351">
        <f ca="1">Tensões!C37</f>
        <v>-9776.4077712756171</v>
      </c>
      <c r="J783" s="231" t="s">
        <v>63</v>
      </c>
      <c r="K783" s="354">
        <f t="shared" ca="1" si="46"/>
        <v>-9.7764077712756166</v>
      </c>
      <c r="L783" s="231" t="s">
        <v>60</v>
      </c>
      <c r="M783" s="142">
        <f t="shared" si="47"/>
        <v>-24.5</v>
      </c>
      <c r="AB783" s="121"/>
    </row>
    <row r="784" spans="8:36" ht="15.75" customHeight="1" x14ac:dyDescent="0.25">
      <c r="H784" s="115" t="s">
        <v>176</v>
      </c>
      <c r="I784" s="351">
        <f ca="1">Tensões!C38</f>
        <v>-9466.2325943117557</v>
      </c>
      <c r="J784" s="231" t="s">
        <v>63</v>
      </c>
      <c r="K784" s="354">
        <f t="shared" ca="1" si="46"/>
        <v>-9.4662325943117551</v>
      </c>
      <c r="L784" s="231" t="s">
        <v>60</v>
      </c>
      <c r="M784" s="142">
        <f t="shared" si="47"/>
        <v>-24.5</v>
      </c>
    </row>
    <row r="785" spans="8:20" ht="15.75" customHeight="1" x14ac:dyDescent="0.25">
      <c r="H785" s="115" t="s">
        <v>177</v>
      </c>
      <c r="I785" s="351">
        <f ca="1">Tensões!C39</f>
        <v>-9244.6788964804236</v>
      </c>
      <c r="J785" s="231" t="s">
        <v>63</v>
      </c>
      <c r="K785" s="354">
        <f t="shared" ca="1" si="46"/>
        <v>-9.2446788964804245</v>
      </c>
      <c r="L785" s="231" t="s">
        <v>60</v>
      </c>
      <c r="M785" s="142">
        <f t="shared" si="47"/>
        <v>-24.5</v>
      </c>
    </row>
    <row r="786" spans="8:20" ht="15.75" customHeight="1" x14ac:dyDescent="0.25">
      <c r="H786" s="115" t="s">
        <v>178</v>
      </c>
      <c r="I786" s="351">
        <f ca="1">Tensões!C40</f>
        <v>-9111.7466777816262</v>
      </c>
      <c r="J786" s="231" t="s">
        <v>63</v>
      </c>
      <c r="K786" s="354">
        <f t="shared" ca="1" si="46"/>
        <v>-9.1117466777816265</v>
      </c>
      <c r="L786" s="231" t="s">
        <v>60</v>
      </c>
      <c r="M786" s="142">
        <f t="shared" si="47"/>
        <v>-24.5</v>
      </c>
    </row>
    <row r="787" spans="8:20" ht="15.75" customHeight="1" x14ac:dyDescent="0.25">
      <c r="H787" s="115" t="s">
        <v>179</v>
      </c>
      <c r="I787" s="351">
        <f ca="1">Tensões!C41</f>
        <v>-9067.4359382153598</v>
      </c>
      <c r="J787" s="231" t="s">
        <v>63</v>
      </c>
      <c r="K787" s="354">
        <f t="shared" ca="1" si="46"/>
        <v>-9.0674359382153593</v>
      </c>
      <c r="L787" s="231" t="s">
        <v>60</v>
      </c>
      <c r="M787" s="142">
        <f t="shared" si="47"/>
        <v>-24.5</v>
      </c>
    </row>
    <row r="788" spans="8:20" ht="15.75" customHeight="1" x14ac:dyDescent="0.25">
      <c r="H788" s="115" t="s">
        <v>359</v>
      </c>
      <c r="I788" s="351">
        <f ca="1">Tensões!C42</f>
        <v>-9111.7466777816226</v>
      </c>
      <c r="J788" s="231" t="s">
        <v>63</v>
      </c>
      <c r="K788" s="354">
        <f t="shared" ref="K788:K797" ca="1" si="48">I788/1000</f>
        <v>-9.1117466777816229</v>
      </c>
      <c r="L788" s="231" t="s">
        <v>60</v>
      </c>
      <c r="M788" s="142">
        <f t="shared" si="47"/>
        <v>-24.5</v>
      </c>
    </row>
    <row r="789" spans="8:20" ht="15.75" customHeight="1" x14ac:dyDescent="0.25">
      <c r="H789" s="115" t="s">
        <v>360</v>
      </c>
      <c r="I789" s="351">
        <f ca="1">Tensões!C43</f>
        <v>-9244.6788964804236</v>
      </c>
      <c r="J789" s="231" t="s">
        <v>63</v>
      </c>
      <c r="K789" s="354">
        <f t="shared" ca="1" si="48"/>
        <v>-9.2446788964804245</v>
      </c>
      <c r="L789" s="231" t="s">
        <v>60</v>
      </c>
      <c r="M789" s="142">
        <f t="shared" si="47"/>
        <v>-24.5</v>
      </c>
    </row>
    <row r="790" spans="8:20" ht="15.75" customHeight="1" x14ac:dyDescent="0.25">
      <c r="H790" s="115" t="s">
        <v>361</v>
      </c>
      <c r="I790" s="351">
        <f ca="1">Tensões!C44</f>
        <v>-9466.2325943117539</v>
      </c>
      <c r="J790" s="231" t="s">
        <v>63</v>
      </c>
      <c r="K790" s="354">
        <f t="shared" ca="1" si="48"/>
        <v>-9.4662325943117533</v>
      </c>
      <c r="L790" s="231" t="s">
        <v>60</v>
      </c>
      <c r="M790" s="142">
        <f t="shared" si="47"/>
        <v>-24.5</v>
      </c>
    </row>
    <row r="791" spans="8:20" ht="15.75" customHeight="1" x14ac:dyDescent="0.25">
      <c r="H791" s="115" t="s">
        <v>362</v>
      </c>
      <c r="I791" s="351">
        <f ca="1">Tensões!C45</f>
        <v>-9776.4077712756152</v>
      </c>
      <c r="J791" s="231" t="s">
        <v>63</v>
      </c>
      <c r="K791" s="354">
        <f t="shared" ca="1" si="48"/>
        <v>-9.7764077712756148</v>
      </c>
      <c r="L791" s="231" t="s">
        <v>60</v>
      </c>
      <c r="M791" s="142">
        <f t="shared" si="47"/>
        <v>-24.5</v>
      </c>
    </row>
    <row r="792" spans="8:20" ht="15.75" customHeight="1" x14ac:dyDescent="0.25">
      <c r="H792" s="115" t="s">
        <v>363</v>
      </c>
      <c r="I792" s="351">
        <f ca="1">Tensões!C46</f>
        <v>-10175.204427372009</v>
      </c>
      <c r="J792" s="231" t="s">
        <v>63</v>
      </c>
      <c r="K792" s="354">
        <f t="shared" ca="1" si="48"/>
        <v>-10.175204427372009</v>
      </c>
      <c r="L792" s="231" t="s">
        <v>60</v>
      </c>
      <c r="M792" s="142">
        <f t="shared" si="47"/>
        <v>-24.5</v>
      </c>
    </row>
    <row r="793" spans="8:20" ht="15.75" customHeight="1" x14ac:dyDescent="0.25">
      <c r="H793" s="115" t="s">
        <v>364</v>
      </c>
      <c r="I793" s="351">
        <f ca="1">Tensões!C47</f>
        <v>-10662.62256260094</v>
      </c>
      <c r="J793" s="231" t="s">
        <v>63</v>
      </c>
      <c r="K793" s="354">
        <f t="shared" ca="1" si="48"/>
        <v>-10.662622562600941</v>
      </c>
      <c r="L793" s="231" t="s">
        <v>60</v>
      </c>
      <c r="M793" s="142">
        <f t="shared" si="47"/>
        <v>-24.5</v>
      </c>
    </row>
    <row r="794" spans="8:20" ht="15.75" customHeight="1" x14ac:dyDescent="0.25">
      <c r="H794" s="115" t="s">
        <v>365</v>
      </c>
      <c r="I794" s="351">
        <f ca="1">Tensões!C48</f>
        <v>-11238.662176962394</v>
      </c>
      <c r="J794" s="231" t="s">
        <v>63</v>
      </c>
      <c r="K794" s="354">
        <f t="shared" ca="1" si="48"/>
        <v>-11.238662176962395</v>
      </c>
      <c r="L794" s="231" t="s">
        <v>60</v>
      </c>
      <c r="M794" s="142">
        <f t="shared" si="47"/>
        <v>-24.5</v>
      </c>
    </row>
    <row r="795" spans="8:20" ht="15.75" customHeight="1" x14ac:dyDescent="0.25">
      <c r="H795" s="115" t="s">
        <v>366</v>
      </c>
      <c r="I795" s="351">
        <f ca="1">Tensões!C49</f>
        <v>-11903.323270456385</v>
      </c>
      <c r="J795" s="231" t="s">
        <v>63</v>
      </c>
      <c r="K795" s="354">
        <f t="shared" ca="1" si="48"/>
        <v>-11.903323270456385</v>
      </c>
      <c r="L795" s="231" t="s">
        <v>60</v>
      </c>
      <c r="M795" s="142">
        <f t="shared" si="47"/>
        <v>-24.5</v>
      </c>
    </row>
    <row r="796" spans="8:20" ht="15.75" customHeight="1" thickBot="1" x14ac:dyDescent="0.3">
      <c r="H796" s="115" t="s">
        <v>367</v>
      </c>
      <c r="I796" s="352">
        <f ca="1">Tensões!$C$50</f>
        <v>-9418.6990683655204</v>
      </c>
      <c r="J796" s="231" t="s">
        <v>63</v>
      </c>
      <c r="K796" s="355">
        <f t="shared" ca="1" si="48"/>
        <v>-9.4186990683655196</v>
      </c>
      <c r="L796" s="231" t="s">
        <v>60</v>
      </c>
      <c r="M796" s="142">
        <f t="shared" si="47"/>
        <v>-24.5</v>
      </c>
    </row>
    <row r="797" spans="8:20" ht="15.75" customHeight="1" x14ac:dyDescent="0.25">
      <c r="H797" s="133" t="s">
        <v>368</v>
      </c>
      <c r="I797" s="191">
        <v>0</v>
      </c>
      <c r="J797" s="275" t="s">
        <v>63</v>
      </c>
      <c r="K797" s="193">
        <f t="shared" si="48"/>
        <v>0</v>
      </c>
      <c r="L797" s="275" t="s">
        <v>60</v>
      </c>
      <c r="M797" s="193">
        <f t="shared" si="47"/>
        <v>-24.5</v>
      </c>
    </row>
    <row r="798" spans="8:20" ht="15.75" customHeight="1" x14ac:dyDescent="0.25">
      <c r="T798" s="118"/>
    </row>
    <row r="799" spans="8:20" ht="15.75" customHeight="1" x14ac:dyDescent="0.25">
      <c r="T799" s="118"/>
    </row>
    <row r="800" spans="8:20" ht="15.75" customHeight="1" x14ac:dyDescent="0.25">
      <c r="T800" s="118"/>
    </row>
    <row r="801" spans="20:20" ht="15.75" customHeight="1" x14ac:dyDescent="0.25">
      <c r="T801" s="118"/>
    </row>
    <row r="802" spans="20:20" ht="15.75" customHeight="1" x14ac:dyDescent="0.25">
      <c r="T802" s="118"/>
    </row>
    <row r="803" spans="20:20" ht="15.75" customHeight="1" x14ac:dyDescent="0.25">
      <c r="T803" s="118"/>
    </row>
    <row r="804" spans="20:20" ht="15.75" customHeight="1" x14ac:dyDescent="0.25">
      <c r="T804" s="118"/>
    </row>
    <row r="805" spans="20:20" ht="15.75" customHeight="1" x14ac:dyDescent="0.25">
      <c r="T805" s="118"/>
    </row>
    <row r="806" spans="20:20" ht="15.75" customHeight="1" x14ac:dyDescent="0.25">
      <c r="T806" s="118"/>
    </row>
    <row r="807" spans="20:20" ht="15.75" customHeight="1" x14ac:dyDescent="0.25">
      <c r="T807" s="118"/>
    </row>
    <row r="808" spans="20:20" ht="15.75" customHeight="1" x14ac:dyDescent="0.25">
      <c r="T808" s="118"/>
    </row>
    <row r="809" spans="20:20" ht="15.75" customHeight="1" x14ac:dyDescent="0.25">
      <c r="T809" s="118"/>
    </row>
    <row r="810" spans="20:20" ht="15.75" customHeight="1" x14ac:dyDescent="0.25">
      <c r="T810" s="118"/>
    </row>
    <row r="811" spans="20:20" ht="15.75" customHeight="1" x14ac:dyDescent="0.25">
      <c r="T811" s="118"/>
    </row>
    <row r="812" spans="20:20" ht="15.75" customHeight="1" x14ac:dyDescent="0.25">
      <c r="T812" s="118"/>
    </row>
    <row r="813" spans="20:20" ht="15.75" customHeight="1" x14ac:dyDescent="0.25">
      <c r="T813" s="118"/>
    </row>
    <row r="814" spans="20:20" ht="15.75" customHeight="1" x14ac:dyDescent="0.25">
      <c r="T814" s="118"/>
    </row>
    <row r="815" spans="20:20" ht="15.75" customHeight="1" x14ac:dyDescent="0.25">
      <c r="T815" s="118"/>
    </row>
    <row r="816" spans="20:20" ht="15.75" customHeight="1" x14ac:dyDescent="0.25">
      <c r="T816" s="118"/>
    </row>
    <row r="817" spans="7:20" ht="15.75" customHeight="1" x14ac:dyDescent="0.25">
      <c r="T817" s="118"/>
    </row>
    <row r="818" spans="7:20" ht="15.75" customHeight="1" x14ac:dyDescent="0.25">
      <c r="T818" s="118"/>
    </row>
    <row r="819" spans="7:20" ht="15.75" customHeight="1" x14ac:dyDescent="0.25">
      <c r="T819" s="118"/>
    </row>
    <row r="820" spans="7:20" ht="15.75" customHeight="1" x14ac:dyDescent="0.25">
      <c r="T820" s="118"/>
    </row>
    <row r="821" spans="7:20" ht="15.75" hidden="1" customHeight="1" x14ac:dyDescent="0.25">
      <c r="G821" s="643" t="s">
        <v>180</v>
      </c>
      <c r="H821" s="643"/>
      <c r="I821" s="643"/>
      <c r="T821" s="118"/>
    </row>
    <row r="822" spans="7:20" ht="15.75" hidden="1" customHeight="1" x14ac:dyDescent="0.25">
      <c r="G822" s="181" t="s">
        <v>146</v>
      </c>
      <c r="H822" s="240">
        <f>0.7*$H$60*1000</f>
        <v>24500</v>
      </c>
      <c r="I822" s="231" t="s">
        <v>63</v>
      </c>
      <c r="J822" s="240">
        <f>-0.7*$H$60</f>
        <v>-24.5</v>
      </c>
      <c r="K822" s="231" t="s">
        <v>60</v>
      </c>
      <c r="T822" s="118"/>
    </row>
    <row r="823" spans="7:20" ht="15.75" hidden="1" customHeight="1" x14ac:dyDescent="0.25">
      <c r="G823" s="181"/>
      <c r="I823" s="231"/>
      <c r="K823" s="231"/>
      <c r="T823" s="118"/>
    </row>
    <row r="824" spans="7:20" ht="15.75" hidden="1" customHeight="1" x14ac:dyDescent="0.25">
      <c r="G824" s="181" t="s">
        <v>145</v>
      </c>
      <c r="H824" s="239">
        <f>1.2*0.3*POWER($H$60,2/3)*-1000</f>
        <v>-3851.9549300342842</v>
      </c>
      <c r="I824" s="231" t="s">
        <v>63</v>
      </c>
      <c r="J824" s="245">
        <f>1.2*0.3*POWER($H$60,2/3)</f>
        <v>3.8519549300342844</v>
      </c>
      <c r="K824" s="231" t="s">
        <v>60</v>
      </c>
      <c r="T824" s="118"/>
    </row>
    <row r="825" spans="7:20" ht="15.75" hidden="1" customHeight="1" x14ac:dyDescent="0.25">
      <c r="G825" s="181"/>
      <c r="I825" s="231"/>
      <c r="L825" s="142"/>
      <c r="T825" s="118"/>
    </row>
    <row r="826" spans="7:20" ht="15.75" hidden="1" customHeight="1" x14ac:dyDescent="0.25">
      <c r="T826" s="118"/>
    </row>
    <row r="827" spans="7:20" ht="15.75" hidden="1" customHeight="1" x14ac:dyDescent="0.25">
      <c r="T827" s="118"/>
    </row>
    <row r="828" spans="7:20" ht="15.75" hidden="1" customHeight="1" x14ac:dyDescent="0.25">
      <c r="I828" s="115" t="s">
        <v>182</v>
      </c>
      <c r="T828" s="118"/>
    </row>
    <row r="829" spans="7:20" ht="15.75" hidden="1" customHeight="1" x14ac:dyDescent="0.25">
      <c r="I829" s="209" t="s">
        <v>183</v>
      </c>
      <c r="J829" s="246">
        <f ca="1">((ABS(MAX($I$754:$I$774)))/((ABS(MAX($I$754:$I$774)))+(ABS(MIN($I$777:$I$797))))*(IF($I$16="1 - Retângular",$H$23/100,(#REF!+#REF!+#REF!+#REF!+#REF!)/100)))</f>
        <v>3.221646956493987E-2</v>
      </c>
      <c r="K829" s="231" t="s">
        <v>83</v>
      </c>
      <c r="N829" s="201"/>
      <c r="T829" s="118"/>
    </row>
    <row r="830" spans="7:20" ht="15.75" hidden="1" customHeight="1" x14ac:dyDescent="0.25">
      <c r="I830" s="209" t="s">
        <v>184</v>
      </c>
      <c r="J830" s="245">
        <f ca="1">(ABS(MAX($I$754:$I$774)))*(IF($I$16="1 - Retângular",$H$22/100,(#REF!/100))*J829/2)</f>
        <v>35.455131881346411</v>
      </c>
      <c r="K830" s="231" t="s">
        <v>96</v>
      </c>
      <c r="L830" s="656" t="str">
        <f>IF($I$16="1 - Retângular","Ok",IF((#REF!/100)&lt;J829,"OBS: Valor da linha neutra é MAIOR que hf1 - armadura ativa necessita verificação","Ok"))</f>
        <v>Ok</v>
      </c>
      <c r="M830" s="656"/>
      <c r="N830" s="656"/>
      <c r="T830" s="118"/>
    </row>
    <row r="831" spans="7:20" ht="15.75" hidden="1" customHeight="1" x14ac:dyDescent="0.25">
      <c r="I831" s="255" t="s">
        <v>185</v>
      </c>
      <c r="J831" s="237">
        <f ca="1">J830/((250/1.15)/10)</f>
        <v>1.6309360665419348</v>
      </c>
      <c r="K831" s="231" t="s">
        <v>14</v>
      </c>
      <c r="L831" s="656"/>
      <c r="M831" s="656"/>
      <c r="N831" s="656"/>
      <c r="T831" s="118"/>
    </row>
    <row r="832" spans="7:20" ht="15.75" hidden="1" customHeight="1" x14ac:dyDescent="0.25">
      <c r="J832" s="121"/>
      <c r="L832" s="656"/>
      <c r="M832" s="656"/>
      <c r="N832" s="656"/>
      <c r="T832" s="118"/>
    </row>
    <row r="833" spans="8:20" ht="15.75" hidden="1" customHeight="1" x14ac:dyDescent="0.25">
      <c r="I833" s="209">
        <f ca="1">ROUNDUP(J831/VLOOKUP(K833,$M$836:$N$843,2),0)</f>
        <v>3</v>
      </c>
      <c r="J833" s="119" t="s">
        <v>186</v>
      </c>
      <c r="K833" s="195">
        <v>10</v>
      </c>
      <c r="L833" s="115" t="s">
        <v>187</v>
      </c>
      <c r="T833" s="118"/>
    </row>
    <row r="834" spans="8:20" ht="15.75" hidden="1" customHeight="1" x14ac:dyDescent="0.25">
      <c r="T834" s="118"/>
    </row>
    <row r="835" spans="8:20" ht="15.75" hidden="1" customHeight="1" x14ac:dyDescent="0.25">
      <c r="T835" s="118"/>
    </row>
    <row r="836" spans="8:20" ht="15.75" hidden="1" customHeight="1" x14ac:dyDescent="0.25">
      <c r="I836" s="662" t="s">
        <v>188</v>
      </c>
      <c r="J836" s="662"/>
      <c r="K836" s="662"/>
      <c r="L836" s="662"/>
      <c r="M836" s="150">
        <v>8</v>
      </c>
      <c r="N836" s="268">
        <f>3.14*((M836/2)/10)^2</f>
        <v>0.50240000000000007</v>
      </c>
      <c r="O836" s="115" t="s">
        <v>14</v>
      </c>
      <c r="P836" s="144"/>
      <c r="Q836" s="144"/>
      <c r="T836" s="118"/>
    </row>
    <row r="837" spans="8:20" ht="15.75" hidden="1" customHeight="1" x14ac:dyDescent="0.25">
      <c r="I837" s="663"/>
      <c r="J837" s="663"/>
      <c r="K837" s="663"/>
      <c r="L837" s="663"/>
      <c r="M837" s="150">
        <v>10</v>
      </c>
      <c r="N837" s="268">
        <f t="shared" ref="N837:N843" si="49">3.14*((M837/2)/10)^2</f>
        <v>0.78500000000000003</v>
      </c>
      <c r="O837" s="115" t="s">
        <v>14</v>
      </c>
      <c r="P837" s="144"/>
      <c r="Q837" s="144"/>
      <c r="T837" s="118"/>
    </row>
    <row r="838" spans="8:20" ht="15.75" hidden="1" customHeight="1" x14ac:dyDescent="0.25">
      <c r="I838" s="664"/>
      <c r="J838" s="664"/>
      <c r="K838" s="664"/>
      <c r="L838" s="664"/>
      <c r="M838" s="150">
        <v>12.5</v>
      </c>
      <c r="N838" s="268">
        <f t="shared" si="49"/>
        <v>1.2265625</v>
      </c>
      <c r="O838" s="115" t="s">
        <v>14</v>
      </c>
      <c r="T838" s="118"/>
    </row>
    <row r="839" spans="8:20" ht="15.75" hidden="1" customHeight="1" x14ac:dyDescent="0.25">
      <c r="I839" s="665" t="s">
        <v>189</v>
      </c>
      <c r="J839" s="665"/>
      <c r="K839" s="665"/>
      <c r="L839" s="119" t="s">
        <v>192</v>
      </c>
      <c r="M839" s="150">
        <v>16</v>
      </c>
      <c r="N839" s="268">
        <f t="shared" si="49"/>
        <v>2.0096000000000003</v>
      </c>
      <c r="O839" s="115" t="s">
        <v>14</v>
      </c>
      <c r="T839" s="118"/>
    </row>
    <row r="840" spans="8:20" ht="15.75" hidden="1" customHeight="1" x14ac:dyDescent="0.25">
      <c r="I840" s="643" t="s">
        <v>190</v>
      </c>
      <c r="J840" s="643"/>
      <c r="K840" s="119" t="s">
        <v>193</v>
      </c>
      <c r="L840" s="119" t="s">
        <v>191</v>
      </c>
      <c r="M840" s="150">
        <v>20</v>
      </c>
      <c r="N840" s="268">
        <f t="shared" si="49"/>
        <v>3.14</v>
      </c>
      <c r="O840" s="115" t="s">
        <v>14</v>
      </c>
    </row>
    <row r="841" spans="8:20" ht="15.75" hidden="1" customHeight="1" x14ac:dyDescent="0.25">
      <c r="I841" s="643">
        <v>25</v>
      </c>
      <c r="J841" s="643"/>
      <c r="K841" s="119">
        <v>20</v>
      </c>
      <c r="L841" s="119">
        <v>160</v>
      </c>
      <c r="M841" s="150">
        <v>25</v>
      </c>
      <c r="N841" s="268">
        <f t="shared" si="49"/>
        <v>4.90625</v>
      </c>
      <c r="O841" s="115" t="s">
        <v>14</v>
      </c>
    </row>
    <row r="842" spans="8:20" ht="15.75" hidden="1" customHeight="1" x14ac:dyDescent="0.25">
      <c r="I842" s="643">
        <v>16</v>
      </c>
      <c r="J842" s="643"/>
      <c r="K842" s="119">
        <v>15</v>
      </c>
      <c r="L842" s="119">
        <v>200</v>
      </c>
      <c r="M842" s="150">
        <v>30</v>
      </c>
      <c r="N842" s="268">
        <f t="shared" si="49"/>
        <v>7.0650000000000004</v>
      </c>
      <c r="O842" s="115" t="s">
        <v>14</v>
      </c>
    </row>
    <row r="843" spans="8:20" ht="15.75" hidden="1" customHeight="1" x14ac:dyDescent="0.25">
      <c r="I843" s="643">
        <v>12.5</v>
      </c>
      <c r="J843" s="643"/>
      <c r="K843" s="119">
        <v>10</v>
      </c>
      <c r="L843" s="119">
        <v>240</v>
      </c>
      <c r="M843" s="150">
        <v>32</v>
      </c>
      <c r="N843" s="268">
        <f t="shared" si="49"/>
        <v>8.0384000000000011</v>
      </c>
      <c r="O843" s="115" t="s">
        <v>14</v>
      </c>
    </row>
    <row r="844" spans="8:20" ht="15.75" hidden="1" customHeight="1" x14ac:dyDescent="0.25">
      <c r="I844" s="643">
        <v>8</v>
      </c>
      <c r="J844" s="643"/>
      <c r="K844" s="119">
        <v>5</v>
      </c>
      <c r="L844" s="119">
        <v>280</v>
      </c>
      <c r="M844" s="144"/>
    </row>
    <row r="845" spans="8:20" ht="15.75" hidden="1" customHeight="1" x14ac:dyDescent="0.25">
      <c r="H845" s="144"/>
      <c r="I845" s="720">
        <v>6</v>
      </c>
      <c r="J845" s="720"/>
      <c r="K845" s="131"/>
      <c r="L845" s="131">
        <v>320</v>
      </c>
      <c r="M845" s="144"/>
    </row>
    <row r="846" spans="8:20" ht="15.75" customHeight="1" x14ac:dyDescent="0.25">
      <c r="H846" s="144"/>
      <c r="P846" s="144"/>
      <c r="Q846" s="144"/>
    </row>
    <row r="847" spans="8:20" ht="15.75" customHeight="1" x14ac:dyDescent="0.25">
      <c r="H847" s="144"/>
      <c r="P847" s="144"/>
      <c r="Q847" s="144"/>
    </row>
    <row r="848" spans="8:20" ht="15.75" customHeight="1" x14ac:dyDescent="0.25">
      <c r="H848" s="144"/>
      <c r="P848" s="144"/>
      <c r="Q848" s="144"/>
      <c r="T848" s="118"/>
    </row>
    <row r="849" spans="7:35" ht="29.25" customHeight="1" x14ac:dyDescent="0.25">
      <c r="P849" s="144"/>
      <c r="Q849" s="144"/>
      <c r="AB849" s="135" t="s">
        <v>264</v>
      </c>
      <c r="AC849" s="135" t="s">
        <v>265</v>
      </c>
      <c r="AD849" s="135" t="s">
        <v>266</v>
      </c>
      <c r="AE849" s="135" t="s">
        <v>267</v>
      </c>
      <c r="AF849" s="135" t="s">
        <v>268</v>
      </c>
      <c r="AG849" s="135" t="s">
        <v>269</v>
      </c>
      <c r="AH849" s="135" t="s">
        <v>270</v>
      </c>
      <c r="AI849" s="135" t="s">
        <v>271</v>
      </c>
    </row>
    <row r="850" spans="7:35" ht="29.25" customHeight="1" x14ac:dyDescent="0.25">
      <c r="P850" s="144"/>
      <c r="Q850" s="144"/>
      <c r="AB850" s="256"/>
      <c r="AC850" s="256"/>
      <c r="AD850" s="256"/>
      <c r="AE850" s="256"/>
      <c r="AF850" s="256"/>
      <c r="AG850" s="256"/>
      <c r="AH850" s="256"/>
      <c r="AI850" s="256"/>
    </row>
    <row r="851" spans="7:35" x14ac:dyDescent="0.25">
      <c r="AB851" s="140">
        <v>0</v>
      </c>
      <c r="AC851" s="140">
        <v>0</v>
      </c>
      <c r="AD851" s="140">
        <v>1</v>
      </c>
      <c r="AE851" s="140">
        <v>0</v>
      </c>
      <c r="AF851" s="140">
        <v>10</v>
      </c>
      <c r="AG851" s="140">
        <v>21.74</v>
      </c>
      <c r="AH851" s="140">
        <v>43.48</v>
      </c>
      <c r="AI851" s="140">
        <v>52.17</v>
      </c>
    </row>
    <row r="852" spans="7:35" x14ac:dyDescent="0.25">
      <c r="G852" s="209" t="s">
        <v>600</v>
      </c>
      <c r="H852" s="240">
        <v>0.25900000000000001</v>
      </c>
      <c r="K852" s="230" t="s">
        <v>206</v>
      </c>
      <c r="L852" s="258">
        <f ca="1">(J81+J82)*K51+(J83+J84+J85+J86)*K52</f>
        <v>244.48552795225243</v>
      </c>
      <c r="M852" s="231" t="s">
        <v>33</v>
      </c>
      <c r="N852" s="209"/>
      <c r="AB852" s="140">
        <v>5.0000000000000001E-3</v>
      </c>
      <c r="AC852" s="140">
        <v>7.0000000000000001E-3</v>
      </c>
      <c r="AD852" s="140">
        <v>0.997</v>
      </c>
      <c r="AE852" s="140">
        <v>7.0000000000000007E-2</v>
      </c>
      <c r="AF852" s="140">
        <v>10</v>
      </c>
      <c r="AG852" s="140">
        <v>21.68</v>
      </c>
      <c r="AH852" s="140">
        <v>43.35</v>
      </c>
      <c r="AI852" s="140">
        <v>52.02</v>
      </c>
    </row>
    <row r="853" spans="7:35" x14ac:dyDescent="0.25">
      <c r="G853" s="209" t="s">
        <v>601</v>
      </c>
      <c r="H853" s="240">
        <v>0.628</v>
      </c>
      <c r="K853" s="230" t="s">
        <v>209</v>
      </c>
      <c r="L853" s="259">
        <f ca="1">L852/((H22/100)*((H30+H33-M121)/100)^2*(H59*1000)/K52)</f>
        <v>0.12520520864495779</v>
      </c>
      <c r="M853" s="283"/>
      <c r="R853" s="189"/>
      <c r="U853" s="115" t="b">
        <f ca="1">IF(L853&lt;AB853,"Estádio I")</f>
        <v>0</v>
      </c>
      <c r="AB853" s="140">
        <v>0.01</v>
      </c>
      <c r="AC853" s="140">
        <v>1.4999999999999999E-2</v>
      </c>
      <c r="AD853" s="140">
        <v>0.99399999999999999</v>
      </c>
      <c r="AE853" s="140">
        <v>0.15</v>
      </c>
      <c r="AF853" s="140">
        <v>10</v>
      </c>
      <c r="AG853" s="140">
        <v>21.61</v>
      </c>
      <c r="AH853" s="140">
        <v>43.22</v>
      </c>
      <c r="AI853" s="140">
        <v>51.86</v>
      </c>
    </row>
    <row r="854" spans="7:35" x14ac:dyDescent="0.25">
      <c r="G854" s="209" t="s">
        <v>602</v>
      </c>
      <c r="H854" s="246">
        <f ca="1">L858/(H23+H33-H144)</f>
        <v>0.38589657515437231</v>
      </c>
      <c r="I854" s="284" t="str">
        <f ca="1">IF(H855&gt;=H854,"Armadura simples","Armadura dupla")</f>
        <v>Armadura simples</v>
      </c>
      <c r="K854" s="230" t="s">
        <v>210</v>
      </c>
      <c r="L854" s="259">
        <f ca="1">IFERROR(IF(INDEX($AB$851:$AB$888,MATCH(L853,$AB$851:$AB$888,1))=IF(INDEX($AB$851:$AB$888,MATCH(L853,$AB$851:$AB$888,1)+1)="",INDEX($AB$851:$AB$888,MATCH(L853,$AB$851:$AB$888,1)+2),INDEX($AB$851:$AB$888,MATCH(L853,$AB$851:$AB$888,1)+1)),INDEX($AC$851:$AC$888,MATCH(L853,$AB$851:$AB$888,1)),INDEX($AC$851:$AC$888,MATCH(L853,$AB$851:$AB$888,1))+(IF(INDEX($AC$851:$AC$888,MATCH(L853,$AB$851:$AB$888,1)+1)="",INDEX($AC$851:$AC$888,MATCH(L853,$AB$851:$AB$888,1)+2),INDEX($AC$851:$AC$888,MATCH(L853,$AB$851:$AB$888,1)+1))-INDEX($AC$851:$AC$888,MATCH(L853,$AB$851:$AB$888,1)))*(L853-INDEX($AB$851:$AB$888,MATCH(L853,$AB$851:$AB$888,1)))/(IF(INDEX($AB$851:$AB$888,MATCH(L853,$AB$851:$AB$888,1)+1)="",INDEX($AB$851:$AB$888,MATCH(L853,$AB$851:$AB$888,1)+2),INDEX($AB$851:$AB$888,MATCH(L853,$AB$851:$AB$888,1)+1))-INDEX($AB$851:$AB$888,MATCH(L853,$AB$851:$AB$888,1)))),INDEX($AC$851:$AC$888,MATCH(L853,$AB$851:$AB$888,1)))</f>
        <v>0.20036937556092405</v>
      </c>
      <c r="M854" s="231"/>
      <c r="Q854" s="120"/>
      <c r="R854" s="187"/>
      <c r="AB854" s="140">
        <v>1.4999999999999999E-2</v>
      </c>
      <c r="AC854" s="140">
        <v>2.1999999999999999E-2</v>
      </c>
      <c r="AD854" s="140">
        <v>0.99099999999999999</v>
      </c>
      <c r="AE854" s="140">
        <v>0.23</v>
      </c>
      <c r="AF854" s="140">
        <v>10</v>
      </c>
      <c r="AG854" s="140">
        <v>21.55</v>
      </c>
      <c r="AH854" s="140">
        <v>43.09</v>
      </c>
      <c r="AI854" s="140">
        <v>51.71</v>
      </c>
    </row>
    <row r="855" spans="7:35" x14ac:dyDescent="0.25">
      <c r="G855" s="209" t="s">
        <v>603</v>
      </c>
      <c r="H855" s="237">
        <v>0.45</v>
      </c>
      <c r="I855" s="231" t="s">
        <v>604</v>
      </c>
      <c r="K855" s="230" t="s">
        <v>211</v>
      </c>
      <c r="L855" s="259">
        <f ca="1">IFERROR(IF(INDEX($AB$851:$AB$888,MATCH(L853,$AB$851:$AB$888,1))=IF(INDEX($AB$851:$AB$888,MATCH(L853,$AB$851:$AB$888,1)+1)="",INDEX($AB$851:$AB$888,MATCH(L853,$AB$851:$AB$888,1)+2),INDEX($AB$851:$AB$888,MATCH(L853,$AB$851:$AB$888,1)+1)),INDEX($AD$851:$AD$888,MATCH(L853,$AB$851:$AB$888,1)),INDEX($AD$851:$AD$888,MATCH(L853,$AB$851:$AB$888,1))+(IF(INDEX($AD$851:$AD$888,MATCH(L853,$AB$851:$AB$888,1)+1)="",INDEX($AD$851:$AD$888,MATCH(L853,$AB$851:$AB$888,1)+2),INDEX($AD$851:$AD$888,MATCH(L853,$AB$851:$AB$888,1)+1))-INDEX($AD$851:$AD$888,MATCH(L853,$AB$851:$AB$888,1)))*(L853-INDEX($AB$851:$AB$888,MATCH(L853,$AB$851:$AB$888,1)))/(IF(INDEX($AB$851:$AB$888,MATCH(L853,$AB$851:$AB$888,1)+1)="",INDEX($AB$851:$AB$888,MATCH(L853,$AB$851:$AB$888,1)+2),INDEX($AB$851:$AB$888,MATCH(L853,$AB$851:$AB$888,1)+1))-INDEX($AB$851:$AB$888,MATCH(L853,$AB$851:$AB$888,1)))),INDEX($AD$851:$AD$888,MATCH(L853,$AB$851:$AB$888,1)))</f>
        <v>0.91987687481302538</v>
      </c>
      <c r="M855" s="231"/>
      <c r="Q855" s="122"/>
      <c r="R855" s="197"/>
      <c r="AB855" s="140">
        <v>0.02</v>
      </c>
      <c r="AC855" s="140">
        <v>0.03</v>
      </c>
      <c r="AD855" s="140">
        <v>0.98799999999999999</v>
      </c>
      <c r="AE855" s="140">
        <v>0.31</v>
      </c>
      <c r="AF855" s="140">
        <v>10</v>
      </c>
      <c r="AG855" s="140">
        <v>21.48</v>
      </c>
      <c r="AH855" s="140">
        <v>42.96</v>
      </c>
      <c r="AI855" s="140">
        <v>51.55</v>
      </c>
    </row>
    <row r="856" spans="7:35" ht="15.75" thickBot="1" x14ac:dyDescent="0.3">
      <c r="K856" s="257" t="s">
        <v>212</v>
      </c>
      <c r="L856" s="260">
        <f ca="1">IFERROR(IF(INDEX($AB$851:$AB$888,MATCH(L853,$AB$851:$AB$888,1))=IF(INDEX($AB$851:$AB$888,MATCH(L853,$AB$851:$AB$888,1)+1)="",INDEX($AB$851:$AB$888,MATCH(L853,$AB$851:$AB$888,1)+2),INDEX($AB$851:$AB$888,MATCH(L853,$AB$851:$AB$888,1)+1)),INDEX($AF$851:$AF$888,MATCH(L853,$AB$851:$AB$888,1)),INDEX($AF$851:$AF$888,MATCH(L853,$AB$851:$AB$888,1))+(IF(INDEX($AF$851:$AF$888,MATCH(L853,$AB$851:$AB$888,1)+1)="",INDEX($AF$851:$AF$888,MATCH(L853,$AB$851:$AB$888,1)+2),INDEX($AF$851:$AF$888,MATCH(L853,$AB$851:$AB$888,1)+1))-INDEX($AF$851:$AF$888,MATCH(L853,$AB$851:$AB$888,1)))*(L853-INDEX($AB$851:$AB$888,MATCH(L853,$AB$851:$AB$888,1)))/(IF(INDEX($AB$851:$AB$888,MATCH(L853,$AB$851:$AB$888,1)+1)="",INDEX($AB$851:$AB$888,MATCH(L853,$AB$851:$AB$888,1)+2),INDEX($AB$851:$AB$888,MATCH(L853,$AB$851:$AB$888,1)+1))-INDEX($AB$851:$AB$888,MATCH(L853,$AB$851:$AB$888,1)))),INDEX($AF$851:$AF$888,MATCH(L853,$AB$851:$AB$888,1)))</f>
        <v>10</v>
      </c>
      <c r="M856" s="231"/>
      <c r="AB856" s="140">
        <v>2.5000000000000001E-2</v>
      </c>
      <c r="AC856" s="140">
        <v>3.6999999999999998E-2</v>
      </c>
      <c r="AD856" s="140">
        <v>0.98499999999999999</v>
      </c>
      <c r="AE856" s="140">
        <v>0.39</v>
      </c>
      <c r="AF856" s="140">
        <v>10</v>
      </c>
      <c r="AG856" s="140">
        <v>21.42</v>
      </c>
      <c r="AH856" s="140">
        <v>42.83</v>
      </c>
      <c r="AI856" s="140">
        <v>51.39</v>
      </c>
    </row>
    <row r="857" spans="7:35" x14ac:dyDescent="0.25">
      <c r="H857" s="667" t="str">
        <f ca="1">IF(H854&lt;H852,"Domínio 2",IF(AND(H854&gt;H852,H854&lt;H853),"Domínio 3",IF(H854&gt;H853,"Domínio 4")))</f>
        <v>Domínio 3</v>
      </c>
      <c r="K857" s="666" t="s">
        <v>183</v>
      </c>
      <c r="L857" s="259">
        <f ca="1">((H23+H30+H33-H144)/100)*L854</f>
        <v>0.10419207529168051</v>
      </c>
      <c r="M857" s="231" t="s">
        <v>83</v>
      </c>
      <c r="AB857" s="140">
        <v>0.03</v>
      </c>
      <c r="AC857" s="140">
        <v>4.4999999999999998E-2</v>
      </c>
      <c r="AD857" s="140">
        <v>0.98199999999999998</v>
      </c>
      <c r="AE857" s="140">
        <v>0.47</v>
      </c>
      <c r="AF857" s="140">
        <v>10</v>
      </c>
      <c r="AG857" s="140">
        <v>21.35</v>
      </c>
      <c r="AH857" s="140">
        <v>42.7</v>
      </c>
      <c r="AI857" s="140">
        <v>51.23</v>
      </c>
    </row>
    <row r="858" spans="7:35" ht="15.75" thickBot="1" x14ac:dyDescent="0.3">
      <c r="H858" s="668"/>
      <c r="K858" s="666"/>
      <c r="L858" s="240">
        <f ca="1">L857*100</f>
        <v>10.419207529168052</v>
      </c>
      <c r="M858" s="231" t="s">
        <v>80</v>
      </c>
      <c r="AB858" s="140">
        <v>3.5000000000000003E-2</v>
      </c>
      <c r="AC858" s="140">
        <v>5.2999999999999999E-2</v>
      </c>
      <c r="AD858" s="140">
        <v>0.97899999999999998</v>
      </c>
      <c r="AE858" s="140">
        <v>0.55000000000000004</v>
      </c>
      <c r="AF858" s="140">
        <v>10</v>
      </c>
      <c r="AG858" s="140">
        <v>21.29</v>
      </c>
      <c r="AH858" s="140">
        <v>42.57</v>
      </c>
      <c r="AI858" s="140">
        <v>51.08</v>
      </c>
    </row>
    <row r="859" spans="7:35" x14ac:dyDescent="0.25">
      <c r="H859" s="119"/>
      <c r="L859" s="231"/>
      <c r="AB859" s="140">
        <v>0.04</v>
      </c>
      <c r="AC859" s="140">
        <v>0.06</v>
      </c>
      <c r="AD859" s="140">
        <v>0.97599999999999998</v>
      </c>
      <c r="AE859" s="140">
        <v>0.64</v>
      </c>
      <c r="AF859" s="140">
        <v>10</v>
      </c>
      <c r="AG859" s="140">
        <v>21.22</v>
      </c>
      <c r="AH859" s="140">
        <v>42.43</v>
      </c>
      <c r="AI859" s="140">
        <v>50.91</v>
      </c>
    </row>
    <row r="860" spans="7:35" x14ac:dyDescent="0.25">
      <c r="G860" s="635" t="s">
        <v>560</v>
      </c>
      <c r="H860" s="635"/>
      <c r="I860" s="635"/>
      <c r="J860" s="635"/>
      <c r="K860" s="635"/>
      <c r="L860" s="635"/>
      <c r="M860" s="635"/>
      <c r="N860" s="635"/>
      <c r="AB860" s="140">
        <v>4.4999999999999998E-2</v>
      </c>
      <c r="AC860" s="140">
        <v>6.8000000000000005E-2</v>
      </c>
      <c r="AD860" s="140">
        <v>0.97299999999999998</v>
      </c>
      <c r="AE860" s="140">
        <v>0.72</v>
      </c>
      <c r="AF860" s="140">
        <v>10</v>
      </c>
      <c r="AG860" s="140">
        <v>21.16</v>
      </c>
      <c r="AH860" s="140">
        <v>42.3</v>
      </c>
      <c r="AI860" s="140">
        <v>50.75</v>
      </c>
    </row>
    <row r="861" spans="7:35" x14ac:dyDescent="0.25">
      <c r="AB861" s="140">
        <v>0.05</v>
      </c>
      <c r="AC861" s="140">
        <v>7.5999999999999998E-2</v>
      </c>
      <c r="AD861" s="140">
        <v>0.97</v>
      </c>
      <c r="AE861" s="140">
        <v>0.8</v>
      </c>
      <c r="AF861" s="140">
        <v>10</v>
      </c>
      <c r="AG861" s="140">
        <v>21.09</v>
      </c>
      <c r="AH861" s="140">
        <v>42.17</v>
      </c>
      <c r="AI861" s="140">
        <v>50.59</v>
      </c>
    </row>
    <row r="862" spans="7:35" x14ac:dyDescent="0.25">
      <c r="G862" s="643" t="s">
        <v>561</v>
      </c>
      <c r="H862" s="643"/>
      <c r="AB862" s="140">
        <v>7.4999999999999997E-2</v>
      </c>
      <c r="AC862" s="140">
        <v>0.114</v>
      </c>
      <c r="AD862" s="140">
        <v>0.95499999999999996</v>
      </c>
      <c r="AE862" s="140">
        <v>1.21</v>
      </c>
      <c r="AF862" s="140">
        <v>10</v>
      </c>
      <c r="AG862" s="140">
        <v>20.77</v>
      </c>
      <c r="AH862" s="140">
        <v>41.53</v>
      </c>
      <c r="AI862" s="140">
        <v>49.77</v>
      </c>
    </row>
    <row r="863" spans="7:35" x14ac:dyDescent="0.25">
      <c r="G863" s="209" t="s">
        <v>562</v>
      </c>
      <c r="H863" s="240">
        <f>H58</f>
        <v>50</v>
      </c>
      <c r="I863" s="231" t="s">
        <v>60</v>
      </c>
      <c r="AB863" s="140">
        <v>0.08</v>
      </c>
      <c r="AC863" s="140">
        <v>0.122</v>
      </c>
      <c r="AD863" s="140">
        <v>0.95199999999999996</v>
      </c>
      <c r="AE863" s="140">
        <v>1.29</v>
      </c>
      <c r="AF863" s="140">
        <v>10</v>
      </c>
      <c r="AG863" s="140">
        <v>20.7</v>
      </c>
      <c r="AH863" s="140">
        <v>41.4</v>
      </c>
      <c r="AI863" s="140">
        <v>49.61</v>
      </c>
    </row>
    <row r="864" spans="7:35" x14ac:dyDescent="0.25">
      <c r="G864" s="209" t="s">
        <v>563</v>
      </c>
      <c r="H864" s="236">
        <v>1</v>
      </c>
      <c r="I864" s="231"/>
      <c r="AB864" s="140">
        <v>8.5000000000000006E-2</v>
      </c>
      <c r="AC864" s="140">
        <v>0.129</v>
      </c>
      <c r="AD864" s="140">
        <v>0.94899999999999995</v>
      </c>
      <c r="AE864" s="140">
        <v>1.37</v>
      </c>
      <c r="AF864" s="140">
        <v>10</v>
      </c>
      <c r="AG864" s="140">
        <v>20.64</v>
      </c>
      <c r="AH864" s="140">
        <v>41.27</v>
      </c>
      <c r="AI864" s="140">
        <v>49.44</v>
      </c>
    </row>
    <row r="865" spans="7:35" x14ac:dyDescent="0.25">
      <c r="G865" s="209" t="s">
        <v>564</v>
      </c>
      <c r="H865" s="325">
        <f>0.8+0.2*(H863/80)</f>
        <v>0.92500000000000004</v>
      </c>
      <c r="I865" s="231"/>
      <c r="AB865" s="140">
        <v>0.09</v>
      </c>
      <c r="AC865" s="140">
        <v>0.13700000000000001</v>
      </c>
      <c r="AD865" s="140">
        <v>0.94599999999999995</v>
      </c>
      <c r="AE865" s="140">
        <v>1.45</v>
      </c>
      <c r="AF865" s="140">
        <v>10</v>
      </c>
      <c r="AG865" s="140">
        <v>20.57</v>
      </c>
      <c r="AH865" s="140">
        <v>41.14</v>
      </c>
      <c r="AI865" s="140">
        <v>49.28</v>
      </c>
    </row>
    <row r="866" spans="7:35" x14ac:dyDescent="0.25">
      <c r="G866" s="209" t="s">
        <v>565</v>
      </c>
      <c r="H866" s="237">
        <f>IF(H863&lt;=50,H864*5600*SQRT(H863)/1000,21.5*10^3*H864*((H863/10)+1.25)^(1/3)/1000)</f>
        <v>39.597979746446661</v>
      </c>
      <c r="I866" s="231" t="s">
        <v>215</v>
      </c>
      <c r="J866" s="231" t="s">
        <v>566</v>
      </c>
      <c r="AB866" s="140">
        <v>9.5000000000000001E-2</v>
      </c>
      <c r="AC866" s="140">
        <v>0.14499999999999999</v>
      </c>
      <c r="AD866" s="140">
        <v>0.94299999999999995</v>
      </c>
      <c r="AE866" s="140">
        <v>1.53</v>
      </c>
      <c r="AF866" s="140">
        <v>10</v>
      </c>
      <c r="AG866" s="140">
        <v>20.51</v>
      </c>
      <c r="AH866" s="140">
        <v>41.01</v>
      </c>
      <c r="AI866" s="140">
        <v>49.12</v>
      </c>
    </row>
    <row r="867" spans="7:35" x14ac:dyDescent="0.25">
      <c r="G867" s="209" t="s">
        <v>567</v>
      </c>
      <c r="H867" s="237">
        <f>H866*H865</f>
        <v>36.628131265463161</v>
      </c>
      <c r="I867" s="231" t="s">
        <v>216</v>
      </c>
      <c r="J867" s="231" t="s">
        <v>568</v>
      </c>
      <c r="AB867" s="140">
        <v>0.1</v>
      </c>
      <c r="AC867" s="140">
        <v>0.152</v>
      </c>
      <c r="AD867" s="140">
        <v>0.94</v>
      </c>
      <c r="AE867" s="140">
        <v>1.62</v>
      </c>
      <c r="AF867" s="140">
        <v>10</v>
      </c>
      <c r="AG867" s="140">
        <v>20.440000000000001</v>
      </c>
      <c r="AH867" s="140">
        <v>40.880000000000003</v>
      </c>
      <c r="AI867" s="140">
        <v>48.95</v>
      </c>
    </row>
    <row r="868" spans="7:35" x14ac:dyDescent="0.25">
      <c r="G868" s="209" t="s">
        <v>569</v>
      </c>
      <c r="H868" s="237">
        <f>IF(H863&lt;50,0.3*H863^(2/3),2.12*LN(1+0.1*(H863+8)))</f>
        <v>4.0638759378259692</v>
      </c>
      <c r="I868" s="231" t="s">
        <v>50</v>
      </c>
      <c r="J868" s="231" t="s">
        <v>570</v>
      </c>
      <c r="AB868" s="140">
        <v>0.105</v>
      </c>
      <c r="AC868" s="140">
        <v>0.16</v>
      </c>
      <c r="AD868" s="140">
        <v>0.93700000000000006</v>
      </c>
      <c r="AE868" s="140">
        <v>1.7</v>
      </c>
      <c r="AF868" s="140">
        <v>10</v>
      </c>
      <c r="AG868" s="140">
        <v>20.38</v>
      </c>
      <c r="AH868" s="140">
        <v>40.75</v>
      </c>
      <c r="AI868" s="140">
        <v>48.79</v>
      </c>
    </row>
    <row r="869" spans="7:35" x14ac:dyDescent="0.25">
      <c r="I869" s="231"/>
      <c r="J869" s="231"/>
      <c r="AB869" s="140">
        <v>0.11</v>
      </c>
      <c r="AC869" s="140">
        <v>0.16800000000000001</v>
      </c>
      <c r="AD869" s="140">
        <v>0.93400000000000005</v>
      </c>
      <c r="AE869" s="140">
        <v>1.78</v>
      </c>
      <c r="AF869" s="140">
        <v>10</v>
      </c>
      <c r="AG869" s="140">
        <v>20.309999999999999</v>
      </c>
      <c r="AH869" s="140">
        <v>40.619999999999997</v>
      </c>
      <c r="AI869" s="140">
        <v>48.63</v>
      </c>
    </row>
    <row r="870" spans="7:35" x14ac:dyDescent="0.25">
      <c r="G870" s="643" t="s">
        <v>571</v>
      </c>
      <c r="H870" s="643"/>
      <c r="I870" s="231"/>
      <c r="J870" s="231"/>
      <c r="AB870" s="140">
        <v>0.115</v>
      </c>
      <c r="AC870" s="140">
        <v>0.17499999999999999</v>
      </c>
      <c r="AD870" s="140">
        <v>0.93100000000000005</v>
      </c>
      <c r="AE870" s="140">
        <v>1.86</v>
      </c>
      <c r="AF870" s="140">
        <v>10</v>
      </c>
      <c r="AG870" s="140">
        <v>20.25</v>
      </c>
      <c r="AH870" s="140">
        <v>40.5</v>
      </c>
      <c r="AI870" s="140">
        <v>48.46</v>
      </c>
    </row>
    <row r="871" spans="7:35" x14ac:dyDescent="0.25">
      <c r="G871" s="209" t="s">
        <v>572</v>
      </c>
      <c r="H871" s="240">
        <f>H60</f>
        <v>35</v>
      </c>
      <c r="I871" s="231" t="s">
        <v>60</v>
      </c>
      <c r="J871" s="231"/>
      <c r="AB871" s="140">
        <v>0.12</v>
      </c>
      <c r="AC871" s="140">
        <v>0.183</v>
      </c>
      <c r="AD871" s="140">
        <v>0.92800000000000005</v>
      </c>
      <c r="AE871" s="140">
        <v>1.94</v>
      </c>
      <c r="AF871" s="140">
        <v>10</v>
      </c>
      <c r="AG871" s="140">
        <v>20.18</v>
      </c>
      <c r="AH871" s="140">
        <v>40.369999999999997</v>
      </c>
      <c r="AI871" s="140">
        <v>48.3</v>
      </c>
    </row>
    <row r="872" spans="7:35" x14ac:dyDescent="0.25">
      <c r="G872" s="209" t="s">
        <v>563</v>
      </c>
      <c r="H872" s="236">
        <v>1</v>
      </c>
      <c r="I872" s="231"/>
      <c r="J872" s="231"/>
      <c r="AB872" s="140">
        <v>0.125</v>
      </c>
      <c r="AC872" s="140">
        <v>0.2</v>
      </c>
      <c r="AD872" s="140">
        <v>0.92</v>
      </c>
      <c r="AE872" s="140">
        <v>2.5</v>
      </c>
      <c r="AF872" s="140">
        <v>10</v>
      </c>
      <c r="AG872" s="140">
        <v>20</v>
      </c>
      <c r="AH872" s="140">
        <v>40.01</v>
      </c>
      <c r="AI872" s="140">
        <v>48</v>
      </c>
    </row>
    <row r="873" spans="7:35" x14ac:dyDescent="0.25">
      <c r="G873" s="209" t="s">
        <v>564</v>
      </c>
      <c r="H873" s="325">
        <f>0.8+0.2*(H871/80)</f>
        <v>0.88750000000000007</v>
      </c>
      <c r="I873" s="231"/>
      <c r="J873" s="231"/>
      <c r="AB873" s="140">
        <v>0.13</v>
      </c>
      <c r="AC873" s="140">
        <v>0.20899999999999999</v>
      </c>
      <c r="AD873" s="140">
        <v>0.91700000000000004</v>
      </c>
      <c r="AE873" s="140">
        <v>2.41</v>
      </c>
      <c r="AF873" s="140">
        <v>10</v>
      </c>
      <c r="AG873" s="140">
        <v>19.940000000000001</v>
      </c>
      <c r="AH873" s="140">
        <v>39.869999999999997</v>
      </c>
      <c r="AI873" s="140">
        <v>47.83</v>
      </c>
    </row>
    <row r="874" spans="7:35" x14ac:dyDescent="0.25">
      <c r="G874" s="209" t="s">
        <v>565</v>
      </c>
      <c r="H874" s="237">
        <f>IF(H871&lt;=50,H872*5600*SQRT(H871)/1000,21.5*10^3*H872*((H871/10)+1.25)^(1/3)/1000)</f>
        <v>33.130046785357855</v>
      </c>
      <c r="I874" s="231" t="s">
        <v>215</v>
      </c>
      <c r="J874" s="231" t="s">
        <v>566</v>
      </c>
      <c r="AB874" s="140">
        <v>0.13500000000000001</v>
      </c>
      <c r="AC874" s="140">
        <v>0.217</v>
      </c>
      <c r="AD874" s="140">
        <v>0.91300000000000003</v>
      </c>
      <c r="AE874" s="140">
        <v>2.78</v>
      </c>
      <c r="AF874" s="140">
        <v>10</v>
      </c>
      <c r="AG874" s="140">
        <v>19.87</v>
      </c>
      <c r="AH874" s="140">
        <v>39.729999999999997</v>
      </c>
      <c r="AI874" s="140">
        <v>47.67</v>
      </c>
    </row>
    <row r="875" spans="7:35" x14ac:dyDescent="0.25">
      <c r="G875" s="209" t="s">
        <v>567</v>
      </c>
      <c r="H875" s="237">
        <f>H874*H873</f>
        <v>29.4029165220051</v>
      </c>
      <c r="I875" s="231" t="s">
        <v>216</v>
      </c>
      <c r="J875" s="231" t="s">
        <v>568</v>
      </c>
      <c r="AB875" s="140">
        <v>0.14000000000000001</v>
      </c>
      <c r="AC875" s="140">
        <v>0.22600000000000001</v>
      </c>
      <c r="AD875" s="140">
        <v>0.91</v>
      </c>
      <c r="AE875" s="140">
        <v>2.86</v>
      </c>
      <c r="AF875" s="140">
        <v>10</v>
      </c>
      <c r="AG875" s="140">
        <v>19.809999999999999</v>
      </c>
      <c r="AH875" s="140">
        <v>39.590000000000003</v>
      </c>
      <c r="AI875" s="140">
        <v>47.5</v>
      </c>
    </row>
    <row r="876" spans="7:35" x14ac:dyDescent="0.25">
      <c r="G876" s="209" t="s">
        <v>569</v>
      </c>
      <c r="H876" s="237">
        <f>IF(H871&lt;50,0.3*H871^(2/3),2.12*LN(1+0.1*(H871+8)))</f>
        <v>3.2099624416952368</v>
      </c>
      <c r="I876" s="231" t="s">
        <v>50</v>
      </c>
      <c r="J876" s="231" t="s">
        <v>570</v>
      </c>
      <c r="AB876" s="140">
        <v>0.14499999999999999</v>
      </c>
      <c r="AC876" s="140">
        <v>0.23499999999999999</v>
      </c>
      <c r="AD876" s="140">
        <v>0.90600000000000003</v>
      </c>
      <c r="AE876" s="140">
        <v>3.03</v>
      </c>
      <c r="AF876" s="140">
        <v>10</v>
      </c>
      <c r="AG876" s="140">
        <v>19.739999999999998</v>
      </c>
      <c r="AH876" s="140">
        <v>39.450000000000003</v>
      </c>
      <c r="AI876" s="140">
        <v>47.33</v>
      </c>
    </row>
    <row r="877" spans="7:35" x14ac:dyDescent="0.25">
      <c r="I877" s="231"/>
      <c r="J877" s="231"/>
      <c r="AB877" s="140">
        <v>0.19500000000000001</v>
      </c>
      <c r="AC877" s="140">
        <v>0.33</v>
      </c>
      <c r="AD877" s="140">
        <v>0.86699999999999999</v>
      </c>
      <c r="AE877" s="140">
        <v>3.5</v>
      </c>
      <c r="AF877" s="140">
        <v>7.09</v>
      </c>
      <c r="AG877" s="140">
        <v>18.87</v>
      </c>
      <c r="AH877" s="140">
        <v>37.729999999999997</v>
      </c>
      <c r="AI877" s="140">
        <v>45.47</v>
      </c>
    </row>
    <row r="878" spans="7:35" x14ac:dyDescent="0.25">
      <c r="G878" s="643" t="s">
        <v>573</v>
      </c>
      <c r="H878" s="643"/>
      <c r="I878" s="231"/>
      <c r="J878" s="231"/>
      <c r="AB878" s="140">
        <v>0.2</v>
      </c>
      <c r="AC878" s="140">
        <v>0.34</v>
      </c>
      <c r="AD878" s="140">
        <v>0.86399999999999999</v>
      </c>
      <c r="AE878" s="140">
        <v>3.5</v>
      </c>
      <c r="AF878" s="140">
        <v>6.78</v>
      </c>
      <c r="AG878" s="140">
        <v>18.8</v>
      </c>
      <c r="AH878" s="140">
        <v>37.590000000000003</v>
      </c>
      <c r="AI878" s="140">
        <v>45.31</v>
      </c>
    </row>
    <row r="879" spans="7:35" x14ac:dyDescent="0.25">
      <c r="G879" s="209" t="s">
        <v>572</v>
      </c>
      <c r="H879" s="240">
        <f>H59</f>
        <v>30</v>
      </c>
      <c r="I879" s="231" t="s">
        <v>60</v>
      </c>
      <c r="J879" s="231"/>
      <c r="AB879" s="140">
        <v>0.20499999999999999</v>
      </c>
      <c r="AC879" s="140">
        <v>0.35099999999999998</v>
      </c>
      <c r="AD879" s="140">
        <v>0.86</v>
      </c>
      <c r="AE879" s="140">
        <v>3.5</v>
      </c>
      <c r="AF879" s="140">
        <v>6.48</v>
      </c>
      <c r="AG879" s="140">
        <v>18.690000000000001</v>
      </c>
      <c r="AH879" s="140">
        <v>37.380000000000003</v>
      </c>
      <c r="AI879" s="140">
        <v>45.06</v>
      </c>
    </row>
    <row r="880" spans="7:35" x14ac:dyDescent="0.25">
      <c r="G880" s="209" t="s">
        <v>563</v>
      </c>
      <c r="H880" s="236">
        <v>1</v>
      </c>
      <c r="I880" s="231"/>
      <c r="J880" s="231"/>
      <c r="AB880" s="140">
        <v>0.21</v>
      </c>
      <c r="AC880" s="140">
        <v>0.36099999999999999</v>
      </c>
      <c r="AD880" s="140">
        <v>0.85599999999999998</v>
      </c>
      <c r="AE880" s="140">
        <v>3.5</v>
      </c>
      <c r="AF880" s="140">
        <v>6.2</v>
      </c>
      <c r="AG880" s="140">
        <v>18.61</v>
      </c>
      <c r="AH880" s="140">
        <v>37.229999999999997</v>
      </c>
      <c r="AI880" s="140">
        <v>44.91</v>
      </c>
    </row>
    <row r="881" spans="7:35" x14ac:dyDescent="0.25">
      <c r="G881" s="209" t="s">
        <v>564</v>
      </c>
      <c r="H881" s="325">
        <f>0.8+0.2*(H879/80)</f>
        <v>0.875</v>
      </c>
      <c r="I881" s="231"/>
      <c r="J881" s="231"/>
      <c r="AB881" s="140">
        <v>0.215</v>
      </c>
      <c r="AC881" s="140">
        <v>0.371</v>
      </c>
      <c r="AD881" s="140">
        <v>0.85099999999999998</v>
      </c>
      <c r="AE881" s="140">
        <v>3.5</v>
      </c>
      <c r="AF881" s="140">
        <v>5.93</v>
      </c>
      <c r="AG881" s="140">
        <v>18.510000000000002</v>
      </c>
      <c r="AH881" s="140">
        <v>37.01</v>
      </c>
      <c r="AI881" s="140">
        <v>44.72</v>
      </c>
    </row>
    <row r="882" spans="7:35" x14ac:dyDescent="0.25">
      <c r="G882" s="209" t="s">
        <v>565</v>
      </c>
      <c r="H882" s="237">
        <f>IF(H879&lt;=50,H880*5600*SQRT(H879)/1000,21.5*10^3*H880*((H879/10)+1.25)^(1/3)/1000)</f>
        <v>30.672463220289305</v>
      </c>
      <c r="I882" s="231" t="s">
        <v>215</v>
      </c>
      <c r="J882" s="231" t="s">
        <v>566</v>
      </c>
      <c r="AB882" s="140">
        <v>0.22</v>
      </c>
      <c r="AC882" s="140">
        <v>0.38200000000000001</v>
      </c>
      <c r="AD882" s="140">
        <v>0.84699999999999998</v>
      </c>
      <c r="AE882" s="140">
        <v>3.5</v>
      </c>
      <c r="AF882" s="140">
        <v>5.67</v>
      </c>
      <c r="AG882" s="140">
        <v>18.41</v>
      </c>
      <c r="AH882" s="140">
        <v>36.82</v>
      </c>
      <c r="AI882" s="140">
        <v>44.52</v>
      </c>
    </row>
    <row r="883" spans="7:35" x14ac:dyDescent="0.25">
      <c r="G883" s="209" t="s">
        <v>567</v>
      </c>
      <c r="H883" s="237">
        <f>H882*H881</f>
        <v>26.838405317753143</v>
      </c>
      <c r="I883" s="231" t="s">
        <v>216</v>
      </c>
      <c r="J883" s="231" t="s">
        <v>568</v>
      </c>
      <c r="AB883" s="140">
        <v>0.22500000000000001</v>
      </c>
      <c r="AC883" s="140">
        <v>0.39200000000000002</v>
      </c>
      <c r="AD883" s="140">
        <v>0.84299999999999997</v>
      </c>
      <c r="AE883" s="140">
        <v>3.5</v>
      </c>
      <c r="AF883" s="140">
        <v>5.42</v>
      </c>
      <c r="AG883" s="140">
        <v>18.329999999999998</v>
      </c>
      <c r="AH883" s="140">
        <v>36.659999999999997</v>
      </c>
      <c r="AI883" s="140">
        <v>43.98</v>
      </c>
    </row>
    <row r="884" spans="7:35" x14ac:dyDescent="0.25">
      <c r="G884" s="209" t="s">
        <v>569</v>
      </c>
      <c r="H884" s="237">
        <f>IF(H879&lt;50,0.3*H879^(2/3),2.12*LN(1+0.1*(H879+8)))</f>
        <v>2.896468153816889</v>
      </c>
      <c r="I884" s="231" t="s">
        <v>50</v>
      </c>
      <c r="J884" s="231" t="s">
        <v>570</v>
      </c>
      <c r="AB884" s="140">
        <v>0.23</v>
      </c>
      <c r="AC884" s="140">
        <v>0.40300000000000002</v>
      </c>
      <c r="AD884" s="140">
        <v>0.83899999999999997</v>
      </c>
      <c r="AE884" s="140">
        <v>3.5</v>
      </c>
      <c r="AF884" s="140">
        <v>5.18</v>
      </c>
      <c r="AG884" s="140">
        <v>18.239999999999998</v>
      </c>
      <c r="AH884" s="140">
        <v>36.479999999999997</v>
      </c>
      <c r="AI884" s="140">
        <v>43.78</v>
      </c>
    </row>
    <row r="885" spans="7:35" x14ac:dyDescent="0.25">
      <c r="H885" s="115">
        <f>H882*100</f>
        <v>3067.2463220289305</v>
      </c>
      <c r="AB885" s="140">
        <v>0.23499999999999999</v>
      </c>
      <c r="AC885" s="140">
        <v>0.41399999999999998</v>
      </c>
      <c r="AD885" s="140">
        <v>0.83399999999999996</v>
      </c>
      <c r="AE885" s="140">
        <v>3.5</v>
      </c>
      <c r="AF885" s="140">
        <v>4.95</v>
      </c>
      <c r="AG885" s="140">
        <v>18.14</v>
      </c>
      <c r="AH885" s="140">
        <v>36.29</v>
      </c>
      <c r="AI885" s="140">
        <v>43.53</v>
      </c>
    </row>
    <row r="886" spans="7:35" x14ac:dyDescent="0.25">
      <c r="AB886" s="140">
        <v>0.24</v>
      </c>
      <c r="AC886" s="140">
        <v>0.42499999999999999</v>
      </c>
      <c r="AD886" s="140">
        <v>0.83</v>
      </c>
      <c r="AE886" s="140">
        <v>3.5</v>
      </c>
      <c r="AF886" s="140">
        <v>4.7300000000000004</v>
      </c>
      <c r="AG886" s="140">
        <v>18.04</v>
      </c>
      <c r="AH886" s="140">
        <v>36.08</v>
      </c>
      <c r="AI886" s="140">
        <v>43.28</v>
      </c>
    </row>
    <row r="887" spans="7:35" x14ac:dyDescent="0.25">
      <c r="AB887" s="140">
        <v>0.245</v>
      </c>
      <c r="AC887" s="140">
        <v>0.436</v>
      </c>
      <c r="AD887" s="140">
        <v>0.82499999999999996</v>
      </c>
      <c r="AE887" s="140">
        <v>3.5</v>
      </c>
      <c r="AF887" s="140">
        <v>4.5199999999999996</v>
      </c>
      <c r="AG887" s="140">
        <v>17.940000000000001</v>
      </c>
      <c r="AH887" s="140">
        <v>35.89</v>
      </c>
      <c r="AI887" s="140">
        <v>43.06</v>
      </c>
    </row>
    <row r="888" spans="7:35" x14ac:dyDescent="0.25">
      <c r="G888" s="209" t="s">
        <v>213</v>
      </c>
      <c r="H888" s="261">
        <f ca="1">(L856+H912)</f>
        <v>14.859651760474719</v>
      </c>
      <c r="AB888" s="140">
        <v>0.246</v>
      </c>
      <c r="AC888" s="140">
        <v>0.439</v>
      </c>
      <c r="AD888" s="140">
        <v>0.82399999999999995</v>
      </c>
      <c r="AE888" s="140">
        <v>3.5</v>
      </c>
      <c r="AF888" s="140">
        <v>4.4800000000000004</v>
      </c>
      <c r="AG888" s="140">
        <v>17.920000000000002</v>
      </c>
      <c r="AH888" s="140">
        <v>35.85</v>
      </c>
      <c r="AI888" s="140">
        <v>43.01</v>
      </c>
    </row>
    <row r="889" spans="7:35" x14ac:dyDescent="0.25">
      <c r="G889" s="209" t="s">
        <v>220</v>
      </c>
      <c r="H889" s="254">
        <f ca="1">L852/(L855*((H23+H33-M121)/100)*K897)</f>
        <v>6.5346817110489965</v>
      </c>
      <c r="I889" s="115" t="s">
        <v>14</v>
      </c>
      <c r="J889" s="231" t="s">
        <v>575</v>
      </c>
    </row>
    <row r="890" spans="7:35" x14ac:dyDescent="0.25">
      <c r="G890" s="209"/>
    </row>
    <row r="891" spans="7:35" x14ac:dyDescent="0.25">
      <c r="G891" s="209" t="s">
        <v>221</v>
      </c>
      <c r="H891" s="254">
        <f ca="1">MAX(H889,(I119+H135))</f>
        <v>6.5346817110489965</v>
      </c>
      <c r="I891" s="115" t="s">
        <v>14</v>
      </c>
      <c r="J891" s="231" t="s">
        <v>575</v>
      </c>
    </row>
    <row r="892" spans="7:35" x14ac:dyDescent="0.25">
      <c r="G892" s="209"/>
      <c r="H892" s="120"/>
      <c r="AB892" s="140"/>
      <c r="AC892" s="140"/>
      <c r="AD892" s="140"/>
      <c r="AE892" s="140"/>
      <c r="AF892" s="140"/>
      <c r="AG892" s="140"/>
      <c r="AH892" s="140"/>
      <c r="AI892" s="140"/>
    </row>
    <row r="893" spans="7:35" x14ac:dyDescent="0.25">
      <c r="G893" s="209"/>
      <c r="H893" s="120"/>
      <c r="AB893" s="140"/>
      <c r="AC893" s="140"/>
      <c r="AD893" s="140"/>
      <c r="AE893" s="140"/>
      <c r="AF893" s="140"/>
      <c r="AG893" s="140"/>
      <c r="AH893" s="140"/>
      <c r="AI893" s="140"/>
    </row>
    <row r="894" spans="7:35" hidden="1" x14ac:dyDescent="0.25">
      <c r="G894" s="209"/>
      <c r="I894" s="652" t="s">
        <v>503</v>
      </c>
      <c r="J894" s="652"/>
      <c r="K894" s="652"/>
      <c r="AB894" s="140"/>
      <c r="AC894" s="140"/>
      <c r="AD894" s="140"/>
      <c r="AE894" s="140"/>
      <c r="AF894" s="140"/>
      <c r="AG894" s="140"/>
      <c r="AH894" s="140"/>
      <c r="AI894" s="140"/>
    </row>
    <row r="895" spans="7:35" hidden="1" x14ac:dyDescent="0.25">
      <c r="G895" s="209"/>
      <c r="I895" s="657" t="s">
        <v>499</v>
      </c>
      <c r="J895" s="657"/>
      <c r="K895" s="240">
        <f>H112</f>
        <v>93.632000000000005</v>
      </c>
      <c r="L895" s="231" t="s">
        <v>61</v>
      </c>
      <c r="AB895" s="140"/>
      <c r="AC895" s="140"/>
      <c r="AD895" s="140"/>
      <c r="AE895" s="140"/>
      <c r="AF895" s="140"/>
      <c r="AG895" s="140"/>
      <c r="AH895" s="140"/>
      <c r="AI895" s="140"/>
    </row>
    <row r="896" spans="7:35" hidden="1" x14ac:dyDescent="0.25">
      <c r="G896" s="209"/>
      <c r="I896" s="657"/>
      <c r="J896" s="657"/>
      <c r="K896" s="240">
        <f>K895*10</f>
        <v>936.32</v>
      </c>
      <c r="L896" s="231" t="s">
        <v>61</v>
      </c>
      <c r="AB896" s="140"/>
      <c r="AC896" s="140"/>
      <c r="AD896" s="140"/>
      <c r="AE896" s="140"/>
      <c r="AF896" s="140"/>
      <c r="AG896" s="140"/>
      <c r="AH896" s="140"/>
      <c r="AI896" s="140"/>
    </row>
    <row r="897" spans="7:35" hidden="1" x14ac:dyDescent="0.25">
      <c r="G897" s="209"/>
      <c r="I897" s="658">
        <f ca="1">H888</f>
        <v>14.859651760474719</v>
      </c>
      <c r="J897" s="658"/>
      <c r="K897" s="240">
        <f ca="1">(IFERROR(IF(INDEX($H$899:$Q$899,1,MATCH(H888,$H$899:$Q$899,1))=IF(INDEX($H$899:$Q$899,1,MATCH(H888,$H$899:$Q$899,1)+1)="",INDEX($H$899:$Q$899,1,MATCH(H888,$H$899:$Q$899,1)+2),INDEX($H$899:$Q$899,1,MATCH(H888,$H$899:$Q$899,1)+1)),INDEX($H$901:$Q$901,1,MATCH(H888,$H$899:$Q$899,1)),INDEX($H$901:$Q$901,1,MATCH(H888,$H$899:$Q$899,1))+(IF(INDEX($H$901:$Q$901,1,MATCH(H888,$H$899:$Q$899,1)+1)="",INDEX($H$901:$Q$901,1,MATCH(H888,$H$899:$Q$899,1)+2),INDEX($H$901:$Q$901,1,MATCH(H888,$H$899:$Q$899,1)+1))-INDEX($H$901:$Q$901,1,MATCH(H888,$H$899:$Q$899,1)))*(H888-INDEX($H$899:$Q$899,1,MATCH(H888,$H$899:$Q$899,1)))/(IF(INDEX($H$899:$Q$899,1,MATCH(H888,$H$899:$Q$899,1)+1)="",INDEX($H$899:$Q$899,1,MATCH(H888,$H$899:$Q$899,1)+2),INDEX($H$899:$Q$899,1,MATCH(H888,$H$899:$Q$899,1)+1))-INDEX($H$899:$Q$899,1,MATCH(H888,$H$899:$Q$899,1)))),INDEX($H$901:$Q$901,1,MATCH(H888,$H$899:$Q$899,1))))/10</f>
        <v>150.63824677460889</v>
      </c>
      <c r="L897" s="231" t="s">
        <v>61</v>
      </c>
      <c r="AB897" s="140"/>
      <c r="AC897" s="140"/>
      <c r="AD897" s="140"/>
      <c r="AE897" s="140"/>
      <c r="AF897" s="140"/>
      <c r="AG897" s="140"/>
      <c r="AH897" s="140"/>
      <c r="AI897" s="140"/>
    </row>
    <row r="898" spans="7:35" hidden="1" x14ac:dyDescent="0.25"/>
    <row r="899" spans="7:35" hidden="1" x14ac:dyDescent="0.25">
      <c r="G899" s="230" t="s">
        <v>500</v>
      </c>
      <c r="H899" s="230">
        <v>5.25</v>
      </c>
      <c r="I899" s="230">
        <v>6.7939999999999996</v>
      </c>
      <c r="J899" s="230">
        <v>7.4379999999999997</v>
      </c>
      <c r="K899" s="230">
        <v>8.1669999999999998</v>
      </c>
      <c r="L899" s="230">
        <v>9</v>
      </c>
      <c r="M899" s="230">
        <v>9.9619999999999997</v>
      </c>
      <c r="N899" s="230">
        <v>10</v>
      </c>
      <c r="O899" s="230">
        <v>12.5</v>
      </c>
      <c r="P899" s="230">
        <v>15</v>
      </c>
      <c r="Q899" s="230">
        <v>17.5</v>
      </c>
    </row>
    <row r="900" spans="7:35" hidden="1" x14ac:dyDescent="0.25">
      <c r="G900" s="230" t="s">
        <v>501</v>
      </c>
      <c r="H900" s="230">
        <v>1025</v>
      </c>
      <c r="I900" s="230">
        <v>1264</v>
      </c>
      <c r="J900" s="230">
        <v>1316</v>
      </c>
      <c r="K900" s="230">
        <v>1344</v>
      </c>
      <c r="L900" s="230">
        <v>1365</v>
      </c>
      <c r="M900" s="230">
        <v>1368</v>
      </c>
      <c r="N900" s="230">
        <v>1368</v>
      </c>
      <c r="O900" s="230">
        <v>1378</v>
      </c>
      <c r="P900" s="230">
        <v>1388</v>
      </c>
      <c r="Q900" s="230">
        <v>1397</v>
      </c>
    </row>
    <row r="901" spans="7:35" hidden="1" x14ac:dyDescent="0.25">
      <c r="G901" s="230" t="s">
        <v>502</v>
      </c>
      <c r="H901" s="230">
        <v>1025</v>
      </c>
      <c r="I901" s="230">
        <v>1314</v>
      </c>
      <c r="J901" s="230">
        <v>1411</v>
      </c>
      <c r="K901" s="230">
        <v>1459</v>
      </c>
      <c r="L901" s="230">
        <v>1482</v>
      </c>
      <c r="M901" s="230">
        <v>1486</v>
      </c>
      <c r="N901" s="230">
        <v>1486</v>
      </c>
      <c r="O901" s="230">
        <v>1496</v>
      </c>
      <c r="P901" s="230">
        <v>1507</v>
      </c>
      <c r="Q901" s="230">
        <v>1517</v>
      </c>
    </row>
    <row r="902" spans="7:35" hidden="1" x14ac:dyDescent="0.25"/>
    <row r="903" spans="7:35" hidden="1" x14ac:dyDescent="0.25">
      <c r="G903" s="230" t="s">
        <v>500</v>
      </c>
      <c r="H903" s="230">
        <v>20</v>
      </c>
      <c r="I903" s="230">
        <v>22.5</v>
      </c>
      <c r="J903" s="230">
        <v>25</v>
      </c>
      <c r="K903" s="230">
        <v>27.5</v>
      </c>
      <c r="L903" s="230">
        <v>30</v>
      </c>
      <c r="M903" s="230">
        <v>32.5</v>
      </c>
      <c r="N903" s="230">
        <v>35</v>
      </c>
      <c r="O903" s="230">
        <v>37.5</v>
      </c>
      <c r="P903" s="230">
        <v>40</v>
      </c>
    </row>
    <row r="904" spans="7:35" hidden="1" x14ac:dyDescent="0.25">
      <c r="G904" s="230" t="s">
        <v>501</v>
      </c>
      <c r="H904" s="230">
        <v>1407</v>
      </c>
      <c r="I904" s="230">
        <v>1416</v>
      </c>
      <c r="J904" s="230">
        <v>1426</v>
      </c>
      <c r="K904" s="230">
        <v>1436</v>
      </c>
      <c r="L904" s="230">
        <v>1445</v>
      </c>
      <c r="M904" s="230">
        <v>1455</v>
      </c>
      <c r="N904" s="230">
        <v>1464</v>
      </c>
      <c r="O904" s="230">
        <v>1474</v>
      </c>
      <c r="P904" s="230">
        <v>1484</v>
      </c>
    </row>
    <row r="905" spans="7:35" hidden="1" x14ac:dyDescent="0.25">
      <c r="G905" s="230" t="s">
        <v>502</v>
      </c>
      <c r="H905" s="230">
        <v>1527</v>
      </c>
      <c r="I905" s="230">
        <v>1538</v>
      </c>
      <c r="J905" s="230">
        <v>1548</v>
      </c>
      <c r="K905" s="230">
        <v>1559</v>
      </c>
      <c r="L905" s="230">
        <v>1569</v>
      </c>
      <c r="M905" s="230">
        <v>1579</v>
      </c>
      <c r="N905" s="230">
        <v>1590</v>
      </c>
      <c r="O905" s="230">
        <v>1600</v>
      </c>
      <c r="P905" s="230">
        <v>1611</v>
      </c>
    </row>
    <row r="906" spans="7:35" hidden="1" x14ac:dyDescent="0.25"/>
    <row r="907" spans="7:35" hidden="1" x14ac:dyDescent="0.25">
      <c r="G907" s="635" t="s">
        <v>574</v>
      </c>
      <c r="H907" s="635"/>
      <c r="I907" s="635"/>
      <c r="J907" s="635"/>
      <c r="K907" s="635"/>
      <c r="L907" s="635"/>
      <c r="M907" s="635"/>
      <c r="N907" s="635"/>
    </row>
    <row r="908" spans="7:35" hidden="1" x14ac:dyDescent="0.25"/>
    <row r="909" spans="7:35" hidden="1" x14ac:dyDescent="0.25">
      <c r="G909" s="643" t="s">
        <v>466</v>
      </c>
      <c r="H909" s="643"/>
    </row>
    <row r="910" spans="7:35" hidden="1" x14ac:dyDescent="0.25">
      <c r="G910" s="209" t="s">
        <v>217</v>
      </c>
      <c r="H910" s="358">
        <v>1</v>
      </c>
      <c r="J910" s="231" t="s">
        <v>576</v>
      </c>
    </row>
    <row r="911" spans="7:35" hidden="1" x14ac:dyDescent="0.25">
      <c r="G911" s="262" t="s">
        <v>218</v>
      </c>
      <c r="H911" s="237">
        <f ca="1">$J$237*10</f>
        <v>971.93035209494371</v>
      </c>
      <c r="J911" s="231" t="s">
        <v>577</v>
      </c>
    </row>
    <row r="912" spans="7:35" hidden="1" x14ac:dyDescent="0.25">
      <c r="G912" s="263" t="s">
        <v>219</v>
      </c>
      <c r="H912" s="237">
        <f ca="1">(($H$911*$H$910)/200000)*1000</f>
        <v>4.8596517604747183</v>
      </c>
      <c r="J912" s="231" t="s">
        <v>578</v>
      </c>
    </row>
    <row r="913" spans="7:35" hidden="1" x14ac:dyDescent="0.25">
      <c r="J913" s="231"/>
    </row>
    <row r="914" spans="7:35" hidden="1" x14ac:dyDescent="0.25">
      <c r="G914" s="643" t="s">
        <v>433</v>
      </c>
      <c r="H914" s="643"/>
      <c r="J914" s="231" t="s">
        <v>576</v>
      </c>
    </row>
    <row r="915" spans="7:35" hidden="1" x14ac:dyDescent="0.25">
      <c r="G915" s="209" t="s">
        <v>217</v>
      </c>
      <c r="H915" s="358">
        <v>1</v>
      </c>
      <c r="J915" s="231" t="s">
        <v>577</v>
      </c>
    </row>
    <row r="916" spans="7:35" hidden="1" x14ac:dyDescent="0.25">
      <c r="G916" s="262" t="s">
        <v>218</v>
      </c>
      <c r="H916" s="237">
        <f ca="1">$J$238*10</f>
        <v>351.03830861035294</v>
      </c>
      <c r="J916" s="231" t="s">
        <v>578</v>
      </c>
    </row>
    <row r="917" spans="7:35" hidden="1" x14ac:dyDescent="0.25">
      <c r="G917" s="263" t="s">
        <v>219</v>
      </c>
      <c r="H917" s="237">
        <f ca="1">(($H$916*$H$915)/200000)*1000</f>
        <v>1.7551915430517646</v>
      </c>
    </row>
    <row r="918" spans="7:35" hidden="1" x14ac:dyDescent="0.25">
      <c r="AB918" s="140"/>
      <c r="AC918" s="140"/>
      <c r="AD918" s="140"/>
      <c r="AE918" s="140"/>
      <c r="AF918" s="140"/>
      <c r="AG918" s="140"/>
      <c r="AH918" s="140"/>
      <c r="AI918" s="140"/>
    </row>
    <row r="919" spans="7:35" hidden="1" x14ac:dyDescent="0.25"/>
    <row r="920" spans="7:35" x14ac:dyDescent="0.25">
      <c r="G920" s="635" t="s">
        <v>442</v>
      </c>
      <c r="H920" s="635"/>
      <c r="I920" s="635"/>
      <c r="J920" s="635"/>
      <c r="K920" s="635"/>
      <c r="L920" s="635"/>
      <c r="M920" s="635"/>
      <c r="N920" s="635"/>
    </row>
    <row r="921" spans="7:35" x14ac:dyDescent="0.25">
      <c r="G921" s="115" t="s">
        <v>222</v>
      </c>
    </row>
    <row r="922" spans="7:35" x14ac:dyDescent="0.25">
      <c r="G922" s="115" t="s">
        <v>223</v>
      </c>
    </row>
    <row r="923" spans="7:35" x14ac:dyDescent="0.25">
      <c r="G923" s="115" t="s">
        <v>228</v>
      </c>
      <c r="I923" s="231"/>
    </row>
    <row r="924" spans="7:35" x14ac:dyDescent="0.25">
      <c r="G924" s="209" t="s">
        <v>226</v>
      </c>
      <c r="H924" s="239">
        <f>0.3*POWER(H60,2/3)*1000</f>
        <v>3209.962441695237</v>
      </c>
      <c r="I924" s="231" t="s">
        <v>63</v>
      </c>
      <c r="J924" s="231" t="s">
        <v>579</v>
      </c>
    </row>
    <row r="925" spans="7:35" x14ac:dyDescent="0.25">
      <c r="G925" s="209" t="s">
        <v>95</v>
      </c>
      <c r="H925" s="239">
        <f ca="1">I194*H166+H168*I195</f>
        <v>867.43240267952342</v>
      </c>
      <c r="I925" s="231" t="s">
        <v>96</v>
      </c>
      <c r="J925" s="231" t="s">
        <v>580</v>
      </c>
    </row>
    <row r="926" spans="7:35" x14ac:dyDescent="0.25">
      <c r="G926" s="209" t="s">
        <v>97</v>
      </c>
      <c r="H926" s="239">
        <f ca="1">(I194*H166*(H167/100))+(H168*I195*(H169/100))</f>
        <v>81.982109646974493</v>
      </c>
      <c r="I926" s="231" t="s">
        <v>33</v>
      </c>
      <c r="J926" s="231" t="s">
        <v>581</v>
      </c>
    </row>
    <row r="927" spans="7:35" x14ac:dyDescent="0.25">
      <c r="G927" s="209" t="s">
        <v>224</v>
      </c>
      <c r="H927" s="239">
        <f ca="1">'Estádio - Flechas'!Q7/100</f>
        <v>179.2868561907606</v>
      </c>
      <c r="I927" s="231" t="s">
        <v>33</v>
      </c>
      <c r="J927" s="231" t="s">
        <v>582</v>
      </c>
    </row>
    <row r="928" spans="7:35" x14ac:dyDescent="0.25">
      <c r="I928" s="231"/>
    </row>
    <row r="929" spans="7:14" x14ac:dyDescent="0.25">
      <c r="G929" s="209" t="s">
        <v>227</v>
      </c>
      <c r="H929" s="359">
        <f ca="1">J81</f>
        <v>46.977138817953787</v>
      </c>
      <c r="I929" s="231" t="s">
        <v>33</v>
      </c>
      <c r="J929" s="231" t="s">
        <v>583</v>
      </c>
    </row>
    <row r="930" spans="7:14" x14ac:dyDescent="0.25">
      <c r="I930" s="231"/>
    </row>
    <row r="931" spans="7:14" x14ac:dyDescent="0.25">
      <c r="G931" s="115" t="s">
        <v>229</v>
      </c>
      <c r="I931" s="231"/>
    </row>
    <row r="932" spans="7:14" x14ac:dyDescent="0.25">
      <c r="G932" s="209" t="s">
        <v>95</v>
      </c>
      <c r="H932" s="258">
        <f ca="1">H166*J237+H168*J238</f>
        <v>767.43620601416751</v>
      </c>
      <c r="I932" s="231" t="s">
        <v>230</v>
      </c>
      <c r="J932" s="231" t="s">
        <v>580</v>
      </c>
    </row>
    <row r="933" spans="7:14" x14ac:dyDescent="0.25">
      <c r="G933" s="209" t="s">
        <v>97</v>
      </c>
      <c r="H933" s="239">
        <f ca="1">H166*J237*H167/100-H168*J238*H169/100</f>
        <v>72.531345375342383</v>
      </c>
      <c r="I933" s="231" t="s">
        <v>33</v>
      </c>
      <c r="J933" s="231" t="s">
        <v>581</v>
      </c>
    </row>
    <row r="934" spans="7:14" x14ac:dyDescent="0.25">
      <c r="G934" s="209" t="s">
        <v>226</v>
      </c>
      <c r="H934" s="239">
        <f>0.3*POWER(H58,2/3)*1000</f>
        <v>4071.626424892359</v>
      </c>
      <c r="I934" s="231" t="s">
        <v>63</v>
      </c>
      <c r="J934" s="231" t="s">
        <v>579</v>
      </c>
    </row>
    <row r="935" spans="7:14" x14ac:dyDescent="0.25">
      <c r="G935" s="209" t="s">
        <v>224</v>
      </c>
      <c r="H935" s="239">
        <f ca="1">'Estádio - Flechas'!Q12/100</f>
        <v>189.64330545073292</v>
      </c>
      <c r="I935" s="231" t="s">
        <v>33</v>
      </c>
      <c r="J935" s="231" t="s">
        <v>582</v>
      </c>
    </row>
    <row r="936" spans="7:14" x14ac:dyDescent="0.25">
      <c r="G936" s="209"/>
      <c r="I936" s="231"/>
    </row>
    <row r="937" spans="7:14" x14ac:dyDescent="0.25">
      <c r="G937" s="209" t="s">
        <v>231</v>
      </c>
      <c r="H937" s="359">
        <f ca="1">'Estádio - Flechas'!R12/100</f>
        <v>178.1559707805788</v>
      </c>
      <c r="I937" s="231" t="s">
        <v>33</v>
      </c>
      <c r="J937" s="231" t="s">
        <v>583</v>
      </c>
    </row>
    <row r="939" spans="7:14" hidden="1" x14ac:dyDescent="0.25"/>
    <row r="940" spans="7:14" hidden="1" x14ac:dyDescent="0.25"/>
    <row r="941" spans="7:14" hidden="1" x14ac:dyDescent="0.25"/>
    <row r="942" spans="7:14" hidden="1" x14ac:dyDescent="0.25"/>
    <row r="943" spans="7:14" x14ac:dyDescent="0.25">
      <c r="G943" s="635" t="s">
        <v>232</v>
      </c>
      <c r="H943" s="635"/>
      <c r="I943" s="635"/>
      <c r="J943" s="635"/>
      <c r="K943" s="635"/>
      <c r="L943" s="635"/>
      <c r="M943" s="635"/>
      <c r="N943" s="635"/>
    </row>
    <row r="944" spans="7:14" x14ac:dyDescent="0.25">
      <c r="G944" s="210"/>
      <c r="H944" s="210"/>
      <c r="I944" s="210"/>
      <c r="J944" s="210"/>
      <c r="K944" s="210"/>
      <c r="L944" s="210"/>
      <c r="M944" s="210"/>
      <c r="N944" s="210"/>
    </row>
    <row r="945" spans="8:14" hidden="1" x14ac:dyDescent="0.25">
      <c r="H945" s="669" t="s">
        <v>235</v>
      </c>
      <c r="I945" s="669"/>
      <c r="K945" s="210" t="s">
        <v>236</v>
      </c>
      <c r="L945" s="115" t="s">
        <v>238</v>
      </c>
    </row>
    <row r="946" spans="8:14" hidden="1" x14ac:dyDescent="0.25">
      <c r="M946" s="333">
        <f>I203</f>
        <v>15</v>
      </c>
      <c r="N946" s="115" t="s">
        <v>237</v>
      </c>
    </row>
    <row r="947" spans="8:14" hidden="1" x14ac:dyDescent="0.25">
      <c r="H947" s="115" t="s">
        <v>1461</v>
      </c>
      <c r="I947" s="239">
        <f>H875*100^3</f>
        <v>29402916.5220051</v>
      </c>
      <c r="K947" s="115" t="s">
        <v>240</v>
      </c>
      <c r="L947" s="119">
        <f>Fluência!$B$17</f>
        <v>0.2</v>
      </c>
    </row>
    <row r="948" spans="8:14" ht="18.75" hidden="1" x14ac:dyDescent="0.3">
      <c r="K948" s="138" t="s">
        <v>239</v>
      </c>
      <c r="L948" s="187">
        <f>EXP(L947*(1-(28/M946)^(1/2)))</f>
        <v>0.92936658114797221</v>
      </c>
    </row>
    <row r="949" spans="8:14" hidden="1" x14ac:dyDescent="0.25">
      <c r="K949" s="115" t="s">
        <v>1462</v>
      </c>
      <c r="L949" s="144">
        <f>MIN(1,0.8+0.2*MAX($H$60,MIN($H$58,L948*$H$58))/80)*IF($H$58&lt;=50,(MAX($H$60,MIN($H$58,L948*$H$58))/$H$58)^0.5,(MAX($H$60,MIN($H$58,L948*$H$58))/$H$58)^0.3)*$H$866*100^3</f>
        <v>34973815.262865014</v>
      </c>
    </row>
    <row r="950" spans="8:14" hidden="1" x14ac:dyDescent="0.25"/>
    <row r="951" spans="8:14" ht="16.5" hidden="1" customHeight="1" x14ac:dyDescent="0.25">
      <c r="H951" s="640" t="s">
        <v>262</v>
      </c>
      <c r="I951" s="264">
        <f ca="1">(5*I73*(H21/100)^4)/(384*(H37/100^4)*I947)</f>
        <v>1.2898769621385368E-2</v>
      </c>
      <c r="J951" s="231" t="s">
        <v>83</v>
      </c>
      <c r="K951" s="640" t="s">
        <v>233</v>
      </c>
      <c r="L951" s="264">
        <f ca="1">(5*I74*(H21/100)^4)/(384*(H37/100^4)*L949)</f>
        <v>5.4274225255950556E-4</v>
      </c>
      <c r="M951" s="231" t="s">
        <v>83</v>
      </c>
    </row>
    <row r="952" spans="8:14" hidden="1" x14ac:dyDescent="0.25">
      <c r="H952" s="641"/>
      <c r="I952" s="265">
        <f ca="1">I951*100</f>
        <v>1.2898769621385369</v>
      </c>
      <c r="J952" s="231" t="s">
        <v>80</v>
      </c>
      <c r="K952" s="641"/>
      <c r="L952" s="266">
        <f ca="1">L951*100</f>
        <v>5.4274225255950555E-2</v>
      </c>
      <c r="M952" s="231" t="s">
        <v>80</v>
      </c>
    </row>
    <row r="953" spans="8:14" hidden="1" x14ac:dyDescent="0.25">
      <c r="H953" s="642"/>
      <c r="I953" s="265">
        <f ca="1">I952*10</f>
        <v>12.89876962138537</v>
      </c>
      <c r="J953" s="231" t="s">
        <v>187</v>
      </c>
      <c r="K953" s="642"/>
      <c r="L953" s="266">
        <f ca="1">L952*10</f>
        <v>0.54274225255950559</v>
      </c>
      <c r="M953" s="231" t="s">
        <v>187</v>
      </c>
    </row>
    <row r="954" spans="8:14" hidden="1" x14ac:dyDescent="0.25"/>
    <row r="955" spans="8:14" hidden="1" x14ac:dyDescent="0.25"/>
    <row r="956" spans="8:14" hidden="1" x14ac:dyDescent="0.25"/>
    <row r="957" spans="8:14" hidden="1" x14ac:dyDescent="0.25"/>
    <row r="958" spans="8:14" hidden="1" x14ac:dyDescent="0.25">
      <c r="H958" s="669" t="s">
        <v>242</v>
      </c>
      <c r="I958" s="669"/>
      <c r="K958" s="669" t="s">
        <v>243</v>
      </c>
      <c r="L958" s="669"/>
    </row>
    <row r="959" spans="8:14" hidden="1" x14ac:dyDescent="0.25"/>
    <row r="960" spans="8:14" hidden="1" x14ac:dyDescent="0.25">
      <c r="H960" s="115" t="s">
        <v>1463</v>
      </c>
      <c r="I960" s="239">
        <f>MIN(1,0.8+0.2*MAX($H$60,MIN($H$58,EXP(Fluência!$B$17*(1-(28/$I$204)^(1/2)))*$H$58))/80)*IF($H$58&lt;=50,(MAX($H$60,MIN($H$58,EXP(Fluência!$B$17*(1-(28/$I$204)^(1/2)))*$H$58))/$H$58)^0.5,(MAX($H$60,MIN($H$58,EXP(Fluência!$B$17*(1-(28/$I$204)^(1/2)))*$H$58))/$H$58)^0.3)*$H$866*100^3</f>
        <v>36628131.265463158</v>
      </c>
      <c r="K960" s="115" t="s">
        <v>234</v>
      </c>
      <c r="L960" s="239">
        <f>H867*100^3</f>
        <v>36628131.265463158</v>
      </c>
    </row>
    <row r="961" spans="8:13" hidden="1" x14ac:dyDescent="0.25"/>
    <row r="962" spans="8:13" hidden="1" x14ac:dyDescent="0.25">
      <c r="H962" s="640" t="s">
        <v>241</v>
      </c>
      <c r="I962" s="264">
        <f ca="1">(5*I75*(H21/100)^4)/(384*(H37/100^4)*I960)</f>
        <v>5.8119038810515479E-3</v>
      </c>
      <c r="J962" s="231" t="s">
        <v>83</v>
      </c>
      <c r="K962" s="640" t="s">
        <v>244</v>
      </c>
      <c r="L962" s="264">
        <f ca="1">(5*I76*(H21/100)^4)/(384*(I37/100^4)*L960)</f>
        <v>6.0376074326943677E-3</v>
      </c>
      <c r="M962" s="231" t="s">
        <v>83</v>
      </c>
    </row>
    <row r="963" spans="8:13" hidden="1" x14ac:dyDescent="0.25">
      <c r="H963" s="641"/>
      <c r="I963" s="266">
        <f ca="1">I962*100</f>
        <v>0.58119038810515478</v>
      </c>
      <c r="J963" s="231" t="s">
        <v>80</v>
      </c>
      <c r="K963" s="641"/>
      <c r="L963" s="266">
        <f ca="1">L962*100</f>
        <v>0.60376074326943674</v>
      </c>
      <c r="M963" s="231" t="s">
        <v>80</v>
      </c>
    </row>
    <row r="964" spans="8:13" hidden="1" x14ac:dyDescent="0.25">
      <c r="H964" s="642"/>
      <c r="I964" s="266">
        <f ca="1">I963*10</f>
        <v>5.8119038810515473</v>
      </c>
      <c r="J964" s="231" t="s">
        <v>187</v>
      </c>
      <c r="K964" s="642"/>
      <c r="L964" s="266">
        <f ca="1">L963*10</f>
        <v>6.0376074326943669</v>
      </c>
      <c r="M964" s="231" t="s">
        <v>187</v>
      </c>
    </row>
    <row r="965" spans="8:13" hidden="1" x14ac:dyDescent="0.25"/>
    <row r="966" spans="8:13" hidden="1" x14ac:dyDescent="0.25"/>
    <row r="967" spans="8:13" hidden="1" x14ac:dyDescent="0.25"/>
    <row r="968" spans="8:13" hidden="1" x14ac:dyDescent="0.25">
      <c r="H968" s="669" t="s">
        <v>245</v>
      </c>
      <c r="I968" s="669"/>
      <c r="K968" s="669" t="s">
        <v>247</v>
      </c>
      <c r="L968" s="669"/>
    </row>
    <row r="969" spans="8:13" hidden="1" x14ac:dyDescent="0.25"/>
    <row r="970" spans="8:13" hidden="1" x14ac:dyDescent="0.25">
      <c r="H970" s="640" t="s">
        <v>246</v>
      </c>
      <c r="I970" s="264">
        <f ca="1">(5*I77*(H21/100)^4)/(384*(I37/100^4)*L960)</f>
        <v>0</v>
      </c>
      <c r="J970" s="231" t="s">
        <v>83</v>
      </c>
      <c r="K970" s="640" t="s">
        <v>263</v>
      </c>
      <c r="L970" s="264">
        <f ca="1">(5*I78*H53*(H21/100)^4)/(384*(I37/100^4)*L960)</f>
        <v>3.0590544325651459E-3</v>
      </c>
      <c r="M970" s="231" t="s">
        <v>83</v>
      </c>
    </row>
    <row r="971" spans="8:13" hidden="1" x14ac:dyDescent="0.25">
      <c r="H971" s="641"/>
      <c r="I971" s="266">
        <f ca="1">I970*100</f>
        <v>0</v>
      </c>
      <c r="J971" s="231" t="s">
        <v>80</v>
      </c>
      <c r="K971" s="641"/>
      <c r="L971" s="266">
        <f ca="1">L970*100</f>
        <v>0.30590544325651459</v>
      </c>
      <c r="M971" s="231" t="s">
        <v>80</v>
      </c>
    </row>
    <row r="972" spans="8:13" hidden="1" x14ac:dyDescent="0.25">
      <c r="H972" s="642"/>
      <c r="I972" s="266">
        <f ca="1">I971*10</f>
        <v>0</v>
      </c>
      <c r="J972" s="231" t="s">
        <v>187</v>
      </c>
      <c r="K972" s="642"/>
      <c r="L972" s="266">
        <f ca="1">L971*10</f>
        <v>3.0590544325651461</v>
      </c>
      <c r="M972" s="231" t="s">
        <v>187</v>
      </c>
    </row>
    <row r="973" spans="8:13" hidden="1" x14ac:dyDescent="0.25"/>
    <row r="974" spans="8:13" hidden="1" x14ac:dyDescent="0.25"/>
    <row r="975" spans="8:13" hidden="1" x14ac:dyDescent="0.25"/>
    <row r="976" spans="8:13" hidden="1" x14ac:dyDescent="0.25">
      <c r="H976" s="123" t="s">
        <v>464</v>
      </c>
      <c r="I976" s="123"/>
    </row>
    <row r="977" spans="7:14" hidden="1" x14ac:dyDescent="0.25"/>
    <row r="978" spans="7:14" hidden="1" x14ac:dyDescent="0.25">
      <c r="H978" s="115" t="s">
        <v>1464</v>
      </c>
      <c r="I978" s="237">
        <f ca="1">I194</f>
        <v>109.85719385505615</v>
      </c>
      <c r="J978" s="231" t="s">
        <v>61</v>
      </c>
      <c r="K978" s="123" t="s">
        <v>465</v>
      </c>
      <c r="L978" s="123"/>
      <c r="M978" s="123"/>
      <c r="N978" s="123"/>
    </row>
    <row r="979" spans="7:14" hidden="1" x14ac:dyDescent="0.25">
      <c r="J979" s="231"/>
    </row>
    <row r="980" spans="7:14" hidden="1" x14ac:dyDescent="0.25">
      <c r="H980" s="115" t="s">
        <v>95</v>
      </c>
      <c r="I980" s="239">
        <f ca="1">H166*I194+H168*I195</f>
        <v>867.43240267952342</v>
      </c>
      <c r="J980" s="231" t="s">
        <v>96</v>
      </c>
      <c r="K980" s="115" t="s">
        <v>95</v>
      </c>
      <c r="L980" s="258">
        <f ca="1">H166*J237+H168*J238</f>
        <v>767.43620601416751</v>
      </c>
      <c r="M980" s="231" t="s">
        <v>230</v>
      </c>
    </row>
    <row r="981" spans="7:14" hidden="1" x14ac:dyDescent="0.25">
      <c r="H981" s="115" t="s">
        <v>97</v>
      </c>
      <c r="I981" s="239">
        <f ca="1">H166*I194*H167/100-H168*I195*H169/100</f>
        <v>81.982109646974479</v>
      </c>
      <c r="J981" s="231" t="s">
        <v>96</v>
      </c>
      <c r="K981" s="115" t="s">
        <v>97</v>
      </c>
      <c r="L981" s="239">
        <f ca="1">H166*J237*H167/100-H168*J238*H169/100</f>
        <v>72.531345375342383</v>
      </c>
      <c r="M981" s="231" t="s">
        <v>33</v>
      </c>
    </row>
    <row r="982" spans="7:14" hidden="1" x14ac:dyDescent="0.25">
      <c r="J982" s="231"/>
      <c r="M982" s="231"/>
    </row>
    <row r="983" spans="7:14" hidden="1" x14ac:dyDescent="0.25">
      <c r="H983" s="640" t="s">
        <v>248</v>
      </c>
      <c r="I983" s="264">
        <f ca="1">(I981*(H21/100)^2)/(8*(I947)*(H37/100^4))</f>
        <v>2.7012330815021902E-2</v>
      </c>
      <c r="J983" s="231" t="s">
        <v>83</v>
      </c>
      <c r="K983" s="640" t="s">
        <v>249</v>
      </c>
      <c r="L983" s="264">
        <f ca="1">((I981-L981)*(H21/100)^2)/(8*L960*(H37/100^4))</f>
        <v>2.4996865289370466E-3</v>
      </c>
      <c r="M983" s="279" t="s">
        <v>83</v>
      </c>
    </row>
    <row r="984" spans="7:14" hidden="1" x14ac:dyDescent="0.25">
      <c r="H984" s="641"/>
      <c r="I984" s="266">
        <f ca="1">I983*100</f>
        <v>2.7012330815021901</v>
      </c>
      <c r="J984" s="231" t="s">
        <v>80</v>
      </c>
      <c r="K984" s="641"/>
      <c r="L984" s="266">
        <f ca="1">L983*100</f>
        <v>0.24996865289370465</v>
      </c>
      <c r="M984" s="231" t="s">
        <v>80</v>
      </c>
    </row>
    <row r="985" spans="7:14" hidden="1" x14ac:dyDescent="0.25">
      <c r="H985" s="642"/>
      <c r="I985" s="266">
        <f ca="1">I984*10</f>
        <v>27.012330815021901</v>
      </c>
      <c r="J985" s="231" t="s">
        <v>187</v>
      </c>
      <c r="K985" s="642"/>
      <c r="L985" s="266">
        <f ca="1">L984*10</f>
        <v>2.4996865289370467</v>
      </c>
      <c r="M985" s="275" t="s">
        <v>187</v>
      </c>
    </row>
    <row r="986" spans="7:14" hidden="1" x14ac:dyDescent="0.25">
      <c r="J986" s="231"/>
    </row>
    <row r="987" spans="7:14" hidden="1" x14ac:dyDescent="0.25"/>
    <row r="988" spans="7:14" hidden="1" x14ac:dyDescent="0.25"/>
    <row r="989" spans="7:14" ht="16.5" customHeight="1" x14ac:dyDescent="0.25">
      <c r="G989" s="199" t="s">
        <v>250</v>
      </c>
      <c r="H989" s="199" t="s">
        <v>259</v>
      </c>
      <c r="I989" s="199" t="s">
        <v>261</v>
      </c>
      <c r="J989" s="200" t="s">
        <v>287</v>
      </c>
      <c r="K989" s="199" t="s">
        <v>350</v>
      </c>
      <c r="L989" s="199" t="s">
        <v>352</v>
      </c>
      <c r="M989" s="199" t="s">
        <v>351</v>
      </c>
      <c r="N989" s="199" t="s">
        <v>1465</v>
      </c>
    </row>
    <row r="990" spans="7:14" x14ac:dyDescent="0.25">
      <c r="G990" s="119" t="s">
        <v>251</v>
      </c>
      <c r="H990" s="119" t="s">
        <v>260</v>
      </c>
      <c r="I990" s="120">
        <f ca="1">I985*-1*'Estádio - Flechas'!$T$6</f>
        <v>-27.012330815021901</v>
      </c>
      <c r="J990" s="187">
        <f t="shared" ref="J990:J997" ca="1" si="50">M201</f>
        <v>2.1162985403792307</v>
      </c>
      <c r="K990" s="187">
        <f ca="1">J990+1</f>
        <v>3.1162985403792307</v>
      </c>
      <c r="L990" s="120">
        <f ca="1">K990*I990</f>
        <v>-84.178487091093672</v>
      </c>
      <c r="M990" s="120">
        <f ca="1">L990</f>
        <v>-84.178487091093672</v>
      </c>
      <c r="N990" s="120" t="str">
        <f ca="1">'Estádio - Flechas'!$S$6</f>
        <v>Estádio I</v>
      </c>
    </row>
    <row r="991" spans="7:14" x14ac:dyDescent="0.25">
      <c r="G991" s="119" t="s">
        <v>252</v>
      </c>
      <c r="H991" s="119" t="s">
        <v>260</v>
      </c>
      <c r="I991" s="187">
        <f ca="1">I953*'Estádio - Flechas'!$T$7</f>
        <v>12.89876962138537</v>
      </c>
      <c r="J991" s="187">
        <f t="shared" ca="1" si="50"/>
        <v>2.1162985403792307</v>
      </c>
      <c r="K991" s="187">
        <f t="shared" ref="K991:K997" ca="1" si="51">J991+1</f>
        <v>3.1162985403792307</v>
      </c>
      <c r="L991" s="120">
        <f t="shared" ref="L991:L997" ca="1" si="52">K991*I991</f>
        <v>40.196416943811187</v>
      </c>
      <c r="M991" s="120">
        <f t="shared" ref="M991:M997" ca="1" si="53">M990+L991</f>
        <v>-43.982070147282485</v>
      </c>
      <c r="N991" s="120" t="str">
        <f ca="1">'Estádio - Flechas'!$S$7</f>
        <v>Estádio I</v>
      </c>
    </row>
    <row r="992" spans="7:14" x14ac:dyDescent="0.25">
      <c r="G992" s="119" t="s">
        <v>253</v>
      </c>
      <c r="H992" s="119" t="s">
        <v>260</v>
      </c>
      <c r="I992" s="120">
        <f ca="1">L953*'Estádio - Flechas'!$T$8</f>
        <v>0.54274225255950559</v>
      </c>
      <c r="J992" s="187">
        <f t="shared" ca="1" si="50"/>
        <v>1.2033811739702436</v>
      </c>
      <c r="K992" s="187">
        <f t="shared" ca="1" si="51"/>
        <v>2.2033811739702438</v>
      </c>
      <c r="L992" s="120">
        <f t="shared" ca="1" si="52"/>
        <v>1.1958680616078179</v>
      </c>
      <c r="M992" s="120">
        <f t="shared" ca="1" si="53"/>
        <v>-42.786202085674667</v>
      </c>
      <c r="N992" s="120" t="str">
        <f ca="1">'Estádio - Flechas'!$S$8</f>
        <v>Estádio I</v>
      </c>
    </row>
    <row r="993" spans="7:18" x14ac:dyDescent="0.25">
      <c r="G993" s="119" t="s">
        <v>254</v>
      </c>
      <c r="H993" s="119" t="s">
        <v>260</v>
      </c>
      <c r="I993" s="120">
        <f ca="1">I964*'Estádio - Flechas'!$T$9</f>
        <v>5.8119038810515473</v>
      </c>
      <c r="J993" s="187">
        <f t="shared" ca="1" si="50"/>
        <v>2.0160977368022328</v>
      </c>
      <c r="K993" s="187">
        <f t="shared" ca="1" si="51"/>
        <v>3.0160977368022328</v>
      </c>
      <c r="L993" s="120">
        <f t="shared" ca="1" si="52"/>
        <v>17.529270142151685</v>
      </c>
      <c r="M993" s="120">
        <f t="shared" ca="1" si="53"/>
        <v>-25.256931943522982</v>
      </c>
      <c r="N993" s="120" t="str">
        <f ca="1">'Estádio - Flechas'!$S$9</f>
        <v>Estádio I</v>
      </c>
      <c r="R993" s="196"/>
    </row>
    <row r="994" spans="7:18" x14ac:dyDescent="0.25">
      <c r="G994" s="119" t="s">
        <v>256</v>
      </c>
      <c r="H994" s="119" t="s">
        <v>1</v>
      </c>
      <c r="I994" s="120">
        <f ca="1">L964*'Estádio - Flechas'!$T$11</f>
        <v>6.0376074326943669</v>
      </c>
      <c r="J994" s="187">
        <f ca="1">M206</f>
        <v>1.3573945886869887</v>
      </c>
      <c r="K994" s="187">
        <f t="shared" ca="1" si="51"/>
        <v>2.3573945886869887</v>
      </c>
      <c r="L994" s="120">
        <f t="shared" ca="1" si="52"/>
        <v>14.233023090450043</v>
      </c>
      <c r="M994" s="120">
        <f t="shared" ca="1" si="53"/>
        <v>-11.023908853072939</v>
      </c>
      <c r="N994" s="120" t="str">
        <f ca="1">'Estádio - Flechas'!$S$11</f>
        <v>Estádio I</v>
      </c>
      <c r="R994" s="196"/>
    </row>
    <row r="995" spans="7:18" x14ac:dyDescent="0.25">
      <c r="G995" s="119" t="s">
        <v>255</v>
      </c>
      <c r="H995" s="119" t="s">
        <v>1</v>
      </c>
      <c r="I995" s="120">
        <f ca="1">I972*'Estádio - Flechas'!$T$10</f>
        <v>0</v>
      </c>
      <c r="J995" s="187">
        <f ca="1">M205</f>
        <v>1.5230560708316407</v>
      </c>
      <c r="K995" s="187">
        <f t="shared" ca="1" si="51"/>
        <v>2.5230560708316405</v>
      </c>
      <c r="L995" s="120">
        <f ca="1">K995*I995</f>
        <v>0</v>
      </c>
      <c r="M995" s="120">
        <f t="shared" ca="1" si="53"/>
        <v>-11.023908853072939</v>
      </c>
      <c r="N995" s="120" t="str">
        <f ca="1">'Estádio - Flechas'!$S$10</f>
        <v>Estádio I</v>
      </c>
      <c r="R995" s="196"/>
    </row>
    <row r="996" spans="7:18" x14ac:dyDescent="0.25">
      <c r="G996" s="119" t="s">
        <v>257</v>
      </c>
      <c r="H996" s="119" t="s">
        <v>1</v>
      </c>
      <c r="I996" s="120">
        <f ca="1">L972*'Estádio - Flechas'!$T$12</f>
        <v>3.0590544325651461</v>
      </c>
      <c r="J996" s="187">
        <f t="shared" ca="1" si="50"/>
        <v>1.2516210345050713</v>
      </c>
      <c r="K996" s="187">
        <f t="shared" ca="1" si="51"/>
        <v>2.2516210345050713</v>
      </c>
      <c r="L996" s="120">
        <f t="shared" ca="1" si="52"/>
        <v>6.8878313060596579</v>
      </c>
      <c r="M996" s="120">
        <f t="shared" ca="1" si="53"/>
        <v>-4.1360775470132811</v>
      </c>
      <c r="N996" s="120" t="str">
        <f ca="1">'Estádio - Flechas'!$S$12</f>
        <v>Estádio I</v>
      </c>
      <c r="R996" s="196"/>
    </row>
    <row r="997" spans="7:18" x14ac:dyDescent="0.25">
      <c r="G997" s="131" t="s">
        <v>258</v>
      </c>
      <c r="H997" s="131" t="s">
        <v>260</v>
      </c>
      <c r="I997" s="188">
        <f ca="1">L985*'Estádio - Flechas'!$T$6</f>
        <v>2.4996865289370467</v>
      </c>
      <c r="J997" s="198">
        <f t="shared" ca="1" si="50"/>
        <v>1.2516210345050713</v>
      </c>
      <c r="K997" s="198">
        <f t="shared" ca="1" si="51"/>
        <v>2.2516210345050713</v>
      </c>
      <c r="L997" s="188">
        <f t="shared" ca="1" si="52"/>
        <v>5.6283467682236239</v>
      </c>
      <c r="M997" s="188">
        <f t="shared" ca="1" si="53"/>
        <v>1.4922692212103428</v>
      </c>
      <c r="N997" s="120" t="str">
        <f ca="1">'Estádio - Flechas'!$S$6</f>
        <v>Estádio I</v>
      </c>
      <c r="R997" s="196"/>
    </row>
    <row r="998" spans="7:18" x14ac:dyDescent="0.25">
      <c r="K998" s="141"/>
      <c r="R998" s="196"/>
    </row>
    <row r="999" spans="7:18" x14ac:dyDescent="0.25">
      <c r="G999" s="659" t="s">
        <v>353</v>
      </c>
      <c r="H999" s="186">
        <f ca="1">M997</f>
        <v>1.4922692212103428</v>
      </c>
      <c r="I999" s="279" t="s">
        <v>187</v>
      </c>
      <c r="K999" s="659" t="s">
        <v>504</v>
      </c>
      <c r="L999" s="186">
        <f ca="1">L1000*10</f>
        <v>-14.113561193636531</v>
      </c>
      <c r="M999" s="279" t="s">
        <v>187</v>
      </c>
    </row>
    <row r="1000" spans="7:18" x14ac:dyDescent="0.25">
      <c r="G1000" s="660"/>
      <c r="H1000" s="120">
        <f ca="1">H999/10</f>
        <v>0.14922692212103428</v>
      </c>
      <c r="I1000" s="231" t="s">
        <v>80</v>
      </c>
      <c r="K1000" s="660"/>
      <c r="L1000" s="120">
        <f ca="1">(-I984+I952)</f>
        <v>-1.4113561193636532</v>
      </c>
      <c r="M1000" s="231" t="s">
        <v>80</v>
      </c>
    </row>
    <row r="1001" spans="7:18" x14ac:dyDescent="0.25">
      <c r="G1001" s="661"/>
      <c r="H1001" s="198">
        <f ca="1">H1000/100</f>
        <v>1.4922692212103429E-3</v>
      </c>
      <c r="I1001" s="275" t="s">
        <v>83</v>
      </c>
      <c r="K1001" s="661"/>
      <c r="L1001" s="198">
        <f ca="1">L1000/100</f>
        <v>-1.4113561193636532E-2</v>
      </c>
      <c r="M1001" s="275" t="s">
        <v>83</v>
      </c>
    </row>
    <row r="1002" spans="7:18" x14ac:dyDescent="0.25">
      <c r="I1002" s="231"/>
    </row>
    <row r="1003" spans="7:18" x14ac:dyDescent="0.25">
      <c r="I1003" s="231"/>
    </row>
    <row r="1004" spans="7:18" x14ac:dyDescent="0.25">
      <c r="G1004" s="659" t="s">
        <v>354</v>
      </c>
      <c r="H1004" s="237">
        <f>H1005*10</f>
        <v>39.28</v>
      </c>
      <c r="I1004" s="279" t="s">
        <v>187</v>
      </c>
    </row>
    <row r="1005" spans="7:18" x14ac:dyDescent="0.25">
      <c r="G1005" s="660"/>
      <c r="H1005" s="237">
        <f>H21/250</f>
        <v>3.9279999999999999</v>
      </c>
      <c r="I1005" s="231" t="s">
        <v>80</v>
      </c>
    </row>
    <row r="1006" spans="7:18" x14ac:dyDescent="0.25">
      <c r="G1006" s="661"/>
      <c r="H1006" s="246">
        <f>H1005/100</f>
        <v>3.9280000000000002E-2</v>
      </c>
      <c r="I1006" s="275" t="s">
        <v>83</v>
      </c>
    </row>
    <row r="1008" spans="7:18" x14ac:dyDescent="0.25">
      <c r="G1008" s="209" t="s">
        <v>1466</v>
      </c>
      <c r="H1008" s="333">
        <v>0.8</v>
      </c>
      <c r="I1008" s="115" t="s">
        <v>1161</v>
      </c>
      <c r="J1008" s="235" t="s">
        <v>1467</v>
      </c>
    </row>
    <row r="1010" spans="7:14" x14ac:dyDescent="0.25">
      <c r="G1010" s="635" t="s">
        <v>488</v>
      </c>
      <c r="H1010" s="635"/>
      <c r="I1010" s="635"/>
      <c r="J1010" s="635"/>
      <c r="K1010" s="635"/>
      <c r="L1010" s="635"/>
      <c r="M1010" s="635"/>
      <c r="N1010" s="635"/>
    </row>
    <row r="1011" spans="7:14" x14ac:dyDescent="0.25">
      <c r="G1011" s="210"/>
      <c r="H1011" s="210"/>
      <c r="I1011" s="210"/>
      <c r="J1011" s="210"/>
      <c r="K1011" s="210"/>
      <c r="L1011" s="210"/>
      <c r="M1011" s="210"/>
      <c r="N1011" s="210"/>
    </row>
    <row r="1012" spans="7:14" x14ac:dyDescent="0.25">
      <c r="G1012" s="209" t="s">
        <v>589</v>
      </c>
      <c r="H1012" s="267">
        <f>H138</f>
        <v>9.5</v>
      </c>
      <c r="J1012" s="231" t="s">
        <v>596</v>
      </c>
    </row>
    <row r="1013" spans="7:14" x14ac:dyDescent="0.25">
      <c r="G1013" s="209" t="s">
        <v>588</v>
      </c>
      <c r="H1013" s="267">
        <f>H121</f>
        <v>12.7</v>
      </c>
      <c r="J1013" s="231" t="s">
        <v>595</v>
      </c>
    </row>
    <row r="1014" spans="7:14" x14ac:dyDescent="0.25">
      <c r="G1014" s="209" t="s">
        <v>519</v>
      </c>
      <c r="H1014" s="246">
        <f>H1015*H1016*H1017</f>
        <v>5.1359399067123803</v>
      </c>
      <c r="J1014" s="235" t="s">
        <v>584</v>
      </c>
    </row>
    <row r="1015" spans="7:14" x14ac:dyDescent="0.25">
      <c r="G1015" s="209" t="s">
        <v>489</v>
      </c>
      <c r="H1015" s="240">
        <v>3.2</v>
      </c>
      <c r="J1015" s="235" t="s">
        <v>586</v>
      </c>
    </row>
    <row r="1016" spans="7:14" x14ac:dyDescent="0.25">
      <c r="G1016" s="209" t="s">
        <v>490</v>
      </c>
      <c r="H1016" s="240">
        <v>1</v>
      </c>
      <c r="J1016" s="235" t="s">
        <v>585</v>
      </c>
    </row>
    <row r="1017" spans="7:14" x14ac:dyDescent="0.25">
      <c r="G1017" s="644" t="s">
        <v>486</v>
      </c>
      <c r="H1017" s="237">
        <f>L94/K52</f>
        <v>1.6049812208476186</v>
      </c>
      <c r="I1017" s="231" t="s">
        <v>60</v>
      </c>
      <c r="J1017" s="235" t="s">
        <v>599</v>
      </c>
    </row>
    <row r="1018" spans="7:14" x14ac:dyDescent="0.25">
      <c r="G1018" s="644"/>
      <c r="H1018" s="237">
        <f>H1017/10</f>
        <v>0.16049812208476186</v>
      </c>
      <c r="I1018" s="231" t="s">
        <v>61</v>
      </c>
      <c r="J1018" s="231"/>
    </row>
    <row r="1019" spans="7:14" x14ac:dyDescent="0.25">
      <c r="G1019" s="209" t="s">
        <v>491</v>
      </c>
      <c r="H1019" s="258">
        <f ca="1">(H1021*H1022*H1012*((H1028)/H1014))/10</f>
        <v>21.055036903432828</v>
      </c>
      <c r="I1019" s="231" t="s">
        <v>80</v>
      </c>
      <c r="J1019" s="231" t="s">
        <v>590</v>
      </c>
    </row>
    <row r="1020" spans="7:14" x14ac:dyDescent="0.25">
      <c r="G1020" s="209" t="s">
        <v>587</v>
      </c>
      <c r="H1020" s="258">
        <f ca="1">(H1021*H1022*H1013*((H1026)/H1014))/10</f>
        <v>64.517258181360091</v>
      </c>
      <c r="I1020" s="231" t="s">
        <v>80</v>
      </c>
      <c r="J1020" s="231" t="s">
        <v>591</v>
      </c>
    </row>
    <row r="1021" spans="7:14" x14ac:dyDescent="0.25">
      <c r="G1021" s="209" t="s">
        <v>492</v>
      </c>
      <c r="H1021" s="240">
        <v>1.25</v>
      </c>
      <c r="I1021" s="231"/>
      <c r="J1021" s="231" t="s">
        <v>592</v>
      </c>
    </row>
    <row r="1022" spans="7:14" x14ac:dyDescent="0.25">
      <c r="G1022" s="209" t="s">
        <v>593</v>
      </c>
      <c r="H1022" s="240">
        <v>0.19</v>
      </c>
      <c r="I1022" s="231"/>
      <c r="J1022" s="235" t="s">
        <v>594</v>
      </c>
    </row>
    <row r="1023" spans="7:14" x14ac:dyDescent="0.25">
      <c r="G1023" s="209"/>
      <c r="H1023" s="144"/>
      <c r="I1023" s="231"/>
      <c r="J1023" s="231"/>
    </row>
    <row r="1024" spans="7:14" x14ac:dyDescent="0.25">
      <c r="G1024" s="209"/>
      <c r="H1024" s="144"/>
      <c r="I1024" s="231"/>
      <c r="J1024" s="231"/>
    </row>
    <row r="1025" spans="7:19" x14ac:dyDescent="0.25">
      <c r="G1025" s="644" t="s">
        <v>520</v>
      </c>
      <c r="H1025" s="237">
        <f ca="1">I194</f>
        <v>109.85719385505615</v>
      </c>
      <c r="I1025" s="231" t="s">
        <v>61</v>
      </c>
      <c r="J1025" s="231"/>
    </row>
    <row r="1026" spans="7:19" x14ac:dyDescent="0.25">
      <c r="G1026" s="644"/>
      <c r="H1026" s="237">
        <f ca="1">H1025*10</f>
        <v>1098.5719385505615</v>
      </c>
      <c r="I1026" s="231" t="s">
        <v>60</v>
      </c>
      <c r="J1026" s="231"/>
    </row>
    <row r="1027" spans="7:19" x14ac:dyDescent="0.25">
      <c r="G1027" s="644" t="s">
        <v>730</v>
      </c>
      <c r="H1027" s="237">
        <f ca="1">I195</f>
        <v>47.927935410367873</v>
      </c>
      <c r="I1027" s="231" t="s">
        <v>61</v>
      </c>
      <c r="J1027" s="231"/>
    </row>
    <row r="1028" spans="7:19" x14ac:dyDescent="0.25">
      <c r="G1028" s="644"/>
      <c r="H1028" s="237">
        <f ca="1">H1027*10</f>
        <v>479.27935410367871</v>
      </c>
      <c r="I1028" s="231" t="s">
        <v>60</v>
      </c>
    </row>
    <row r="1029" spans="7:19" ht="15.75" thickBot="1" x14ac:dyDescent="0.3">
      <c r="J1029" s="119" t="s">
        <v>721</v>
      </c>
    </row>
    <row r="1030" spans="7:19" ht="15.75" thickBot="1" x14ac:dyDescent="0.3">
      <c r="G1030" s="639" t="s">
        <v>493</v>
      </c>
      <c r="H1030" s="639"/>
      <c r="I1030" s="639"/>
      <c r="J1030" s="223">
        <f ca="1">MAX(H1019)</f>
        <v>21.055036903432828</v>
      </c>
      <c r="K1030" s="115" t="s">
        <v>494</v>
      </c>
    </row>
    <row r="1031" spans="7:19" ht="15.75" thickBot="1" x14ac:dyDescent="0.3">
      <c r="J1031" s="223">
        <f ca="1">MAX(H1020)</f>
        <v>64.517258181360091</v>
      </c>
    </row>
    <row r="1032" spans="7:19" x14ac:dyDescent="0.25">
      <c r="J1032" s="119" t="s">
        <v>722</v>
      </c>
    </row>
    <row r="1034" spans="7:19" x14ac:dyDescent="0.25">
      <c r="G1034" s="635" t="s">
        <v>665</v>
      </c>
      <c r="H1034" s="635"/>
      <c r="I1034" s="635"/>
      <c r="J1034" s="635"/>
      <c r="K1034" s="635"/>
      <c r="L1034" s="635"/>
      <c r="M1034" s="635"/>
      <c r="N1034" s="635"/>
      <c r="P1034" s="648" t="s">
        <v>679</v>
      </c>
      <c r="Q1034" s="648"/>
      <c r="R1034" s="648"/>
      <c r="S1034" s="648"/>
    </row>
    <row r="1035" spans="7:19" x14ac:dyDescent="0.25">
      <c r="P1035" s="648"/>
      <c r="Q1035" s="648"/>
      <c r="R1035" s="648"/>
      <c r="S1035" s="648"/>
    </row>
    <row r="1036" spans="7:19" x14ac:dyDescent="0.25">
      <c r="G1036" s="209" t="s">
        <v>597</v>
      </c>
      <c r="H1036" s="240">
        <v>35</v>
      </c>
      <c r="I1036" s="231" t="s">
        <v>598</v>
      </c>
      <c r="L1036" s="652" t="s">
        <v>496</v>
      </c>
      <c r="M1036" s="652"/>
      <c r="P1036" s="209" t="s">
        <v>660</v>
      </c>
      <c r="Q1036" s="119">
        <v>0</v>
      </c>
    </row>
    <row r="1037" spans="7:19" x14ac:dyDescent="0.25">
      <c r="G1037" s="209" t="s">
        <v>481</v>
      </c>
      <c r="H1037" s="269">
        <f>H1050/TAN(RADIANS(H1036))</f>
        <v>8.2832584391042641</v>
      </c>
      <c r="I1037" s="231" t="s">
        <v>80</v>
      </c>
      <c r="L1037" s="150">
        <v>25</v>
      </c>
      <c r="M1037" s="333">
        <v>5.8</v>
      </c>
      <c r="O1037" s="209" t="s">
        <v>487</v>
      </c>
      <c r="P1037" s="154" t="s">
        <v>109</v>
      </c>
      <c r="Q1037" s="233" t="s">
        <v>377</v>
      </c>
    </row>
    <row r="1038" spans="7:19" x14ac:dyDescent="0.25">
      <c r="G1038" s="209" t="s">
        <v>482</v>
      </c>
      <c r="H1038" s="245">
        <f>H1037+H26</f>
        <v>22.283258439104266</v>
      </c>
      <c r="I1038" s="231" t="s">
        <v>80</v>
      </c>
      <c r="L1038" s="150">
        <v>30</v>
      </c>
      <c r="M1038" s="333">
        <v>7.5</v>
      </c>
      <c r="O1038" s="209">
        <v>25</v>
      </c>
      <c r="P1038" s="237">
        <v>1062.55</v>
      </c>
      <c r="Q1038" s="270">
        <v>8.08</v>
      </c>
    </row>
    <row r="1039" spans="7:19" x14ac:dyDescent="0.25">
      <c r="L1039" s="192" t="s">
        <v>518</v>
      </c>
      <c r="O1039" s="209">
        <v>30</v>
      </c>
      <c r="P1039" s="237">
        <v>1191.48</v>
      </c>
      <c r="Q1039" s="270">
        <v>9.94</v>
      </c>
    </row>
    <row r="1040" spans="7:19" x14ac:dyDescent="0.25">
      <c r="P1040" s="209" t="s">
        <v>660</v>
      </c>
      <c r="Q1040" s="119">
        <v>2</v>
      </c>
    </row>
    <row r="1041" spans="7:21" x14ac:dyDescent="0.25">
      <c r="G1041" s="302" t="s">
        <v>618</v>
      </c>
      <c r="H1041" s="356">
        <f>M11</f>
        <v>0</v>
      </c>
      <c r="O1041" s="209" t="s">
        <v>487</v>
      </c>
      <c r="P1041" s="154" t="s">
        <v>109</v>
      </c>
      <c r="Q1041" s="233" t="s">
        <v>377</v>
      </c>
    </row>
    <row r="1042" spans="7:21" x14ac:dyDescent="0.25">
      <c r="G1042" s="209" t="s">
        <v>661</v>
      </c>
      <c r="H1042" s="271">
        <f ca="1">'Cisalhamento 14861'!$C$27/100^3</f>
        <v>6.2166008742646347E-3</v>
      </c>
      <c r="I1042" s="231" t="s">
        <v>1468</v>
      </c>
      <c r="O1042" s="209">
        <v>25</v>
      </c>
      <c r="P1042" s="237">
        <v>1243.0990999999999</v>
      </c>
      <c r="Q1042" s="270">
        <v>7.44</v>
      </c>
      <c r="S1042" s="209" t="s">
        <v>487</v>
      </c>
      <c r="T1042" s="154" t="s">
        <v>109</v>
      </c>
      <c r="U1042" s="233" t="s">
        <v>377</v>
      </c>
    </row>
    <row r="1043" spans="7:21" x14ac:dyDescent="0.25">
      <c r="G1043" s="209" t="s">
        <v>612</v>
      </c>
      <c r="H1043" s="237">
        <f>I95/'Cisalhamento 14861'!$C$5</f>
        <v>2192.4142287881937</v>
      </c>
      <c r="I1043" s="115" t="s">
        <v>63</v>
      </c>
      <c r="O1043" s="209">
        <v>30</v>
      </c>
      <c r="P1043" s="237">
        <v>1367.0704000000001</v>
      </c>
      <c r="Q1043" s="270">
        <v>8.85</v>
      </c>
      <c r="S1043" s="209">
        <v>25</v>
      </c>
      <c r="T1043" s="237">
        <f>IF(H1041=Q1036,P1038,IF(H1041=2,P1042,IF(H1041=3,P1046,IF(H1041=4,P1050))))</f>
        <v>1062.55</v>
      </c>
      <c r="U1043" s="270">
        <f>IF(H1041=Q1036,Q1038,IF(H1041=2,Q1042,IF(H1041=3,Q1046,IF(H1041=4,Q1050))))</f>
        <v>8.08</v>
      </c>
    </row>
    <row r="1044" spans="7:21" x14ac:dyDescent="0.25">
      <c r="G1044" s="209" t="s">
        <v>1469</v>
      </c>
      <c r="H1044" s="237">
        <f ca="1">'Cisalhamento 14861'!$C$24</f>
        <v>774.56432728283505</v>
      </c>
      <c r="I1044" s="231" t="s">
        <v>14</v>
      </c>
      <c r="P1044" s="209" t="s">
        <v>660</v>
      </c>
      <c r="Q1044" s="119">
        <v>3</v>
      </c>
      <c r="S1044" s="209">
        <v>30</v>
      </c>
      <c r="T1044" s="237">
        <f>IF(H1041=Q1036,P1039,IF(H1041=Q1040,P1043,IF(H1041=Q1044,P1047,IF(H1041=Q1048,P1051))))</f>
        <v>1191.48</v>
      </c>
      <c r="U1044" s="270">
        <f>IF(H1041=Q1036,Q1039,IF(H1041=2,Q1043,IF(H1041=3,Q1047,IF(H1041=4,Q1051))))</f>
        <v>9.94</v>
      </c>
    </row>
    <row r="1045" spans="7:21" x14ac:dyDescent="0.25">
      <c r="G1045" s="209" t="s">
        <v>1470</v>
      </c>
      <c r="H1045" s="237">
        <f ca="1">'Cisalhamento 14861'!$C$26</f>
        <v>8.0259323277543864</v>
      </c>
      <c r="I1045" s="231" t="s">
        <v>80</v>
      </c>
      <c r="O1045" s="209" t="s">
        <v>487</v>
      </c>
      <c r="P1045" s="154" t="s">
        <v>109</v>
      </c>
      <c r="Q1045" s="233" t="s">
        <v>377</v>
      </c>
    </row>
    <row r="1046" spans="7:21" x14ac:dyDescent="0.25">
      <c r="G1046" s="209"/>
      <c r="H1046" s="231" t="s">
        <v>1471</v>
      </c>
      <c r="O1046" s="209">
        <v>25</v>
      </c>
      <c r="P1046" s="237">
        <v>1298.7382</v>
      </c>
      <c r="Q1046" s="270">
        <v>7.44</v>
      </c>
    </row>
    <row r="1047" spans="7:21" x14ac:dyDescent="0.25">
      <c r="G1047" s="209" t="s">
        <v>662</v>
      </c>
      <c r="H1047" s="237">
        <f ca="1">1.2*H1020/100</f>
        <v>0.77420709817632105</v>
      </c>
      <c r="I1047" s="231">
        <f ca="1">1.2*H1019/100</f>
        <v>0.25266044284119393</v>
      </c>
      <c r="J1047" s="231" t="s">
        <v>1472</v>
      </c>
      <c r="O1047" s="209">
        <v>30</v>
      </c>
      <c r="P1047" s="237">
        <v>1449.8887</v>
      </c>
      <c r="Q1047" s="270">
        <v>8.5399999999999991</v>
      </c>
    </row>
    <row r="1048" spans="7:21" x14ac:dyDescent="0.25">
      <c r="G1048" s="209" t="s">
        <v>663</v>
      </c>
      <c r="H1048" s="237">
        <f ca="1">MIN(1,(H1038/100)/H1047)</f>
        <v>0.28782038412710842</v>
      </c>
      <c r="I1048" s="231">
        <f ca="1">MIN(1,(H1038/100)/I1047)</f>
        <v>0.88194488177597663</v>
      </c>
      <c r="J1048" s="231" t="s">
        <v>1473</v>
      </c>
      <c r="P1048" s="209" t="s">
        <v>660</v>
      </c>
      <c r="Q1048" s="119">
        <v>4</v>
      </c>
    </row>
    <row r="1049" spans="7:21" x14ac:dyDescent="0.25">
      <c r="G1049" s="209" t="s">
        <v>667</v>
      </c>
      <c r="H1049" s="154">
        <f>MIN(1,0.5+H1050/H23)</f>
        <v>0.73199999999999998</v>
      </c>
      <c r="I1049" s="119" t="s">
        <v>164</v>
      </c>
      <c r="J1049" s="192">
        <v>1</v>
      </c>
      <c r="O1049" s="209" t="s">
        <v>487</v>
      </c>
      <c r="P1049" s="154" t="s">
        <v>109</v>
      </c>
      <c r="Q1049" s="233" t="s">
        <v>377</v>
      </c>
    </row>
    <row r="1050" spans="7:21" x14ac:dyDescent="0.25">
      <c r="G1050" s="209" t="s">
        <v>668</v>
      </c>
      <c r="H1050" s="237">
        <f>VLOOKUP(H23,L1037:M1038,2,0)</f>
        <v>5.8</v>
      </c>
      <c r="O1050" s="209">
        <v>25</v>
      </c>
      <c r="P1050" s="237">
        <v>1354.3774000000001</v>
      </c>
      <c r="Q1050" s="270">
        <v>7.03</v>
      </c>
    </row>
    <row r="1051" spans="7:21" x14ac:dyDescent="0.25">
      <c r="G1051" s="209" t="s">
        <v>670</v>
      </c>
      <c r="H1051" s="239">
        <f ca="1">'Propriedades geométricas VI'!M9</f>
        <v>120206.60760607547</v>
      </c>
      <c r="I1051" s="115" t="s">
        <v>1474</v>
      </c>
      <c r="O1051" s="209">
        <v>30</v>
      </c>
      <c r="P1051" s="237">
        <v>1532.7068999999999</v>
      </c>
      <c r="Q1051" s="270">
        <v>8.27</v>
      </c>
    </row>
    <row r="1052" spans="7:21" x14ac:dyDescent="0.25">
      <c r="G1052" s="209" t="s">
        <v>1475</v>
      </c>
      <c r="H1052" s="239">
        <f ca="1">J237</f>
        <v>97.193035209494369</v>
      </c>
      <c r="I1052" s="239">
        <f ca="1">J238</f>
        <v>35.103830861035291</v>
      </c>
      <c r="J1052" s="231" t="s">
        <v>1476</v>
      </c>
    </row>
    <row r="1053" spans="7:21" x14ac:dyDescent="0.25">
      <c r="G1053" s="209" t="s">
        <v>664</v>
      </c>
      <c r="H1053" s="239">
        <f ca="1">(H166*J237*H1048+H168*J238*I1048)*'Cisalhamento 14861'!$C$11/('Propriedades geométricas VI'!M6/10000)</f>
        <v>1313.8544744800572</v>
      </c>
      <c r="I1053" s="115" t="s">
        <v>63</v>
      </c>
      <c r="J1053" s="231" t="s">
        <v>1477</v>
      </c>
    </row>
    <row r="1054" spans="7:21" x14ac:dyDescent="0.25">
      <c r="P1054" s="648" t="s">
        <v>678</v>
      </c>
      <c r="Q1054" s="648"/>
      <c r="R1054" s="648"/>
      <c r="S1054" s="648"/>
    </row>
    <row r="1055" spans="7:21" x14ac:dyDescent="0.25">
      <c r="G1055" s="635" t="s">
        <v>666</v>
      </c>
      <c r="H1055" s="635"/>
      <c r="I1055" s="635"/>
      <c r="J1055" s="635"/>
      <c r="K1055" s="635"/>
      <c r="L1055" s="635"/>
      <c r="M1055" s="635"/>
      <c r="N1055" s="635"/>
      <c r="P1055" s="648"/>
      <c r="Q1055" s="648"/>
      <c r="R1055" s="648"/>
      <c r="S1055" s="648"/>
    </row>
    <row r="1056" spans="7:21" x14ac:dyDescent="0.25">
      <c r="H1056" s="121"/>
    </row>
    <row r="1057" spans="7:19" x14ac:dyDescent="0.25">
      <c r="G1057" s="322" t="s">
        <v>672</v>
      </c>
      <c r="H1057" s="115">
        <v>11528</v>
      </c>
    </row>
    <row r="1059" spans="7:19" x14ac:dyDescent="0.25">
      <c r="P1059" s="209" t="s">
        <v>660</v>
      </c>
      <c r="Q1059" s="119">
        <v>1</v>
      </c>
    </row>
    <row r="1060" spans="7:19" x14ac:dyDescent="0.25">
      <c r="O1060" s="209" t="s">
        <v>487</v>
      </c>
      <c r="P1060" s="154" t="s">
        <v>671</v>
      </c>
    </row>
    <row r="1061" spans="7:19" ht="15.75" thickBot="1" x14ac:dyDescent="0.3">
      <c r="G1061" s="651" t="s">
        <v>1478</v>
      </c>
      <c r="H1061" s="651"/>
      <c r="O1061" s="209">
        <v>25</v>
      </c>
      <c r="P1061" s="237">
        <f ca="1">$I$37+$P$1091</f>
        <v>210674.81991678264</v>
      </c>
    </row>
    <row r="1062" spans="7:19" x14ac:dyDescent="0.25">
      <c r="G1062" s="629" t="s">
        <v>495</v>
      </c>
      <c r="H1062" s="653">
        <f ca="1">'Cisalhamento 14861'!$C$67</f>
        <v>96.579745340747735</v>
      </c>
      <c r="O1062" s="209">
        <v>30</v>
      </c>
      <c r="P1062" s="237">
        <f ca="1">$I$37+$P$1092</f>
        <v>214562.75051678266</v>
      </c>
    </row>
    <row r="1063" spans="7:19" ht="15.75" thickBot="1" x14ac:dyDescent="0.3">
      <c r="G1063" s="630"/>
      <c r="H1063" s="654"/>
    </row>
    <row r="1064" spans="7:19" x14ac:dyDescent="0.25">
      <c r="G1064" s="629" t="s">
        <v>484</v>
      </c>
      <c r="H1064" s="653">
        <f ca="1">0.95*((H1051/100^4)*(H27/100))/H1042*SQRT(H1043^2+H1053*H1043)</f>
        <v>157.88634041538862</v>
      </c>
      <c r="P1064" s="209" t="s">
        <v>660</v>
      </c>
      <c r="Q1064" s="119">
        <v>2</v>
      </c>
    </row>
    <row r="1065" spans="7:19" ht="15.75" thickBot="1" x14ac:dyDescent="0.3">
      <c r="G1065" s="630" t="s">
        <v>1270</v>
      </c>
      <c r="H1065" s="654"/>
      <c r="I1065" s="209" t="str">
        <f ca="1">IF(H1062&gt;H1064,"Não Ok!","Ok!")</f>
        <v>Ok!</v>
      </c>
      <c r="O1065" s="209" t="s">
        <v>487</v>
      </c>
      <c r="P1065" s="154" t="s">
        <v>671</v>
      </c>
    </row>
    <row r="1066" spans="7:19" x14ac:dyDescent="0.25">
      <c r="O1066" s="209">
        <v>25</v>
      </c>
      <c r="P1066" s="237">
        <f ca="1">$I$37+$P$1091*2</f>
        <v>216027.22411678266</v>
      </c>
    </row>
    <row r="1067" spans="7:19" x14ac:dyDescent="0.25">
      <c r="O1067" s="209">
        <v>30</v>
      </c>
      <c r="P1067" s="237">
        <f ca="1">$I$37+$P$1092*2</f>
        <v>223803.08531678264</v>
      </c>
      <c r="Q1067" s="324"/>
    </row>
    <row r="1068" spans="7:19" x14ac:dyDescent="0.25">
      <c r="G1068" s="209"/>
      <c r="P1068" s="209" t="s">
        <v>660</v>
      </c>
      <c r="Q1068" s="119">
        <v>3</v>
      </c>
    </row>
    <row r="1069" spans="7:19" x14ac:dyDescent="0.25">
      <c r="O1069" s="209" t="s">
        <v>487</v>
      </c>
      <c r="P1069" s="154" t="s">
        <v>671</v>
      </c>
      <c r="R1069" s="209" t="s">
        <v>487</v>
      </c>
      <c r="S1069" s="154" t="s">
        <v>671</v>
      </c>
    </row>
    <row r="1070" spans="7:19" x14ac:dyDescent="0.25">
      <c r="O1070" s="209">
        <v>25</v>
      </c>
      <c r="P1070" s="237">
        <f ca="1">$I$37+$P$1091*3</f>
        <v>221379.62831678265</v>
      </c>
      <c r="R1070" s="209">
        <v>25</v>
      </c>
      <c r="S1070" s="237">
        <f ca="1">IF(H1041=Q1059,P1061,IF(H1041=Q1064,P1066,IF(H1041=Q1068,P1070,IF(H1041=Q1072,P1074,IF(H1041=Q1077,P1079,IF(H1041=Q1081,P1083,IF(H1041=Q1085,P1087,$I$37)))))))</f>
        <v>205322.41571678265</v>
      </c>
    </row>
    <row r="1071" spans="7:19" x14ac:dyDescent="0.25">
      <c r="G1071" s="635" t="s">
        <v>710</v>
      </c>
      <c r="H1071" s="635"/>
      <c r="I1071" s="635"/>
      <c r="J1071" s="635"/>
      <c r="K1071" s="635"/>
      <c r="L1071" s="635"/>
      <c r="M1071" s="635"/>
      <c r="N1071" s="635"/>
      <c r="O1071" s="209">
        <v>30</v>
      </c>
      <c r="P1071" s="237">
        <f ca="1">$I$37+$P$1092*3</f>
        <v>233043.42011678265</v>
      </c>
      <c r="R1071" s="209">
        <v>30</v>
      </c>
      <c r="S1071" s="237">
        <f ca="1">IF(H1041=Q1059,P1062,IF(H1041=Q1064,P1067,IF(H1041=Q1068,P1071,IF(H1041=Q1072,P1075,IF(H1041=Q1077,P1080,IF(H1041=Q1081,P1084,IF(H1041=Q1085,P1088,$I$37)))))))</f>
        <v>205322.41571678265</v>
      </c>
    </row>
    <row r="1072" spans="7:19" ht="15.75" thickBot="1" x14ac:dyDescent="0.3">
      <c r="K1072" s="231"/>
      <c r="P1072" s="209" t="s">
        <v>660</v>
      </c>
      <c r="Q1072" s="119">
        <v>4</v>
      </c>
    </row>
    <row r="1073" spans="7:17" x14ac:dyDescent="0.25">
      <c r="J1073" s="629" t="s">
        <v>495</v>
      </c>
      <c r="K1073" s="653">
        <f ca="1">'Cisalhamento 14861'!$C$67</f>
        <v>96.579745340747735</v>
      </c>
      <c r="O1073" s="209" t="s">
        <v>487</v>
      </c>
      <c r="P1073" s="154" t="s">
        <v>671</v>
      </c>
    </row>
    <row r="1074" spans="7:17" ht="15.75" thickBot="1" x14ac:dyDescent="0.3">
      <c r="J1074" s="630"/>
      <c r="K1074" s="654"/>
      <c r="O1074" s="209">
        <v>25</v>
      </c>
      <c r="P1074" s="237">
        <f ca="1">$I$37+$P$1091*4</f>
        <v>226732.03251678264</v>
      </c>
    </row>
    <row r="1075" spans="7:17" x14ac:dyDescent="0.25">
      <c r="J1075" s="629" t="s">
        <v>484</v>
      </c>
      <c r="K1075" s="653">
        <f ca="1">H1049*((H1051/100^4)*(H27/100))/H1042*SQRT(H1043^2+0.9*H1053*H1043)</f>
        <v>119.35450440669661</v>
      </c>
      <c r="O1075" s="209">
        <v>30</v>
      </c>
      <c r="P1075" s="237">
        <f ca="1">$I$37+$P$1092*4</f>
        <v>242283.75491678267</v>
      </c>
    </row>
    <row r="1076" spans="7:17" ht="15.75" thickBot="1" x14ac:dyDescent="0.3">
      <c r="J1076" s="630" t="s">
        <v>1270</v>
      </c>
      <c r="K1076" s="654"/>
      <c r="L1076" s="209" t="str">
        <f ca="1">IF(K1073&gt;K1075,"Não Ok!","Ok!")</f>
        <v>Ok!</v>
      </c>
    </row>
    <row r="1077" spans="7:17" x14ac:dyDescent="0.25">
      <c r="P1077" s="209" t="s">
        <v>660</v>
      </c>
      <c r="Q1077" s="119">
        <v>5</v>
      </c>
    </row>
    <row r="1078" spans="7:17" x14ac:dyDescent="0.25">
      <c r="G1078" t="s">
        <v>1271</v>
      </c>
      <c r="O1078" s="209" t="s">
        <v>487</v>
      </c>
      <c r="P1078" s="154" t="s">
        <v>671</v>
      </c>
    </row>
    <row r="1079" spans="7:17" x14ac:dyDescent="0.25">
      <c r="O1079" s="209">
        <v>25</v>
      </c>
      <c r="P1079" s="237">
        <f ca="1">$I$37+$P$1091*5</f>
        <v>232084.43671678266</v>
      </c>
    </row>
    <row r="1080" spans="7:17" x14ac:dyDescent="0.25">
      <c r="G1080" t="s">
        <v>1272</v>
      </c>
      <c r="H1080" t="str">
        <f>IF(LEFT(I17,1)="1","Modelo 1 (Circular)","Modelo 2 (Não Circular)")</f>
        <v>Modelo 2 (Não Circular)</v>
      </c>
      <c r="O1080" s="209">
        <v>30</v>
      </c>
      <c r="P1080" s="237">
        <f ca="1">$I$37+$P$1092*5</f>
        <v>251524.08971678265</v>
      </c>
    </row>
    <row r="1081" spans="7:17" x14ac:dyDescent="0.25">
      <c r="G1081" t="s">
        <v>630</v>
      </c>
      <c r="H1081">
        <f ca="1">IF(LEFT(I17,1)="1",H1062,K1073)</f>
        <v>96.579745340747735</v>
      </c>
      <c r="I1081" t="s">
        <v>96</v>
      </c>
      <c r="P1081" s="209" t="s">
        <v>660</v>
      </c>
      <c r="Q1081" s="119">
        <v>6</v>
      </c>
    </row>
    <row r="1082" spans="7:17" x14ac:dyDescent="0.25">
      <c r="G1082" t="s">
        <v>1273</v>
      </c>
      <c r="H1082">
        <f ca="1">IF(LEFT(I17,1)="1",H1064,K1075)</f>
        <v>119.35450440669661</v>
      </c>
      <c r="I1082" t="s">
        <v>96</v>
      </c>
      <c r="O1082" s="209" t="s">
        <v>487</v>
      </c>
      <c r="P1082" s="154" t="s">
        <v>671</v>
      </c>
    </row>
    <row r="1083" spans="7:17" x14ac:dyDescent="0.25">
      <c r="G1083" t="s">
        <v>1274</v>
      </c>
      <c r="H1083" t="str">
        <f ca="1">IF(M9&lt;&gt;"NBR 14861/2022","Não se aplica",IF(H1081&gt;H1088,"Não Ok!","Ok!"))</f>
        <v>Ok!</v>
      </c>
      <c r="O1083" s="209">
        <v>25</v>
      </c>
      <c r="P1083" s="237">
        <f ca="1">$I$37+$P$1091*6</f>
        <v>237436.84091678265</v>
      </c>
    </row>
    <row r="1084" spans="7:17" x14ac:dyDescent="0.25">
      <c r="O1084" s="209">
        <v>30</v>
      </c>
      <c r="P1084" s="237">
        <f ca="1">$I$37+$P$1092*6</f>
        <v>260764.42451678266</v>
      </c>
    </row>
    <row r="1085" spans="7:17" x14ac:dyDescent="0.25">
      <c r="G1085" t="s">
        <v>1479</v>
      </c>
      <c r="K1085" s="643" t="s">
        <v>1435</v>
      </c>
      <c r="L1085" s="643"/>
      <c r="P1085" s="209" t="s">
        <v>660</v>
      </c>
      <c r="Q1085" s="119">
        <v>7</v>
      </c>
    </row>
    <row r="1086" spans="7:17" x14ac:dyDescent="0.25">
      <c r="G1086" t="s">
        <v>1275</v>
      </c>
      <c r="H1086">
        <f>M11</f>
        <v>0</v>
      </c>
      <c r="K1086">
        <v>20</v>
      </c>
      <c r="L1086">
        <v>14</v>
      </c>
      <c r="O1086" s="209" t="s">
        <v>487</v>
      </c>
      <c r="P1086" s="154" t="s">
        <v>671</v>
      </c>
    </row>
    <row r="1087" spans="7:17" x14ac:dyDescent="0.25">
      <c r="G1087" t="s">
        <v>1276</v>
      </c>
      <c r="H1087">
        <f>VLOOKUP(H23,K1086:L1088,2,FALSE)/100</f>
        <v>0.19</v>
      </c>
      <c r="I1087" t="s">
        <v>83</v>
      </c>
      <c r="K1087">
        <v>25</v>
      </c>
      <c r="L1087">
        <v>19</v>
      </c>
      <c r="O1087" s="209">
        <v>25</v>
      </c>
      <c r="P1087" s="237">
        <f ca="1">$I$37+$P$1091*7</f>
        <v>242789.24511678267</v>
      </c>
    </row>
    <row r="1088" spans="7:17" x14ac:dyDescent="0.25">
      <c r="G1088" s="619" t="s">
        <v>1277</v>
      </c>
      <c r="H1088" s="620">
        <f ca="1">H1082+(2/3)*H1086*H1143*H1043</f>
        <v>119.35450440669661</v>
      </c>
      <c r="K1088">
        <v>30</v>
      </c>
      <c r="L1088">
        <v>23</v>
      </c>
      <c r="O1088" s="209">
        <v>30</v>
      </c>
      <c r="P1088" s="237">
        <f ca="1">$I$37+$P$1092*7</f>
        <v>270004.75931678264</v>
      </c>
    </row>
    <row r="1090" spans="7:17" x14ac:dyDescent="0.25">
      <c r="P1090" s="150" t="s">
        <v>676</v>
      </c>
    </row>
    <row r="1091" spans="7:17" x14ac:dyDescent="0.25">
      <c r="G1091" s="635" t="s">
        <v>919</v>
      </c>
      <c r="H1091" s="635"/>
      <c r="I1091" s="635"/>
      <c r="J1091" s="635"/>
      <c r="K1091" s="635"/>
      <c r="L1091" s="635"/>
      <c r="M1091" s="635"/>
      <c r="N1091" s="635"/>
      <c r="O1091" s="115">
        <v>25</v>
      </c>
      <c r="P1091" s="150">
        <v>5352.4041999999999</v>
      </c>
      <c r="Q1091" s="115" t="s">
        <v>677</v>
      </c>
    </row>
    <row r="1092" spans="7:17" x14ac:dyDescent="0.25">
      <c r="O1092" s="115">
        <v>30</v>
      </c>
      <c r="P1092" s="150">
        <v>9240.3348000000005</v>
      </c>
      <c r="Q1092" s="115" t="s">
        <v>677</v>
      </c>
    </row>
    <row r="1093" spans="7:17" x14ac:dyDescent="0.25">
      <c r="G1093" s="115" t="s">
        <v>712</v>
      </c>
      <c r="H1093" s="118">
        <f>H863/'Cisalhamento 14861'!$C$5</f>
        <v>38.46153846153846</v>
      </c>
      <c r="I1093" s="115" t="s">
        <v>60</v>
      </c>
      <c r="J1093" s="115" t="s">
        <v>714</v>
      </c>
    </row>
    <row r="1094" spans="7:17" x14ac:dyDescent="0.25">
      <c r="G1094" s="115" t="s">
        <v>609</v>
      </c>
      <c r="H1094" s="118">
        <f>(H23-H144)/100</f>
        <v>0.22</v>
      </c>
      <c r="I1094" s="115" t="s">
        <v>83</v>
      </c>
      <c r="J1094" s="115" t="s">
        <v>715</v>
      </c>
    </row>
    <row r="1095" spans="7:17" x14ac:dyDescent="0.25">
      <c r="G1095" s="115" t="s">
        <v>713</v>
      </c>
      <c r="H1095" s="115">
        <f>IF($I$15="1 - Sim",H23+H33-H144,H23-H144)/100</f>
        <v>0.27</v>
      </c>
      <c r="I1095" s="115" t="s">
        <v>83</v>
      </c>
      <c r="J1095" s="115" t="s">
        <v>1480</v>
      </c>
    </row>
    <row r="1096" spans="7:17" x14ac:dyDescent="0.25">
      <c r="G1096" s="115" t="s">
        <v>717</v>
      </c>
      <c r="H1096" s="115">
        <f>H27/100</f>
        <v>0.31</v>
      </c>
      <c r="I1096" s="115" t="s">
        <v>83</v>
      </c>
      <c r="J1096" s="115" t="s">
        <v>716</v>
      </c>
    </row>
    <row r="1097" spans="7:17" x14ac:dyDescent="0.25">
      <c r="G1097" s="115" t="s">
        <v>718</v>
      </c>
      <c r="H1097" s="115">
        <f>H1147</f>
        <v>0.31</v>
      </c>
      <c r="I1097" s="115" t="s">
        <v>83</v>
      </c>
      <c r="J1097" s="115" t="s">
        <v>1481</v>
      </c>
    </row>
    <row r="1098" spans="7:17" x14ac:dyDescent="0.25">
      <c r="G1098" s="115" t="s">
        <v>719</v>
      </c>
      <c r="H1098" s="115">
        <f>MAX(0.5,0.7-H863/200)</f>
        <v>0.5</v>
      </c>
      <c r="I1098" s="119" t="s">
        <v>475</v>
      </c>
      <c r="J1098" s="194">
        <v>0.5</v>
      </c>
    </row>
    <row r="1099" spans="7:17" x14ac:dyDescent="0.25">
      <c r="G1099" s="115" t="s">
        <v>711</v>
      </c>
      <c r="H1099" s="118">
        <f>0.5*H1098*H1093*1000*0.9*H1095*H1096</f>
        <v>724.32692307692321</v>
      </c>
      <c r="I1099" s="115" t="s">
        <v>96</v>
      </c>
    </row>
    <row r="1100" spans="7:17" x14ac:dyDescent="0.25">
      <c r="G1100" s="115" t="s">
        <v>1482</v>
      </c>
      <c r="H1100" s="118">
        <f>0.5*H1098*H1093*1000*0.9*H1095*H1097</f>
        <v>724.32692307692321</v>
      </c>
      <c r="I1100" s="115" t="s">
        <v>96</v>
      </c>
    </row>
    <row r="1102" spans="7:17" x14ac:dyDescent="0.25">
      <c r="G1102" s="655" t="s">
        <v>920</v>
      </c>
      <c r="H1102" s="655"/>
      <c r="I1102" s="655"/>
      <c r="J1102" s="655"/>
      <c r="K1102" s="655"/>
      <c r="L1102" s="655"/>
      <c r="M1102" s="655"/>
      <c r="N1102" s="655"/>
    </row>
    <row r="1103" spans="7:17" x14ac:dyDescent="0.25">
      <c r="G1103" s="115" t="s">
        <v>921</v>
      </c>
      <c r="H1103" s="118">
        <f>H60</f>
        <v>35</v>
      </c>
      <c r="I1103" s="115" t="s">
        <v>922</v>
      </c>
      <c r="J1103" s="115" t="s">
        <v>923</v>
      </c>
    </row>
    <row r="1104" spans="7:17" x14ac:dyDescent="0.25">
      <c r="G1104" s="115" t="s">
        <v>607</v>
      </c>
      <c r="H1104" s="118">
        <f ca="1">H36/10000</f>
        <v>0.15588831577089454</v>
      </c>
      <c r="I1104" s="115" t="s">
        <v>924</v>
      </c>
      <c r="J1104" s="115" t="s">
        <v>925</v>
      </c>
    </row>
    <row r="1105" spans="7:10" x14ac:dyDescent="0.25">
      <c r="G1105" s="115" t="s">
        <v>926</v>
      </c>
      <c r="H1105" s="118">
        <f>H166</f>
        <v>7.8959999999999999</v>
      </c>
      <c r="I1105" s="115" t="s">
        <v>927</v>
      </c>
      <c r="J1105" s="115" t="s">
        <v>928</v>
      </c>
    </row>
    <row r="1106" spans="7:10" x14ac:dyDescent="0.25">
      <c r="G1106" s="115" t="s">
        <v>929</v>
      </c>
      <c r="H1106" s="118">
        <f>H168</f>
        <v>0</v>
      </c>
      <c r="I1106" s="115" t="s">
        <v>927</v>
      </c>
      <c r="J1106" s="115" t="s">
        <v>930</v>
      </c>
    </row>
    <row r="1107" spans="7:10" x14ac:dyDescent="0.25">
      <c r="G1107" s="115" t="s">
        <v>931</v>
      </c>
      <c r="H1107" s="118">
        <f ca="1">I194</f>
        <v>109.85719385505615</v>
      </c>
      <c r="I1107" s="115" t="s">
        <v>932</v>
      </c>
      <c r="J1107" s="115" t="s">
        <v>933</v>
      </c>
    </row>
    <row r="1109" spans="7:10" x14ac:dyDescent="0.25">
      <c r="G1109" s="115" t="s">
        <v>612</v>
      </c>
      <c r="H1109" s="118">
        <f>0.21*(H60^(2/3))/'Cisalhamento 14861'!$C$5*1000</f>
        <v>1728.4413147589737</v>
      </c>
      <c r="I1109" s="115" t="s">
        <v>922</v>
      </c>
      <c r="J1109" s="115" t="s">
        <v>1483</v>
      </c>
    </row>
    <row r="1110" spans="7:10" x14ac:dyDescent="0.25">
      <c r="G1110" s="115" t="s">
        <v>934</v>
      </c>
      <c r="H1110" s="118">
        <f>H27/100</f>
        <v>0.31</v>
      </c>
      <c r="I1110" s="115" t="s">
        <v>83</v>
      </c>
      <c r="J1110" s="115" t="s">
        <v>935</v>
      </c>
    </row>
    <row r="1111" spans="7:10" x14ac:dyDescent="0.25">
      <c r="G1111" s="115" t="s">
        <v>611</v>
      </c>
      <c r="H1111" s="118">
        <f>IF((1.6-H1094)&lt;1,1,1.6-H1094)</f>
        <v>1.3800000000000001</v>
      </c>
      <c r="J1111" s="115" t="s">
        <v>936</v>
      </c>
    </row>
    <row r="1112" spans="7:10" x14ac:dyDescent="0.25">
      <c r="G1112" s="115" t="s">
        <v>1484</v>
      </c>
      <c r="H1112" s="118">
        <f ca="1">J242</f>
        <v>767.43620601416751</v>
      </c>
      <c r="I1112" s="115" t="s">
        <v>96</v>
      </c>
      <c r="J1112" s="115" t="s">
        <v>1485</v>
      </c>
    </row>
    <row r="1113" spans="7:10" x14ac:dyDescent="0.25">
      <c r="G1113" s="115" t="s">
        <v>938</v>
      </c>
      <c r="H1113" s="118">
        <f ca="1">H1112*'Cisalhamento 14861'!$C$11/('Propriedades geométricas VI'!M6/10000)</f>
        <v>4564.8416406109272</v>
      </c>
      <c r="I1113" s="115" t="s">
        <v>922</v>
      </c>
      <c r="J1113" s="115" t="s">
        <v>1486</v>
      </c>
    </row>
    <row r="1114" spans="7:10" x14ac:dyDescent="0.25">
      <c r="G1114" s="115" t="s">
        <v>939</v>
      </c>
      <c r="H1114" s="413">
        <f>H166/10000</f>
        <v>7.896E-4</v>
      </c>
      <c r="I1114" s="115" t="s">
        <v>924</v>
      </c>
      <c r="J1114" s="115" t="s">
        <v>1487</v>
      </c>
    </row>
    <row r="1115" spans="7:10" x14ac:dyDescent="0.25">
      <c r="G1115" s="115" t="s">
        <v>940</v>
      </c>
      <c r="H1115" s="118">
        <f>MIN(0.02,H1114/(H1110*H1094))</f>
        <v>1.1577712609970675E-2</v>
      </c>
      <c r="J1115" s="115" t="s">
        <v>1488</v>
      </c>
    </row>
    <row r="1116" spans="7:10" x14ac:dyDescent="0.25">
      <c r="G1116" s="115" t="s">
        <v>615</v>
      </c>
      <c r="H1116" s="118">
        <f>0.25*H1109*H1111*(1.2+(40*H1115))*H1110*H1094</f>
        <v>67.636121051401545</v>
      </c>
      <c r="I1116" s="115" t="s">
        <v>96</v>
      </c>
      <c r="J1116" s="115" t="s">
        <v>942</v>
      </c>
    </row>
    <row r="1117" spans="7:10" x14ac:dyDescent="0.25">
      <c r="G1117" s="115" t="s">
        <v>617</v>
      </c>
      <c r="H1117" s="118">
        <f ca="1">0.15*H1113*H1110*H1094</f>
        <v>46.698329983449788</v>
      </c>
      <c r="I1117" s="115" t="s">
        <v>96</v>
      </c>
      <c r="J1117" s="115" t="s">
        <v>943</v>
      </c>
    </row>
    <row r="1118" spans="7:10" x14ac:dyDescent="0.25">
      <c r="G1118" s="411" t="s">
        <v>944</v>
      </c>
      <c r="H1118" s="415">
        <f ca="1">H1116+H1117</f>
        <v>114.33445103485133</v>
      </c>
      <c r="I1118" s="115" t="s">
        <v>96</v>
      </c>
      <c r="J1118" s="115" t="s">
        <v>945</v>
      </c>
    </row>
    <row r="1119" spans="7:10" x14ac:dyDescent="0.25">
      <c r="G1119" s="115" t="s">
        <v>946</v>
      </c>
      <c r="H1119" s="118">
        <f ca="1">((I73*K51)+(I74+I75)*K52)*(H21/100)/2</f>
        <v>41.253543874140497</v>
      </c>
      <c r="I1119" s="115" t="s">
        <v>96</v>
      </c>
      <c r="J1119" s="115" t="s">
        <v>947</v>
      </c>
    </row>
    <row r="1120" spans="7:10" x14ac:dyDescent="0.25">
      <c r="G1120" s="411" t="s">
        <v>948</v>
      </c>
      <c r="H1120" s="411" t="str">
        <f ca="1">IF(H1119&gt;H1118,"Não Ok!","Ok!")</f>
        <v>Ok!</v>
      </c>
    </row>
    <row r="1122" spans="7:14" x14ac:dyDescent="0.25">
      <c r="G1122" s="655" t="str">
        <f>"b) Seção em serviço"&amp;IF($I$15="1 - Sim"," com capa"," sem capa")&amp;", sem preenchimento (NBR 14861:2022 §7.4.2.8.1)"</f>
        <v>b) Seção em serviço com capa, sem preenchimento (NBR 14861:2022 §7.4.2.8.1)</v>
      </c>
      <c r="H1122" s="655"/>
      <c r="I1122" s="655"/>
      <c r="J1122" s="655"/>
      <c r="K1122" s="655"/>
      <c r="L1122" s="655"/>
      <c r="M1122" s="655"/>
      <c r="N1122" s="655"/>
    </row>
    <row r="1123" spans="7:14" x14ac:dyDescent="0.25">
      <c r="G1123" s="115" t="s">
        <v>921</v>
      </c>
      <c r="H1123" s="118">
        <f>H58</f>
        <v>50</v>
      </c>
      <c r="I1123" s="115" t="s">
        <v>922</v>
      </c>
      <c r="J1123" s="115" t="s">
        <v>949</v>
      </c>
    </row>
    <row r="1124" spans="7:14" x14ac:dyDescent="0.25">
      <c r="G1124" s="115" t="s">
        <v>607</v>
      </c>
      <c r="H1124" s="118">
        <f ca="1">'Propriedades geométricas VI'!M6/10000</f>
        <v>0.15130702000000007</v>
      </c>
      <c r="I1124" s="115" t="s">
        <v>924</v>
      </c>
      <c r="J1124" s="115" t="s">
        <v>925</v>
      </c>
    </row>
    <row r="1125" spans="7:14" x14ac:dyDescent="0.25">
      <c r="G1125" s="115" t="s">
        <v>926</v>
      </c>
      <c r="H1125" s="118">
        <f>H166</f>
        <v>7.8959999999999999</v>
      </c>
      <c r="I1125" s="115" t="s">
        <v>927</v>
      </c>
      <c r="J1125" s="115" t="s">
        <v>928</v>
      </c>
    </row>
    <row r="1126" spans="7:14" x14ac:dyDescent="0.25">
      <c r="G1126" s="115" t="s">
        <v>929</v>
      </c>
      <c r="H1126" s="118">
        <f>H168</f>
        <v>0</v>
      </c>
      <c r="I1126" s="115" t="s">
        <v>927</v>
      </c>
      <c r="J1126" s="115" t="s">
        <v>930</v>
      </c>
    </row>
    <row r="1128" spans="7:14" x14ac:dyDescent="0.25">
      <c r="G1128" s="115" t="s">
        <v>612</v>
      </c>
      <c r="H1128" s="118">
        <f>0.21*(H58^(2/3))/'Cisalhamento 14861'!$C$5*1000</f>
        <v>2192.4142287881937</v>
      </c>
      <c r="I1128" s="115" t="s">
        <v>922</v>
      </c>
      <c r="J1128" s="115" t="s">
        <v>1489</v>
      </c>
    </row>
    <row r="1129" spans="7:14" x14ac:dyDescent="0.25">
      <c r="G1129" s="115" t="s">
        <v>934</v>
      </c>
      <c r="H1129" s="118">
        <f>H1096</f>
        <v>0.31</v>
      </c>
      <c r="I1129" s="115" t="s">
        <v>83</v>
      </c>
      <c r="J1129" s="115" t="s">
        <v>935</v>
      </c>
    </row>
    <row r="1130" spans="7:14" x14ac:dyDescent="0.25">
      <c r="G1130" s="115" t="s">
        <v>611</v>
      </c>
      <c r="H1130" s="118">
        <f>IF((1.6-H1095)&lt;1,1,1.6-H1095)</f>
        <v>1.33</v>
      </c>
      <c r="J1130" s="115" t="s">
        <v>936</v>
      </c>
    </row>
    <row r="1131" spans="7:14" x14ac:dyDescent="0.25">
      <c r="G1131" s="115" t="s">
        <v>937</v>
      </c>
      <c r="H1131" s="118">
        <f ca="1">J242</f>
        <v>767.43620601416751</v>
      </c>
      <c r="I1131" s="115" t="s">
        <v>96</v>
      </c>
      <c r="J1131" s="115" t="s">
        <v>950</v>
      </c>
    </row>
    <row r="1132" spans="7:14" x14ac:dyDescent="0.25">
      <c r="G1132" s="115" t="s">
        <v>938</v>
      </c>
      <c r="H1132" s="118">
        <f ca="1">H1131*'Cisalhamento 14861'!$C$11/H1124</f>
        <v>4564.8416406109272</v>
      </c>
      <c r="I1132" s="115" t="s">
        <v>922</v>
      </c>
      <c r="J1132" s="115" t="s">
        <v>1486</v>
      </c>
    </row>
    <row r="1133" spans="7:14" x14ac:dyDescent="0.25">
      <c r="G1133" s="115" t="s">
        <v>939</v>
      </c>
      <c r="H1133" s="141">
        <f>H166/10000</f>
        <v>7.896E-4</v>
      </c>
      <c r="I1133" s="115" t="s">
        <v>924</v>
      </c>
      <c r="J1133" s="115" t="s">
        <v>1487</v>
      </c>
    </row>
    <row r="1134" spans="7:14" x14ac:dyDescent="0.25">
      <c r="G1134" s="115" t="s">
        <v>940</v>
      </c>
      <c r="H1134" s="118">
        <f>MIN(0.02,H1133/(H1129*H1095))</f>
        <v>9.4336917562723999E-3</v>
      </c>
      <c r="J1134" s="115" t="s">
        <v>1488</v>
      </c>
    </row>
    <row r="1135" spans="7:14" x14ac:dyDescent="0.25">
      <c r="G1135" s="115" t="s">
        <v>615</v>
      </c>
      <c r="H1135" s="118">
        <f>0.25*H1128*H1130*(1.2+(40*H1134))*H1129*H1095</f>
        <v>96.242555967059559</v>
      </c>
      <c r="I1135" s="115" t="s">
        <v>96</v>
      </c>
      <c r="J1135" s="115" t="s">
        <v>942</v>
      </c>
    </row>
    <row r="1136" spans="7:14" x14ac:dyDescent="0.25">
      <c r="G1136" s="115" t="s">
        <v>617</v>
      </c>
      <c r="H1136" s="118">
        <f ca="1">0.15*H1132*H1129*H1095</f>
        <v>57.311586797870191</v>
      </c>
      <c r="I1136" s="115" t="s">
        <v>96</v>
      </c>
      <c r="J1136" s="115" t="s">
        <v>943</v>
      </c>
    </row>
    <row r="1137" spans="7:14" x14ac:dyDescent="0.25">
      <c r="G1137" s="411" t="s">
        <v>944</v>
      </c>
      <c r="H1137" s="415">
        <f ca="1">H1135+H1136</f>
        <v>153.55414276492974</v>
      </c>
      <c r="I1137" s="115" t="s">
        <v>96</v>
      </c>
      <c r="J1137" s="115" t="s">
        <v>945</v>
      </c>
    </row>
    <row r="1138" spans="7:14" x14ac:dyDescent="0.25">
      <c r="G1138" s="115" t="s">
        <v>951</v>
      </c>
      <c r="H1138" s="118">
        <f ca="1">'Cisalhamento 14861'!$C$71</f>
        <v>95.21611624637859</v>
      </c>
      <c r="I1138" s="115" t="s">
        <v>96</v>
      </c>
      <c r="J1138" s="115" t="s">
        <v>1490</v>
      </c>
    </row>
    <row r="1139" spans="7:14" x14ac:dyDescent="0.25">
      <c r="G1139" s="411" t="s">
        <v>948</v>
      </c>
      <c r="H1139" s="411" t="str">
        <f ca="1">IF(H1138&gt;H1137,"Não Ok!","Ok!")</f>
        <v>Ok!</v>
      </c>
    </row>
    <row r="1141" spans="7:14" x14ac:dyDescent="0.25">
      <c r="G1141" s="655" t="str">
        <f>"c) Com preenchimento de alvéolos – "&amp;LOWER('Cisalhamento 14861'!$C$7)&amp;" da protensão (NBR 14861:2022 §7.4.2.8.2)"</f>
        <v>c) Com preenchimento de alvéolos – antes da liberação da protensão (NBR 14861:2022 §7.4.2.8.2)</v>
      </c>
      <c r="H1141" s="655"/>
      <c r="I1141" s="655"/>
      <c r="J1141" s="655"/>
      <c r="K1141" s="655"/>
      <c r="L1141" s="655"/>
      <c r="M1141" s="655"/>
      <c r="N1141" s="655"/>
    </row>
    <row r="1142" spans="7:14" x14ac:dyDescent="0.25">
      <c r="G1142" s="414" t="s">
        <v>953</v>
      </c>
      <c r="H1142" s="118">
        <f>M11</f>
        <v>0</v>
      </c>
      <c r="J1142" s="115" t="s">
        <v>954</v>
      </c>
    </row>
    <row r="1143" spans="7:14" x14ac:dyDescent="0.25">
      <c r="G1143" s="115" t="s">
        <v>955</v>
      </c>
      <c r="H1143" s="118">
        <f>VLOOKUP(H23,L1204:M1206,2)</f>
        <v>2.12E-2</v>
      </c>
      <c r="I1143" s="115" t="s">
        <v>924</v>
      </c>
      <c r="J1143" s="115" t="s">
        <v>956</v>
      </c>
    </row>
    <row r="1144" spans="7:14" x14ac:dyDescent="0.25">
      <c r="G1144" s="115" t="s">
        <v>957</v>
      </c>
      <c r="H1144" s="118">
        <f>H1204</f>
        <v>0.125</v>
      </c>
      <c r="I1144" s="115" t="s">
        <v>83</v>
      </c>
      <c r="J1144" s="115" t="s">
        <v>958</v>
      </c>
    </row>
    <row r="1145" spans="7:14" x14ac:dyDescent="0.25">
      <c r="G1145" s="115" t="s">
        <v>1491</v>
      </c>
      <c r="H1145" s="118">
        <f>'Cisalhamento 14861'!$C$45</f>
        <v>1</v>
      </c>
      <c r="J1145" s="115" t="s">
        <v>1492</v>
      </c>
    </row>
    <row r="1146" spans="7:14" x14ac:dyDescent="0.25">
      <c r="G1146" s="115" t="s">
        <v>959</v>
      </c>
      <c r="H1146" s="118">
        <f ca="1">H1124+H1142*H1143</f>
        <v>0.15130702000000007</v>
      </c>
      <c r="I1146" s="115" t="s">
        <v>924</v>
      </c>
      <c r="J1146" s="115" t="s">
        <v>960</v>
      </c>
    </row>
    <row r="1147" spans="7:14" x14ac:dyDescent="0.25">
      <c r="G1147" s="115" t="s">
        <v>961</v>
      </c>
      <c r="H1147" s="118">
        <f>H1096+(0.5*H1142*H1144*H1145)</f>
        <v>0.31</v>
      </c>
      <c r="I1147" s="115" t="s">
        <v>83</v>
      </c>
      <c r="J1147" s="115" t="s">
        <v>962</v>
      </c>
    </row>
    <row r="1148" spans="7:14" x14ac:dyDescent="0.25">
      <c r="G1148" s="115" t="s">
        <v>938</v>
      </c>
      <c r="H1148" s="118">
        <f ca="1">IF('Cisalhamento 14861'!$C$7="Antes da liberação",H1131*'Cisalhamento 14861'!$C$11/H1146,H1132)</f>
        <v>4564.8416406109272</v>
      </c>
      <c r="I1148" s="115" t="s">
        <v>922</v>
      </c>
      <c r="J1148" s="115" t="s">
        <v>1493</v>
      </c>
    </row>
    <row r="1149" spans="7:14" x14ac:dyDescent="0.25">
      <c r="G1149" s="115" t="s">
        <v>611</v>
      </c>
      <c r="H1149" s="118">
        <f>H1130</f>
        <v>1.33</v>
      </c>
      <c r="J1149" s="115" t="s">
        <v>936</v>
      </c>
    </row>
    <row r="1150" spans="7:14" x14ac:dyDescent="0.25">
      <c r="G1150" s="115" t="s">
        <v>940</v>
      </c>
      <c r="H1150" s="118">
        <f>MIN(0.02,H1133/H1147/H1095)</f>
        <v>9.4336917562723999E-3</v>
      </c>
      <c r="J1150" s="115" t="s">
        <v>941</v>
      </c>
    </row>
    <row r="1151" spans="7:14" x14ac:dyDescent="0.25">
      <c r="G1151" s="115" t="s">
        <v>621</v>
      </c>
      <c r="H1151" s="118">
        <f>0.25*H1128*H1149*(1.2+(40*H1150))*H1147*H1095</f>
        <v>96.242555967059559</v>
      </c>
      <c r="I1151" s="115" t="s">
        <v>96</v>
      </c>
      <c r="J1151" s="115" t="s">
        <v>963</v>
      </c>
    </row>
    <row r="1152" spans="7:14" x14ac:dyDescent="0.25">
      <c r="G1152" s="115" t="str">
        <f>IF('Cisalhamento 14861'!$C$7="Antes da liberação","Vp,2 =","Vp,1 =")</f>
        <v>Vp,2 =</v>
      </c>
      <c r="H1152" s="118">
        <f ca="1">IF('Cisalhamento 14861'!$C$7="Antes da liberação",0.15*H1148*H1147*H1095,0.15*H1148*H1129*H1095)</f>
        <v>57.311586797870191</v>
      </c>
      <c r="I1152" s="115" t="s">
        <v>96</v>
      </c>
      <c r="J1152" s="115" t="s">
        <v>1494</v>
      </c>
    </row>
    <row r="1153" spans="7:10" x14ac:dyDescent="0.25">
      <c r="G1153" s="411" t="s">
        <v>944</v>
      </c>
      <c r="H1153" s="415">
        <f ca="1">H1151+H1152</f>
        <v>153.55414276492974</v>
      </c>
      <c r="I1153" s="115" t="s">
        <v>96</v>
      </c>
      <c r="J1153" s="115" t="s">
        <v>945</v>
      </c>
    </row>
    <row r="1154" spans="7:10" x14ac:dyDescent="0.25">
      <c r="G1154" s="115" t="s">
        <v>951</v>
      </c>
      <c r="H1154" s="118">
        <f ca="1">H1138</f>
        <v>95.21611624637859</v>
      </c>
      <c r="I1154" s="115" t="s">
        <v>96</v>
      </c>
      <c r="J1154" s="115" t="s">
        <v>952</v>
      </c>
    </row>
    <row r="1155" spans="7:10" x14ac:dyDescent="0.25">
      <c r="G1155" s="411" t="s">
        <v>948</v>
      </c>
      <c r="H1155" s="411" t="str">
        <f ca="1">IF(H1154&gt;H1153,"Não Ok!","Ok!")</f>
        <v>Ok!</v>
      </c>
    </row>
    <row r="1157" spans="7:10" x14ac:dyDescent="0.25">
      <c r="G1157" t="s">
        <v>1264</v>
      </c>
    </row>
    <row r="1159" spans="7:10" x14ac:dyDescent="0.25">
      <c r="G1159" t="s">
        <v>1495</v>
      </c>
      <c r="H1159">
        <f>'Cisalhamento 14861'!$C$70/100</f>
        <v>0.22</v>
      </c>
      <c r="I1159" t="s">
        <v>83</v>
      </c>
      <c r="J1159" t="s">
        <v>1496</v>
      </c>
    </row>
    <row r="1160" spans="7:10" x14ac:dyDescent="0.25">
      <c r="G1160" t="s">
        <v>1265</v>
      </c>
      <c r="H1160">
        <f ca="1">(I73*K51)+(I74+I75+I76+I77+I78)*K52</f>
        <v>20.301943762554071</v>
      </c>
      <c r="I1160" t="s">
        <v>47</v>
      </c>
      <c r="J1160" t="s">
        <v>1278</v>
      </c>
    </row>
    <row r="1161" spans="7:10" x14ac:dyDescent="0.25">
      <c r="G1161" t="s">
        <v>1266</v>
      </c>
      <c r="H1161">
        <f ca="1">H1160*H1159*((H21/100)-H1159)/2</f>
        <v>21.438852613257097</v>
      </c>
      <c r="I1161" t="s">
        <v>33</v>
      </c>
      <c r="J1161" t="s">
        <v>1279</v>
      </c>
    </row>
    <row r="1162" spans="7:10" x14ac:dyDescent="0.25">
      <c r="G1162" t="s">
        <v>1267</v>
      </c>
      <c r="H1162">
        <f ca="1">H1160*((H21/100)/2-H1159)</f>
        <v>95.216116246378604</v>
      </c>
      <c r="I1162" t="s">
        <v>96</v>
      </c>
      <c r="J1162" t="s">
        <v>1280</v>
      </c>
    </row>
    <row r="1163" spans="7:10" x14ac:dyDescent="0.25">
      <c r="G1163" t="s">
        <v>944</v>
      </c>
      <c r="H1163">
        <f ca="1">'Cisalhamento 14861'!$C$94</f>
        <v>153.55414276492974</v>
      </c>
      <c r="I1163" t="s">
        <v>96</v>
      </c>
      <c r="J1163" t="s">
        <v>1497</v>
      </c>
    </row>
    <row r="1164" spans="7:10" x14ac:dyDescent="0.25">
      <c r="G1164" t="s">
        <v>1498</v>
      </c>
      <c r="H1164">
        <f ca="1">H166*K897</f>
        <v>1189.4395965323117</v>
      </c>
      <c r="I1164" t="s">
        <v>96</v>
      </c>
      <c r="J1164" t="s">
        <v>1499</v>
      </c>
    </row>
    <row r="1165" spans="7:10" x14ac:dyDescent="0.25">
      <c r="G1165" t="s">
        <v>713</v>
      </c>
      <c r="H1165">
        <f>H1095</f>
        <v>0.27</v>
      </c>
      <c r="I1165" t="s">
        <v>83</v>
      </c>
      <c r="J1165" t="s">
        <v>1281</v>
      </c>
    </row>
    <row r="1166" spans="7:10" x14ac:dyDescent="0.25">
      <c r="G1166" t="s">
        <v>1268</v>
      </c>
      <c r="H1166">
        <f ca="1">H1164*0.9*H1165</f>
        <v>289.03382195735179</v>
      </c>
      <c r="I1166" t="s">
        <v>33</v>
      </c>
      <c r="J1166" t="s">
        <v>1500</v>
      </c>
    </row>
    <row r="1167" spans="7:10" x14ac:dyDescent="0.25">
      <c r="G1167" t="s">
        <v>1501</v>
      </c>
      <c r="H1167">
        <f ca="1">H1161+1.35*H1165*H1162</f>
        <v>56.145126985062106</v>
      </c>
      <c r="I1167" t="s">
        <v>33</v>
      </c>
      <c r="J1167" t="s">
        <v>1502</v>
      </c>
    </row>
    <row r="1168" spans="7:10" x14ac:dyDescent="0.25">
      <c r="G1168" t="s">
        <v>1503</v>
      </c>
      <c r="H1168">
        <f ca="1">((H1162/H1163)^4+(H1167/H1166)^4)^(0.25)</f>
        <v>0.62156930905774366</v>
      </c>
      <c r="J1168" t="s">
        <v>1504</v>
      </c>
    </row>
    <row r="1169" spans="7:14" x14ac:dyDescent="0.25">
      <c r="G1169" t="s">
        <v>1269</v>
      </c>
      <c r="H1169">
        <f>1</f>
        <v>1</v>
      </c>
      <c r="J1169" t="s">
        <v>1282</v>
      </c>
    </row>
    <row r="1170" spans="7:14" x14ac:dyDescent="0.25">
      <c r="G1170" s="411" t="s">
        <v>948</v>
      </c>
      <c r="H1170" s="562" t="str">
        <f ca="1">IF(M9&lt;&gt;"NBR 14861/2022","Não se aplica",IF(H1168&lt;=H1169,"Ok!","Não Ok!"))</f>
        <v>Ok!</v>
      </c>
      <c r="J1170" t="s">
        <v>1283</v>
      </c>
    </row>
    <row r="1172" spans="7:14" x14ac:dyDescent="0.25">
      <c r="G1172" s="635" t="s">
        <v>625</v>
      </c>
      <c r="H1172" s="635"/>
      <c r="I1172" s="635"/>
      <c r="J1172" s="635"/>
      <c r="K1172" s="635"/>
      <c r="L1172" s="635"/>
      <c r="M1172" s="635"/>
      <c r="N1172" s="635"/>
    </row>
    <row r="1173" spans="7:14" x14ac:dyDescent="0.25">
      <c r="G1173" s="115" t="s">
        <v>606</v>
      </c>
    </row>
    <row r="1174" spans="7:14" x14ac:dyDescent="0.25">
      <c r="G1174" s="285"/>
      <c r="H1174" s="286"/>
      <c r="I1174" s="286"/>
      <c r="J1174" s="286"/>
      <c r="K1174" s="286"/>
      <c r="L1174" s="286"/>
      <c r="M1174" s="286"/>
      <c r="N1174" s="287"/>
    </row>
    <row r="1175" spans="7:14" x14ac:dyDescent="0.25">
      <c r="G1175" s="302" t="s">
        <v>650</v>
      </c>
      <c r="H1175" s="315">
        <f>H23</f>
        <v>25</v>
      </c>
      <c r="I1175" s="115" t="s">
        <v>80</v>
      </c>
      <c r="J1175" s="231" t="s">
        <v>507</v>
      </c>
      <c r="K1175" s="288"/>
      <c r="L1175" s="288"/>
      <c r="M1175" s="288"/>
      <c r="N1175" s="289"/>
    </row>
    <row r="1176" spans="7:14" x14ac:dyDescent="0.25">
      <c r="G1176" s="302" t="s">
        <v>649</v>
      </c>
      <c r="H1176" s="315">
        <f>H33</f>
        <v>5</v>
      </c>
      <c r="I1176" s="115" t="s">
        <v>80</v>
      </c>
      <c r="J1176" s="231" t="s">
        <v>514</v>
      </c>
      <c r="K1176" s="288"/>
      <c r="L1176" s="288"/>
      <c r="M1176" s="288"/>
      <c r="N1176" s="289"/>
    </row>
    <row r="1177" spans="7:14" x14ac:dyDescent="0.25">
      <c r="G1177" s="302" t="s">
        <v>608</v>
      </c>
      <c r="H1177" s="315">
        <f>H58</f>
        <v>50</v>
      </c>
      <c r="I1177" s="115" t="s">
        <v>60</v>
      </c>
      <c r="J1177" s="231" t="s">
        <v>642</v>
      </c>
      <c r="K1177" s="288"/>
      <c r="L1177" s="288"/>
      <c r="M1177" s="288"/>
      <c r="N1177" s="289"/>
    </row>
    <row r="1178" spans="7:14" x14ac:dyDescent="0.25">
      <c r="G1178" s="302" t="s">
        <v>626</v>
      </c>
      <c r="H1178" s="315">
        <f>H60</f>
        <v>35</v>
      </c>
      <c r="I1178" s="115" t="s">
        <v>60</v>
      </c>
      <c r="J1178" s="231" t="s">
        <v>643</v>
      </c>
      <c r="K1178" s="288"/>
      <c r="L1178" s="288"/>
      <c r="M1178" s="288"/>
      <c r="N1178" s="289"/>
    </row>
    <row r="1179" spans="7:14" x14ac:dyDescent="0.25">
      <c r="G1179" s="302" t="s">
        <v>627</v>
      </c>
      <c r="H1179" s="315">
        <f>J124</f>
        <v>8</v>
      </c>
      <c r="J1179" s="231" t="s">
        <v>644</v>
      </c>
      <c r="K1179" s="288"/>
      <c r="L1179" s="288"/>
      <c r="M1179" s="288"/>
      <c r="N1179" s="289"/>
    </row>
    <row r="1180" spans="7:14" x14ac:dyDescent="0.25">
      <c r="G1180" s="302" t="s">
        <v>628</v>
      </c>
      <c r="H1180" s="315">
        <f>K124</f>
        <v>12.7</v>
      </c>
      <c r="I1180" s="115" t="s">
        <v>187</v>
      </c>
      <c r="J1180" s="231" t="s">
        <v>645</v>
      </c>
      <c r="K1180" s="288"/>
      <c r="L1180" s="288"/>
      <c r="M1180" s="288"/>
      <c r="N1180" s="289"/>
    </row>
    <row r="1181" spans="7:14" x14ac:dyDescent="0.25">
      <c r="G1181" s="302" t="s">
        <v>651</v>
      </c>
      <c r="H1181" s="315">
        <f>IF(H1180=12.7,0.987,IF(H1180=9.5,0.56,"nulo"))</f>
        <v>0.98699999999999999</v>
      </c>
      <c r="I1181" s="115" t="s">
        <v>14</v>
      </c>
      <c r="J1181" s="231" t="s">
        <v>646</v>
      </c>
      <c r="K1181" s="288"/>
      <c r="L1181" s="288"/>
      <c r="M1181" s="288"/>
      <c r="N1181" s="289"/>
    </row>
    <row r="1182" spans="7:14" x14ac:dyDescent="0.25">
      <c r="G1182" s="302" t="s">
        <v>629</v>
      </c>
      <c r="H1182" s="317">
        <f ca="1">M13/K52</f>
        <v>68.98553238624838</v>
      </c>
      <c r="I1182" s="115" t="s">
        <v>96</v>
      </c>
      <c r="J1182" s="231" t="s">
        <v>647</v>
      </c>
      <c r="K1182" s="288"/>
      <c r="L1182" s="288"/>
      <c r="M1182" s="288"/>
      <c r="N1182" s="289"/>
    </row>
    <row r="1183" spans="7:14" x14ac:dyDescent="0.25">
      <c r="G1183" s="302" t="s">
        <v>630</v>
      </c>
      <c r="H1183" s="317">
        <f ca="1">H1182*1.4</f>
        <v>96.579745340747721</v>
      </c>
      <c r="I1183" s="115" t="s">
        <v>96</v>
      </c>
      <c r="J1183" s="231" t="s">
        <v>648</v>
      </c>
      <c r="K1183" s="288"/>
      <c r="L1183" s="288"/>
      <c r="M1183" s="288"/>
      <c r="N1183" s="289"/>
    </row>
    <row r="1184" spans="7:14" x14ac:dyDescent="0.25">
      <c r="G1184" s="302" t="s">
        <v>652</v>
      </c>
      <c r="H1184" s="315">
        <f>4.25*2/100</f>
        <v>8.5000000000000006E-2</v>
      </c>
      <c r="I1184" s="115" t="s">
        <v>83</v>
      </c>
      <c r="J1184" s="231"/>
      <c r="K1184" s="288"/>
      <c r="L1184" s="288"/>
      <c r="M1184" s="288"/>
      <c r="N1184" s="289"/>
    </row>
    <row r="1185" spans="7:14" x14ac:dyDescent="0.25">
      <c r="G1185" s="302" t="s">
        <v>653</v>
      </c>
      <c r="H1185" s="315">
        <f>3.75*6/100</f>
        <v>0.22500000000000001</v>
      </c>
      <c r="I1185" s="115" t="s">
        <v>83</v>
      </c>
      <c r="J1185" s="231"/>
      <c r="K1185" s="288"/>
      <c r="L1185" s="288"/>
      <c r="M1185" s="288"/>
      <c r="N1185" s="289"/>
    </row>
    <row r="1186" spans="7:14" x14ac:dyDescent="0.25">
      <c r="G1186" s="290"/>
      <c r="H1186" s="291"/>
      <c r="I1186" s="291"/>
      <c r="J1186" s="291"/>
      <c r="K1186" s="288"/>
      <c r="L1186" s="288"/>
      <c r="M1186" s="288"/>
      <c r="N1186" s="289"/>
    </row>
    <row r="1187" spans="7:14" x14ac:dyDescent="0.25">
      <c r="G1187" s="628" t="s">
        <v>613</v>
      </c>
      <c r="H1187" s="628"/>
      <c r="I1187" s="628"/>
      <c r="J1187" s="628"/>
      <c r="K1187" s="628"/>
      <c r="L1187" s="628"/>
      <c r="M1187" s="628"/>
      <c r="N1187" s="628"/>
    </row>
    <row r="1188" spans="7:14" x14ac:dyDescent="0.25">
      <c r="G1188" s="292"/>
      <c r="H1188" s="291"/>
      <c r="I1188" s="291"/>
      <c r="J1188" s="291"/>
      <c r="K1188" s="288"/>
      <c r="L1188" s="288"/>
      <c r="M1188" s="288"/>
      <c r="N1188" s="289"/>
    </row>
    <row r="1189" spans="7:14" x14ac:dyDescent="0.25">
      <c r="G1189" s="302" t="s">
        <v>612</v>
      </c>
      <c r="H1189" s="319">
        <f>0.21*H1177^(2/3)/1.4*1000</f>
        <v>2035.8132124461799</v>
      </c>
      <c r="I1189" s="115" t="s">
        <v>61</v>
      </c>
      <c r="J1189" s="294"/>
      <c r="K1189" s="288"/>
      <c r="N1189" s="289"/>
    </row>
    <row r="1190" spans="7:14" x14ac:dyDescent="0.25">
      <c r="G1190" s="302" t="s">
        <v>654</v>
      </c>
      <c r="H1190" s="318">
        <f>H1184+H1185</f>
        <v>0.31</v>
      </c>
      <c r="I1190" s="115" t="s">
        <v>83</v>
      </c>
      <c r="J1190" s="231" t="s">
        <v>636</v>
      </c>
      <c r="K1190" s="288"/>
      <c r="N1190" s="289"/>
    </row>
    <row r="1191" spans="7:14" x14ac:dyDescent="0.25">
      <c r="G1191" s="302" t="s">
        <v>609</v>
      </c>
      <c r="H1191" s="318">
        <f>(H1175+H1176-3)/100</f>
        <v>0.27</v>
      </c>
      <c r="I1191" s="115" t="s">
        <v>83</v>
      </c>
      <c r="J1191" s="231" t="s">
        <v>639</v>
      </c>
      <c r="K1191" s="288"/>
      <c r="N1191" s="289"/>
    </row>
    <row r="1192" spans="7:14" x14ac:dyDescent="0.25">
      <c r="G1192" s="302" t="s">
        <v>611</v>
      </c>
      <c r="H1192" s="318">
        <f>1.6-H1191</f>
        <v>1.33</v>
      </c>
      <c r="J1192" s="231"/>
      <c r="K1192" s="288"/>
      <c r="N1192" s="289"/>
    </row>
    <row r="1193" spans="7:14" x14ac:dyDescent="0.25">
      <c r="G1193" s="302" t="s">
        <v>610</v>
      </c>
      <c r="H1193" s="304">
        <f>(H1179*H1181/10000)/(H1190*H1191)</f>
        <v>9.4336917562723999E-3</v>
      </c>
      <c r="J1193" s="231"/>
      <c r="K1193" s="288"/>
      <c r="L1193" s="288"/>
      <c r="M1193" s="288"/>
      <c r="N1193" s="289"/>
    </row>
    <row r="1194" spans="7:14" x14ac:dyDescent="0.25">
      <c r="G1194" s="302" t="s">
        <v>615</v>
      </c>
      <c r="H1194" s="319">
        <f>0.25*H1189*H1192*(1.2+40*H1193)*H1190*H1191</f>
        <v>89.368087683698178</v>
      </c>
      <c r="I1194" s="115" t="s">
        <v>96</v>
      </c>
      <c r="J1194" s="231"/>
      <c r="K1194" s="288"/>
      <c r="L1194" s="288"/>
      <c r="M1194" s="288"/>
      <c r="N1194" s="289"/>
    </row>
    <row r="1195" spans="7:14" x14ac:dyDescent="0.25">
      <c r="G1195" s="302" t="s">
        <v>558</v>
      </c>
      <c r="H1195" s="319">
        <f>H112*H1181*H1179*0.8</f>
        <v>591.45461760000001</v>
      </c>
      <c r="I1195" s="115" t="s">
        <v>96</v>
      </c>
      <c r="J1195" s="231"/>
      <c r="K1195" s="288"/>
      <c r="L1195" s="288"/>
      <c r="M1195" s="288"/>
      <c r="N1195" s="289"/>
    </row>
    <row r="1196" spans="7:14" x14ac:dyDescent="0.25">
      <c r="G1196" s="302" t="s">
        <v>607</v>
      </c>
      <c r="H1196" s="318">
        <f>IF(H1175=15,0.1112,IF(H1175=20,0.1357,IF(H1175=25,0.1512,IF(H1175=30,0.1811,"ERRO!"))))</f>
        <v>0.1512</v>
      </c>
      <c r="I1196" s="115" t="s">
        <v>631</v>
      </c>
      <c r="J1196" s="231" t="s">
        <v>640</v>
      </c>
      <c r="K1196" s="288"/>
      <c r="L1196" s="288"/>
      <c r="M1196" s="288"/>
      <c r="N1196" s="289"/>
    </row>
    <row r="1197" spans="7:14" x14ac:dyDescent="0.25">
      <c r="G1197" s="302" t="s">
        <v>616</v>
      </c>
      <c r="H1197" s="319">
        <f>H1195/H1196</f>
        <v>3911.7368888888891</v>
      </c>
      <c r="I1197" s="115" t="s">
        <v>63</v>
      </c>
      <c r="J1197" s="231" t="s">
        <v>638</v>
      </c>
      <c r="K1197" s="288"/>
      <c r="L1197" s="288"/>
      <c r="M1197" s="288"/>
      <c r="N1197" s="289"/>
    </row>
    <row r="1198" spans="7:14" ht="15.75" thickBot="1" x14ac:dyDescent="0.3">
      <c r="G1198" s="302" t="s">
        <v>617</v>
      </c>
      <c r="H1198" s="320">
        <f>0.15*H1197*H1190*H1191</f>
        <v>49.111856640000006</v>
      </c>
      <c r="I1198" s="115" t="s">
        <v>96</v>
      </c>
      <c r="J1198" s="231"/>
      <c r="K1198" s="288"/>
      <c r="L1198" s="288"/>
      <c r="M1198" s="288"/>
      <c r="N1198" s="289"/>
    </row>
    <row r="1199" spans="7:14" ht="60.75" customHeight="1" thickBot="1" x14ac:dyDescent="0.3">
      <c r="G1199" s="303" t="s">
        <v>655</v>
      </c>
      <c r="H1199" s="314">
        <f>H1198+H1194</f>
        <v>138.47994432369819</v>
      </c>
      <c r="J1199" s="649" t="str">
        <f ca="1">IF(H1199&lt;H1183,"NÃO OK! NECESSÁRIO PREENCHIMENTO DE ALVÉOLOS","OK!!")</f>
        <v>OK!!</v>
      </c>
      <c r="K1199" s="649"/>
      <c r="L1199" s="288"/>
      <c r="M1199" s="288"/>
      <c r="N1199" s="289"/>
    </row>
    <row r="1200" spans="7:14" x14ac:dyDescent="0.25">
      <c r="G1200" s="290"/>
      <c r="H1200" s="293"/>
      <c r="I1200" s="293"/>
      <c r="J1200" s="293"/>
      <c r="K1200" s="288"/>
      <c r="L1200" s="288"/>
      <c r="M1200" s="288"/>
      <c r="N1200" s="289"/>
    </row>
    <row r="1201" spans="7:14" x14ac:dyDescent="0.25">
      <c r="G1201" s="628" t="s">
        <v>614</v>
      </c>
      <c r="H1201" s="628"/>
      <c r="I1201" s="628"/>
      <c r="J1201" s="628"/>
      <c r="K1201" s="628"/>
      <c r="L1201" s="628"/>
      <c r="M1201" s="628"/>
      <c r="N1201" s="628"/>
    </row>
    <row r="1202" spans="7:14" x14ac:dyDescent="0.25">
      <c r="G1202" s="290"/>
      <c r="H1202" s="293"/>
      <c r="I1202" s="293"/>
      <c r="J1202" s="293"/>
      <c r="K1202" s="288"/>
      <c r="N1202" s="289"/>
    </row>
    <row r="1203" spans="7:14" x14ac:dyDescent="0.25">
      <c r="G1203" s="302" t="s">
        <v>618</v>
      </c>
      <c r="H1203" s="473">
        <f>M11</f>
        <v>0</v>
      </c>
      <c r="J1203" s="231" t="s">
        <v>632</v>
      </c>
      <c r="K1203" s="288"/>
      <c r="L1203" s="650" t="s">
        <v>669</v>
      </c>
      <c r="M1203" s="650"/>
      <c r="N1203" s="289"/>
    </row>
    <row r="1204" spans="7:14" x14ac:dyDescent="0.25">
      <c r="G1204" s="302" t="s">
        <v>656</v>
      </c>
      <c r="H1204" s="305">
        <f>12.5/100</f>
        <v>0.125</v>
      </c>
      <c r="I1204" s="298" t="s">
        <v>83</v>
      </c>
      <c r="J1204" s="231" t="s">
        <v>633</v>
      </c>
      <c r="K1204" s="288"/>
      <c r="L1204" s="321">
        <v>20</v>
      </c>
      <c r="M1204" s="357">
        <v>1.49E-2</v>
      </c>
      <c r="N1204" s="289"/>
    </row>
    <row r="1205" spans="7:14" x14ac:dyDescent="0.25">
      <c r="G1205" s="302" t="s">
        <v>657</v>
      </c>
      <c r="H1205" s="306">
        <f>VLOOKUP(H1175,L1204:M1206,2,FALSE)</f>
        <v>2.12E-2</v>
      </c>
      <c r="I1205" s="299" t="s">
        <v>631</v>
      </c>
      <c r="J1205" s="231" t="s">
        <v>634</v>
      </c>
      <c r="K1205" s="288"/>
      <c r="L1205" s="321">
        <v>25</v>
      </c>
      <c r="M1205" s="357">
        <v>2.12E-2</v>
      </c>
      <c r="N1205" s="289"/>
    </row>
    <row r="1206" spans="7:14" x14ac:dyDescent="0.25">
      <c r="G1206" s="302" t="s">
        <v>619</v>
      </c>
      <c r="H1206" s="307">
        <f>H1190+0.5*H1203*H1204*1</f>
        <v>0.31</v>
      </c>
      <c r="I1206" s="300" t="s">
        <v>83</v>
      </c>
      <c r="J1206" s="231" t="s">
        <v>636</v>
      </c>
      <c r="K1206" s="288"/>
      <c r="L1206" s="321">
        <v>30</v>
      </c>
      <c r="M1206" s="357">
        <v>2.5399999999999999E-2</v>
      </c>
      <c r="N1206" s="231" t="s">
        <v>1505</v>
      </c>
    </row>
    <row r="1207" spans="7:14" x14ac:dyDescent="0.25">
      <c r="G1207" s="302" t="s">
        <v>620</v>
      </c>
      <c r="H1207" s="308">
        <f>(H1181*H1179/10000)/(H1206*H1191)</f>
        <v>9.4336917562723999E-3</v>
      </c>
      <c r="I1207" s="301"/>
      <c r="J1207" s="231"/>
      <c r="K1207" s="288"/>
      <c r="M1207" s="288"/>
      <c r="N1207" s="289"/>
    </row>
    <row r="1208" spans="7:14" x14ac:dyDescent="0.25">
      <c r="G1208" s="302" t="s">
        <v>621</v>
      </c>
      <c r="H1208" s="309">
        <f>0.25*H1189*H1192*(1.2+40*H1207)*H1206*H1191</f>
        <v>89.368087683698178</v>
      </c>
      <c r="I1208" s="295" t="s">
        <v>96</v>
      </c>
      <c r="J1208" s="231"/>
      <c r="K1208" s="288"/>
      <c r="M1208" s="288"/>
      <c r="N1208" s="289"/>
    </row>
    <row r="1209" spans="7:14" x14ac:dyDescent="0.25">
      <c r="G1209" s="302" t="s">
        <v>622</v>
      </c>
      <c r="H1209" s="310">
        <f>H1196+H1203*H1205</f>
        <v>0.1512</v>
      </c>
      <c r="I1209" s="296" t="s">
        <v>631</v>
      </c>
      <c r="J1209" s="231" t="s">
        <v>637</v>
      </c>
      <c r="K1209" s="288"/>
      <c r="M1209" s="288"/>
      <c r="N1209" s="289"/>
    </row>
    <row r="1210" spans="7:14" x14ac:dyDescent="0.25">
      <c r="G1210" s="302" t="s">
        <v>623</v>
      </c>
      <c r="H1210" s="311">
        <f>H1195/H1209</f>
        <v>3911.7368888888891</v>
      </c>
      <c r="I1210" s="297" t="s">
        <v>63</v>
      </c>
      <c r="J1210" s="231" t="s">
        <v>638</v>
      </c>
      <c r="K1210" s="288"/>
      <c r="M1210" s="288"/>
      <c r="N1210" s="289"/>
    </row>
    <row r="1211" spans="7:14" x14ac:dyDescent="0.25">
      <c r="G1211" s="302" t="s">
        <v>624</v>
      </c>
      <c r="H1211" s="309">
        <f>0.15*H1210*H1206*H1191</f>
        <v>49.111856640000006</v>
      </c>
      <c r="I1211" s="295" t="s">
        <v>96</v>
      </c>
      <c r="J1211" s="231"/>
      <c r="K1211" s="288"/>
      <c r="M1211" s="288"/>
      <c r="N1211" s="289"/>
    </row>
    <row r="1212" spans="7:14" x14ac:dyDescent="0.25">
      <c r="G1212" s="302" t="s">
        <v>658</v>
      </c>
      <c r="H1212" s="316">
        <f>H1203*H1205*25*2*0.8</f>
        <v>0</v>
      </c>
      <c r="I1212" s="295" t="s">
        <v>96</v>
      </c>
      <c r="J1212" s="231" t="s">
        <v>635</v>
      </c>
      <c r="K1212" s="288"/>
      <c r="M1212" s="288"/>
      <c r="N1212" s="289"/>
    </row>
    <row r="1213" spans="7:14" ht="15.75" thickBot="1" x14ac:dyDescent="0.3">
      <c r="G1213" s="302"/>
      <c r="H1213" s="312"/>
      <c r="I1213" s="295"/>
      <c r="J1213" s="288"/>
      <c r="K1213" s="288"/>
      <c r="M1213" s="288"/>
      <c r="N1213" s="289"/>
    </row>
    <row r="1214" spans="7:14" ht="75.75" customHeight="1" thickBot="1" x14ac:dyDescent="0.3">
      <c r="G1214" s="313" t="s">
        <v>659</v>
      </c>
      <c r="H1214" s="314">
        <f>H1211+H1208</f>
        <v>138.47994432369819</v>
      </c>
      <c r="J1214" s="649" t="str">
        <f ca="1">IF(H1214&lt;H1183,"NÃO OK! NECESSÁRIO PREENCHECHIMENTO DE MAIS ALVÉOLOS","OK!!")</f>
        <v>OK!!</v>
      </c>
      <c r="K1214" s="649"/>
    </row>
    <row r="1216" spans="7:14" x14ac:dyDescent="0.25">
      <c r="G1216" s="628" t="s">
        <v>733</v>
      </c>
      <c r="H1216" s="628"/>
      <c r="I1216" s="628"/>
      <c r="J1216" s="628"/>
      <c r="K1216" s="628"/>
      <c r="L1216" s="628"/>
      <c r="M1216" s="628"/>
      <c r="N1216" s="628"/>
    </row>
    <row r="1218" spans="7:18" x14ac:dyDescent="0.25">
      <c r="G1218" s="470" t="s">
        <v>1010</v>
      </c>
      <c r="H1218" s="478" t="s">
        <v>1011</v>
      </c>
      <c r="J1218" s="377" t="s">
        <v>1012</v>
      </c>
    </row>
    <row r="1219" spans="7:18" x14ac:dyDescent="0.25">
      <c r="G1219" s="470" t="s">
        <v>1013</v>
      </c>
      <c r="H1219" s="474" t="str">
        <f>IF(H1222&gt;0,"Engastado","Rotulado")</f>
        <v>Engastado</v>
      </c>
      <c r="J1219" s="377" t="s">
        <v>1014</v>
      </c>
    </row>
    <row r="1220" spans="7:18" x14ac:dyDescent="0.25">
      <c r="G1220" s="470" t="s">
        <v>1015</v>
      </c>
      <c r="H1220" s="474" t="str">
        <f>IF(H1228&gt;0,"Engastado","Rotulado")</f>
        <v>Engastado</v>
      </c>
      <c r="J1220" s="377" t="s">
        <v>1016</v>
      </c>
    </row>
    <row r="1221" spans="7:18" x14ac:dyDescent="0.25">
      <c r="G1221" s="470"/>
      <c r="H1221"/>
      <c r="J1221" s="235"/>
    </row>
    <row r="1222" spans="7:18" ht="18" x14ac:dyDescent="0.25">
      <c r="G1222" s="376" t="s">
        <v>735</v>
      </c>
      <c r="H1222" s="479">
        <v>0.25</v>
      </c>
      <c r="J1222" s="235" t="s">
        <v>1017</v>
      </c>
    </row>
    <row r="1223" spans="7:18" x14ac:dyDescent="0.25">
      <c r="G1223" s="470" t="s">
        <v>1018</v>
      </c>
      <c r="H1223" s="480">
        <v>8</v>
      </c>
      <c r="J1223" s="235" t="s">
        <v>1019</v>
      </c>
    </row>
    <row r="1224" spans="7:18" x14ac:dyDescent="0.25">
      <c r="G1224" s="470" t="s">
        <v>1020</v>
      </c>
      <c r="H1224" s="475">
        <f>IFERROR(('Armadura Negativo LE'!L37),0)</f>
        <v>5.166666666666667</v>
      </c>
      <c r="J1224" s="235" t="s">
        <v>1021</v>
      </c>
    </row>
    <row r="1225" spans="7:18" x14ac:dyDescent="0.25">
      <c r="G1225" s="470" t="s">
        <v>1022</v>
      </c>
      <c r="H1225" s="476">
        <f>IF(K216&gt;0,'Armadura Negativo LE'!K37,0)</f>
        <v>6</v>
      </c>
      <c r="J1225" s="235" t="s">
        <v>1023</v>
      </c>
    </row>
    <row r="1226" spans="7:18" x14ac:dyDescent="0.25">
      <c r="G1226" s="470" t="s">
        <v>1024</v>
      </c>
      <c r="H1226" s="477">
        <f>'Armadura Negativo LE'!G37</f>
        <v>2.8182004419195743</v>
      </c>
      <c r="J1226" s="235" t="s">
        <v>1025</v>
      </c>
    </row>
    <row r="1227" spans="7:18" x14ac:dyDescent="0.25">
      <c r="G1227" s="470"/>
      <c r="H1227" s="472"/>
      <c r="J1227" s="235"/>
    </row>
    <row r="1228" spans="7:18" ht="18" x14ac:dyDescent="0.25">
      <c r="G1228" s="376" t="s">
        <v>736</v>
      </c>
      <c r="H1228" s="479">
        <v>0.25</v>
      </c>
      <c r="J1228" s="235" t="s">
        <v>1026</v>
      </c>
    </row>
    <row r="1229" spans="7:18" x14ac:dyDescent="0.25">
      <c r="G1229" s="470" t="s">
        <v>1027</v>
      </c>
      <c r="H1229" s="480">
        <v>10</v>
      </c>
      <c r="J1229" s="235" t="s">
        <v>1028</v>
      </c>
    </row>
    <row r="1230" spans="7:18" x14ac:dyDescent="0.25">
      <c r="G1230" s="470" t="s">
        <v>1029</v>
      </c>
      <c r="H1230" s="475">
        <f>IFERROR(('Armadura Negativo LD'!L37),0)</f>
        <v>7.75</v>
      </c>
      <c r="J1230" s="235" t="s">
        <v>1030</v>
      </c>
    </row>
    <row r="1231" spans="7:18" ht="15.75" thickBot="1" x14ac:dyDescent="0.3">
      <c r="G1231" s="470" t="s">
        <v>1022</v>
      </c>
      <c r="H1231" s="476">
        <f>IF(K222&gt;0,'Armadura Negativo LD'!K37,0)</f>
        <v>4</v>
      </c>
      <c r="J1231" s="235" t="s">
        <v>1023</v>
      </c>
    </row>
    <row r="1232" spans="7:18" ht="15" customHeight="1" x14ac:dyDescent="0.25">
      <c r="G1232" s="470" t="s">
        <v>1024</v>
      </c>
      <c r="H1232" s="477">
        <f>'Armadura Negativo LD'!G37</f>
        <v>2.8295524456702688</v>
      </c>
      <c r="J1232" s="235" t="s">
        <v>1025</v>
      </c>
      <c r="P1232" s="730" t="s">
        <v>758</v>
      </c>
      <c r="Q1232" s="731"/>
      <c r="R1232" s="732"/>
    </row>
    <row r="1233" spans="7:18" ht="15" customHeight="1" x14ac:dyDescent="0.25">
      <c r="G1233" s="470"/>
      <c r="H1233" s="235"/>
      <c r="J1233" s="235"/>
      <c r="P1233" s="733"/>
      <c r="Q1233" s="734"/>
      <c r="R1233" s="735"/>
    </row>
    <row r="1234" spans="7:18" x14ac:dyDescent="0.25">
      <c r="G1234" s="470" t="s">
        <v>1124</v>
      </c>
      <c r="H1234" s="525">
        <f>((I78+I76+I77)*(H21/100)^2)/12</f>
        <v>68.306283333333326</v>
      </c>
      <c r="I1234" s="231" t="s">
        <v>33</v>
      </c>
      <c r="J1234" s="235" t="s">
        <v>1125</v>
      </c>
      <c r="P1234" s="733"/>
      <c r="Q1234" s="734"/>
      <c r="R1234" s="735"/>
    </row>
    <row r="1235" spans="7:18" x14ac:dyDescent="0.25">
      <c r="G1235" s="470" t="s">
        <v>1126</v>
      </c>
      <c r="H1235" s="525">
        <f>((ABS(MIN(G1255:N1255,G1258))/(H22/100))*8)/(H21/100)^2</f>
        <v>5.2888888888888888</v>
      </c>
      <c r="I1235" s="231" t="s">
        <v>63</v>
      </c>
      <c r="J1235" s="235" t="s">
        <v>1127</v>
      </c>
      <c r="P1235" s="733"/>
      <c r="Q1235" s="734"/>
      <c r="R1235" s="735"/>
    </row>
    <row r="1236" spans="7:18" x14ac:dyDescent="0.25">
      <c r="P1236" s="733"/>
      <c r="Q1236" s="734"/>
      <c r="R1236" s="735"/>
    </row>
    <row r="1237" spans="7:18" x14ac:dyDescent="0.25">
      <c r="G1237" s="470" t="s">
        <v>264</v>
      </c>
      <c r="H1237" s="525">
        <f>H1234/((H22/100)*((H23+H33-N52)/100)^2*(H59*1000)/K52)</f>
        <v>3.631329646770301E-2</v>
      </c>
      <c r="I1237" s="231"/>
      <c r="J1237" s="235"/>
      <c r="P1237" s="733"/>
      <c r="Q1237" s="734"/>
      <c r="R1237" s="735"/>
    </row>
    <row r="1238" spans="7:18" x14ac:dyDescent="0.25">
      <c r="G1238" s="470" t="s">
        <v>211</v>
      </c>
      <c r="H1238" s="525">
        <f>_xlfn.XLOOKUP(H1237,'Armadura Negativo LE'!F47:F97,'Armadura Negativo LE'!H47:H97,,1)</f>
        <v>0.97599999999999998</v>
      </c>
      <c r="I1238" s="231"/>
      <c r="P1238" s="733"/>
      <c r="Q1238" s="734"/>
      <c r="R1238" s="735"/>
    </row>
    <row r="1239" spans="7:18" x14ac:dyDescent="0.25">
      <c r="G1239" s="470" t="s">
        <v>476</v>
      </c>
      <c r="H1239" s="525">
        <f>H1234/(H1238*(H23+H33-N52)/100*(H57/10)/1.15)</f>
        <v>6.0742519203010614</v>
      </c>
      <c r="I1239" s="231" t="s">
        <v>14</v>
      </c>
      <c r="J1239" s="231" t="s">
        <v>1128</v>
      </c>
      <c r="P1239" s="733"/>
      <c r="Q1239" s="734"/>
      <c r="R1239" s="735"/>
    </row>
    <row r="1240" spans="7:18" x14ac:dyDescent="0.25">
      <c r="G1240" s="470" t="s">
        <v>1129</v>
      </c>
      <c r="H1240" s="525">
        <f>ROUNDUP(H1239/(3.14*(H1223/20)^2),0)</f>
        <v>13</v>
      </c>
      <c r="I1240" s="231" t="s">
        <v>183</v>
      </c>
      <c r="J1240" s="115" t="s">
        <v>1141</v>
      </c>
      <c r="P1240" s="733"/>
      <c r="Q1240" s="734"/>
      <c r="R1240" s="735"/>
    </row>
    <row r="1241" spans="7:18" x14ac:dyDescent="0.25">
      <c r="G1241" s="470" t="s">
        <v>186</v>
      </c>
      <c r="H1241" s="480">
        <f>H1223</f>
        <v>8</v>
      </c>
      <c r="I1241" s="231"/>
      <c r="J1241" s="115" t="s">
        <v>1142</v>
      </c>
      <c r="P1241" s="733"/>
      <c r="Q1241" s="734"/>
      <c r="R1241" s="735"/>
    </row>
    <row r="1242" spans="7:18" x14ac:dyDescent="0.25">
      <c r="G1242" s="470" t="s">
        <v>1133</v>
      </c>
      <c r="H1242" s="525">
        <f>(3.14*(H1241/20)^2)*H1240</f>
        <v>6.531200000000001</v>
      </c>
      <c r="I1242" s="231" t="s">
        <v>14</v>
      </c>
      <c r="J1242" s="115" t="s">
        <v>1140</v>
      </c>
      <c r="P1242" s="733"/>
      <c r="Q1242" s="734"/>
      <c r="R1242" s="735"/>
    </row>
    <row r="1243" spans="7:18" x14ac:dyDescent="0.25">
      <c r="G1243" s="470" t="s">
        <v>1134</v>
      </c>
      <c r="H1243" s="525">
        <v>210</v>
      </c>
      <c r="I1243" s="231" t="s">
        <v>1135</v>
      </c>
      <c r="J1243" s="115" t="s">
        <v>1143</v>
      </c>
      <c r="P1243" s="733"/>
      <c r="Q1243" s="734"/>
      <c r="R1243" s="735"/>
    </row>
    <row r="1244" spans="7:18" x14ac:dyDescent="0.25">
      <c r="G1244" s="470" t="s">
        <v>1130</v>
      </c>
      <c r="H1244" s="525">
        <f>25*H1241/10+H26</f>
        <v>34</v>
      </c>
      <c r="I1244" s="231" t="s">
        <v>14</v>
      </c>
      <c r="P1244" s="733"/>
      <c r="Q1244" s="734"/>
      <c r="R1244" s="735"/>
    </row>
    <row r="1245" spans="7:18" x14ac:dyDescent="0.25">
      <c r="G1245" s="470" t="s">
        <v>1132</v>
      </c>
      <c r="H1245" s="525">
        <v>75</v>
      </c>
      <c r="P1245" s="733"/>
      <c r="Q1245" s="734"/>
      <c r="R1245" s="735"/>
    </row>
    <row r="1246" spans="7:18" x14ac:dyDescent="0.25">
      <c r="G1246" s="470" t="s">
        <v>1131</v>
      </c>
      <c r="H1246" s="525">
        <f>H1245*(H1242*H1243*((H23+H33-N52)/100)^2)/(H1244/100)</f>
        <v>21246.449823529412</v>
      </c>
      <c r="I1246" s="231" t="s">
        <v>14</v>
      </c>
      <c r="P1246" s="733"/>
      <c r="Q1246" s="734"/>
      <c r="R1246" s="735"/>
    </row>
    <row r="1247" spans="7:18" x14ac:dyDescent="0.25">
      <c r="G1247" s="470" t="s">
        <v>1137</v>
      </c>
      <c r="H1247" s="525">
        <v>0.25</v>
      </c>
      <c r="J1247" s="115" t="s">
        <v>1144</v>
      </c>
      <c r="P1247" s="733"/>
      <c r="Q1247" s="734"/>
      <c r="R1247" s="735"/>
    </row>
    <row r="1248" spans="7:18" x14ac:dyDescent="0.25">
      <c r="G1248" s="470" t="s">
        <v>1136</v>
      </c>
      <c r="H1248" s="525">
        <f ca="1">(1+3*(H883*1000000*I37/100^4*H1247)/(H1246*(H21/100)))^-1</f>
        <v>0.83466376735983983</v>
      </c>
      <c r="I1248" s="231" t="s">
        <v>14</v>
      </c>
      <c r="J1248" s="115" t="s">
        <v>1145</v>
      </c>
      <c r="P1248" s="733"/>
      <c r="Q1248" s="734"/>
      <c r="R1248" s="735"/>
    </row>
    <row r="1249" spans="7:18" x14ac:dyDescent="0.25">
      <c r="G1249" s="470" t="s">
        <v>1138</v>
      </c>
      <c r="H1249" s="525">
        <f ca="1">(3*H1248)/(2+H1248)</f>
        <v>0.88334684730940671</v>
      </c>
      <c r="I1249" s="526" t="str">
        <f ca="1">IF(H1249&gt;0.85,"Reduzir alfa R","Ok")</f>
        <v>Reduzir alfa R</v>
      </c>
      <c r="J1249" s="231" t="s">
        <v>1139</v>
      </c>
      <c r="P1249" s="733"/>
      <c r="Q1249" s="734"/>
      <c r="R1249" s="735"/>
    </row>
    <row r="1250" spans="7:18" x14ac:dyDescent="0.25">
      <c r="G1250" s="470" t="s">
        <v>1146</v>
      </c>
      <c r="H1250" s="525">
        <f>(2*0.85)/(3-0.85)</f>
        <v>0.79069767441860461</v>
      </c>
      <c r="I1250" s="231" t="s">
        <v>14</v>
      </c>
      <c r="J1250" s="115" t="s">
        <v>1147</v>
      </c>
      <c r="P1250" s="733"/>
      <c r="Q1250" s="734"/>
      <c r="R1250" s="735"/>
    </row>
    <row r="1251" spans="7:18" x14ac:dyDescent="0.25">
      <c r="P1251" s="733"/>
      <c r="Q1251" s="734"/>
      <c r="R1251" s="735"/>
    </row>
    <row r="1252" spans="7:18" x14ac:dyDescent="0.25">
      <c r="G1252" s="645" t="s">
        <v>734</v>
      </c>
      <c r="H1252" s="646"/>
      <c r="I1252" s="646"/>
      <c r="J1252" s="646"/>
      <c r="K1252" s="646"/>
      <c r="L1252" s="646"/>
      <c r="M1252" s="646"/>
      <c r="N1252" s="646"/>
      <c r="P1252" s="733"/>
      <c r="Q1252" s="734"/>
      <c r="R1252" s="735"/>
    </row>
    <row r="1253" spans="7:18" x14ac:dyDescent="0.25">
      <c r="G1253" s="211" t="s">
        <v>443</v>
      </c>
      <c r="H1253" s="211" t="s">
        <v>444</v>
      </c>
      <c r="I1253" s="211" t="s">
        <v>445</v>
      </c>
      <c r="J1253" s="211" t="s">
        <v>446</v>
      </c>
      <c r="K1253" s="211" t="s">
        <v>447</v>
      </c>
      <c r="L1253" s="211" t="s">
        <v>448</v>
      </c>
      <c r="M1253" s="211" t="s">
        <v>449</v>
      </c>
      <c r="N1253" s="211" t="s">
        <v>450</v>
      </c>
      <c r="P1253" s="733"/>
      <c r="Q1253" s="734"/>
      <c r="R1253" s="735"/>
    </row>
    <row r="1254" spans="7:18" x14ac:dyDescent="0.25">
      <c r="G1254" s="119">
        <f>(($H$21/100)/20)-$H$280</f>
        <v>0</v>
      </c>
      <c r="H1254" s="119">
        <f>($H$21/100)/8</f>
        <v>1.2275</v>
      </c>
      <c r="I1254" s="119">
        <f t="shared" ref="I1254:N1254" si="54">(($H$21/100)/8)+H1254</f>
        <v>2.4550000000000001</v>
      </c>
      <c r="J1254" s="119">
        <f t="shared" si="54"/>
        <v>3.6825000000000001</v>
      </c>
      <c r="K1254" s="119">
        <f t="shared" si="54"/>
        <v>4.91</v>
      </c>
      <c r="L1254" s="119">
        <f t="shared" si="54"/>
        <v>6.1375000000000002</v>
      </c>
      <c r="M1254" s="119">
        <f t="shared" si="54"/>
        <v>7.3650000000000002</v>
      </c>
      <c r="N1254" s="119">
        <f t="shared" si="54"/>
        <v>8.5925000000000011</v>
      </c>
      <c r="P1254" s="733"/>
      <c r="Q1254" s="734"/>
      <c r="R1254" s="735"/>
    </row>
    <row r="1255" spans="7:18" x14ac:dyDescent="0.25">
      <c r="G1255" s="144">
        <f>(((-($I$78+I76+I77)*($H$21/100)^2)/12)*(3*($H$1222*(1-G1254/($H$21/100))+$H$1228*G1254/($H$21/100)))/(2+($H$1222*(1-G1254/($H$21/100))+$H$1228*G1254/($H$21/100)))+(((($I$78+I76+I77)*$H$21/100)/2)*G1254)-(($I$78+I76+I77)*G1254^2)/2)*-1</f>
        <v>22.768761111111107</v>
      </c>
      <c r="H1255" s="144">
        <f>(((-($I$78+I76+I77)*($H$21/100)^2)/12)*(3*($H$1222*(1-H1254/($H$21/100))+$H$1228*H1254/($H$21/100)))/(2+($H$1222*(1-H1254/($H$21/100))+$H$1228*H1254/($H$21/100)))+(((($I$78+I76+I77)*$H$21/100)/2)*H1254)-(($I$78+I76+I77)*H1254^2)/2)*-1</f>
        <v>-22.05723732638889</v>
      </c>
      <c r="I1255" s="144">
        <f>(((-($I$78+I76+I77)*($H$21/100)^2)/12)*(3*($H$1222*(1-I1254/($H$21/100))+$H$1228*I1254/($H$21/100)))/(2+($H$1222*(1-I1254/($H$21/100))+$H$1228*I1254/($H$21/100)))+(((($I$78+I76+I77)*$H$21/100)/2)*I1254)-(($I$78+I76+I77)*I1254^2)/2)*-1</f>
        <v>-54.07580763888889</v>
      </c>
      <c r="J1255" s="144">
        <f>(((-($I$78+I76+I77)*($H$21/100)^2)/12)*(3*($H$1222*(1-J1254/($H$21/100))+$H$1228*J1254/($H$21/100)))/(2+($H$1222*(1-J1254/($H$21/100))+$H$1228*J1254/($H$21/100)))+(((($I$78+I76+I77)*$H$21/100)/2)*J1254)-(($I$78+I76+I77)*J1254^2)/2)*-1</f>
        <v>-73.286949826388906</v>
      </c>
      <c r="K1255" s="144">
        <f>(((-($I$78+I76+I77)*($H$21/100)^2)/12)*(3*($H$1222*(1-K1254/($H$21/100))+$H$1228*K1254/($H$21/100)))/(2+($H$1222*(1-K1254/($H$21/100))+$H$1228*K1254/($H$21/100)))+(((($I$78+I76+I77)*$H$21/100)/2)*K1254)-(($I$78+I76+I77)*K1254^2)/2)*-1</f>
        <v>-79.690663888888892</v>
      </c>
      <c r="L1255" s="144">
        <f>(((-($I$78+I76+I77)*($H$21/100)^2)/12)*(3*($H$1222*(1-L1254/($H$21/100))+$H$1228*L1254/($H$21/100)))/(2+($H$1222*(1-L1254/($H$21/100))+$H$1228*L1254/($H$21/100)))+(((($I$78+I76+I77)*$H$21/100)/2)*L1254)-(($I$78+I76+I77)*L1254^2)/2)*-1</f>
        <v>-73.286949826388934</v>
      </c>
      <c r="M1255" s="144">
        <f>(((-($I$78+I76+I77)*($H$21/100)^2)/12)*(3*($H$1222*(1-M1254/($H$21/100))+$H$1228*M1254/($H$21/100)))/(2+($H$1222*(1-M1254/($H$21/100))+$H$1228*M1254/($H$21/100)))+(((($I$78+I76+I77)*$H$21/100)/2)*M1254)-(($I$78+I76+I77)*M1254^2)/2)*-1</f>
        <v>-54.075807638888875</v>
      </c>
      <c r="N1255" s="144">
        <f>(((-($I$78+I76+I77)*($H$21/100)^2)/12)*(3*($H$1222*(1-N1254/($H$21/100))+$H$1228*N1254/($H$21/100)))/(2+($H$1222*(1-N1254/($H$21/100))+$H$1228*N1254/($H$21/100)))+(((($I$78+I76+I77)*$H$21/100)/2)*N1254)-(($I$78+I76+I77)*N1254^2)/2)*-1</f>
        <v>-22.057237326388815</v>
      </c>
      <c r="P1255" s="733"/>
      <c r="Q1255" s="734"/>
      <c r="R1255" s="735"/>
    </row>
    <row r="1256" spans="7:18" x14ac:dyDescent="0.25">
      <c r="G1256" s="211" t="s">
        <v>451</v>
      </c>
      <c r="H1256" s="118"/>
      <c r="P1256" s="733"/>
      <c r="Q1256" s="734"/>
      <c r="R1256" s="735"/>
    </row>
    <row r="1257" spans="7:18" x14ac:dyDescent="0.25">
      <c r="G1257" s="119">
        <f>(($H$21/100)/8)+N1254</f>
        <v>9.82</v>
      </c>
      <c r="P1257" s="733"/>
      <c r="Q1257" s="734"/>
      <c r="R1257" s="735"/>
    </row>
    <row r="1258" spans="7:18" x14ac:dyDescent="0.25">
      <c r="G1258" s="144">
        <f>(((-($I$78+I76+I77)*($H$21/100)^2)/12)*(3*($H$1222*(1-G1257/($H$21/100))+$H$1228*G1257/($H$21/100)))/(2+($H$1222*(1-G1257/($H$21/100))+$H$1228*G1257/($H$21/100)))+(((($I$78+I76+I77)*$H$21/100)/2)*G1257)-(($I$78+I76+I77)*G1257^2)/2)*-1</f>
        <v>22.768761111111132</v>
      </c>
      <c r="P1258" s="733"/>
      <c r="Q1258" s="734"/>
      <c r="R1258" s="735"/>
    </row>
    <row r="1259" spans="7:18" x14ac:dyDescent="0.25">
      <c r="P1259" s="733"/>
      <c r="Q1259" s="734"/>
      <c r="R1259" s="735"/>
    </row>
    <row r="1260" spans="7:18" x14ac:dyDescent="0.25">
      <c r="P1260" s="733"/>
      <c r="Q1260" s="734"/>
      <c r="R1260" s="735"/>
    </row>
    <row r="1261" spans="7:18" x14ac:dyDescent="0.25">
      <c r="G1261" s="119">
        <v>0</v>
      </c>
      <c r="H1261" s="119">
        <v>0</v>
      </c>
      <c r="I1261" s="119">
        <v>0</v>
      </c>
      <c r="J1261" s="119">
        <v>0</v>
      </c>
      <c r="K1261" s="119">
        <v>0</v>
      </c>
      <c r="L1261" s="119">
        <v>0</v>
      </c>
      <c r="M1261" s="119">
        <v>0</v>
      </c>
      <c r="N1261" s="119">
        <v>0</v>
      </c>
      <c r="P1261" s="733"/>
      <c r="Q1261" s="734"/>
      <c r="R1261" s="735"/>
    </row>
    <row r="1262" spans="7:18" x14ac:dyDescent="0.25">
      <c r="G1262" s="144">
        <v>0</v>
      </c>
      <c r="P1262" s="733"/>
      <c r="Q1262" s="734"/>
      <c r="R1262" s="735"/>
    </row>
    <row r="1263" spans="7:18" x14ac:dyDescent="0.25">
      <c r="P1263" s="733"/>
      <c r="Q1263" s="734"/>
      <c r="R1263" s="735"/>
    </row>
    <row r="1264" spans="7:18" x14ac:dyDescent="0.25">
      <c r="P1264" s="733"/>
      <c r="Q1264" s="734"/>
      <c r="R1264" s="735"/>
    </row>
    <row r="1265" spans="7:18" x14ac:dyDescent="0.25">
      <c r="P1265" s="733"/>
      <c r="Q1265" s="734"/>
      <c r="R1265" s="735"/>
    </row>
    <row r="1266" spans="7:18" ht="15.75" thickBot="1" x14ac:dyDescent="0.3">
      <c r="P1266" s="736"/>
      <c r="Q1266" s="737"/>
      <c r="R1266" s="738"/>
    </row>
    <row r="1267" spans="7:18" x14ac:dyDescent="0.25">
      <c r="G1267" s="628" t="s">
        <v>737</v>
      </c>
      <c r="H1267" s="628"/>
      <c r="I1267" s="628"/>
      <c r="J1267" s="628"/>
      <c r="K1267" s="628"/>
      <c r="L1267" s="628"/>
      <c r="M1267" s="628"/>
      <c r="N1267" s="628"/>
    </row>
    <row r="1269" spans="7:18" x14ac:dyDescent="0.25">
      <c r="G1269" s="209" t="s">
        <v>746</v>
      </c>
      <c r="H1269" s="383">
        <v>40</v>
      </c>
      <c r="I1269" s="115" t="s">
        <v>80</v>
      </c>
      <c r="J1269" s="115" t="s">
        <v>738</v>
      </c>
    </row>
    <row r="1270" spans="7:18" x14ac:dyDescent="0.25">
      <c r="G1270" s="209" t="s">
        <v>747</v>
      </c>
      <c r="H1270" s="383">
        <v>50</v>
      </c>
      <c r="I1270" s="115" t="s">
        <v>96</v>
      </c>
      <c r="J1270" s="115" t="s">
        <v>739</v>
      </c>
    </row>
    <row r="1271" spans="7:18" x14ac:dyDescent="0.25">
      <c r="G1271" s="209"/>
    </row>
    <row r="1272" spans="7:18" x14ac:dyDescent="0.25">
      <c r="G1272" s="209"/>
      <c r="H1272" s="387">
        <f ca="1">IF(H1269/J1031&lt;="1",H1269/J1031,"1")</f>
        <v>0.6199891490670405</v>
      </c>
    </row>
    <row r="1273" spans="7:18" x14ac:dyDescent="0.25">
      <c r="G1273" s="209"/>
    </row>
    <row r="1274" spans="7:18" x14ac:dyDescent="0.25">
      <c r="G1274" s="389" t="s">
        <v>748</v>
      </c>
      <c r="H1274" s="388">
        <v>1.4</v>
      </c>
      <c r="I1274" s="379"/>
    </row>
    <row r="1275" spans="7:18" x14ac:dyDescent="0.25">
      <c r="G1275" s="389" t="s">
        <v>749</v>
      </c>
      <c r="H1275" s="388">
        <v>1.4</v>
      </c>
      <c r="I1275" s="379"/>
    </row>
    <row r="1276" spans="7:18" x14ac:dyDescent="0.25">
      <c r="G1276" s="390" t="s">
        <v>558</v>
      </c>
      <c r="H1276" s="384">
        <f ca="1">J242</f>
        <v>767.43620601416751</v>
      </c>
      <c r="I1276" s="379"/>
    </row>
    <row r="1277" spans="7:18" x14ac:dyDescent="0.25">
      <c r="G1277" s="389" t="s">
        <v>664</v>
      </c>
      <c r="H1277" s="385">
        <f ca="1">(H1276/(H36))*H1272</f>
        <v>0.30521987358516151</v>
      </c>
      <c r="I1277" s="379"/>
    </row>
    <row r="1278" spans="7:18" x14ac:dyDescent="0.25">
      <c r="G1278" s="391" t="s">
        <v>750</v>
      </c>
      <c r="H1278" s="386">
        <f>((0.21*(H58^(2/3)))/H1274)/10</f>
        <v>0.20358132124461797</v>
      </c>
      <c r="I1278" s="379"/>
      <c r="J1278" s="215"/>
      <c r="K1278" s="1" t="s">
        <v>743</v>
      </c>
      <c r="L1278" s="378">
        <f>'Propriedades geométricas LA '!B44-'Propriedades geométricas LA '!B51</f>
        <v>4</v>
      </c>
    </row>
    <row r="1279" spans="7:18" x14ac:dyDescent="0.25">
      <c r="G1279" s="392" t="s">
        <v>751</v>
      </c>
      <c r="H1279" s="388">
        <v>3</v>
      </c>
      <c r="J1279" s="215"/>
      <c r="K1279" s="1" t="s">
        <v>744</v>
      </c>
      <c r="L1279" s="378">
        <f>L1278</f>
        <v>4</v>
      </c>
    </row>
    <row r="1280" spans="7:18" x14ac:dyDescent="0.25">
      <c r="G1280" s="392" t="s">
        <v>752</v>
      </c>
      <c r="H1280" s="387">
        <f>IF(H1279=3,L1280+L1279+L1278,L1278+L1279)</f>
        <v>12</v>
      </c>
      <c r="J1280" s="215"/>
      <c r="K1280" s="1" t="s">
        <v>745</v>
      </c>
      <c r="L1280" s="378">
        <f>L1279</f>
        <v>4</v>
      </c>
    </row>
    <row r="1281" spans="7:14" x14ac:dyDescent="0.25">
      <c r="G1281" s="392" t="s">
        <v>753</v>
      </c>
      <c r="H1281" s="388" t="s">
        <v>740</v>
      </c>
    </row>
    <row r="1282" spans="7:14" x14ac:dyDescent="0.25">
      <c r="G1282" s="209"/>
    </row>
    <row r="1283" spans="7:14" ht="15.75" thickBot="1" x14ac:dyDescent="0.3">
      <c r="G1283" s="209"/>
    </row>
    <row r="1284" spans="7:14" ht="15.75" thickBot="1" x14ac:dyDescent="0.3">
      <c r="G1284" s="389" t="s">
        <v>754</v>
      </c>
      <c r="H1284" s="394">
        <f ca="1">H1280*IF(H1281="Pré",H30,H30+H33)*H1278*(1+(0.3*H1272*(H1277/H1278)))</f>
        <v>78.105367246602654</v>
      </c>
      <c r="I1284" s="757" t="str">
        <f ca="1">IF(H1285&gt;H1284,"Não Ok!","Ok!")</f>
        <v>Ok!</v>
      </c>
    </row>
    <row r="1285" spans="7:14" ht="15.75" thickBot="1" x14ac:dyDescent="0.3">
      <c r="G1285" s="389" t="s">
        <v>755</v>
      </c>
      <c r="H1285" s="393">
        <f>H1270*H1275</f>
        <v>70</v>
      </c>
      <c r="I1285" s="757"/>
    </row>
    <row r="1288" spans="7:14" x14ac:dyDescent="0.25">
      <c r="G1288" s="728" t="s">
        <v>1031</v>
      </c>
      <c r="H1288" s="729"/>
      <c r="I1288" s="729"/>
      <c r="J1288" s="729"/>
      <c r="K1288" s="729"/>
      <c r="L1288" s="729"/>
      <c r="M1288" s="729"/>
      <c r="N1288" s="729"/>
    </row>
    <row r="1289" spans="7:14" x14ac:dyDescent="0.25">
      <c r="G1289" s="362"/>
      <c r="H1289"/>
      <c r="I1289"/>
      <c r="J1289"/>
      <c r="K1289"/>
      <c r="L1289"/>
      <c r="M1289"/>
      <c r="N1289"/>
    </row>
    <row r="1290" spans="7:14" x14ac:dyDescent="0.25">
      <c r="G1290" s="481" t="s">
        <v>1032</v>
      </c>
      <c r="H1290" s="471">
        <v>1</v>
      </c>
      <c r="I1290" s="235" t="inlineStr">
        <is>
          <t xml:space="preserve">Majorador do módulo para avaliação de efeito dinâmico (calibrado em 1,0 com ensaios de campo)</t>
        </is>
      </c>
      <c r="J1290"/>
      <c r="K1290"/>
      <c r="L1290"/>
      <c r="M1290"/>
      <c r="N1290"/>
    </row>
    <row r="1291" spans="7:14" ht="18" x14ac:dyDescent="0.25">
      <c r="G1291" s="482" t="s">
        <v>1033</v>
      </c>
      <c r="H1291" s="471">
        <v>0.4</v>
      </c>
      <c r="I1291" s="235" t="s">
        <v>1034</v>
      </c>
      <c r="J1291"/>
      <c r="K1291"/>
      <c r="L1291"/>
      <c r="M1291"/>
      <c r="N1291"/>
    </row>
    <row r="1292" spans="7:14" ht="18" x14ac:dyDescent="0.35">
      <c r="G1292" s="483" t="s">
        <v>1035</v>
      </c>
      <c r="H1292" s="484">
        <f ca="1">Frequência!C23</f>
        <v>5.5702835035705291</v>
      </c>
      <c r="I1292" s="235" t="s">
        <v>1036</v>
      </c>
      <c r="J1292"/>
      <c r="K1292"/>
      <c r="L1292"/>
      <c r="M1292"/>
      <c r="N1292"/>
    </row>
    <row r="1293" spans="7:14" ht="18" x14ac:dyDescent="0.35">
      <c r="G1293" s="483" t="s">
        <v>1037</v>
      </c>
      <c r="H1293" s="485">
        <f ca="1">Frequência!C25</f>
        <v>3696.0779874620707</v>
      </c>
      <c r="I1293" s="377" t="s">
        <v>1038</v>
      </c>
      <c r="J1293"/>
      <c r="K1293"/>
      <c r="L1293"/>
      <c r="M1293"/>
      <c r="N1293"/>
    </row>
    <row r="1294" spans="7:14" ht="18" x14ac:dyDescent="0.35">
      <c r="G1294" s="483" t="s">
        <v>1039</v>
      </c>
      <c r="H1294" s="484">
        <f ca="1">Frequência!C29</f>
        <v>9.570904097845478</v>
      </c>
      <c r="I1294" s="235" t="s">
        <v>1040</v>
      </c>
      <c r="J1294"/>
      <c r="K1294"/>
      <c r="L1294"/>
      <c r="M1294"/>
      <c r="N1294"/>
    </row>
    <row r="1295" spans="7:14" ht="18" x14ac:dyDescent="0.35">
      <c r="G1295" s="483" t="s">
        <v>1041</v>
      </c>
      <c r="H1295" s="485">
        <f ca="1">Frequência!C31</f>
        <v>6592.881236812098</v>
      </c>
      <c r="I1295" s="377" t="s">
        <v>1038</v>
      </c>
      <c r="J1295"/>
      <c r="K1295"/>
      <c r="L1295"/>
      <c r="M1295"/>
      <c r="N1295"/>
    </row>
    <row r="1296" spans="7:14" ht="18" x14ac:dyDescent="0.35">
      <c r="G1296" s="483" t="s">
        <v>1042</v>
      </c>
      <c r="H1296" s="484">
        <f ca="1">Frequência!C50</f>
        <v>6.8921068943744261</v>
      </c>
      <c r="I1296" s="235" t="s">
        <v>1040</v>
      </c>
      <c r="J1296"/>
      <c r="K1296"/>
      <c r="L1296"/>
      <c r="M1296"/>
      <c r="N1296"/>
    </row>
    <row r="1297" spans="7:14" x14ac:dyDescent="0.25">
      <c r="G1297" s="483" t="s">
        <v>1955</v>
      </c>
      <c r="H1297" s="484">
        <f ca="1">Frequência!C51</f>
        <v>6.2291787628220385</v>
      </c>
      <c r="I1297" s="235" t="s">
        <v>1956</v>
      </c>
      <c r="J1297"/>
      <c r="K1297"/>
      <c r="L1297"/>
      <c r="M1297"/>
      <c r="N1297"/>
    </row>
    <row r="1298" spans="7:14" x14ac:dyDescent="0.25">
      <c r="G1298" s="362"/>
      <c r="H1298"/>
      <c r="I1298"/>
      <c r="J1298"/>
      <c r="K1298"/>
      <c r="L1298"/>
      <c r="M1298"/>
      <c r="N1298"/>
    </row>
    <row r="1299" spans="7:14" x14ac:dyDescent="0.25">
      <c r="G1299" s="362"/>
      <c r="H1299"/>
      <c r="I1299"/>
      <c r="J1299"/>
      <c r="K1299"/>
      <c r="L1299"/>
      <c r="M1299"/>
      <c r="N1299"/>
    </row>
    <row r="1300" spans="7:14" x14ac:dyDescent="0.25">
      <c r="G1300" s="362"/>
      <c r="H1300"/>
      <c r="I1300"/>
      <c r="J1300"/>
      <c r="K1300"/>
      <c r="L1300"/>
      <c r="M1300"/>
      <c r="N1300"/>
    </row>
    <row r="1301" spans="7:14" x14ac:dyDescent="0.25">
      <c r="G1301" s="362"/>
      <c r="H1301"/>
      <c r="I1301"/>
      <c r="J1301"/>
      <c r="K1301"/>
      <c r="L1301"/>
      <c r="M1301"/>
      <c r="N1301"/>
    </row>
    <row r="1302" spans="7:14" x14ac:dyDescent="0.25">
      <c r="G1302" s="362"/>
      <c r="H1302"/>
      <c r="I1302"/>
      <c r="J1302"/>
      <c r="K1302"/>
      <c r="L1302"/>
      <c r="M1302"/>
      <c r="N1302"/>
    </row>
    <row r="1303" spans="7:14" x14ac:dyDescent="0.25">
      <c r="G1303" s="362"/>
      <c r="H1303"/>
      <c r="I1303"/>
      <c r="J1303"/>
      <c r="K1303"/>
      <c r="L1303"/>
      <c r="M1303"/>
      <c r="N1303"/>
    </row>
    <row r="1304" spans="7:14" x14ac:dyDescent="0.25">
      <c r="G1304" s="362"/>
      <c r="H1304"/>
      <c r="I1304"/>
      <c r="J1304"/>
      <c r="K1304"/>
      <c r="L1304"/>
      <c r="M1304"/>
      <c r="N1304"/>
    </row>
    <row r="1305" spans="7:14" x14ac:dyDescent="0.25">
      <c r="G1305" s="362"/>
      <c r="H1305"/>
      <c r="I1305"/>
      <c r="J1305"/>
      <c r="K1305"/>
      <c r="L1305"/>
      <c r="M1305"/>
      <c r="N1305"/>
    </row>
    <row r="1306" spans="7:14" x14ac:dyDescent="0.25">
      <c r="G1306" s="362"/>
      <c r="H1306"/>
      <c r="I1306"/>
      <c r="J1306"/>
      <c r="K1306"/>
      <c r="L1306"/>
      <c r="M1306"/>
      <c r="N1306"/>
    </row>
    <row r="1307" spans="7:14" x14ac:dyDescent="0.25">
      <c r="G1307" s="362"/>
      <c r="H1307"/>
      <c r="I1307"/>
      <c r="J1307"/>
      <c r="K1307"/>
      <c r="L1307"/>
      <c r="M1307"/>
      <c r="N1307"/>
    </row>
    <row r="1308" spans="7:14" x14ac:dyDescent="0.25">
      <c r="G1308" s="362"/>
      <c r="H1308"/>
      <c r="I1308"/>
      <c r="J1308"/>
      <c r="K1308"/>
      <c r="L1308"/>
      <c r="M1308"/>
      <c r="N1308"/>
    </row>
    <row r="1309" spans="7:14" x14ac:dyDescent="0.25">
      <c r="G1309" s="362"/>
      <c r="H1309"/>
      <c r="I1309"/>
      <c r="J1309"/>
      <c r="K1309"/>
      <c r="L1309"/>
      <c r="M1309"/>
      <c r="N1309"/>
    </row>
    <row r="1310" spans="7:14" x14ac:dyDescent="0.25">
      <c r="G1310" s="362"/>
      <c r="H1310"/>
      <c r="I1310"/>
      <c r="J1310"/>
      <c r="K1310"/>
      <c r="L1310"/>
      <c r="M1310"/>
      <c r="N1310"/>
    </row>
    <row r="1311" spans="7:14" x14ac:dyDescent="0.25">
      <c r="G1311" s="362"/>
      <c r="H1311"/>
      <c r="I1311"/>
      <c r="J1311"/>
      <c r="K1311"/>
      <c r="L1311"/>
      <c r="M1311"/>
      <c r="N1311"/>
    </row>
    <row r="1312" spans="7:14" x14ac:dyDescent="0.25">
      <c r="G1312" s="362"/>
      <c r="H1312"/>
      <c r="I1312"/>
      <c r="J1312"/>
      <c r="K1312"/>
      <c r="L1312"/>
      <c r="M1312"/>
      <c r="N1312"/>
    </row>
    <row r="1313" spans="7:14" x14ac:dyDescent="0.25">
      <c r="G1313" s="362"/>
      <c r="H1313"/>
      <c r="I1313"/>
      <c r="J1313"/>
      <c r="K1313"/>
      <c r="L1313"/>
      <c r="M1313"/>
      <c r="N1313"/>
    </row>
    <row r="1314" spans="7:14" x14ac:dyDescent="0.25">
      <c r="G1314" s="362"/>
      <c r="H1314"/>
      <c r="I1314"/>
      <c r="J1314"/>
      <c r="K1314"/>
      <c r="L1314"/>
      <c r="M1314"/>
      <c r="N1314"/>
    </row>
    <row r="1315" spans="7:14" x14ac:dyDescent="0.25">
      <c r="G1315" s="362"/>
      <c r="H1315"/>
      <c r="I1315"/>
      <c r="J1315"/>
      <c r="K1315"/>
      <c r="L1315"/>
      <c r="M1315"/>
      <c r="N1315"/>
    </row>
    <row r="1316" spans="7:14" x14ac:dyDescent="0.25">
      <c r="G1316" s="362"/>
      <c r="H1316"/>
      <c r="I1316"/>
      <c r="J1316"/>
      <c r="K1316"/>
      <c r="L1316"/>
      <c r="M1316"/>
      <c r="N1316"/>
    </row>
    <row r="1317" spans="7:14" x14ac:dyDescent="0.25">
      <c r="G1317" s="362"/>
      <c r="H1317"/>
      <c r="I1317"/>
      <c r="J1317"/>
      <c r="K1317"/>
      <c r="L1317"/>
      <c r="M1317"/>
      <c r="N1317"/>
    </row>
    <row r="1318" spans="7:14" x14ac:dyDescent="0.25">
      <c r="G1318" s="362"/>
      <c r="H1318"/>
      <c r="I1318"/>
      <c r="J1318"/>
      <c r="K1318"/>
      <c r="L1318"/>
      <c r="M1318"/>
      <c r="N1318"/>
    </row>
    <row r="1319" spans="7:14" x14ac:dyDescent="0.25">
      <c r="G1319" s="362"/>
      <c r="H1319"/>
      <c r="I1319"/>
      <c r="J1319"/>
      <c r="K1319"/>
      <c r="L1319"/>
      <c r="M1319"/>
      <c r="N1319"/>
    </row>
    <row r="1320" spans="7:14" x14ac:dyDescent="0.25">
      <c r="G1320" s="362"/>
      <c r="H1320"/>
      <c r="I1320"/>
      <c r="J1320"/>
      <c r="K1320"/>
      <c r="L1320"/>
      <c r="M1320"/>
      <c r="N1320"/>
    </row>
    <row r="1321" spans="7:14" x14ac:dyDescent="0.25">
      <c r="G1321" s="362"/>
      <c r="H1321"/>
      <c r="I1321"/>
      <c r="J1321"/>
      <c r="K1321"/>
      <c r="L1321"/>
      <c r="M1321"/>
      <c r="N1321"/>
    </row>
    <row r="1322" spans="7:14" x14ac:dyDescent="0.25">
      <c r="G1322" s="362"/>
      <c r="H1322"/>
      <c r="I1322"/>
      <c r="J1322"/>
      <c r="K1322"/>
      <c r="L1322"/>
      <c r="M1322"/>
      <c r="N1322"/>
    </row>
    <row r="1323" spans="7:14" x14ac:dyDescent="0.25">
      <c r="G1323" s="362"/>
      <c r="H1323"/>
      <c r="I1323"/>
      <c r="J1323"/>
      <c r="K1323"/>
      <c r="L1323"/>
      <c r="M1323"/>
      <c r="N1323"/>
    </row>
    <row r="1324" spans="7:14" x14ac:dyDescent="0.25">
      <c r="G1324" s="362"/>
      <c r="H1324"/>
      <c r="I1324"/>
      <c r="J1324"/>
      <c r="K1324"/>
      <c r="L1324"/>
      <c r="M1324"/>
      <c r="N1324"/>
    </row>
    <row r="1325" spans="7:14" x14ac:dyDescent="0.25">
      <c r="G1325" s="362"/>
      <c r="H1325"/>
      <c r="I1325"/>
      <c r="J1325"/>
      <c r="K1325"/>
      <c r="L1325"/>
      <c r="M1325"/>
      <c r="N1325"/>
    </row>
    <row r="1326" spans="7:14" x14ac:dyDescent="0.25">
      <c r="G1326" s="362"/>
      <c r="H1326"/>
      <c r="I1326"/>
      <c r="J1326"/>
      <c r="K1326"/>
      <c r="L1326"/>
      <c r="M1326"/>
      <c r="N1326"/>
    </row>
    <row r="1327" spans="7:14" ht="15.75" thickBot="1" x14ac:dyDescent="0.3">
      <c r="G1327" s="372"/>
      <c r="H1327" s="373"/>
      <c r="I1327" s="373"/>
      <c r="J1327" s="373"/>
      <c r="K1327" s="373"/>
      <c r="L1327" s="373"/>
      <c r="M1327" s="373"/>
      <c r="N1327" s="373"/>
    </row>
  </sheetData>
  <mergeCells count="241">
    <mergeCell ref="G1288:N1288"/>
    <mergeCell ref="P1232:R1266"/>
    <mergeCell ref="G1:G3"/>
    <mergeCell ref="H1:H3"/>
    <mergeCell ref="I1:J1"/>
    <mergeCell ref="M1:N1"/>
    <mergeCell ref="I2:J2"/>
    <mergeCell ref="M2:N2"/>
    <mergeCell ref="I3:J3"/>
    <mergeCell ref="M3:N3"/>
    <mergeCell ref="I1284:I1285"/>
    <mergeCell ref="G1216:N1216"/>
    <mergeCell ref="G1252:N1252"/>
    <mergeCell ref="G29:I29"/>
    <mergeCell ref="L13:L14"/>
    <mergeCell ref="G5:I5"/>
    <mergeCell ref="G19:I19"/>
    <mergeCell ref="G15:H15"/>
    <mergeCell ref="G16:H16"/>
    <mergeCell ref="L19:M19"/>
    <mergeCell ref="M13:M14"/>
    <mergeCell ref="L15:L16"/>
    <mergeCell ref="M15:M16"/>
    <mergeCell ref="L6:M7"/>
    <mergeCell ref="G17:H17"/>
    <mergeCell ref="L17:M18"/>
    <mergeCell ref="I843:J843"/>
    <mergeCell ref="I844:J844"/>
    <mergeCell ref="I840:J840"/>
    <mergeCell ref="I841:J841"/>
    <mergeCell ref="I842:J842"/>
    <mergeCell ref="I845:J845"/>
    <mergeCell ref="AQ97:AT97"/>
    <mergeCell ref="G268:J268"/>
    <mergeCell ref="AP206:AZ206"/>
    <mergeCell ref="K268:N268"/>
    <mergeCell ref="I722:L722"/>
    <mergeCell ref="L725:N727"/>
    <mergeCell ref="H567:L567"/>
    <mergeCell ref="AM32:AM33"/>
    <mergeCell ref="AU97:AX97"/>
    <mergeCell ref="G513:G514"/>
    <mergeCell ref="G565:N565"/>
    <mergeCell ref="G528:N528"/>
    <mergeCell ref="G539:N539"/>
    <mergeCell ref="G550:N550"/>
    <mergeCell ref="G494:N494"/>
    <mergeCell ref="H495:M495"/>
    <mergeCell ref="BE205:BH205"/>
    <mergeCell ref="H415:L415"/>
    <mergeCell ref="H311:L311"/>
    <mergeCell ref="H392:L392"/>
    <mergeCell ref="M224:M225"/>
    <mergeCell ref="BA206:BD206"/>
    <mergeCell ref="Q282:Q284"/>
    <mergeCell ref="P312:S312"/>
    <mergeCell ref="H334:L334"/>
    <mergeCell ref="G234:N234"/>
    <mergeCell ref="G277:N277"/>
    <mergeCell ref="AU207:AV207"/>
    <mergeCell ref="AW207:AX207"/>
    <mergeCell ref="AS207:AT207"/>
    <mergeCell ref="AP207:AR207"/>
    <mergeCell ref="AP208:AR208"/>
    <mergeCell ref="AP215:AP217"/>
    <mergeCell ref="AY207:AZ207"/>
    <mergeCell ref="AP209:AP211"/>
    <mergeCell ref="AP212:AP214"/>
    <mergeCell ref="AQ209:AQ217"/>
    <mergeCell ref="G289:N289"/>
    <mergeCell ref="G278:N278"/>
    <mergeCell ref="G300:N300"/>
    <mergeCell ref="K502:K503"/>
    <mergeCell ref="G500:I500"/>
    <mergeCell ref="K513:K514"/>
    <mergeCell ref="G512:I512"/>
    <mergeCell ref="G502:G503"/>
    <mergeCell ref="K501:N501"/>
    <mergeCell ref="G501:I501"/>
    <mergeCell ref="K512:M512"/>
    <mergeCell ref="I475:L475"/>
    <mergeCell ref="K500:N500"/>
    <mergeCell ref="L478:N480"/>
    <mergeCell ref="I484:L484"/>
    <mergeCell ref="L487:N489"/>
    <mergeCell ref="G263:N263"/>
    <mergeCell ref="G240:N240"/>
    <mergeCell ref="G252:J252"/>
    <mergeCell ref="K252:N252"/>
    <mergeCell ref="L177:L178"/>
    <mergeCell ref="L187:L188"/>
    <mergeCell ref="AN32:AN33"/>
    <mergeCell ref="AK34:AN34"/>
    <mergeCell ref="AM23:AM26"/>
    <mergeCell ref="AN23:AN26"/>
    <mergeCell ref="AK32:AK33"/>
    <mergeCell ref="AK29:AK30"/>
    <mergeCell ref="J116:M116"/>
    <mergeCell ref="K101:K105"/>
    <mergeCell ref="K109:M109"/>
    <mergeCell ref="L101:N101"/>
    <mergeCell ref="AM29:AM30"/>
    <mergeCell ref="AN29:AN30"/>
    <mergeCell ref="AK31:AN31"/>
    <mergeCell ref="AL27:AL28"/>
    <mergeCell ref="AM27:AM28"/>
    <mergeCell ref="AN27:AN28"/>
    <mergeCell ref="AK35:AK36"/>
    <mergeCell ref="AL35:AL36"/>
    <mergeCell ref="K94:K95"/>
    <mergeCell ref="J129:M129"/>
    <mergeCell ref="G90:N90"/>
    <mergeCell ref="J127:K127"/>
    <mergeCell ref="G107:N107"/>
    <mergeCell ref="G99:N99"/>
    <mergeCell ref="G250:N250"/>
    <mergeCell ref="H94:H95"/>
    <mergeCell ref="G141:N141"/>
    <mergeCell ref="G114:H114"/>
    <mergeCell ref="G131:G132"/>
    <mergeCell ref="H245:M245"/>
    <mergeCell ref="L155:M155"/>
    <mergeCell ref="G155:H155"/>
    <mergeCell ref="K223:M223"/>
    <mergeCell ref="I235:K235"/>
    <mergeCell ref="J138:K138"/>
    <mergeCell ref="J139:K139"/>
    <mergeCell ref="J126:K126"/>
    <mergeCell ref="G198:N198"/>
    <mergeCell ref="G147:N147"/>
    <mergeCell ref="AK20:AK21"/>
    <mergeCell ref="AL23:AL26"/>
    <mergeCell ref="G35:I35"/>
    <mergeCell ref="I80:M80"/>
    <mergeCell ref="G50:H50"/>
    <mergeCell ref="J50:K50"/>
    <mergeCell ref="M50:N50"/>
    <mergeCell ref="L24:M25"/>
    <mergeCell ref="G69:N69"/>
    <mergeCell ref="AL29:AL30"/>
    <mergeCell ref="AK27:AK28"/>
    <mergeCell ref="AL32:AL33"/>
    <mergeCell ref="G48:N48"/>
    <mergeCell ref="G55:N55"/>
    <mergeCell ref="G65:N65"/>
    <mergeCell ref="H72:J72"/>
    <mergeCell ref="K72:M72"/>
    <mergeCell ref="AL20:AN20"/>
    <mergeCell ref="AM35:AM36"/>
    <mergeCell ref="L20:M21"/>
    <mergeCell ref="L23:M23"/>
    <mergeCell ref="AN35:AN36"/>
    <mergeCell ref="AK23:AK26"/>
    <mergeCell ref="AK22:AN22"/>
    <mergeCell ref="G1004:G1006"/>
    <mergeCell ref="K857:K858"/>
    <mergeCell ref="H857:H858"/>
    <mergeCell ref="H640:L640"/>
    <mergeCell ref="G999:G1001"/>
    <mergeCell ref="H945:I945"/>
    <mergeCell ref="K958:L958"/>
    <mergeCell ref="H958:I958"/>
    <mergeCell ref="G1071:N1071"/>
    <mergeCell ref="G920:N920"/>
    <mergeCell ref="G943:N943"/>
    <mergeCell ref="G1010:N1010"/>
    <mergeCell ref="H968:I968"/>
    <mergeCell ref="K983:K985"/>
    <mergeCell ref="K968:L968"/>
    <mergeCell ref="I713:L713"/>
    <mergeCell ref="K951:K953"/>
    <mergeCell ref="G821:I821"/>
    <mergeCell ref="G860:N860"/>
    <mergeCell ref="G862:H862"/>
    <mergeCell ref="G1017:G1018"/>
    <mergeCell ref="G1064:G1065"/>
    <mergeCell ref="H1064:H1065"/>
    <mergeCell ref="G1062:G1063"/>
    <mergeCell ref="L716:N718"/>
    <mergeCell ref="G730:I730"/>
    <mergeCell ref="I895:J896"/>
    <mergeCell ref="I894:K894"/>
    <mergeCell ref="I897:J897"/>
    <mergeCell ref="H962:H964"/>
    <mergeCell ref="G914:H914"/>
    <mergeCell ref="G909:H909"/>
    <mergeCell ref="K999:K1001"/>
    <mergeCell ref="K970:K972"/>
    <mergeCell ref="H983:H985"/>
    <mergeCell ref="I836:L838"/>
    <mergeCell ref="I839:K839"/>
    <mergeCell ref="K962:K964"/>
    <mergeCell ref="H970:H972"/>
    <mergeCell ref="H776:L776"/>
    <mergeCell ref="H753:L753"/>
    <mergeCell ref="L830:N832"/>
    <mergeCell ref="P1054:S1055"/>
    <mergeCell ref="P1034:S1035"/>
    <mergeCell ref="J1214:K1214"/>
    <mergeCell ref="J1199:K1199"/>
    <mergeCell ref="G1201:N1201"/>
    <mergeCell ref="G1187:N1187"/>
    <mergeCell ref="L1203:M1203"/>
    <mergeCell ref="G1172:N1172"/>
    <mergeCell ref="G1061:H1061"/>
    <mergeCell ref="G1055:N1055"/>
    <mergeCell ref="L1036:M1036"/>
    <mergeCell ref="J1075:J1076"/>
    <mergeCell ref="K1075:K1076"/>
    <mergeCell ref="J1073:J1074"/>
    <mergeCell ref="K1073:K1074"/>
    <mergeCell ref="G1102:N1102"/>
    <mergeCell ref="G1122:N1122"/>
    <mergeCell ref="G1141:N1141"/>
    <mergeCell ref="G1034:N1034"/>
    <mergeCell ref="H1062:H1063"/>
    <mergeCell ref="K1085:L1085"/>
    <mergeCell ref="G1267:N1267"/>
    <mergeCell ref="L9:L10"/>
    <mergeCell ref="M9:M10"/>
    <mergeCell ref="L27:M27"/>
    <mergeCell ref="L28:M29"/>
    <mergeCell ref="L31:M31"/>
    <mergeCell ref="L32:M33"/>
    <mergeCell ref="G1091:N1091"/>
    <mergeCell ref="L11:L12"/>
    <mergeCell ref="M11:M12"/>
    <mergeCell ref="H590:L590"/>
    <mergeCell ref="H664:L664"/>
    <mergeCell ref="G1030:I1030"/>
    <mergeCell ref="H951:H953"/>
    <mergeCell ref="G870:H870"/>
    <mergeCell ref="G878:H878"/>
    <mergeCell ref="G907:N907"/>
    <mergeCell ref="G731:G732"/>
    <mergeCell ref="G733:G734"/>
    <mergeCell ref="G1025:G1026"/>
    <mergeCell ref="G1027:G1028"/>
    <mergeCell ref="G738:N738"/>
    <mergeCell ref="G736:N736"/>
    <mergeCell ref="G638:N638"/>
  </mergeCells>
  <phoneticPr fontId="5" type="noConversion"/>
  <conditionalFormatting sqref="G116">
    <cfRule type="cellIs" dxfId="48" priority="283" operator="greaterThan">
      <formula>$K$114</formula>
    </cfRule>
  </conditionalFormatting>
  <conditionalFormatting sqref="H122">
    <cfRule type="cellIs" dxfId="47" priority="26" operator="greaterThan">
      <formula>$H$123</formula>
    </cfRule>
    <cfRule type="cellIs" dxfId="46" priority="24" operator="lessThan">
      <formula>$H$123</formula>
    </cfRule>
    <cfRule type="cellIs" dxfId="45" priority="25" operator="greaterThan">
      <formula>$H$123</formula>
    </cfRule>
  </conditionalFormatting>
  <conditionalFormatting sqref="H139">
    <cfRule type="cellIs" dxfId="44" priority="7" operator="lessThan">
      <formula>$H$123</formula>
    </cfRule>
    <cfRule type="cellIs" dxfId="43" priority="8" operator="greaterThan">
      <formula>$H$123</formula>
    </cfRule>
    <cfRule type="cellIs" dxfId="42" priority="9" operator="greaterThan">
      <formula>$H$123</formula>
    </cfRule>
  </conditionalFormatting>
  <conditionalFormatting sqref="H929">
    <cfRule type="cellIs" dxfId="41" priority="407" operator="greaterThan">
      <formula>$H$927</formula>
    </cfRule>
    <cfRule type="cellIs" dxfId="40" priority="406" operator="lessThan">
      <formula>$H$927</formula>
    </cfRule>
  </conditionalFormatting>
  <conditionalFormatting sqref="H937">
    <cfRule type="cellIs" dxfId="39" priority="123" operator="lessThan">
      <formula>$H$935</formula>
    </cfRule>
    <cfRule type="cellIs" dxfId="38" priority="124" operator="greaterThan">
      <formula>$H$935</formula>
    </cfRule>
  </conditionalFormatting>
  <conditionalFormatting sqref="H999 L999">
    <cfRule type="cellIs" dxfId="37" priority="410" operator="greaterThan">
      <formula>$H$1004</formula>
    </cfRule>
    <cfRule type="cellIs" dxfId="36" priority="409" operator="lessThan">
      <formula>$H$1004</formula>
    </cfRule>
    <cfRule type="cellIs" dxfId="35" priority="408" operator="equal">
      <formula>$H$1004</formula>
    </cfRule>
  </conditionalFormatting>
  <conditionalFormatting sqref="H1000 L1000">
    <cfRule type="cellIs" dxfId="34" priority="413" operator="greaterThan">
      <formula>$H$1005</formula>
    </cfRule>
    <cfRule type="cellIs" dxfId="33" priority="412" operator="lessThan">
      <formula>$H$1005</formula>
    </cfRule>
    <cfRule type="cellIs" dxfId="32" priority="411" operator="equal">
      <formula>$H$1005</formula>
    </cfRule>
  </conditionalFormatting>
  <conditionalFormatting sqref="H1001 L1001">
    <cfRule type="cellIs" dxfId="31" priority="415" operator="lessThan">
      <formula>$H$1006</formula>
    </cfRule>
    <cfRule type="cellIs" dxfId="30" priority="416" operator="greaterThan">
      <formula>$H$1006</formula>
    </cfRule>
    <cfRule type="cellIs" dxfId="29" priority="414" operator="equal">
      <formula>$H$1006</formula>
    </cfRule>
  </conditionalFormatting>
  <conditionalFormatting sqref="H1049">
    <cfRule type="cellIs" dxfId="28" priority="19" operator="greaterThan">
      <formula>$J$1049</formula>
    </cfRule>
    <cfRule type="cellIs" dxfId="27" priority="18" operator="lessThan">
      <formula>$J$1049</formula>
    </cfRule>
  </conditionalFormatting>
  <conditionalFormatting sqref="H1062:H1063">
    <cfRule type="cellIs" dxfId="26" priority="23" operator="greaterThan">
      <formula>$H$1064</formula>
    </cfRule>
    <cfRule type="cellIs" dxfId="25" priority="22" operator="lessThan">
      <formula>$H$1064</formula>
    </cfRule>
  </conditionalFormatting>
  <conditionalFormatting sqref="H1222">
    <cfRule type="cellIs" dxfId="24" priority="4" operator="greaterThan">
      <formula>$P$213</formula>
    </cfRule>
  </conditionalFormatting>
  <conditionalFormatting sqref="H1228">
    <cfRule type="cellIs" dxfId="23" priority="5" operator="greaterThan">
      <formula>$P$214</formula>
    </cfRule>
  </conditionalFormatting>
  <conditionalFormatting sqref="H1249">
    <cfRule type="cellIs" dxfId="22" priority="2" operator="lessThan">
      <formula>0.85</formula>
    </cfRule>
    <cfRule type="cellIs" dxfId="21" priority="3" operator="greaterThan">
      <formula>0.85</formula>
    </cfRule>
    <cfRule type="cellIs" dxfId="20" priority="1" operator="lessThan">
      <formula>0.851</formula>
    </cfRule>
  </conditionalFormatting>
  <conditionalFormatting sqref="I312:I332 K312:K332 I335:I355 K335:K355 I393:I413 K393:K413 I416:I436 K416:K436">
    <cfRule type="cellIs" dxfId="19" priority="39" operator="greaterThan">
      <formula>0</formula>
    </cfRule>
    <cfRule type="cellIs" dxfId="18" priority="38" operator="lessThan">
      <formula>0</formula>
    </cfRule>
  </conditionalFormatting>
  <conditionalFormatting sqref="I568:I588 K568:K588 I591:I611 K591:K611 I641:I661 K641:K661 I665:I685 K665:K685 I777:I797 K777:K797">
    <cfRule type="cellIs" dxfId="17" priority="40" operator="lessThan">
      <formula>0</formula>
    </cfRule>
    <cfRule type="cellIs" dxfId="16" priority="41" operator="greaterThan">
      <formula>0</formula>
    </cfRule>
  </conditionalFormatting>
  <conditionalFormatting sqref="I754:I774 K754:K774">
    <cfRule type="cellIs" dxfId="15" priority="36" operator="lessThan">
      <formula>0</formula>
    </cfRule>
    <cfRule type="cellIs" dxfId="14" priority="37" operator="greaterThan">
      <formula>0</formula>
    </cfRule>
  </conditionalFormatting>
  <conditionalFormatting sqref="I1284">
    <cfRule type="cellIs" dxfId="13" priority="10" operator="equal">
      <formula>"Ok!"</formula>
    </cfRule>
  </conditionalFormatting>
  <conditionalFormatting sqref="K1073:K1074">
    <cfRule type="cellIs" dxfId="12" priority="829" operator="lessThan">
      <formula>$H$1064</formula>
    </cfRule>
    <cfRule type="cellIs" dxfId="11" priority="827" operator="lessThan">
      <formula>$K$1075</formula>
    </cfRule>
    <cfRule type="cellIs" dxfId="10" priority="828" operator="greaterThan">
      <formula>$K$1075</formula>
    </cfRule>
    <cfRule type="cellIs" dxfId="9" priority="830" operator="greaterThan">
      <formula>$H$1064</formula>
    </cfRule>
  </conditionalFormatting>
  <conditionalFormatting sqref="L1">
    <cfRule type="cellIs" dxfId="8" priority="6" operator="equal">
      <formula>"CALCULAR PELO MÉTODO ANTIGO"</formula>
    </cfRule>
  </conditionalFormatting>
  <conditionalFormatting sqref="L17">
    <cfRule type="containsText" dxfId="7" priority="11" operator="containsText" text="Reprova no cisalhamento">
      <formula>NOT(ISERROR(SEARCH("Reprova no cisalhamento",L17)))</formula>
    </cfRule>
  </conditionalFormatting>
  <conditionalFormatting sqref="M13:M14">
    <cfRule type="cellIs" dxfId="6" priority="943" operator="lessThan">
      <formula>$M$15</formula>
    </cfRule>
    <cfRule type="cellIs" dxfId="5" priority="944" operator="greaterThan">
      <formula>$M$15</formula>
    </cfRule>
    <cfRule type="cellIs" dxfId="4" priority="945" operator="lessThan">
      <formula>$H$1064</formula>
    </cfRule>
    <cfRule type="cellIs" dxfId="3" priority="946" operator="greaterThan">
      <formula>$H$1064</formula>
    </cfRule>
  </conditionalFormatting>
  <dataValidations disablePrompts="1" count="10">
    <dataValidation type="list" allowBlank="1" showInputMessage="1" showErrorMessage="1" sqref="H137" xr:uid="{3AE9EFD0-D355-45E2-B3A6-1724ECE59CA5}">
      <formula1>"9,5,12,7,15,2"</formula1>
    </dataValidation>
    <dataValidation type="list" allowBlank="1" showInputMessage="1" showErrorMessage="1" sqref="K118 K120 K122 K124 K131 K133 K135 K137" xr:uid="{2501CA0C-A86F-44C0-A9C9-0819DBE2D647}">
      <mc:AlternateContent xmlns:x12ac="http://schemas.microsoft.com/office/spreadsheetml/2011/1/ac" xmlns:mc="http://schemas.openxmlformats.org/markup-compatibility/2006">
        <mc:Choice Requires="x12ac">
          <x12ac:list>0,"9,5","12,7","15,2"</x12ac:list>
        </mc:Choice>
        <mc:Fallback>
          <formula1>"0,9,5,12,7,15,2"</formula1>
        </mc:Fallback>
      </mc:AlternateContent>
    </dataValidation>
    <dataValidation type="list" allowBlank="1" showInputMessage="1" showErrorMessage="1" sqref="I15" xr:uid="{9C59A19F-478B-45A2-9D39-8A22796BD2BE}">
      <formula1>"1 - Sim,2 - Não"</formula1>
    </dataValidation>
    <dataValidation type="list" allowBlank="1" showInputMessage="1" showErrorMessage="1" sqref="I16" xr:uid="{51336CCA-4AEE-4BDB-A141-2F0E3B855593}">
      <formula1>"1 - Retângular,2 - i,3 - T"</formula1>
    </dataValidation>
    <dataValidation type="list" allowBlank="1" showInputMessage="1" showErrorMessage="1" sqref="H62:H63" xr:uid="{E7DAC744-D894-48EB-9618-7726C1D5A170}">
      <formula1>"CPI E CPII,CPIII e CPIV,CPV-ARI"</formula1>
    </dataValidation>
    <dataValidation type="list" allowBlank="1" showInputMessage="1" showErrorMessage="1" sqref="H18 I17" xr:uid="{4BD21736-72EA-47D8-AA23-04C177410909}">
      <formula1>"1 - Circular, 2 - Não Circular"</formula1>
    </dataValidation>
    <dataValidation type="list" allowBlank="1" showInputMessage="1" showErrorMessage="1" sqref="K833 K728 K490 K481 K719" xr:uid="{88524D27-65C5-4B61-B443-BF6EE2167A7B}">
      <formula1>$M$836:$M$843</formula1>
    </dataValidation>
    <dataValidation type="list" allowBlank="1" showInputMessage="1" showErrorMessage="1" sqref="M9:M10 M1 O7" xr:uid="{60F540EB-DD2F-448A-B761-46CB76907F86}">
      <formula1>"NBR 14861/2022,NBR 14861/2002"</formula1>
    </dataValidation>
    <dataValidation type="list" allowBlank="1" showInputMessage="1" showErrorMessage="1" sqref="H1281" xr:uid="{454A1DA3-C5E9-4873-89F4-C0E8135D4540}">
      <formula1>"Pré,Composta"</formula1>
    </dataValidation>
    <dataValidation type="list" allowBlank="1" showInputMessage="1" showErrorMessage="1" sqref="H1218" xr:uid="{5A0CD455-F3D4-4AB7-9896-C267FFA41064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59" fitToHeight="0" orientation="portrait" r:id="rId1"/>
  <rowBreaks count="24" manualBreakCount="24">
    <brk id="68" min="6" max="13" man="1"/>
    <brk id="89" min="6" max="13" man="1"/>
    <brk id="106" min="6" max="13" man="1"/>
    <brk id="197" min="6" max="13" man="1"/>
    <brk id="239" min="6" max="13" man="1"/>
    <brk id="288" min="6" max="13" man="1"/>
    <brk id="377" min="6" max="13" man="1"/>
    <brk id="443" min="6" max="13" man="1"/>
    <brk id="493" min="6" max="13" man="1"/>
    <brk id="564" min="6" max="13" man="1"/>
    <brk id="637" min="6" max="13" man="1"/>
    <brk id="711" min="6" max="13" man="1"/>
    <brk id="775" min="6" max="13" man="1"/>
    <brk id="797" min="6" max="13" man="1"/>
    <brk id="799" min="6" max="13" man="1"/>
    <brk id="800" min="6" max="13" man="1"/>
    <brk id="919" min="6" max="13" man="1"/>
    <brk id="997" min="6" max="13" man="1"/>
    <brk id="1054" min="6" max="13" man="1"/>
    <brk id="1070" min="6" max="13" man="1"/>
    <brk id="1121" min="6" max="13" man="1"/>
    <brk id="1171" min="6" max="13" man="1"/>
    <brk id="1186" min="6" max="13" man="1"/>
    <brk id="1266" min="6" max="13" man="1"/>
  </rowBreaks>
  <ignoredErrors>
    <ignoredError sqref="H9 H60 H67 I77:M77 G94:N100 G111:N111 H81:H86 G125:N131 G121:H121 J121:N123 G1030:I1030 G1029:I1029 G1033:N1037 G1031:I1032 K1029:N1032 G1039:N1042 G1038:I1038 K1038:N1038 J1028:N1028 G193:H193 J193:N193 G114:N120 G194 I194:N194 G195:N232 G1020:N1021 G1019 I1019:N1019 G1023:N1026 G1022 I1022:N1022 G137:I137 K137:N137 G774:N777 G755:H773 J755:N773 G797:N851 G778:H786 J778:N796 G124:I124 K124:N124 G35:I35 G34 I34 I80:M88 J79:M79 G242:N244 G241:I241 K241:N241 G102:N102 G101 I101:N101 J104:N104 J105:N105 G103:G105 K103:N103 G754:L754 N754 G333:N344 G313:H320 H321:H325 G413:N425 H394 G395:H395 H396 G397:H402 H403:H404 G405:H406 H407 G408:H412 J394:N412 G112:G113 I112:N113 G326:H332 J313:N332 G346:N393 G345:H345 J345:N345 G427:N568 H426:N426 G588:N641 G569:H587 J569:N587 G661:N753 G642:H643 H644 G645:H660 J642:N660 G788:H796 H787 G26:I26 G24:G25 G33:I33 G32:H32 G39:I39 G42:I45 G1214:K1214 G31 I31 G138:H138 G239:N240 L235:N238 G278:N284 G245:N276 G310:N312 G854:N857 N853 G859:N879 G858:K858 M858:N858 G890:N897 G122:G123 G888:G889 I888:N889 G912:N1018 G911 I911:N911 G898:N910 G852:K853 M852:N852 G286:N293 G285:H285 J285:N285 G295:N309 G294:H294 J294:N294 I73:J73 L73:M73 G1172:N1213 G1075:J1075 L1075:N1075 G1061:N1061 G1060 I1060:N1060 G1063:N1072 G1062 I1062:N1062 G1074:N1074 G1073:J1073 L1073:N1073 G1050:N1050 G1047:G1049 I1047:N1049 G1052:N1059 G1051 I1051:N1051 G140:N189 I139:N139 G36:G37 G40:G41 G28:I30 G27:H27 G1076:N1084 I76:J76 J75 G38:H38 L75:M76 L74 J74 G886:N887 G885 I885:N885 G881:N884 G880 I880:N880 G1044:N1046 G1043 I1043:N1043 G1089:N1090 G1088:H1088 K1088:N1088 G1086:N1087 G1085:J1085 M1085:N1085 I78:J78 L78:M78 G133:N136 G132:I132 K132:N132 K138:N138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B1:E135"/>
  <sheetViews>
    <sheetView showGridLines="0" topLeftCell="A2" zoomScale="85" zoomScaleNormal="85" workbookViewId="0">
      <selection activeCell="B44" sqref="B43:B44"/>
    </sheetView>
  </sheetViews>
  <sheetFormatPr defaultRowHeight="15" x14ac:dyDescent="0.25"/>
  <cols>
    <col min="1" max="1" width="2.7109375" customWidth="1"/>
    <col min="2" max="2" width="36.7109375" customWidth="1"/>
    <col min="3" max="3" width="18.7109375" customWidth="1"/>
    <col min="4" max="4" width="16.7109375" customWidth="1"/>
    <col min="5" max="5" width="110.7109375" customWidth="1"/>
  </cols>
  <sheetData>
    <row r="1" spans="2:5" x14ac:dyDescent="0.25">
      <c r="B1" s="635" t="s">
        <v>1506</v>
      </c>
      <c r="C1" s="635"/>
      <c r="D1" s="635"/>
      <c r="E1" s="635"/>
    </row>
    <row r="2" spans="2:5" x14ac:dyDescent="0.25">
      <c r="B2" s="231" t="s">
        <v>1507</v>
      </c>
    </row>
    <row r="4" spans="2:5" x14ac:dyDescent="0.25">
      <c r="B4" s="635" t="s">
        <v>1508</v>
      </c>
      <c r="C4" s="635"/>
      <c r="D4" s="635"/>
      <c r="E4" s="635"/>
    </row>
    <row r="5" spans="2:5" x14ac:dyDescent="0.25">
      <c r="B5" s="209" t="s">
        <v>1509</v>
      </c>
      <c r="C5" s="237">
        <v>1.3</v>
      </c>
      <c r="D5" s="231" t="s">
        <v>1510</v>
      </c>
      <c r="E5" s="115" t="s">
        <v>1511</v>
      </c>
    </row>
    <row r="6" spans="2:5" x14ac:dyDescent="0.25">
      <c r="B6" s="209" t="s">
        <v>1512</v>
      </c>
      <c r="C6" s="237">
        <v>1.4</v>
      </c>
      <c r="D6" s="231" t="s">
        <v>1510</v>
      </c>
      <c r="E6" s="115" t="s">
        <v>1513</v>
      </c>
    </row>
    <row r="7" spans="2:5" x14ac:dyDescent="0.25">
      <c r="B7" s="209" t="s">
        <v>1514</v>
      </c>
      <c r="C7" s="240" t="s">
        <v>1515</v>
      </c>
      <c r="E7" s="115" t="s">
        <v>1516</v>
      </c>
    </row>
    <row r="8" spans="2:5" x14ac:dyDescent="0.25">
      <c r="B8" s="209" t="s">
        <v>1517</v>
      </c>
      <c r="C8" s="237">
        <f>Geometria!H58</f>
        <v>50</v>
      </c>
      <c r="D8" s="231" t="s">
        <v>60</v>
      </c>
      <c r="E8" s="115" t="s">
        <v>1518</v>
      </c>
    </row>
    <row r="9" spans="2:5" x14ac:dyDescent="0.25">
      <c r="B9" s="209" t="s">
        <v>1519</v>
      </c>
      <c r="C9" s="237">
        <f>Geometria!H864</f>
        <v>1</v>
      </c>
      <c r="D9" s="231" t="s">
        <v>1510</v>
      </c>
      <c r="E9" s="115" t="s">
        <v>1520</v>
      </c>
    </row>
    <row r="10" spans="2:5" x14ac:dyDescent="0.25">
      <c r="B10" s="209" t="s">
        <v>1521</v>
      </c>
      <c r="C10" s="237">
        <v>0.45</v>
      </c>
      <c r="D10" s="231" t="s">
        <v>1510</v>
      </c>
      <c r="E10" s="115" t="s">
        <v>1522</v>
      </c>
    </row>
    <row r="11" spans="2:5" x14ac:dyDescent="0.25">
      <c r="B11" s="209" t="s">
        <v>1523</v>
      </c>
      <c r="C11" s="237">
        <v>0.9</v>
      </c>
      <c r="D11" s="231" t="s">
        <v>1510</v>
      </c>
      <c r="E11" s="115" t="s">
        <v>1524</v>
      </c>
    </row>
    <row r="12" spans="2:5" x14ac:dyDescent="0.25">
      <c r="B12" s="635" t="s">
        <v>1525</v>
      </c>
      <c r="C12" s="635"/>
      <c r="D12" s="635"/>
      <c r="E12" s="635"/>
    </row>
    <row r="13" spans="2:5" x14ac:dyDescent="0.25">
      <c r="B13" s="209" t="s">
        <v>3</v>
      </c>
      <c r="C13" s="118">
        <f>Geometria!H23</f>
        <v>25</v>
      </c>
      <c r="D13" s="231" t="s">
        <v>80</v>
      </c>
      <c r="E13" s="115" t="s">
        <v>1526</v>
      </c>
    </row>
    <row r="14" spans="2:5" x14ac:dyDescent="0.25">
      <c r="B14" s="209" t="s">
        <v>1527</v>
      </c>
      <c r="C14" s="118" t="str">
        <f>IF(Geometria!I15="1 - Sim","Sim","Não")</f>
        <v>Sim</v>
      </c>
      <c r="E14" s="115" t="s">
        <v>1528</v>
      </c>
    </row>
    <row r="15" spans="2:5" x14ac:dyDescent="0.25">
      <c r="B15" s="209" t="s">
        <v>1529</v>
      </c>
      <c r="C15" s="118">
        <f>IF(C14="Sim",Geometria!H33,0)</f>
        <v>5</v>
      </c>
      <c r="D15" s="231" t="s">
        <v>80</v>
      </c>
      <c r="E15" s="115" t="s">
        <v>1530</v>
      </c>
    </row>
    <row r="16" spans="2:5" x14ac:dyDescent="0.25">
      <c r="B16" s="209" t="s">
        <v>1531</v>
      </c>
      <c r="C16" s="118">
        <f>Geometria!H144</f>
        <v>3</v>
      </c>
      <c r="D16" s="231" t="s">
        <v>80</v>
      </c>
      <c r="E16" s="115" t="s">
        <v>1532</v>
      </c>
    </row>
    <row r="17" spans="2:5" x14ac:dyDescent="0.25">
      <c r="B17" s="209" t="s">
        <v>1327</v>
      </c>
      <c r="C17" s="118">
        <f>C13-C16</f>
        <v>22</v>
      </c>
      <c r="D17" s="231" t="s">
        <v>80</v>
      </c>
      <c r="E17" s="115" t="s">
        <v>1533</v>
      </c>
    </row>
    <row r="18" spans="2:5" x14ac:dyDescent="0.25">
      <c r="B18" s="209" t="s">
        <v>1534</v>
      </c>
      <c r="C18" s="118">
        <f>C13+C15-C16</f>
        <v>27</v>
      </c>
      <c r="D18" s="231" t="s">
        <v>80</v>
      </c>
      <c r="E18" s="115" t="s">
        <v>1535</v>
      </c>
    </row>
    <row r="19" spans="2:5" x14ac:dyDescent="0.25">
      <c r="B19" s="209" t="s">
        <v>1536</v>
      </c>
      <c r="C19" s="118">
        <f>Geometria!H27</f>
        <v>31</v>
      </c>
      <c r="D19" s="231" t="s">
        <v>80</v>
      </c>
      <c r="E19" s="115" t="s">
        <v>1537</v>
      </c>
    </row>
    <row r="20" spans="2:5" x14ac:dyDescent="0.25">
      <c r="B20" s="209" t="s">
        <v>4</v>
      </c>
      <c r="C20" s="118">
        <f ca="1">'Propriedades geométricas VI'!M6</f>
        <v>1513.0702000000008</v>
      </c>
      <c r="D20" s="231" t="s">
        <v>14</v>
      </c>
      <c r="E20" s="115" t="s">
        <v>1538</v>
      </c>
    </row>
    <row r="21" spans="2:5" x14ac:dyDescent="0.25">
      <c r="B21" s="209" t="s">
        <v>1539</v>
      </c>
      <c r="C21" s="118">
        <f ca="1">'Propriedades geométricas VI'!M7</f>
        <v>12.737286216682715</v>
      </c>
      <c r="D21" s="231" t="s">
        <v>80</v>
      </c>
      <c r="E21" s="115" t="s">
        <v>1540</v>
      </c>
    </row>
    <row r="22" spans="2:5" x14ac:dyDescent="0.25">
      <c r="B22" s="209" t="s">
        <v>1056</v>
      </c>
      <c r="C22" s="118">
        <f ca="1">'Propriedades geométricas VI'!M9</f>
        <v>120206.60760607547</v>
      </c>
      <c r="D22" s="231" t="s">
        <v>1541</v>
      </c>
      <c r="E22" s="115" t="s">
        <v>1542</v>
      </c>
    </row>
    <row r="23" spans="2:5" x14ac:dyDescent="0.25">
      <c r="B23" s="209" t="s">
        <v>1543</v>
      </c>
      <c r="C23" s="118">
        <f>COUNT('Propriedades geométricas VI'!$B$6:$B$400)</f>
        <v>253</v>
      </c>
      <c r="D23" s="231" t="s">
        <v>1510</v>
      </c>
      <c r="E23" s="115" t="s">
        <v>1544</v>
      </c>
    </row>
    <row r="24" spans="2:5" x14ac:dyDescent="0.25">
      <c r="B24" s="209" t="s">
        <v>1545</v>
      </c>
      <c r="C24" s="118">
        <f ca="1">ABS(SUMPRODUCT((((OFFSET('Propriedades geométricas VI'!$C$6,0,0,$C$23-1,1))+$C$21+ABS((OFFSET('Propriedades geométricas VI'!$C$6,0,0,$C$23-1,1))-$C$21))/2-((OFFSET('Propriedades geométricas VI'!$C$7,0,0,$C$23-1,1))+$C$21+ABS((OFFSET('Propriedades geométricas VI'!$C$7,0,0,$C$23-1,1))-$C$21))/2)*((OFFSET('Propriedades geométricas VI'!$B$6,0,0,$C$23-1,1))+(OFFSET('Propriedades geométricas VI'!$B$7,0,0,$C$23-1,1)))))/2</f>
        <v>774.56432728283505</v>
      </c>
      <c r="D24" s="231" t="s">
        <v>14</v>
      </c>
      <c r="E24" s="115" t="s">
        <v>1546</v>
      </c>
    </row>
    <row r="25" spans="2:5" x14ac:dyDescent="0.25">
      <c r="B25" s="209" t="s">
        <v>1547</v>
      </c>
      <c r="C25" s="118">
        <f ca="1">ABS(SUMPRODUCT(((OFFSET('Propriedades geométricas VI'!$B$7,0,0,$C$23-1,1))-(OFFSET('Propriedades geométricas VI'!$B$6,0,0,$C$23-1,1)))*((((OFFSET('Propriedades geométricas VI'!$C$6,0,0,$C$23-1,1))+$C$21+ABS((OFFSET('Propriedades geométricas VI'!$C$6,0,0,$C$23-1,1))-$C$21))/2+((OFFSET('Propriedades geométricas VI'!$C$7,0,0,$C$23-1,1))+$C$21+ABS((OFFSET('Propriedades geométricas VI'!$C$7,0,0,$C$23-1,1))-$C$21))/2)^2+(((OFFSET('Propriedades geométricas VI'!$C$7,0,0,$C$23-1,1))+$C$21+ABS((OFFSET('Propriedades geométricas VI'!$C$7,0,0,$C$23-1,1))-$C$21))/2-((OFFSET('Propriedades geométricas VI'!$C$6,0,0,$C$23-1,1))+$C$21+ABS((OFFSET('Propriedades geométricas VI'!$C$6,0,0,$C$23-1,1))-$C$21))/2)^2/3)))/8</f>
        <v>16082.448404098408</v>
      </c>
      <c r="D25" s="231" t="s">
        <v>775</v>
      </c>
      <c r="E25" s="115" t="s">
        <v>1548</v>
      </c>
    </row>
    <row r="26" spans="2:5" x14ac:dyDescent="0.25">
      <c r="B26" s="209" t="s">
        <v>1549</v>
      </c>
      <c r="C26" s="118">
        <f ca="1">C25/C24-C21</f>
        <v>8.0259323277543864</v>
      </c>
      <c r="D26" s="231" t="s">
        <v>80</v>
      </c>
      <c r="E26" s="115" t="s">
        <v>1550</v>
      </c>
    </row>
    <row r="27" spans="2:5" x14ac:dyDescent="0.25">
      <c r="B27" s="209" t="s">
        <v>1397</v>
      </c>
      <c r="C27" s="118">
        <f ca="1">C24*C26</f>
        <v>6216.6008742646345</v>
      </c>
      <c r="D27" s="231" t="s">
        <v>775</v>
      </c>
      <c r="E27" s="115" t="s">
        <v>1551</v>
      </c>
    </row>
    <row r="28" spans="2:5" x14ac:dyDescent="0.25">
      <c r="B28" s="209" t="s">
        <v>1400</v>
      </c>
      <c r="C28" s="118">
        <f ca="1">IF(C14="Sim",'Propriedades geométricas LA '!M9,C22)</f>
        <v>199263.10332053131</v>
      </c>
      <c r="D28" s="231" t="s">
        <v>1541</v>
      </c>
      <c r="E28" s="115" t="s">
        <v>1552</v>
      </c>
    </row>
    <row r="29" spans="2:5" x14ac:dyDescent="0.25">
      <c r="B29" s="209" t="s">
        <v>1399</v>
      </c>
      <c r="C29" s="118">
        <f ca="1">IF(C14="Sim",'Valores "A" e "Y"'!M6*'Valores "A" e "Y"'!M16,C27)</f>
        <v>8442.5162505059561</v>
      </c>
      <c r="D29" s="231" t="s">
        <v>775</v>
      </c>
      <c r="E29" s="115" t="s">
        <v>1553</v>
      </c>
    </row>
    <row r="30" spans="2:5" x14ac:dyDescent="0.25">
      <c r="B30" s="209" t="s">
        <v>1554</v>
      </c>
      <c r="C30" s="118">
        <f>Geometria!M11</f>
        <v>0</v>
      </c>
      <c r="D30" s="231" t="s">
        <v>1510</v>
      </c>
      <c r="E30" s="115" t="s">
        <v>1555</v>
      </c>
    </row>
    <row r="31" spans="2:5" x14ac:dyDescent="0.25">
      <c r="B31" s="209" t="s">
        <v>1556</v>
      </c>
      <c r="C31" s="118">
        <f>Geometria!H1204*100</f>
        <v>12.5</v>
      </c>
      <c r="D31" s="231" t="s">
        <v>80</v>
      </c>
      <c r="E31" s="115" t="s">
        <v>633</v>
      </c>
    </row>
    <row r="32" spans="2:5" x14ac:dyDescent="0.25">
      <c r="B32" s="209" t="s">
        <v>1557</v>
      </c>
      <c r="C32" s="118">
        <f>VLOOKUP(Geometria!H23,Geometria!L1204:M1206,2,FALSE)*10000</f>
        <v>212</v>
      </c>
      <c r="D32" s="231" t="s">
        <v>14</v>
      </c>
      <c r="E32" s="115" t="s">
        <v>1558</v>
      </c>
    </row>
    <row r="33" spans="2:5" x14ac:dyDescent="0.25">
      <c r="B33" s="209" t="s">
        <v>496</v>
      </c>
      <c r="C33" s="118">
        <f>Geometria!H1050</f>
        <v>5.8</v>
      </c>
      <c r="D33" s="231" t="s">
        <v>80</v>
      </c>
      <c r="E33" s="115" t="s">
        <v>1559</v>
      </c>
    </row>
    <row r="35" spans="2:5" x14ac:dyDescent="0.25">
      <c r="B35" s="635" t="s">
        <v>1560</v>
      </c>
      <c r="C35" s="635"/>
      <c r="D35" s="635"/>
      <c r="E35" s="635"/>
    </row>
    <row r="36" spans="2:5" x14ac:dyDescent="0.25">
      <c r="B36" s="209" t="s">
        <v>214</v>
      </c>
      <c r="C36" s="118">
        <f>Geometria!H58</f>
        <v>50</v>
      </c>
      <c r="D36" s="231" t="s">
        <v>60</v>
      </c>
      <c r="E36" s="115" t="s">
        <v>1561</v>
      </c>
    </row>
    <row r="37" spans="2:5" x14ac:dyDescent="0.25">
      <c r="B37" s="209" t="s">
        <v>1562</v>
      </c>
      <c r="C37" s="118">
        <f>IF(C36&lt;=50,0.21*C36^(2/3),0.7*2.12*LN(1+0.11*C36))</f>
        <v>2.8501384974246515</v>
      </c>
      <c r="D37" s="231" t="s">
        <v>60</v>
      </c>
      <c r="E37" s="115" t="s">
        <v>1563</v>
      </c>
    </row>
    <row r="38" spans="2:5" x14ac:dyDescent="0.25">
      <c r="B38" s="209" t="s">
        <v>486</v>
      </c>
      <c r="C38" s="413">
        <f>C37/C5/10</f>
        <v>0.21924142287881937</v>
      </c>
      <c r="D38" s="231" t="s">
        <v>61</v>
      </c>
      <c r="E38" s="115" t="s">
        <v>1564</v>
      </c>
    </row>
    <row r="39" spans="2:5" x14ac:dyDescent="0.25">
      <c r="B39" s="209" t="s">
        <v>1565</v>
      </c>
      <c r="C39" s="118">
        <f>C36/C5/10</f>
        <v>3.8461538461538458</v>
      </c>
      <c r="D39" s="231" t="s">
        <v>61</v>
      </c>
      <c r="E39" s="115" t="s">
        <v>1566</v>
      </c>
    </row>
    <row r="40" spans="2:5" x14ac:dyDescent="0.25">
      <c r="B40" s="209" t="s">
        <v>1567</v>
      </c>
      <c r="C40" s="118">
        <f>Geometria!H59</f>
        <v>30</v>
      </c>
      <c r="D40" s="231" t="s">
        <v>60</v>
      </c>
      <c r="E40" s="115" t="s">
        <v>1568</v>
      </c>
    </row>
    <row r="41" spans="2:5" x14ac:dyDescent="0.25">
      <c r="B41" s="209" t="s">
        <v>1569</v>
      </c>
      <c r="C41" s="413">
        <f>IF(C40&lt;=50,0.21*C40^(2/3),0.7*2.12*LN(1+0.11*C40))/C6/10</f>
        <v>0.14482340769084445</v>
      </c>
      <c r="D41" s="231" t="s">
        <v>61</v>
      </c>
      <c r="E41" s="115" t="s">
        <v>1570</v>
      </c>
    </row>
    <row r="42" spans="2:5" x14ac:dyDescent="0.25">
      <c r="B42" s="209" t="s">
        <v>1571</v>
      </c>
      <c r="C42" s="118">
        <f>C40/C6/10</f>
        <v>2.1428571428571432</v>
      </c>
      <c r="D42" s="231" t="s">
        <v>61</v>
      </c>
      <c r="E42" s="115" t="s">
        <v>1572</v>
      </c>
    </row>
    <row r="43" spans="2:5" x14ac:dyDescent="0.25">
      <c r="B43" s="209" t="s">
        <v>1573</v>
      </c>
      <c r="C43" s="118">
        <f>Geometria!H867*100</f>
        <v>3662.8131265463162</v>
      </c>
      <c r="D43" s="231" t="s">
        <v>61</v>
      </c>
      <c r="E43" s="115" t="s">
        <v>1574</v>
      </c>
    </row>
    <row r="44" spans="2:5" x14ac:dyDescent="0.25">
      <c r="B44" s="209" t="s">
        <v>1575</v>
      </c>
      <c r="C44" s="118">
        <f>IF(C8&lt;=50,C9*5600*SQRT(C8),21500*C9*(C8/10+1.25)^(1/3))*MIN(1,0.8+0.2*C8/80)/10</f>
        <v>3662.8131265463162</v>
      </c>
      <c r="D44" s="231" t="s">
        <v>61</v>
      </c>
      <c r="E44" s="115" t="s">
        <v>1576</v>
      </c>
    </row>
    <row r="45" spans="2:5" x14ac:dyDescent="0.25">
      <c r="B45" s="209" t="s">
        <v>1577</v>
      </c>
      <c r="C45" s="118">
        <f>C44/C43</f>
        <v>1</v>
      </c>
      <c r="D45" s="231" t="s">
        <v>1510</v>
      </c>
      <c r="E45" s="115" t="s">
        <v>1578</v>
      </c>
    </row>
    <row r="47" spans="2:5" x14ac:dyDescent="0.25">
      <c r="B47" s="635" t="s">
        <v>1579</v>
      </c>
      <c r="C47" s="635"/>
      <c r="D47" s="635"/>
      <c r="E47" s="635"/>
    </row>
    <row r="48" spans="2:5" x14ac:dyDescent="0.25">
      <c r="B48" s="209" t="s">
        <v>1580</v>
      </c>
      <c r="C48" s="118">
        <f>Geometria!H166</f>
        <v>7.8959999999999999</v>
      </c>
      <c r="D48" s="231" t="s">
        <v>14</v>
      </c>
    </row>
    <row r="49" spans="2:5" x14ac:dyDescent="0.25">
      <c r="B49" s="209" t="s">
        <v>1581</v>
      </c>
      <c r="C49" s="118">
        <f>Geometria!H168</f>
        <v>0</v>
      </c>
      <c r="D49" s="231" t="s">
        <v>14</v>
      </c>
    </row>
    <row r="50" spans="2:5" x14ac:dyDescent="0.25">
      <c r="B50" s="209" t="s">
        <v>1582</v>
      </c>
      <c r="C50" s="118">
        <f ca="1">Geometria!J237</f>
        <v>97.193035209494369</v>
      </c>
      <c r="D50" s="231" t="s">
        <v>61</v>
      </c>
      <c r="E50" s="115" t="s">
        <v>1583</v>
      </c>
    </row>
    <row r="51" spans="2:5" x14ac:dyDescent="0.25">
      <c r="B51" s="209" t="s">
        <v>1584</v>
      </c>
      <c r="C51" s="118">
        <f ca="1">Geometria!J238</f>
        <v>35.103830861035291</v>
      </c>
      <c r="D51" s="231" t="s">
        <v>61</v>
      </c>
      <c r="E51" s="115" t="s">
        <v>1583</v>
      </c>
    </row>
    <row r="52" spans="2:5" x14ac:dyDescent="0.25">
      <c r="B52" s="209" t="s">
        <v>1585</v>
      </c>
      <c r="C52" s="118">
        <f ca="1">C48*C50+C49*C51</f>
        <v>767.43620601416751</v>
      </c>
      <c r="D52" s="231" t="s">
        <v>96</v>
      </c>
    </row>
    <row r="53" spans="2:5" x14ac:dyDescent="0.25">
      <c r="B53" s="209" t="s">
        <v>587</v>
      </c>
      <c r="C53" s="118">
        <f ca="1">Geometria!H1020</f>
        <v>64.517258181360091</v>
      </c>
      <c r="D53" s="231" t="s">
        <v>80</v>
      </c>
      <c r="E53" s="115" t="s">
        <v>1586</v>
      </c>
    </row>
    <row r="54" spans="2:5" x14ac:dyDescent="0.25">
      <c r="B54" s="209" t="s">
        <v>1587</v>
      </c>
      <c r="C54" s="118">
        <f ca="1">Geometria!H1019</f>
        <v>21.055036903432828</v>
      </c>
      <c r="D54" s="231" t="s">
        <v>80</v>
      </c>
      <c r="E54" s="115" t="s">
        <v>1586</v>
      </c>
    </row>
    <row r="55" spans="2:5" x14ac:dyDescent="0.25">
      <c r="B55" s="209" t="s">
        <v>1588</v>
      </c>
      <c r="C55" s="118">
        <f ca="1">1.2*C53</f>
        <v>77.420709817632101</v>
      </c>
      <c r="D55" s="231" t="s">
        <v>80</v>
      </c>
      <c r="E55" s="115" t="s">
        <v>1589</v>
      </c>
    </row>
    <row r="56" spans="2:5" x14ac:dyDescent="0.25">
      <c r="B56" s="209" t="s">
        <v>1590</v>
      </c>
      <c r="C56" s="118">
        <f ca="1">1.2*C54</f>
        <v>25.266044284119392</v>
      </c>
      <c r="D56" s="231" t="s">
        <v>80</v>
      </c>
    </row>
    <row r="57" spans="2:5" x14ac:dyDescent="0.25">
      <c r="B57" s="209" t="s">
        <v>1591</v>
      </c>
      <c r="C57" s="118">
        <f ca="1">Geometria!K897</f>
        <v>150.63824677460889</v>
      </c>
      <c r="D57" s="231" t="s">
        <v>61</v>
      </c>
      <c r="E57" s="115" t="s">
        <v>1592</v>
      </c>
    </row>
    <row r="59" spans="2:5" x14ac:dyDescent="0.25">
      <c r="B59" s="635" t="s">
        <v>1593</v>
      </c>
      <c r="C59" s="635"/>
      <c r="D59" s="635"/>
      <c r="E59" s="635"/>
    </row>
    <row r="60" spans="2:5" x14ac:dyDescent="0.25">
      <c r="B60" s="209" t="s">
        <v>1066</v>
      </c>
      <c r="C60" s="118">
        <f>Geometria!H21</f>
        <v>982</v>
      </c>
      <c r="D60" s="231" t="s">
        <v>80</v>
      </c>
      <c r="E60" s="115" t="s">
        <v>1594</v>
      </c>
    </row>
    <row r="61" spans="2:5" x14ac:dyDescent="0.25">
      <c r="B61" s="209" t="s">
        <v>1322</v>
      </c>
      <c r="C61" s="118">
        <f>Geometria!H26</f>
        <v>14</v>
      </c>
      <c r="D61" s="231" t="s">
        <v>80</v>
      </c>
      <c r="E61" s="115" t="s">
        <v>1595</v>
      </c>
    </row>
    <row r="62" spans="2:5" x14ac:dyDescent="0.25">
      <c r="B62" s="209" t="s">
        <v>1596</v>
      </c>
      <c r="C62" s="118">
        <f ca="1">Geometria!I73*Geometria!K51+(Geometria!I74+Geometria!I75+Geometria!I76+Geometria!I77+Geometria!I78)*Geometria!K52</f>
        <v>20.301943762554071</v>
      </c>
      <c r="D62" s="231" t="s">
        <v>47</v>
      </c>
      <c r="E62" s="115" t="s">
        <v>1597</v>
      </c>
    </row>
    <row r="63" spans="2:5" x14ac:dyDescent="0.25">
      <c r="B63" s="209" t="s">
        <v>1598</v>
      </c>
      <c r="C63" s="118">
        <f ca="1">Geometria!I73*Geometria!K51+(Geometria!I74+Geometria!I75)*Geometria!K52</f>
        <v>8.4019437625540725</v>
      </c>
      <c r="D63" s="231" t="s">
        <v>47</v>
      </c>
      <c r="E63" s="115" t="s">
        <v>1599</v>
      </c>
    </row>
    <row r="64" spans="2:5" x14ac:dyDescent="0.25">
      <c r="B64" s="209" t="s">
        <v>1600</v>
      </c>
      <c r="C64" s="118">
        <f>Geometria!H1037</f>
        <v>8.2832584391042641</v>
      </c>
      <c r="D64" s="231" t="s">
        <v>80</v>
      </c>
      <c r="E64" s="115" t="s">
        <v>1601</v>
      </c>
    </row>
    <row r="65" spans="2:5" x14ac:dyDescent="0.25">
      <c r="B65" s="209" t="s">
        <v>1602</v>
      </c>
      <c r="C65" s="118">
        <f>Geometria!H1038</f>
        <v>22.283258439104266</v>
      </c>
      <c r="D65" s="231" t="s">
        <v>80</v>
      </c>
      <c r="E65" s="115" t="s">
        <v>1603</v>
      </c>
    </row>
    <row r="66" spans="2:5" x14ac:dyDescent="0.25">
      <c r="B66" s="209" t="s">
        <v>1604</v>
      </c>
      <c r="C66" s="118">
        <f>C61/2+C64</f>
        <v>15.283258439104264</v>
      </c>
      <c r="D66" s="231" t="s">
        <v>80</v>
      </c>
      <c r="E66" s="115" t="s">
        <v>1605</v>
      </c>
    </row>
    <row r="67" spans="2:5" x14ac:dyDescent="0.25">
      <c r="B67" s="209" t="s">
        <v>1606</v>
      </c>
      <c r="C67" s="118">
        <f ca="1">C62*(C60/2-C66)/100</f>
        <v>96.579745340747735</v>
      </c>
      <c r="D67" s="231" t="s">
        <v>96</v>
      </c>
      <c r="E67" s="115" t="s">
        <v>1607</v>
      </c>
    </row>
    <row r="68" spans="2:5" x14ac:dyDescent="0.25">
      <c r="B68" s="209" t="s">
        <v>1608</v>
      </c>
      <c r="C68" s="118">
        <f ca="1">C63*(C60/2-C66)/100</f>
        <v>39.969453095001157</v>
      </c>
      <c r="D68" s="231" t="s">
        <v>96</v>
      </c>
      <c r="E68" s="115" t="s">
        <v>1609</v>
      </c>
    </row>
    <row r="69" spans="2:5" x14ac:dyDescent="0.25">
      <c r="B69" s="209" t="s">
        <v>1610</v>
      </c>
      <c r="C69" s="118">
        <f>0.5*(C13+C15)</f>
        <v>15</v>
      </c>
      <c r="D69" s="231" t="s">
        <v>80</v>
      </c>
      <c r="E69" s="115" t="s">
        <v>1611</v>
      </c>
    </row>
    <row r="70" spans="2:5" x14ac:dyDescent="0.25">
      <c r="B70" s="209" t="s">
        <v>1612</v>
      </c>
      <c r="C70" s="118">
        <f>C61/2+C69</f>
        <v>22</v>
      </c>
      <c r="D70" s="231" t="s">
        <v>80</v>
      </c>
      <c r="E70" s="115" t="s">
        <v>1613</v>
      </c>
    </row>
    <row r="71" spans="2:5" x14ac:dyDescent="0.25">
      <c r="B71" s="209" t="s">
        <v>1614</v>
      </c>
      <c r="C71" s="118">
        <f ca="1">C62*(C60/2-C70)/100</f>
        <v>95.21611624637859</v>
      </c>
      <c r="D71" s="231" t="s">
        <v>96</v>
      </c>
      <c r="E71" s="115" t="s">
        <v>1615</v>
      </c>
    </row>
    <row r="72" spans="2:5" x14ac:dyDescent="0.25">
      <c r="B72" s="209" t="s">
        <v>1616</v>
      </c>
      <c r="C72" s="118">
        <f ca="1">C62*C70*(C60-C70)/2/10000</f>
        <v>21.438852613257097</v>
      </c>
      <c r="D72" s="231" t="s">
        <v>1617</v>
      </c>
      <c r="E72" s="115" t="s">
        <v>1618</v>
      </c>
    </row>
    <row r="73" spans="2:5" x14ac:dyDescent="0.25">
      <c r="B73" s="209" t="s">
        <v>1619</v>
      </c>
      <c r="C73" s="118">
        <f ca="1">C62*C60/200</f>
        <v>99.682543874140478</v>
      </c>
      <c r="D73" s="231" t="s">
        <v>96</v>
      </c>
      <c r="E73" s="115" t="s">
        <v>1620</v>
      </c>
    </row>
    <row r="75" spans="2:5" x14ac:dyDescent="0.25">
      <c r="B75" s="635" t="s">
        <v>1621</v>
      </c>
      <c r="C75" s="635"/>
      <c r="D75" s="635"/>
      <c r="E75" s="635"/>
    </row>
    <row r="76" spans="2:5" x14ac:dyDescent="0.25">
      <c r="B76" s="209" t="s">
        <v>1622</v>
      </c>
      <c r="C76" s="118" t="str">
        <f>Geometria!I17</f>
        <v>2 - Não Circular</v>
      </c>
      <c r="E76" s="115" t="str">
        <f>IF(LEFT(TRIM(C76),1)="1",IF(OR(C13&lt;25,C13&gt;32),"ATENÇÃO: modelo circular – planilha de apoio limita a 250 ≤ h ≤ 320 mm","Modelo circular: VRd,c = 0,95·I·bw/S·√(fctd² + σcp·fctd)"),IF(OR(C13&lt;25,C13&gt;40),"ATENÇÃO: modelo não circular válido para 250 ≤ h ≤ 400 mm","Modelo não circular: VRd,c = βpc·I·bw/S·√(fctd² + 0,9·σcp·fctd)"))</f>
        <v>Modelo não circular: VRd,c = βpc·I·bw/S·√(fctd² + 0,9·σcp·fctd)</v>
      </c>
    </row>
    <row r="77" spans="2:5" x14ac:dyDescent="0.25">
      <c r="B77" s="209" t="s">
        <v>1623</v>
      </c>
      <c r="C77" s="413">
        <f ca="1">Geometria!H1048</f>
        <v>0.28782038412710842</v>
      </c>
      <c r="D77" s="231" t="s">
        <v>1510</v>
      </c>
      <c r="E77" s="115" t="s">
        <v>1624</v>
      </c>
    </row>
    <row r="78" spans="2:5" x14ac:dyDescent="0.25">
      <c r="B78" s="209" t="s">
        <v>1625</v>
      </c>
      <c r="C78" s="413">
        <f ca="1">Geometria!I1048</f>
        <v>0.88194488177597663</v>
      </c>
      <c r="D78" s="231" t="s">
        <v>1510</v>
      </c>
      <c r="E78" s="115" t="s">
        <v>1626</v>
      </c>
    </row>
    <row r="79" spans="2:5" x14ac:dyDescent="0.25">
      <c r="B79" s="209" t="s">
        <v>1627</v>
      </c>
      <c r="C79" s="413">
        <f ca="1">Geometria!H1053/10000</f>
        <v>0.13138544744800573</v>
      </c>
      <c r="D79" s="231" t="s">
        <v>61</v>
      </c>
      <c r="E79" s="115" t="s">
        <v>1628</v>
      </c>
    </row>
    <row r="80" spans="2:5" x14ac:dyDescent="0.25">
      <c r="B80" s="209" t="s">
        <v>1629</v>
      </c>
      <c r="C80" s="118">
        <f>Geometria!H1049</f>
        <v>0.73199999999999998</v>
      </c>
      <c r="D80" s="231" t="s">
        <v>1510</v>
      </c>
      <c r="E80" s="115" t="s">
        <v>1630</v>
      </c>
    </row>
    <row r="81" spans="2:5" x14ac:dyDescent="0.25">
      <c r="B81" s="209" t="s">
        <v>1631</v>
      </c>
      <c r="C81" s="118">
        <f ca="1">Geometria!H1082</f>
        <v>119.35450440669661</v>
      </c>
      <c r="D81" s="231" t="s">
        <v>96</v>
      </c>
      <c r="E81" s="115" t="s">
        <v>1632</v>
      </c>
    </row>
    <row r="82" spans="2:5" x14ac:dyDescent="0.25">
      <c r="B82" s="209" t="s">
        <v>1633</v>
      </c>
      <c r="C82" s="118">
        <f>(2/3)*C30*C32*C38</f>
        <v>0</v>
      </c>
      <c r="D82" s="231" t="s">
        <v>96</v>
      </c>
      <c r="E82" s="115" t="s">
        <v>1634</v>
      </c>
    </row>
    <row r="83" spans="2:5" x14ac:dyDescent="0.25">
      <c r="B83" s="209" t="s">
        <v>1635</v>
      </c>
      <c r="C83" s="118">
        <f ca="1">C81+C82</f>
        <v>119.35450440669661</v>
      </c>
      <c r="D83" s="231" t="s">
        <v>96</v>
      </c>
      <c r="E83" s="115" t="s">
        <v>1636</v>
      </c>
    </row>
    <row r="84" spans="2:5" x14ac:dyDescent="0.25">
      <c r="B84" s="209" t="s">
        <v>1637</v>
      </c>
      <c r="C84" s="413">
        <f ca="1">C27*C28/(C29*C22)</f>
        <v>1.220617602712526</v>
      </c>
      <c r="D84" s="231" t="s">
        <v>1510</v>
      </c>
      <c r="E84" s="115" t="s">
        <v>1638</v>
      </c>
    </row>
    <row r="85" spans="2:5" x14ac:dyDescent="0.25">
      <c r="B85" s="209" t="s">
        <v>1639</v>
      </c>
      <c r="C85" s="118">
        <f ca="1">C81*C84+C68*(1-C84)</f>
        <v>136.86824411829372</v>
      </c>
      <c r="D85" s="231" t="s">
        <v>96</v>
      </c>
      <c r="E85" s="115" t="s">
        <v>1640</v>
      </c>
    </row>
    <row r="86" spans="2:5" x14ac:dyDescent="0.25">
      <c r="B86" s="209" t="s">
        <v>1641</v>
      </c>
      <c r="C86" s="118">
        <f ca="1">C85+C82</f>
        <v>136.86824411829372</v>
      </c>
      <c r="D86" s="231" t="s">
        <v>96</v>
      </c>
      <c r="E86" s="115" t="s">
        <v>1642</v>
      </c>
    </row>
    <row r="87" spans="2:5" x14ac:dyDescent="0.25">
      <c r="B87" s="209" t="s">
        <v>1643</v>
      </c>
      <c r="C87" s="415">
        <f ca="1">IF(C14="Sim",IF(C30&gt;0,C86,C85),IF(C30&gt;0,C83,C81))</f>
        <v>136.86824411829372</v>
      </c>
      <c r="D87" s="231" t="s">
        <v>96</v>
      </c>
      <c r="E87" s="115" t="s">
        <v>1644</v>
      </c>
    </row>
    <row r="88" spans="2:5" x14ac:dyDescent="0.25">
      <c r="B88" s="209" t="s">
        <v>1606</v>
      </c>
      <c r="C88" s="415">
        <f ca="1">C67</f>
        <v>96.579745340747735</v>
      </c>
      <c r="D88" s="231" t="s">
        <v>96</v>
      </c>
    </row>
    <row r="89" spans="2:5" x14ac:dyDescent="0.25">
      <c r="B89" s="411" t="s">
        <v>1270</v>
      </c>
      <c r="C89" s="411" t="str">
        <f ca="1">IF(C88&lt;=C87,"Ok!","Não Ok!")</f>
        <v>Ok!</v>
      </c>
    </row>
    <row r="91" spans="2:5" x14ac:dyDescent="0.25">
      <c r="B91" s="635" t="s">
        <v>1645</v>
      </c>
      <c r="C91" s="635"/>
      <c r="D91" s="635"/>
      <c r="E91" s="635"/>
    </row>
    <row r="92" spans="2:5" x14ac:dyDescent="0.25">
      <c r="B92" s="209" t="s">
        <v>1646</v>
      </c>
      <c r="C92" s="118">
        <f ca="1">Geometria!H1137</f>
        <v>153.55414276492974</v>
      </c>
      <c r="D92" s="231" t="s">
        <v>96</v>
      </c>
      <c r="E92" s="115" t="s">
        <v>1647</v>
      </c>
    </row>
    <row r="93" spans="2:5" x14ac:dyDescent="0.25">
      <c r="B93" s="209" t="s">
        <v>1648</v>
      </c>
      <c r="C93" s="118">
        <f ca="1">Geometria!H1153</f>
        <v>153.55414276492974</v>
      </c>
      <c r="D93" s="231" t="s">
        <v>96</v>
      </c>
      <c r="E93" s="115" t="s">
        <v>1649</v>
      </c>
    </row>
    <row r="94" spans="2:5" x14ac:dyDescent="0.25">
      <c r="B94" s="209" t="s">
        <v>1650</v>
      </c>
      <c r="C94" s="415">
        <f ca="1">IF(C30&gt;0,C93,C92)</f>
        <v>153.55414276492974</v>
      </c>
      <c r="D94" s="231" t="s">
        <v>96</v>
      </c>
      <c r="E94" s="115" t="s">
        <v>1644</v>
      </c>
    </row>
    <row r="95" spans="2:5" x14ac:dyDescent="0.25">
      <c r="B95" s="209" t="s">
        <v>1614</v>
      </c>
      <c r="C95" s="415">
        <f ca="1">C71</f>
        <v>95.21611624637859</v>
      </c>
      <c r="D95" s="231" t="s">
        <v>96</v>
      </c>
    </row>
    <row r="96" spans="2:5" x14ac:dyDescent="0.25">
      <c r="B96" s="411" t="s">
        <v>1270</v>
      </c>
      <c r="C96" s="411" t="str">
        <f ca="1">IF(C95&lt;=C94,"Ok!","Não Ok!")</f>
        <v>Ok!</v>
      </c>
    </row>
    <row r="97" spans="2:5" x14ac:dyDescent="0.25">
      <c r="B97" s="209" t="s">
        <v>1651</v>
      </c>
      <c r="C97" s="118">
        <f ca="1">Geometria!H1118</f>
        <v>114.33445103485133</v>
      </c>
      <c r="D97" s="231" t="s">
        <v>96</v>
      </c>
      <c r="E97" s="115" t="s">
        <v>1652</v>
      </c>
    </row>
    <row r="98" spans="2:5" x14ac:dyDescent="0.25">
      <c r="B98" s="209" t="s">
        <v>1653</v>
      </c>
      <c r="C98" s="118">
        <f ca="1">Geometria!H1119</f>
        <v>41.253543874140497</v>
      </c>
      <c r="D98" s="231" t="s">
        <v>96</v>
      </c>
      <c r="E98" s="115" t="s">
        <v>1654</v>
      </c>
    </row>
    <row r="99" spans="2:5" x14ac:dyDescent="0.25">
      <c r="B99" s="411" t="s">
        <v>1270</v>
      </c>
      <c r="C99" s="411" t="str">
        <f ca="1">IF(C98&lt;=C97,"Ok!","Não Ok!")</f>
        <v>Ok!</v>
      </c>
    </row>
    <row r="101" spans="2:5" x14ac:dyDescent="0.25">
      <c r="B101" s="635" t="s">
        <v>1655</v>
      </c>
      <c r="C101" s="635"/>
      <c r="D101" s="635"/>
      <c r="E101" s="635"/>
    </row>
    <row r="102" spans="2:5" x14ac:dyDescent="0.25">
      <c r="B102" s="209" t="s">
        <v>1656</v>
      </c>
      <c r="C102" s="415">
        <f>IF(C30&gt;0,Geometria!H1100,Geometria!H1099)</f>
        <v>724.32692307692321</v>
      </c>
      <c r="D102" s="231" t="s">
        <v>96</v>
      </c>
      <c r="E102" s="115" t="s">
        <v>1657</v>
      </c>
    </row>
    <row r="103" spans="2:5" x14ac:dyDescent="0.25">
      <c r="B103" s="209" t="s">
        <v>1658</v>
      </c>
      <c r="C103" s="415">
        <f ca="1">C67</f>
        <v>96.579745340747735</v>
      </c>
      <c r="D103" s="231" t="s">
        <v>96</v>
      </c>
      <c r="E103" s="115" t="s">
        <v>1659</v>
      </c>
    </row>
    <row r="104" spans="2:5" x14ac:dyDescent="0.25">
      <c r="B104" s="411" t="s">
        <v>1270</v>
      </c>
      <c r="C104" s="411" t="str">
        <f ca="1">IF(C103&lt;=C102,"Ok!","Não Ok!")</f>
        <v>Ok!</v>
      </c>
    </row>
    <row r="106" spans="2:5" x14ac:dyDescent="0.25">
      <c r="B106" s="635" t="s">
        <v>1660</v>
      </c>
      <c r="C106" s="635"/>
      <c r="D106" s="635"/>
      <c r="E106" s="635"/>
    </row>
    <row r="107" spans="2:5" x14ac:dyDescent="0.25">
      <c r="B107" s="209" t="s">
        <v>1661</v>
      </c>
      <c r="C107" s="118">
        <f ca="1">C48*C57</f>
        <v>1189.4395965323117</v>
      </c>
      <c r="D107" s="231" t="s">
        <v>96</v>
      </c>
      <c r="E107" s="115" t="s">
        <v>1662</v>
      </c>
    </row>
    <row r="108" spans="2:5" x14ac:dyDescent="0.25">
      <c r="B108" s="209" t="s">
        <v>1663</v>
      </c>
      <c r="C108" s="118">
        <f>0.85*C42*Geometria!H31*C15</f>
        <v>1103.694642857143</v>
      </c>
      <c r="D108" s="231" t="s">
        <v>96</v>
      </c>
      <c r="E108" s="115" t="s">
        <v>1664</v>
      </c>
    </row>
    <row r="109" spans="2:5" x14ac:dyDescent="0.25">
      <c r="B109" s="209" t="s">
        <v>1303</v>
      </c>
      <c r="C109" s="413">
        <f ca="1">IF(C14="Sim",MIN(1,C108/C107),0)</f>
        <v>0.92791146862341789</v>
      </c>
      <c r="D109" s="231" t="s">
        <v>1510</v>
      </c>
      <c r="E109" s="115" t="s">
        <v>1665</v>
      </c>
    </row>
    <row r="110" spans="2:5" x14ac:dyDescent="0.25">
      <c r="B110" s="209" t="s">
        <v>1666</v>
      </c>
      <c r="C110" s="118">
        <f ca="1">IF(C107&lt;=C108,C107/(0.85*C42*Geometria!H31),C15+(C107-C108)/(0.85*C39*Geometria!H31))</f>
        <v>5.2164194090518423</v>
      </c>
      <c r="D110" s="231" t="s">
        <v>80</v>
      </c>
      <c r="E110" s="115" t="s">
        <v>1667</v>
      </c>
    </row>
    <row r="111" spans="2:5" x14ac:dyDescent="0.25">
      <c r="B111" s="209" t="s">
        <v>1668</v>
      </c>
      <c r="C111" s="118">
        <f ca="1">IF(C107&lt;=C108,C110/2,(C108*C15/2+(C107-C108)*(C15+C110)/2)/C107)</f>
        <v>2.6880220071214227</v>
      </c>
      <c r="D111" s="231" t="s">
        <v>80</v>
      </c>
      <c r="E111" s="115" t="s">
        <v>1669</v>
      </c>
    </row>
    <row r="112" spans="2:5" x14ac:dyDescent="0.25">
      <c r="B112" s="209" t="s">
        <v>1312</v>
      </c>
      <c r="C112" s="118">
        <f ca="1">C18-C111</f>
        <v>24.311977992878578</v>
      </c>
      <c r="D112" s="231" t="s">
        <v>80</v>
      </c>
      <c r="E112" s="115" t="s">
        <v>1670</v>
      </c>
    </row>
    <row r="113" spans="2:5" x14ac:dyDescent="0.25">
      <c r="B113" s="209" t="s">
        <v>1314</v>
      </c>
      <c r="C113" s="118">
        <f>Geometria!H31</f>
        <v>121.19</v>
      </c>
      <c r="D113" s="231" t="s">
        <v>80</v>
      </c>
      <c r="E113" s="115" t="s">
        <v>1671</v>
      </c>
    </row>
    <row r="114" spans="2:5" x14ac:dyDescent="0.25">
      <c r="B114" s="209" t="s">
        <v>1672</v>
      </c>
      <c r="C114" s="415">
        <f ca="1">10*C109*C71/(C112*C113)</f>
        <v>0.29986786403526633</v>
      </c>
      <c r="D114" s="231" t="s">
        <v>60</v>
      </c>
      <c r="E114" s="115" t="s">
        <v>1673</v>
      </c>
    </row>
    <row r="115" spans="2:5" x14ac:dyDescent="0.25">
      <c r="B115" s="209" t="s">
        <v>1674</v>
      </c>
      <c r="C115" s="415">
        <f>10*C10*C41</f>
        <v>0.65170533460879998</v>
      </c>
      <c r="D115" s="231" t="s">
        <v>60</v>
      </c>
      <c r="E115" s="115" t="s">
        <v>1675</v>
      </c>
    </row>
    <row r="116" spans="2:5" x14ac:dyDescent="0.25">
      <c r="B116" s="411" t="s">
        <v>1270</v>
      </c>
      <c r="C116" s="411" t="str">
        <f ca="1">IF(C14&lt;&gt;"Sim","Não se aplica",IF(C114&lt;=C115,"Ok!","Não Ok!"))</f>
        <v>Ok!</v>
      </c>
    </row>
    <row r="118" spans="2:5" x14ac:dyDescent="0.25">
      <c r="B118" s="635" t="s">
        <v>1676</v>
      </c>
      <c r="C118" s="635"/>
      <c r="D118" s="635"/>
      <c r="E118" s="635"/>
    </row>
    <row r="119" spans="2:5" x14ac:dyDescent="0.25">
      <c r="B119" s="209" t="s">
        <v>1677</v>
      </c>
      <c r="C119" s="415">
        <f ca="1">Geometria!H1168</f>
        <v>0.62156930905774366</v>
      </c>
      <c r="D119" s="231" t="s">
        <v>1510</v>
      </c>
      <c r="E119" s="115" t="s">
        <v>1678</v>
      </c>
    </row>
    <row r="120" spans="2:5" x14ac:dyDescent="0.25">
      <c r="B120" s="209" t="s">
        <v>1679</v>
      </c>
      <c r="C120" s="118">
        <v>1</v>
      </c>
      <c r="D120" s="231" t="s">
        <v>1510</v>
      </c>
    </row>
    <row r="121" spans="2:5" x14ac:dyDescent="0.25">
      <c r="B121" s="411" t="s">
        <v>1270</v>
      </c>
      <c r="C121" s="411" t="str">
        <f ca="1">IF(C119&lt;=C120,"Ok!","Não Ok!")</f>
        <v>Ok!</v>
      </c>
    </row>
    <row r="123" spans="2:5" x14ac:dyDescent="0.25">
      <c r="B123" s="635" t="s">
        <v>1680</v>
      </c>
      <c r="C123" s="635"/>
      <c r="D123" s="635"/>
      <c r="E123" s="635"/>
    </row>
    <row r="124" spans="2:5" x14ac:dyDescent="0.25">
      <c r="B124" s="411" t="s">
        <v>1104</v>
      </c>
      <c r="C124" s="411" t="s">
        <v>1681</v>
      </c>
      <c r="D124" s="411" t="s">
        <v>1682</v>
      </c>
      <c r="E124" s="411" t="s">
        <v>1270</v>
      </c>
    </row>
    <row r="125" spans="2:5" x14ac:dyDescent="0.25">
      <c r="B125" s="209" t="s">
        <v>1683</v>
      </c>
      <c r="C125" s="118">
        <f ca="1">C88</f>
        <v>96.579745340747735</v>
      </c>
      <c r="D125" s="118">
        <f ca="1">C87</f>
        <v>136.86824411829372</v>
      </c>
      <c r="E125" s="411" t="str">
        <f ca="1">IF(C89="Não se aplica",C89,C89&amp;"  (aproveitamento "&amp;IFERROR(ROUND(100*C88/C87,0),"-")&amp;"%)")</f>
        <v>Ok!  (aproveitamento 71%)</v>
      </c>
    </row>
    <row r="126" spans="2:5" x14ac:dyDescent="0.25">
      <c r="B126" s="209" t="s">
        <v>1684</v>
      </c>
      <c r="C126" s="118">
        <f ca="1">C95</f>
        <v>95.21611624637859</v>
      </c>
      <c r="D126" s="118">
        <f ca="1">C94</f>
        <v>153.55414276492974</v>
      </c>
      <c r="E126" s="411" t="str">
        <f ca="1">IF(C96="Não se aplica",C96,C96&amp;"  (aproveitamento "&amp;IFERROR(ROUND(100*C95/C94,0),"-")&amp;"%)")</f>
        <v>Ok!  (aproveitamento 62%)</v>
      </c>
    </row>
    <row r="127" spans="2:5" x14ac:dyDescent="0.25">
      <c r="B127" s="209" t="s">
        <v>1685</v>
      </c>
      <c r="C127" s="118">
        <f ca="1">C98</f>
        <v>41.253543874140497</v>
      </c>
      <c r="D127" s="118">
        <f ca="1">C97</f>
        <v>114.33445103485133</v>
      </c>
      <c r="E127" s="411" t="str">
        <f ca="1">IF(C99="Não se aplica",C99,C99&amp;"  (aproveitamento "&amp;IFERROR(ROUND(100*C98/C97,0),"-")&amp;"%)")</f>
        <v>Ok!  (aproveitamento 36%)</v>
      </c>
    </row>
    <row r="128" spans="2:5" x14ac:dyDescent="0.25">
      <c r="B128" s="209" t="s">
        <v>1686</v>
      </c>
      <c r="C128" s="118">
        <f ca="1">C103</f>
        <v>96.579745340747735</v>
      </c>
      <c r="D128" s="118">
        <f>C102</f>
        <v>724.32692307692321</v>
      </c>
      <c r="E128" s="411" t="str">
        <f ca="1">IF(C104="Não se aplica",C104,C104&amp;"  (aproveitamento "&amp;IFERROR(ROUND(100*C103/C102,0),"-")&amp;"%)")</f>
        <v>Ok!  (aproveitamento 13%)</v>
      </c>
    </row>
    <row r="129" spans="2:5" x14ac:dyDescent="0.25">
      <c r="B129" s="209" t="s">
        <v>1687</v>
      </c>
      <c r="C129" s="118">
        <f ca="1">C114</f>
        <v>0.29986786403526633</v>
      </c>
      <c r="D129" s="118">
        <f>C115</f>
        <v>0.65170533460879998</v>
      </c>
      <c r="E129" s="411" t="str">
        <f ca="1">IF(C116="Não se aplica",C116,C116&amp;"  (aproveitamento "&amp;IFERROR(ROUND(100*C114/C115,0),"-")&amp;"%)")</f>
        <v>Ok!  (aproveitamento 46%)</v>
      </c>
    </row>
    <row r="130" spans="2:5" x14ac:dyDescent="0.25">
      <c r="B130" s="209" t="s">
        <v>1688</v>
      </c>
      <c r="C130" s="118">
        <f ca="1">C119</f>
        <v>0.62156930905774366</v>
      </c>
      <c r="D130" s="118">
        <f>C120</f>
        <v>1</v>
      </c>
      <c r="E130" s="411" t="str">
        <f ca="1">IF(C121="Não se aplica",C121,C121&amp;"  (aproveitamento "&amp;IFERROR(ROUND(100*C119/C120,0),"-")&amp;"%)")</f>
        <v>Ok!  (aproveitamento 62%)</v>
      </c>
    </row>
    <row r="132" spans="2:5" x14ac:dyDescent="0.25">
      <c r="B132" s="209" t="s">
        <v>495</v>
      </c>
      <c r="C132" s="415">
        <f ca="1">MAX(C67,C71)</f>
        <v>96.579745340747735</v>
      </c>
      <c r="D132" s="231" t="s">
        <v>96</v>
      </c>
      <c r="E132" s="115" t="s">
        <v>1689</v>
      </c>
    </row>
    <row r="133" spans="2:5" x14ac:dyDescent="0.25">
      <c r="B133" s="209" t="s">
        <v>1690</v>
      </c>
      <c r="C133" s="415">
        <f ca="1">MIN(C87,C94,C102)</f>
        <v>136.86824411829372</v>
      </c>
      <c r="D133" s="231" t="s">
        <v>96</v>
      </c>
      <c r="E133" s="115" t="s">
        <v>1691</v>
      </c>
    </row>
    <row r="134" spans="2:5" x14ac:dyDescent="0.25">
      <c r="B134" s="209" t="s">
        <v>1692</v>
      </c>
      <c r="C134" s="118" t="str">
        <f ca="1">IF(C133=C87,"Tração diagonal",IF(C133=C94,"Flexo-cortante","Bielas comprimidas"))</f>
        <v>Tração diagonal</v>
      </c>
    </row>
    <row r="135" spans="2:5" x14ac:dyDescent="0.25">
      <c r="B135" s="411" t="s">
        <v>1693</v>
      </c>
      <c r="C135" s="411" t="str">
        <f ca="1">IF(AND(C132&lt;=C133,C89="Ok!",C96="Ok!",C99="Ok!",C104="Ok!",OR(C116="Ok!",C116="Não se aplica"),C121="Ok!"),"Ok!","Não Ok!")</f>
        <v>Ok!</v>
      </c>
      <c r="E135" s="115" t="s">
        <v>1694</v>
      </c>
    </row>
  </sheetData>
  <mergeCells count="12">
    <mergeCell ref="B118:E118"/>
    <mergeCell ref="B123:E123"/>
    <mergeCell ref="B59:E59"/>
    <mergeCell ref="B75:E75"/>
    <mergeCell ref="B91:E91"/>
    <mergeCell ref="B101:E101"/>
    <mergeCell ref="B106:E106"/>
    <mergeCell ref="B1:E1"/>
    <mergeCell ref="B4:E4"/>
    <mergeCell ref="B12:E12"/>
    <mergeCell ref="B35:E35"/>
    <mergeCell ref="B47:E47"/>
  </mergeCells>
  <dataValidations count="1">
    <dataValidation type="list" allowBlank="1" showInputMessage="1" showErrorMessage="1" sqref="C7" xr:uid="{00000000-0002-0000-0200-000000000000}">
      <formula1>"Antes da liberação,Após a liberação"</formula1>
    </dataValidation>
  </dataValidations>
  <pageMargins left="0.5" right="0.5" top="0.6" bottom="0.6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951C-A6EC-4E9D-916B-E59CD87417AD}">
  <dimension ref="F3:N10"/>
  <sheetViews>
    <sheetView topLeftCell="B1" workbookViewId="0">
      <selection activeCell="G11" sqref="G11"/>
    </sheetView>
  </sheetViews>
  <sheetFormatPr defaultRowHeight="15" x14ac:dyDescent="0.25"/>
  <sheetData>
    <row r="3" spans="6:14" x14ac:dyDescent="0.25">
      <c r="F3" s="769" t="s">
        <v>734</v>
      </c>
      <c r="G3" s="769"/>
      <c r="H3" s="769"/>
      <c r="I3" s="769"/>
      <c r="J3" s="769"/>
      <c r="K3" s="769"/>
      <c r="L3" s="769"/>
      <c r="M3" s="769"/>
      <c r="N3" s="769"/>
    </row>
    <row r="4" spans="6:14" x14ac:dyDescent="0.25">
      <c r="F4" s="211" t="s">
        <v>443</v>
      </c>
      <c r="G4" s="211" t="s">
        <v>444</v>
      </c>
      <c r="H4" s="211" t="s">
        <v>445</v>
      </c>
      <c r="I4" s="211" t="s">
        <v>446</v>
      </c>
      <c r="J4" s="211" t="s">
        <v>447</v>
      </c>
      <c r="K4" s="211" t="s">
        <v>448</v>
      </c>
      <c r="L4" s="211" t="s">
        <v>449</v>
      </c>
      <c r="M4" s="211" t="s">
        <v>450</v>
      </c>
      <c r="N4" s="211" t="s">
        <v>451</v>
      </c>
    </row>
    <row r="5" spans="6:14" x14ac:dyDescent="0.25">
      <c r="F5" s="119">
        <f>Geometria!G1254</f>
        <v>0</v>
      </c>
      <c r="G5" s="119">
        <f>Geometria!H1254</f>
        <v>1.2275</v>
      </c>
      <c r="H5" s="119">
        <f>Geometria!I1254</f>
        <v>2.4550000000000001</v>
      </c>
      <c r="I5" s="119">
        <f>Geometria!J1254</f>
        <v>3.6825000000000001</v>
      </c>
      <c r="J5" s="119">
        <f>Geometria!K1254</f>
        <v>4.91</v>
      </c>
      <c r="K5" s="119">
        <f>Geometria!L1254</f>
        <v>6.1375000000000002</v>
      </c>
      <c r="L5" s="119">
        <f>Geometria!M1254</f>
        <v>7.3650000000000002</v>
      </c>
      <c r="M5" s="119">
        <f>Geometria!N1254</f>
        <v>8.5925000000000011</v>
      </c>
      <c r="N5" s="119">
        <f>Geometria!G1257</f>
        <v>9.82</v>
      </c>
    </row>
    <row r="6" spans="6:14" x14ac:dyDescent="0.25">
      <c r="F6" s="144" t="e">
        <f>(((-($I$78+#REF!+#REF!)*($H$21/100)^2)/12)*(3*($H$1222*(1-F5/($H$21/100))+$H$1228*F5/($H$21/100)))/(2+($H$1222*(1-F5/($H$21/100))+$H$1228*F5/($H$21/100)))+(((($I$78+#REF!+#REF!)*$H$21/100)/2)*F5)-(($I$78+#REF!+#REF!)*F5^2)/2)*-1</f>
        <v>#REF!</v>
      </c>
      <c r="G6" s="144" t="e">
        <f>(((-($I$78+#REF!+#REF!)*($H$21/100)^2)/12)*(3*($H$1222*(1-G5/($H$21/100))+$H$1228*G5/($H$21/100)))/(2+($H$1222*(1-G5/($H$21/100))+$H$1228*G5/($H$21/100)))+(((($I$78+#REF!+#REF!)*$H$21/100)/2)*G5)-(($I$78+#REF!+#REF!)*G5^2)/2)*-1</f>
        <v>#REF!</v>
      </c>
      <c r="H6" s="144" t="e">
        <f>(((-($I$78+#REF!+#REF!)*($H$21/100)^2)/12)*(3*($H$1222*(1-H5/($H$21/100))+$H$1228*H5/($H$21/100)))/(2+($H$1222*(1-H5/($H$21/100))+$H$1228*H5/($H$21/100)))+(((($I$78+#REF!+#REF!)*$H$21/100)/2)*H5)-(($I$78+#REF!+#REF!)*H5^2)/2)*-1</f>
        <v>#REF!</v>
      </c>
      <c r="I6" s="144" t="e">
        <f>(((-($I$78+#REF!+#REF!)*($H$21/100)^2)/12)*(3*($H$1222*(1-I5/($H$21/100))+$H$1228*I5/($H$21/100)))/(2+($H$1222*(1-I5/($H$21/100))+$H$1228*I5/($H$21/100)))+(((($I$78+#REF!+#REF!)*$H$21/100)/2)*I5)-(($I$78+#REF!+#REF!)*I5^2)/2)*-1</f>
        <v>#REF!</v>
      </c>
      <c r="J6" s="144" t="e">
        <f>(((-($I$78+#REF!+#REF!)*($H$21/100)^2)/12)*(3*($H$1222*(1-J5/($H$21/100))+$H$1228*J5/($H$21/100)))/(2+($H$1222*(1-J5/($H$21/100))+$H$1228*J5/($H$21/100)))+(((($I$78+#REF!+#REF!)*$H$21/100)/2)*J5)-(($I$78+#REF!+#REF!)*J5^2)/2)*-1</f>
        <v>#REF!</v>
      </c>
      <c r="K6" s="144" t="e">
        <f>(((-($I$78+#REF!+#REF!)*($H$21/100)^2)/12)*(3*($H$1222*(1-K5/($H$21/100))+$H$1228*K5/($H$21/100)))/(2+($H$1222*(1-K5/($H$21/100))+$H$1228*K5/($H$21/100)))+(((($I$78+#REF!+#REF!)*$H$21/100)/2)*K5)-(($I$78+#REF!+#REF!)*K5^2)/2)*-1</f>
        <v>#REF!</v>
      </c>
      <c r="L6" s="144" t="e">
        <f>(((-($I$78+#REF!+#REF!)*($H$21/100)^2)/12)*(3*($H$1222*(1-L5/($H$21/100))+$H$1228*L5/($H$21/100)))/(2+($H$1222*(1-L5/($H$21/100))+$H$1228*L5/($H$21/100)))+(((($I$78+#REF!+#REF!)*$H$21/100)/2)*L5)-(($I$78+#REF!+#REF!)*L5^2)/2)*-1</f>
        <v>#REF!</v>
      </c>
      <c r="M6" s="144" t="e">
        <f>(((-($I$78+#REF!+#REF!)*($H$21/100)^2)/12)*(3*($H$1222*(1-M5/($H$21/100))+$H$1228*M5/($H$21/100)))/(2+($H$1222*(1-M5/($H$21/100))+$H$1228*M5/($H$21/100)))+(((($I$78+#REF!+#REF!)*$H$21/100)/2)*M5)-(($I$78+#REF!+#REF!)*M5^2)/2)*-1</f>
        <v>#REF!</v>
      </c>
      <c r="N6" s="144" t="e">
        <f>(((-($I$78+#REF!+#REF!)*($H$21/100)^2)/12)*(3*($H$1222*(1-N5/($H$21/100))+$H$1228*N5/($H$21/100)))/(2+($H$1222*(1-N5/($H$21/100))+$H$1228*N5/($H$21/100)))+(((($I$78+#REF!+#REF!)*$H$21/100)/2)*N5)-(($I$78+#REF!+#REF!)*N5^2)/2)*-1</f>
        <v>#REF!</v>
      </c>
    </row>
    <row r="7" spans="6:14" x14ac:dyDescent="0.25">
      <c r="G7" s="118"/>
      <c r="H7" s="115"/>
      <c r="I7" s="115"/>
      <c r="J7" s="115"/>
      <c r="K7" s="115"/>
      <c r="L7" s="115"/>
      <c r="M7" s="115"/>
    </row>
    <row r="8" spans="6:14" x14ac:dyDescent="0.25">
      <c r="G8" s="115"/>
      <c r="H8" s="115"/>
      <c r="I8" s="115"/>
      <c r="J8" s="115"/>
      <c r="K8" s="115"/>
      <c r="L8" s="115"/>
      <c r="M8" s="115"/>
    </row>
    <row r="9" spans="6:14" x14ac:dyDescent="0.25">
      <c r="F9" t="s">
        <v>1447</v>
      </c>
      <c r="G9" s="115">
        <f ca="1">(0.5-0.0625*Geometria!$H$1228)*((Geometria!I73+Geometria!I74+Geometria!I75)*Geometria!K51+(Geometria!I76+Geometria!I77+Geometria!I78)*Geometria!K52)*(Geometria!$H$21/100)</f>
        <v>95.434188390495478</v>
      </c>
      <c r="H9" s="115"/>
      <c r="I9" s="115"/>
      <c r="J9" s="115"/>
      <c r="K9" s="115"/>
      <c r="L9" s="115"/>
      <c r="M9" s="115"/>
    </row>
    <row r="10" spans="6:14" x14ac:dyDescent="0.25">
      <c r="F10" t="s">
        <v>1448</v>
      </c>
      <c r="G10">
        <f ca="1">(0.5+0.0625*Geometria!$H$1228)*((Geometria!I73+Geometria!I74+Geometria!I75)*Geometria!K51+(Geometria!I76+Geometria!I77+Geometria!I78)*Geometria!K52)*(Geometria!$H$21/100)</f>
        <v>101.59123280278553</v>
      </c>
    </row>
  </sheetData>
  <mergeCells count="1">
    <mergeCell ref="F3:N3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3114-E2B0-4C69-BD95-0C553A7C679F}">
  <dimension ref="C6:F12"/>
  <sheetViews>
    <sheetView workbookViewId="0">
      <selection activeCell="C6" sqref="C6"/>
    </sheetView>
  </sheetViews>
  <sheetFormatPr defaultRowHeight="15" x14ac:dyDescent="0.25"/>
  <cols>
    <col min="4" max="4" width="12" bestFit="1" customWidth="1"/>
  </cols>
  <sheetData>
    <row r="6" spans="3:6" x14ac:dyDescent="0.25">
      <c r="C6" t="s">
        <v>1436</v>
      </c>
    </row>
    <row r="7" spans="3:6" x14ac:dyDescent="0.25">
      <c r="C7" t="s">
        <v>1437</v>
      </c>
      <c r="D7" s="409">
        <f>Geometria!H1222</f>
        <v>0.25</v>
      </c>
      <c r="F7" t="s">
        <v>1440</v>
      </c>
    </row>
    <row r="8" spans="3:6" x14ac:dyDescent="0.25">
      <c r="C8" t="s">
        <v>1119</v>
      </c>
      <c r="D8">
        <f ca="1">Geometria!I37/100^4</f>
        <v>2.0532241571678267E-3</v>
      </c>
      <c r="E8" t="s">
        <v>1445</v>
      </c>
      <c r="F8" t="s">
        <v>1441</v>
      </c>
    </row>
    <row r="9" spans="3:6" x14ac:dyDescent="0.25">
      <c r="C9" t="s">
        <v>1439</v>
      </c>
      <c r="D9">
        <f>Geometria!H867*10^6</f>
        <v>36628131.265463158</v>
      </c>
      <c r="E9" t="s">
        <v>47</v>
      </c>
      <c r="F9" t="s">
        <v>1442</v>
      </c>
    </row>
    <row r="10" spans="3:6" x14ac:dyDescent="0.25">
      <c r="C10" t="s">
        <v>1066</v>
      </c>
      <c r="D10">
        <f>Geometria!H21/100</f>
        <v>9.82</v>
      </c>
      <c r="E10" t="s">
        <v>1446</v>
      </c>
      <c r="F10" t="s">
        <v>1443</v>
      </c>
    </row>
    <row r="12" spans="3:6" x14ac:dyDescent="0.25">
      <c r="C12" t="s">
        <v>1438</v>
      </c>
      <c r="D12">
        <f ca="1">((D7/(1-D7))*4*D9*D8)/D10</f>
        <v>10211.237467231922</v>
      </c>
      <c r="E12" t="s">
        <v>47</v>
      </c>
      <c r="F12" t="s">
        <v>1444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415A-F85C-4F2D-8EC3-0D2B9FE3C1D8}">
  <dimension ref="H2:Y58"/>
  <sheetViews>
    <sheetView showGridLines="0" view="pageBreakPreview" topLeftCell="C10" zoomScale="85" zoomScaleNormal="100" zoomScaleSheetLayoutView="85" workbookViewId="0">
      <selection activeCell="L36" sqref="L36"/>
    </sheetView>
  </sheetViews>
  <sheetFormatPr defaultRowHeight="15" x14ac:dyDescent="0.25"/>
  <cols>
    <col min="8" max="8" width="9.7109375" bestFit="1" customWidth="1"/>
    <col min="10" max="10" width="9.7109375" bestFit="1" customWidth="1"/>
    <col min="11" max="11" width="12.7109375" customWidth="1"/>
    <col min="12" max="13" width="15" customWidth="1"/>
  </cols>
  <sheetData>
    <row r="2" spans="9:25" x14ac:dyDescent="0.25">
      <c r="K2" s="655" t="s">
        <v>762</v>
      </c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</row>
    <row r="3" spans="9:25" x14ac:dyDescent="0.25">
      <c r="K3" s="115"/>
      <c r="L3" s="115"/>
      <c r="M3" s="115"/>
      <c r="N3" s="115"/>
      <c r="O3" s="143"/>
      <c r="P3" s="115"/>
      <c r="Q3" s="115"/>
      <c r="R3" s="115"/>
    </row>
    <row r="4" spans="9:25" x14ac:dyDescent="0.25">
      <c r="K4" s="209" t="s">
        <v>607</v>
      </c>
      <c r="L4" s="237">
        <f ca="1">'Propriedades geométricas VI'!M6</f>
        <v>1513.0702000000008</v>
      </c>
      <c r="M4" s="231" t="s">
        <v>14</v>
      </c>
      <c r="N4" s="115"/>
      <c r="O4" s="143"/>
      <c r="P4" s="115"/>
      <c r="Q4" s="115"/>
      <c r="R4" s="115"/>
    </row>
    <row r="5" spans="9:25" x14ac:dyDescent="0.25">
      <c r="K5" s="209" t="s">
        <v>763</v>
      </c>
      <c r="L5" s="237">
        <f ca="1">'Propriedades geométricas VI'!M9</f>
        <v>120206.60760607547</v>
      </c>
      <c r="M5" s="231" t="s">
        <v>14</v>
      </c>
      <c r="N5" s="115"/>
      <c r="O5" s="143"/>
      <c r="P5" s="115"/>
      <c r="Q5" s="115"/>
      <c r="R5" s="115"/>
    </row>
    <row r="6" spans="9:25" x14ac:dyDescent="0.25">
      <c r="K6" s="247" t="s">
        <v>764</v>
      </c>
      <c r="L6" s="339">
        <f ca="1">'Propriedades geométricas VI'!M7</f>
        <v>12.737286216682715</v>
      </c>
      <c r="M6" s="231" t="s">
        <v>94</v>
      </c>
      <c r="N6" s="115"/>
      <c r="O6" s="143"/>
      <c r="P6" s="115"/>
      <c r="Q6" s="115"/>
      <c r="R6" s="115"/>
    </row>
    <row r="7" spans="9:25" x14ac:dyDescent="0.25">
      <c r="K7" s="247" t="s">
        <v>765</v>
      </c>
      <c r="L7" s="339">
        <f ca="1">'Propriedades geométricas VI'!M8</f>
        <v>12.262713783317285</v>
      </c>
      <c r="M7" s="231" t="s">
        <v>80</v>
      </c>
      <c r="N7" s="115"/>
      <c r="O7" s="143"/>
      <c r="P7" s="115"/>
      <c r="Q7" s="115"/>
      <c r="R7" s="115"/>
    </row>
    <row r="8" spans="9:25" x14ac:dyDescent="0.25">
      <c r="K8" s="209"/>
      <c r="L8" s="231"/>
      <c r="M8" s="231"/>
      <c r="N8" s="115"/>
      <c r="O8" s="143"/>
      <c r="P8" s="115"/>
      <c r="Q8" s="115"/>
      <c r="R8" s="115"/>
    </row>
    <row r="9" spans="9:25" x14ac:dyDescent="0.25">
      <c r="K9" s="209" t="s">
        <v>766</v>
      </c>
      <c r="L9" s="237">
        <f ca="1">L4-(Geometria!H122+Geometria!H139)+L11*(Geometria!H122+Geometria!H139)</f>
        <v>1558.8831577089454</v>
      </c>
      <c r="M9" s="231" t="s">
        <v>14</v>
      </c>
      <c r="N9" s="115"/>
      <c r="O9" s="143"/>
      <c r="P9" s="115"/>
      <c r="Q9" s="115"/>
      <c r="R9" s="115"/>
    </row>
    <row r="10" spans="9:25" x14ac:dyDescent="0.25">
      <c r="N10" s="115"/>
      <c r="O10" s="143"/>
      <c r="P10" s="115"/>
      <c r="Q10" s="115"/>
      <c r="R10" s="115"/>
    </row>
    <row r="11" spans="9:25" x14ac:dyDescent="0.25">
      <c r="K11" s="209" t="s">
        <v>767</v>
      </c>
      <c r="L11" s="237">
        <f>L52</f>
        <v>6.8020463157224667</v>
      </c>
      <c r="M11" s="231"/>
      <c r="N11" s="115"/>
      <c r="O11" s="143"/>
      <c r="P11" s="115"/>
      <c r="Q11" s="115"/>
      <c r="R11" s="115"/>
    </row>
    <row r="12" spans="9:25" x14ac:dyDescent="0.25">
      <c r="K12" s="209" t="s">
        <v>768</v>
      </c>
      <c r="L12" s="237">
        <f ca="1">Geometria!H23-L13</f>
        <v>12.548876270504836</v>
      </c>
      <c r="M12" s="231" t="s">
        <v>80</v>
      </c>
      <c r="N12" s="115"/>
      <c r="O12" s="143"/>
      <c r="P12" s="115"/>
      <c r="Q12" s="115"/>
      <c r="R12" s="115"/>
    </row>
    <row r="13" spans="9:25" x14ac:dyDescent="0.25">
      <c r="J13" s="409"/>
      <c r="K13" s="209" t="s">
        <v>769</v>
      </c>
      <c r="L13" s="237">
        <f ca="1">(L4*L6+(L11-1)*Geometria!H122*Geometria!M121+(L11-1)*Geometria!H139*(Geometria!H23-Geometria!M134))/L9</f>
        <v>12.451123729495164</v>
      </c>
      <c r="M13" s="231" t="s">
        <v>80</v>
      </c>
      <c r="N13" s="115"/>
      <c r="O13" s="143"/>
      <c r="P13" s="115"/>
      <c r="Q13" s="115"/>
      <c r="R13" s="115"/>
    </row>
    <row r="14" spans="9:25" x14ac:dyDescent="0.25">
      <c r="K14" s="209" t="s">
        <v>770</v>
      </c>
      <c r="L14" s="237">
        <f ca="1">L17</f>
        <v>12.548876270504836</v>
      </c>
      <c r="M14" s="231"/>
      <c r="N14" s="115"/>
      <c r="O14" s="143"/>
      <c r="P14" s="115"/>
      <c r="Q14" s="115"/>
      <c r="R14" s="115"/>
    </row>
    <row r="15" spans="9:25" x14ac:dyDescent="0.25">
      <c r="K15" s="209" t="s">
        <v>771</v>
      </c>
      <c r="L15" s="237">
        <f ca="1">L5+L4*(L6-L13)^2+(L11-1)*Geometria!H122*(Geometria!M121-L13)^2+(L11-1)*Geometria!H139*((Geometria!H23-Geometria!M134)-L13)^2</f>
        <v>124422.69607647101</v>
      </c>
      <c r="M15" s="231" t="s">
        <v>772</v>
      </c>
      <c r="N15" s="115"/>
      <c r="O15" s="143"/>
      <c r="P15" s="115"/>
      <c r="Q15" s="115"/>
      <c r="R15" s="115"/>
    </row>
    <row r="16" spans="9:25" x14ac:dyDescent="0.25">
      <c r="I16" s="410"/>
      <c r="J16" s="368"/>
      <c r="K16" s="209"/>
      <c r="L16" s="120"/>
      <c r="M16" s="231"/>
      <c r="N16" s="115"/>
      <c r="O16" s="143"/>
      <c r="P16" s="115"/>
      <c r="Q16" s="115"/>
      <c r="R16" s="115"/>
    </row>
    <row r="17" spans="8:25" x14ac:dyDescent="0.25">
      <c r="K17" s="209" t="s">
        <v>768</v>
      </c>
      <c r="L17" s="120">
        <f ca="1">Geometria!H23-L18</f>
        <v>12.548876270504836</v>
      </c>
      <c r="M17" s="231"/>
      <c r="N17" s="115"/>
      <c r="O17" s="143"/>
      <c r="P17" s="115"/>
      <c r="Q17" s="115"/>
      <c r="R17" s="115"/>
    </row>
    <row r="18" spans="8:25" x14ac:dyDescent="0.25">
      <c r="H18" s="409"/>
      <c r="K18" s="209" t="s">
        <v>769</v>
      </c>
      <c r="L18" s="120">
        <f ca="1">L13</f>
        <v>12.451123729495164</v>
      </c>
      <c r="M18" s="231"/>
      <c r="N18" s="115"/>
      <c r="O18" s="143"/>
      <c r="P18" s="115"/>
      <c r="Q18" s="115"/>
      <c r="R18" s="115"/>
    </row>
    <row r="19" spans="8:25" x14ac:dyDescent="0.25">
      <c r="H19" s="409"/>
      <c r="K19" s="643" t="s">
        <v>773</v>
      </c>
      <c r="L19" s="643"/>
      <c r="M19" s="231"/>
      <c r="N19" s="115"/>
      <c r="O19" s="143"/>
      <c r="P19" s="115"/>
      <c r="Q19" s="115"/>
      <c r="R19" s="115"/>
    </row>
    <row r="20" spans="8:25" x14ac:dyDescent="0.25">
      <c r="H20" s="409"/>
      <c r="K20" s="209" t="s">
        <v>774</v>
      </c>
      <c r="L20" s="237">
        <f ca="1">L15/L17</f>
        <v>9915.0468451838151</v>
      </c>
      <c r="M20" s="231" t="s">
        <v>775</v>
      </c>
      <c r="N20" s="115"/>
      <c r="O20" s="143"/>
      <c r="P20" s="115"/>
      <c r="Q20" s="115"/>
      <c r="R20" s="115"/>
    </row>
    <row r="21" spans="8:25" x14ac:dyDescent="0.25">
      <c r="H21" s="409"/>
      <c r="K21" s="209" t="s">
        <v>776</v>
      </c>
      <c r="L21" s="237">
        <f ca="1">L15/L18</f>
        <v>9992.8888973875601</v>
      </c>
      <c r="M21" s="231" t="s">
        <v>775</v>
      </c>
      <c r="N21" s="115"/>
      <c r="O21" s="143"/>
      <c r="P21" s="115"/>
      <c r="Q21" s="115"/>
      <c r="R21" s="115"/>
    </row>
    <row r="22" spans="8:25" x14ac:dyDescent="0.25">
      <c r="H22" s="409"/>
      <c r="K22" s="115"/>
      <c r="L22" s="115"/>
      <c r="M22" s="115"/>
      <c r="N22" s="115"/>
      <c r="O22" s="143"/>
      <c r="P22" s="115"/>
      <c r="Q22" s="115"/>
      <c r="R22" s="115"/>
    </row>
    <row r="23" spans="8:25" x14ac:dyDescent="0.25">
      <c r="K23" s="655" t="s">
        <v>777</v>
      </c>
      <c r="L23" s="655"/>
      <c r="M23" s="655"/>
      <c r="N23" s="655"/>
      <c r="O23" s="655"/>
      <c r="P23" s="655"/>
      <c r="Q23" s="655"/>
      <c r="R23" s="655"/>
      <c r="S23" s="655"/>
      <c r="T23" s="655"/>
      <c r="U23" s="655"/>
      <c r="V23" s="655"/>
      <c r="W23" s="655"/>
      <c r="X23" s="655"/>
      <c r="Y23" s="655"/>
    </row>
    <row r="24" spans="8:25" x14ac:dyDescent="0.25">
      <c r="K24" s="115"/>
      <c r="L24" s="115"/>
      <c r="M24" s="115"/>
      <c r="N24" s="115"/>
      <c r="O24" s="143"/>
      <c r="P24" s="115"/>
      <c r="Q24" s="115"/>
      <c r="R24" s="115"/>
    </row>
    <row r="25" spans="8:25" x14ac:dyDescent="0.25">
      <c r="K25" s="209" t="s">
        <v>607</v>
      </c>
      <c r="L25" s="237">
        <f ca="1">'Propriedades geométricas LA '!M6</f>
        <v>1982.47578156034</v>
      </c>
      <c r="M25" s="231" t="s">
        <v>14</v>
      </c>
      <c r="N25" s="115"/>
      <c r="O25" s="143"/>
      <c r="P25" s="115"/>
      <c r="Q25" s="115"/>
      <c r="R25" s="115"/>
    </row>
    <row r="26" spans="8:25" x14ac:dyDescent="0.25">
      <c r="K26" s="209" t="s">
        <v>763</v>
      </c>
      <c r="L26" s="237">
        <f ca="1">'Propriedades geométricas LA '!M9</f>
        <v>199263.10332053131</v>
      </c>
      <c r="M26" s="231" t="s">
        <v>14</v>
      </c>
      <c r="N26" s="115"/>
      <c r="O26" s="143"/>
      <c r="P26" s="115"/>
      <c r="Q26" s="115"/>
      <c r="R26" s="115"/>
    </row>
    <row r="27" spans="8:25" x14ac:dyDescent="0.25">
      <c r="K27" s="247" t="s">
        <v>764</v>
      </c>
      <c r="L27" s="339">
        <f ca="1">'Propriedades geométricas LA '!M7</f>
        <v>16.232764100106174</v>
      </c>
      <c r="M27" s="231" t="s">
        <v>94</v>
      </c>
      <c r="N27" s="115"/>
      <c r="O27" s="143"/>
      <c r="P27" s="115"/>
      <c r="Q27" s="115"/>
      <c r="R27" s="115"/>
    </row>
    <row r="28" spans="8:25" x14ac:dyDescent="0.25">
      <c r="K28" s="247" t="s">
        <v>765</v>
      </c>
      <c r="L28" s="339">
        <f ca="1">'Propriedades geométricas LA '!M8</f>
        <v>13.767235899893826</v>
      </c>
      <c r="M28" s="231" t="s">
        <v>80</v>
      </c>
      <c r="N28" s="115"/>
      <c r="O28" s="143"/>
      <c r="P28" s="115"/>
      <c r="Q28" s="115"/>
      <c r="R28" s="115"/>
    </row>
    <row r="29" spans="8:25" x14ac:dyDescent="0.25">
      <c r="K29" s="209"/>
      <c r="L29" s="231"/>
      <c r="M29" s="231"/>
      <c r="N29" s="115"/>
      <c r="O29" s="143"/>
      <c r="P29" s="115"/>
      <c r="Q29" s="115"/>
      <c r="R29" s="115"/>
    </row>
    <row r="30" spans="8:25" x14ac:dyDescent="0.25">
      <c r="K30" s="209" t="s">
        <v>766</v>
      </c>
      <c r="L30" s="237">
        <f ca="1">L25-(Geometria!H122+Geometria!H139)+L32*(Geometria!H122+Geometria!H139)</f>
        <v>2017.6941842186334</v>
      </c>
      <c r="M30" s="231" t="s">
        <v>14</v>
      </c>
      <c r="N30" s="115"/>
      <c r="O30" s="143"/>
      <c r="P30" s="115"/>
      <c r="Q30" s="115"/>
      <c r="R30" s="115"/>
    </row>
    <row r="31" spans="8:25" x14ac:dyDescent="0.25">
      <c r="N31" s="115"/>
      <c r="O31" s="143"/>
      <c r="P31" s="115"/>
      <c r="Q31" s="115"/>
      <c r="R31" s="115"/>
    </row>
    <row r="32" spans="8:25" x14ac:dyDescent="0.25">
      <c r="K32" s="209" t="s">
        <v>767</v>
      </c>
      <c r="L32" s="237">
        <f>L57</f>
        <v>5.4602840246065449</v>
      </c>
      <c r="M32" s="231"/>
      <c r="N32" s="115"/>
      <c r="O32" s="143"/>
      <c r="P32" s="115"/>
      <c r="Q32" s="115"/>
      <c r="R32" s="115"/>
    </row>
    <row r="33" spans="11:18" x14ac:dyDescent="0.25">
      <c r="K33" s="209" t="s">
        <v>768</v>
      </c>
      <c r="L33" s="237">
        <f ca="1">Geometria!H23+Geometria!H33-L34</f>
        <v>13.998210850411525</v>
      </c>
      <c r="M33" s="231" t="s">
        <v>80</v>
      </c>
      <c r="N33" s="115"/>
      <c r="O33" s="143"/>
      <c r="P33" s="115"/>
      <c r="Q33" s="115"/>
      <c r="R33" s="115"/>
    </row>
    <row r="34" spans="11:18" x14ac:dyDescent="0.25">
      <c r="K34" s="209" t="s">
        <v>769</v>
      </c>
      <c r="L34" s="237">
        <f ca="1">(L25*L27+(L32-1)*Geometria!H122*Geometria!M121+(L32-1)*Geometria!H139*(Geometria!H23-Geometria!M134))/L30</f>
        <v>16.001789149588475</v>
      </c>
      <c r="M34" s="231" t="s">
        <v>80</v>
      </c>
      <c r="N34" s="115"/>
      <c r="O34" s="143"/>
      <c r="P34" s="115"/>
      <c r="Q34" s="115"/>
      <c r="R34" s="115"/>
    </row>
    <row r="35" spans="11:18" x14ac:dyDescent="0.25">
      <c r="K35" s="209" t="s">
        <v>770</v>
      </c>
      <c r="L35" s="237">
        <f ca="1">L38</f>
        <v>13.998210850411525</v>
      </c>
      <c r="M35" s="231"/>
      <c r="N35" s="115"/>
      <c r="O35" s="143"/>
      <c r="P35" s="115"/>
      <c r="Q35" s="115"/>
      <c r="R35" s="115"/>
    </row>
    <row r="36" spans="11:18" x14ac:dyDescent="0.25">
      <c r="K36" s="209" t="s">
        <v>771</v>
      </c>
      <c r="L36" s="237">
        <f ca="1">L26+L25*(L27-L34)^2+(L32-1)*Geometria!H122*(Geometria!M121-L34)^2+(L32-1)*Geometria!H139*((Geometria!H23-Geometria!M134)-L34)^2</f>
        <v>205322.41571678265</v>
      </c>
      <c r="M36" s="231" t="s">
        <v>772</v>
      </c>
      <c r="N36" s="115"/>
      <c r="O36" s="143"/>
      <c r="P36" s="115"/>
      <c r="Q36" s="115"/>
      <c r="R36" s="115"/>
    </row>
    <row r="37" spans="11:18" x14ac:dyDescent="0.25">
      <c r="K37" s="209"/>
      <c r="L37" s="120"/>
      <c r="M37" s="231"/>
      <c r="N37" s="115"/>
      <c r="O37" s="143"/>
      <c r="P37" s="115"/>
      <c r="Q37" s="115"/>
      <c r="R37" s="115"/>
    </row>
    <row r="38" spans="11:18" x14ac:dyDescent="0.25">
      <c r="K38" s="209" t="s">
        <v>768</v>
      </c>
      <c r="L38" s="120">
        <f ca="1">Geometria!H23+Geometria!H33-L39</f>
        <v>13.998210850411525</v>
      </c>
      <c r="M38" s="231"/>
      <c r="N38" s="115"/>
      <c r="O38" s="143"/>
      <c r="P38" s="115"/>
      <c r="Q38" s="115"/>
      <c r="R38" s="115"/>
    </row>
    <row r="39" spans="11:18" x14ac:dyDescent="0.25">
      <c r="K39" s="209" t="s">
        <v>769</v>
      </c>
      <c r="L39" s="120">
        <f ca="1">L34</f>
        <v>16.001789149588475</v>
      </c>
      <c r="M39" s="231"/>
      <c r="N39" s="115"/>
      <c r="O39" s="143"/>
      <c r="P39" s="115"/>
      <c r="Q39" s="115"/>
      <c r="R39" s="115"/>
    </row>
    <row r="40" spans="11:18" x14ac:dyDescent="0.25">
      <c r="K40" s="643" t="s">
        <v>773</v>
      </c>
      <c r="L40" s="643"/>
      <c r="M40" s="231"/>
      <c r="N40" s="115"/>
      <c r="O40" s="143"/>
      <c r="P40" s="115"/>
      <c r="Q40" s="115"/>
      <c r="R40" s="115"/>
    </row>
    <row r="41" spans="11:18" x14ac:dyDescent="0.25">
      <c r="K41" s="209" t="s">
        <v>774</v>
      </c>
      <c r="L41" s="237">
        <f ca="1">L36/L38</f>
        <v>14667.761323994238</v>
      </c>
      <c r="M41" s="231" t="s">
        <v>775</v>
      </c>
      <c r="N41" s="115"/>
      <c r="O41" s="143"/>
      <c r="P41" s="115"/>
      <c r="Q41" s="115"/>
      <c r="R41" s="115"/>
    </row>
    <row r="42" spans="11:18" x14ac:dyDescent="0.25">
      <c r="K42" s="209" t="s">
        <v>776</v>
      </c>
      <c r="L42" s="237">
        <f ca="1">L36/L39</f>
        <v>12831.216171978058</v>
      </c>
      <c r="M42" s="231" t="s">
        <v>775</v>
      </c>
      <c r="N42" s="115"/>
      <c r="O42" s="143"/>
      <c r="P42" s="115"/>
      <c r="Q42" s="115"/>
      <c r="R42" s="115"/>
    </row>
    <row r="43" spans="11:18" x14ac:dyDescent="0.25">
      <c r="K43" s="115"/>
      <c r="L43" s="115"/>
      <c r="M43" s="115"/>
      <c r="N43" s="115"/>
      <c r="O43" s="143"/>
      <c r="P43" s="115"/>
      <c r="Q43" s="115"/>
      <c r="R43" s="115"/>
    </row>
    <row r="45" spans="11:18" x14ac:dyDescent="0.25">
      <c r="K45" s="621" t="s">
        <v>1695</v>
      </c>
    </row>
    <row r="47" spans="11:18" x14ac:dyDescent="0.25">
      <c r="K47" s="209" t="s">
        <v>1696</v>
      </c>
      <c r="L47" s="237">
        <v>200000</v>
      </c>
      <c r="M47" s="231" t="s">
        <v>60</v>
      </c>
      <c r="N47" s="231" t="s">
        <v>1697</v>
      </c>
    </row>
    <row r="48" spans="11:18" x14ac:dyDescent="0.25">
      <c r="K48" s="209" t="s">
        <v>1698</v>
      </c>
      <c r="L48" s="237">
        <v>210000</v>
      </c>
      <c r="M48" s="231" t="s">
        <v>60</v>
      </c>
      <c r="N48" s="231" t="s">
        <v>1699</v>
      </c>
    </row>
    <row r="49" spans="11:14" x14ac:dyDescent="0.25">
      <c r="K49" s="209" t="s">
        <v>1700</v>
      </c>
      <c r="L49" s="237">
        <f>Geometria!$I$201</f>
        <v>1</v>
      </c>
      <c r="M49" s="231" t="s">
        <v>237</v>
      </c>
      <c r="N49" s="231" t="s">
        <v>1701</v>
      </c>
    </row>
    <row r="50" spans="11:14" x14ac:dyDescent="0.25">
      <c r="K50" s="209" t="s">
        <v>1702</v>
      </c>
      <c r="L50" s="237">
        <f>EXP(Fluência!$B$17*(1-(28/L49)^(1/2)))</f>
        <v>0.42388184737889384</v>
      </c>
      <c r="M50" s="231" t="s">
        <v>1161</v>
      </c>
      <c r="N50" s="231" t="s">
        <v>1703</v>
      </c>
    </row>
    <row r="51" spans="11:14" x14ac:dyDescent="0.25">
      <c r="K51" s="209" t="s">
        <v>1704</v>
      </c>
      <c r="L51" s="237">
        <f>MIN(1,0.8+0.2*MAX(Geometria!$H$60,MIN(Geometria!$H$58,L50*Geometria!$H$58))/80)*IF(Geometria!$H$58&lt;=50,(MAX(Geometria!$H$60,MIN(Geometria!$H$58,L50*Geometria!$H$58))/Geometria!$H$58)^0.5,(MAX(Geometria!$H$60,MIN(Geometria!$H$58,L50*Geometria!$H$58))/Geometria!$H$58)^0.3)*Geometria!$H$866*1000</f>
        <v>29402.916522005096</v>
      </c>
      <c r="M51" s="231" t="s">
        <v>60</v>
      </c>
      <c r="N51" s="231" t="s">
        <v>1705</v>
      </c>
    </row>
    <row r="52" spans="11:14" x14ac:dyDescent="0.25">
      <c r="K52" s="209" t="s">
        <v>1706</v>
      </c>
      <c r="L52" s="237">
        <f>L47/L51</f>
        <v>6.8020463157224667</v>
      </c>
      <c r="M52" s="231" t="s">
        <v>1161</v>
      </c>
      <c r="N52" s="231" t="s">
        <v>1707</v>
      </c>
    </row>
    <row r="53" spans="11:14" x14ac:dyDescent="0.25">
      <c r="K53" s="209" t="s">
        <v>1708</v>
      </c>
      <c r="L53" s="237">
        <f>L48/L51</f>
        <v>7.14214863150859</v>
      </c>
      <c r="M53" s="231" t="s">
        <v>1161</v>
      </c>
      <c r="N53" s="231" t="s">
        <v>1709</v>
      </c>
    </row>
    <row r="54" spans="11:14" x14ac:dyDescent="0.25">
      <c r="K54" s="209" t="s">
        <v>1710</v>
      </c>
      <c r="L54" s="237">
        <f>Geometria!$I$204</f>
        <v>30</v>
      </c>
      <c r="M54" s="231" t="s">
        <v>237</v>
      </c>
      <c r="N54" s="231" t="s">
        <v>1711</v>
      </c>
    </row>
    <row r="55" spans="11:14" x14ac:dyDescent="0.25">
      <c r="K55" s="209" t="s">
        <v>1712</v>
      </c>
      <c r="L55" s="237">
        <f>EXP(Fluência!$B$17*(1-(28/L54)^(1/2)))</f>
        <v>1.0068046907979593</v>
      </c>
      <c r="M55" s="231" t="s">
        <v>1161</v>
      </c>
      <c r="N55" s="231" t="s">
        <v>1703</v>
      </c>
    </row>
    <row r="56" spans="11:14" x14ac:dyDescent="0.25">
      <c r="K56" s="209" t="s">
        <v>1713</v>
      </c>
      <c r="L56" s="237">
        <f>MIN(1,0.8+0.2*MAX(Geometria!$H$60,MIN(Geometria!$H$58,L55*Geometria!$H$58))/80)*IF(Geometria!$H$58&lt;=50,(MAX(Geometria!$H$60,MIN(Geometria!$H$58,L55*Geometria!$H$58))/Geometria!$H$58)^0.5,(MAX(Geometria!$H$60,MIN(Geometria!$H$58,L55*Geometria!$H$58))/Geometria!$H$58)^0.3)*Geometria!$H$866*1000</f>
        <v>36628.131265463162</v>
      </c>
      <c r="M56" s="231" t="s">
        <v>60</v>
      </c>
      <c r="N56" s="231" t="s">
        <v>1705</v>
      </c>
    </row>
    <row r="57" spans="11:14" x14ac:dyDescent="0.25">
      <c r="K57" s="209" t="s">
        <v>1714</v>
      </c>
      <c r="L57" s="237">
        <f>L47/L56</f>
        <v>5.4602840246065449</v>
      </c>
      <c r="M57" s="231" t="s">
        <v>1161</v>
      </c>
      <c r="N57" s="231" t="s">
        <v>1715</v>
      </c>
    </row>
    <row r="58" spans="11:14" x14ac:dyDescent="0.25">
      <c r="K58" s="209" t="s">
        <v>1716</v>
      </c>
      <c r="L58" s="237">
        <f>L48/L56</f>
        <v>5.7332982258368714</v>
      </c>
      <c r="M58" s="231" t="s">
        <v>1161</v>
      </c>
      <c r="N58" s="231" t="s">
        <v>1717</v>
      </c>
    </row>
  </sheetData>
  <mergeCells count="4">
    <mergeCell ref="K2:Y2"/>
    <mergeCell ref="K19:L19"/>
    <mergeCell ref="K23:Y23"/>
    <mergeCell ref="K40:L40"/>
  </mergeCells>
  <pageMargins left="0.511811024" right="0.511811024" top="0.78740157499999996" bottom="0.78740157499999996" header="0.31496062000000002" footer="0.31496062000000002"/>
  <pageSetup paperSize="9" scale="6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5827-302C-4CA5-AB5B-EBA546A77FEE}">
  <dimension ref="A1:AC53"/>
  <sheetViews>
    <sheetView showGridLines="0" zoomScale="85" zoomScaleNormal="85" workbookViewId="0">
      <selection activeCell="U18" sqref="U18"/>
    </sheetView>
  </sheetViews>
  <sheetFormatPr defaultRowHeight="15" x14ac:dyDescent="0.25"/>
  <sheetData>
    <row r="1" spans="1:25" x14ac:dyDescent="0.25">
      <c r="E1" s="115" t="s">
        <v>95</v>
      </c>
      <c r="F1" s="239">
        <f ca="1">Geometria!H749</f>
        <v>867.43240267952342</v>
      </c>
      <c r="G1" s="231" t="s">
        <v>96</v>
      </c>
    </row>
    <row r="2" spans="1:25" x14ac:dyDescent="0.25">
      <c r="E2" s="115" t="s">
        <v>97</v>
      </c>
      <c r="F2" s="239">
        <f ca="1">Geometria!H750</f>
        <v>81.982109646974479</v>
      </c>
      <c r="G2" s="231" t="s">
        <v>96</v>
      </c>
    </row>
    <row r="3" spans="1:25" ht="15.75" thickBot="1" x14ac:dyDescent="0.3"/>
    <row r="4" spans="1:25" ht="15.75" thickBot="1" x14ac:dyDescent="0.3">
      <c r="A4" s="771" t="s">
        <v>723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N4" s="771" t="s">
        <v>731</v>
      </c>
      <c r="O4" s="772"/>
      <c r="P4" s="772"/>
      <c r="Q4" s="772"/>
      <c r="R4" s="772"/>
      <c r="S4" s="772"/>
      <c r="T4" s="772"/>
      <c r="U4" s="772"/>
      <c r="V4" s="772"/>
      <c r="W4" s="772"/>
      <c r="X4" s="773"/>
    </row>
    <row r="5" spans="1:25" ht="15.75" thickBot="1" x14ac:dyDescent="0.3">
      <c r="A5" s="362"/>
      <c r="K5" s="363"/>
      <c r="N5" s="362"/>
      <c r="X5" s="363"/>
    </row>
    <row r="6" spans="1:25" ht="15" customHeight="1" x14ac:dyDescent="0.25">
      <c r="A6" s="362"/>
      <c r="C6" s="774" t="s">
        <v>724</v>
      </c>
      <c r="D6" s="776" t="s">
        <v>725</v>
      </c>
      <c r="E6" s="777"/>
      <c r="F6" s="776" t="s">
        <v>726</v>
      </c>
      <c r="G6" s="777"/>
      <c r="I6" s="780" t="s">
        <v>95</v>
      </c>
      <c r="J6" s="780" t="s">
        <v>97</v>
      </c>
      <c r="K6" s="363"/>
      <c r="N6" s="362"/>
      <c r="P6" s="774" t="s">
        <v>724</v>
      </c>
      <c r="Q6" s="776" t="s">
        <v>725</v>
      </c>
      <c r="R6" s="777"/>
      <c r="S6" s="776" t="s">
        <v>726</v>
      </c>
      <c r="T6" s="777"/>
      <c r="V6" s="780" t="s">
        <v>95</v>
      </c>
      <c r="W6" s="780" t="s">
        <v>97</v>
      </c>
      <c r="X6" s="363"/>
    </row>
    <row r="7" spans="1:25" x14ac:dyDescent="0.25">
      <c r="A7" s="362"/>
      <c r="C7" s="775"/>
      <c r="D7" s="778"/>
      <c r="E7" s="779"/>
      <c r="F7" s="778"/>
      <c r="G7" s="779"/>
      <c r="I7" s="780"/>
      <c r="J7" s="780"/>
      <c r="K7" s="363"/>
      <c r="N7" s="362"/>
      <c r="P7" s="775"/>
      <c r="Q7" s="778"/>
      <c r="R7" s="779"/>
      <c r="S7" s="778"/>
      <c r="T7" s="779"/>
      <c r="V7" s="780"/>
      <c r="W7" s="780"/>
      <c r="X7" s="363"/>
    </row>
    <row r="8" spans="1:25" x14ac:dyDescent="0.25">
      <c r="A8" s="115" t="s">
        <v>169</v>
      </c>
      <c r="B8" s="204" t="str">
        <f ca="1">IF(Geometria!$G$280&lt;Geometria!$J$1030/100,"Reduzir","OK")</f>
        <v>Reduzir</v>
      </c>
      <c r="C8" s="364">
        <f ca="1">IF(B8="Reduzir",D8,F8)</f>
        <v>0</v>
      </c>
      <c r="D8" s="365">
        <v>0</v>
      </c>
      <c r="E8" s="366">
        <v>0</v>
      </c>
      <c r="F8" s="781">
        <v>0</v>
      </c>
      <c r="G8" s="782"/>
      <c r="I8">
        <v>0</v>
      </c>
      <c r="J8">
        <v>0</v>
      </c>
      <c r="K8" s="363"/>
      <c r="L8">
        <f ca="1">C8/1000</f>
        <v>0</v>
      </c>
      <c r="N8" s="115" t="s">
        <v>169</v>
      </c>
      <c r="O8" s="204" t="str">
        <f ca="1">IF(Geometria!$G$280&lt;Geometria!$J$1030/100,"Reduzir","OK")</f>
        <v>Reduzir</v>
      </c>
      <c r="P8" s="364">
        <f ca="1">IF(O8="Reduzir",Q8,S8)</f>
        <v>0</v>
      </c>
      <c r="Q8" s="365">
        <v>0</v>
      </c>
      <c r="R8" s="366">
        <v>0</v>
      </c>
      <c r="S8" s="781">
        <v>0</v>
      </c>
      <c r="T8" s="782"/>
      <c r="V8">
        <v>0</v>
      </c>
      <c r="W8">
        <v>0</v>
      </c>
      <c r="X8" s="363"/>
      <c r="Y8">
        <f ca="1">P8/1000</f>
        <v>0</v>
      </c>
    </row>
    <row r="9" spans="1:25" x14ac:dyDescent="0.25">
      <c r="A9" s="115" t="s">
        <v>170</v>
      </c>
      <c r="B9" s="204" t="str">
        <f ca="1">IF(Geometria!$H$280&lt;Geometria!$J$1030/100,"Reduzir","OK")</f>
        <v>OK</v>
      </c>
      <c r="C9" s="364">
        <f t="shared" ref="C9:C27" ca="1" si="0">IF(B9="Reduzir",D9,F9)</f>
        <v>1760.8450514978126</v>
      </c>
      <c r="D9" s="365">
        <f ca="1">-I9/(Geometria!$H$36/100^2)+J9/(Geometria!$H$40/100^3)-Geometria!$H$741/(Geometria!$H$40/100^3)</f>
        <v>1124.9497304080264</v>
      </c>
      <c r="E9" s="367">
        <f ca="1">('Perdas por Seção'!D60*(Geometria!$H$280*100))/Geometria!$J$1030</f>
        <v>117.16985004248782</v>
      </c>
      <c r="F9" s="770">
        <f ca="1">IF(H9="Sim",-('Isolamento de cabos'!$C$26)/(Geometria!$H$36/100^2)+('Isolamento de cabos'!$C$27)/(Geometria!$H$40/100^3)-Geometria!$H$741/(Geometria!$H$40/100^3),IF(M9="Sim",-'Perdas por Seção'!D99/(Geometria!$H$36/100^2)+'Perdas por Seção'!D100/(Geometria!$H$40/100^3)-Geometria!$H$741/(Geometria!$H$40/100^3),-'Perdas por Seção'!D99/(Geometria!$H$36/100^2)+'Perdas por Seção'!D100/(Geometria!$H$40/100^3)-Geometria!$H$741/(Geometria!$H$40/100^3)))</f>
        <v>1760.8450514978126</v>
      </c>
      <c r="G9" s="770"/>
      <c r="H9" s="209" t="str">
        <f>IF(Geometria!$H$280&lt;'Isolamento de cabos'!$C$8,"Sim","Não")</f>
        <v>Não</v>
      </c>
      <c r="I9" s="368">
        <f ca="1">Geometria!$H$166*E32+Geometria!$H$168*E9</f>
        <v>649.66269127200383</v>
      </c>
      <c r="J9" s="368">
        <f ca="1">Geometria!$H$166*E32*Geometria!$H$167/100-Geometria!$H$168*E9*Geometria!$H$169/100</f>
        <v>61.400424776485259</v>
      </c>
      <c r="K9" s="363"/>
      <c r="L9">
        <f t="shared" ref="L9:L51" ca="1" si="1">C9/1000</f>
        <v>1.7608450514978127</v>
      </c>
      <c r="M9" s="209" t="str">
        <f>IF(Geometria!$H$280&lt;'Isolamento de cabos'!$C$10,"Sim","Não")</f>
        <v>Não</v>
      </c>
      <c r="N9" s="115" t="s">
        <v>170</v>
      </c>
      <c r="O9" s="204" t="str">
        <f ca="1">IF(Geometria!$H$280&lt;Geometria!$J$1030/100,"Reduzir","OK")</f>
        <v>OK</v>
      </c>
      <c r="P9" s="364">
        <f ca="1">IF(O9="Reduzir",Q9,S9)</f>
        <v>92.584347044896219</v>
      </c>
      <c r="Q9" s="365">
        <f ca="1">-(V9/(Geometria!$H$36/100^2))+(W9/(Geometria!$H$40/100^3))-((Geometria!$H$281)/(Geometria!$H$40/100^3))-((Geometria!$H$292)/(Geometria!$H$266))-((Geometria!$H$52*Geometria!$H$303)/(Geometria!$H$266))</f>
        <v>-434.47014427557411</v>
      </c>
      <c r="R9" s="367">
        <f ca="1">('Perdas por Seção'!D92*(Geometria!$H$280*100))/Geometria!$J$1030</f>
        <v>103.35579917249646</v>
      </c>
      <c r="S9" s="787">
        <f ca="1">IF(H9="Sim",-('Isolamento de cabos'!$C$58/(Geometria!$H$36/100^2))+('Isolamento de cabos'!$C$59/(Geometria!$H$40/100^3))-((Geometria!$H$281)/(Geometria!$H$40/100^3))-((Geometria!$H$292)/(Geometria!$H$266))-((Geometria!$H$52*Geometria!$H$303)/(Geometria!$H$266)),IF(M9="Sim",-('Perdas por Seção'!D97/(Geometria!$H$36/100^2))+('Perdas por Seção'!D98/(Geometria!$H$40/100^3))-((Geometria!$H$281)/(Geometria!$H$40/100^3))-((Geometria!$H$292)/(Geometria!$H$266))-((Geometria!$H$52*Geometria!$H$303)/(Geometria!$H$266)),-('Perdas por Seção'!D97/(Geometria!$H$36/100^2))+('Perdas por Seção'!D98/(Geometria!$H$40/100^3))-((Geometria!$H$281)/(Geometria!$H$40/100^3))-((Geometria!$H$292)/(Geometria!$H$266))-((Geometria!$H$52*Geometria!$H$303)/(Geometria!$H$266))))</f>
        <v>92.584347044896219</v>
      </c>
      <c r="T9" s="788"/>
      <c r="V9" s="368">
        <f ca="1">Geometria!$H$166*R32+Geometria!$H$168*R9</f>
        <v>538.46541706179107</v>
      </c>
      <c r="W9" s="368">
        <f ca="1">Geometria!$H$166*R32*Geometria!$H$167/100-Geometria!$H$168*R9*Geometria!$H$169/100</f>
        <v>50.891032807052035</v>
      </c>
      <c r="X9" s="363"/>
      <c r="Y9">
        <f t="shared" ref="Y9:Y28" ca="1" si="2">P9/1000</f>
        <v>9.2584347044896223E-2</v>
      </c>
    </row>
    <row r="10" spans="1:25" x14ac:dyDescent="0.25">
      <c r="A10" s="115" t="s">
        <v>171</v>
      </c>
      <c r="B10" s="204" t="str">
        <f ca="1">IF(Geometria!$I$280&lt;Geometria!$J$1030/100,"Reduzir","OK")</f>
        <v>OK</v>
      </c>
      <c r="C10" s="364">
        <f t="shared" ca="1" si="0"/>
        <v>964.40487597263586</v>
      </c>
      <c r="D10" s="365">
        <f ca="1">-I10/(Geometria!$H$36/100^2)+J10/(Geometria!$H$40/100^3)-Geometria!$I$741/(Geometria!$H$40/100^3)</f>
        <v>2358.378367315544</v>
      </c>
      <c r="E10" s="367">
        <f ca="1">('Perdas por Seção'!E60*(Geometria!$I$280*100))/Geometria!$J$1030</f>
        <v>232.07190327299958</v>
      </c>
      <c r="F10" s="770">
        <f ca="1">IF(H10="Sim",-('Isolamento de cabos'!$C$26)/(Geometria!$H$36/100^2)+('Isolamento de cabos'!$C$27)/(Geometria!$H$40/100^3)-Geometria!$I$741/(Geometria!$H$40/100^3),IF(M10="Sim",-'Perdas por Seção'!E99/(Geometria!$H$36/100^2)+'Perdas por Seção'!E100/(Geometria!$H$40/100^3)-Geometria!$I$741/(Geometria!$H$40/100^3),-'Perdas por Seção'!E99/(Geometria!$H$36/100^2)+'Perdas por Seção'!E100/(Geometria!$H$40/100^3)-Geometria!$I$741/(Geometria!$H$40/100^3)))</f>
        <v>964.40487597263586</v>
      </c>
      <c r="G10" s="770"/>
      <c r="H10" s="209" t="str">
        <f>IF(Geometria!$I$280&lt;'Isolamento de cabos'!$C$8,"Sim","Não")</f>
        <v>Não</v>
      </c>
      <c r="I10" s="368">
        <f ca="1">Geometria!$H$166*E33+Geometria!$H$168*E10</f>
        <v>1303.726571311048</v>
      </c>
      <c r="J10" s="368">
        <f ca="1">Geometria!$H$166*E33*Geometria!$H$167/100-Geometria!$H$168*E10*Geometria!$H$169/100</f>
        <v>123.21681134891215</v>
      </c>
      <c r="K10" s="363"/>
      <c r="L10">
        <f t="shared" ca="1" si="1"/>
        <v>0.96440487597263591</v>
      </c>
      <c r="M10" s="209" t="str">
        <f>IF(Geometria!$I$280&lt;'Isolamento de cabos'!$C$10,"Sim","Não")</f>
        <v>Não</v>
      </c>
      <c r="N10" s="115" t="s">
        <v>171</v>
      </c>
      <c r="O10" s="204" t="str">
        <f ca="1">IF(Geometria!$I$280&lt;Geometria!$J$1030/100,"Reduzir","OK")</f>
        <v>OK</v>
      </c>
      <c r="P10" s="364">
        <f t="shared" ref="P10:P27" ca="1" si="3">IF(O10="Reduzir",Q10,S10)</f>
        <v>-1758.7273175523155</v>
      </c>
      <c r="Q10" s="365">
        <f ca="1">-(V10/(Geometria!$H$36/100^2))+(W10/(Geometria!$H$40/100^3))-((Geometria!$I$281)/(Geometria!$H$40/100^3))-((Geometria!$I$292)/(Geometria!$H$266))-((Geometria!$H$52*Geometria!$I$303)/(Geometria!$H$266))</f>
        <v>-586.74704280374749</v>
      </c>
      <c r="R10" s="367">
        <f ca="1">('Perdas por Seção'!E92*(Geometria!$I$280*100))/Geometria!$J$1030</f>
        <v>197.68932368675442</v>
      </c>
      <c r="S10" s="787">
        <f ca="1">IF(H10="Sim",-('Isolamento de cabos'!$C$58/(Geometria!$H$36/100^2))+('Isolamento de cabos'!$C$59/(Geometria!$H$40/100^3))-((Geometria!$I$281)/(Geometria!$H$40/100^3))-((Geometria!$I$292)/(Geometria!$H$266))-((Geometria!$H$52*Geometria!$I$303)/(Geometria!$H$266)),IF(M10="Sim",-('Perdas por Seção'!E97/(Geometria!$H$36/100^2))+('Perdas por Seção'!E98/(Geometria!$H$40/100^3))-((Geometria!$I$281)/(Geometria!$H$40/100^3))-((Geometria!$I$292)/(Geometria!$H$266))-((Geometria!$H$52*Geometria!$I$303)/(Geometria!$H$266)),-('Perdas por Seção'!E97/(Geometria!$H$36/100^2))+('Perdas por Seção'!E98/(Geometria!$H$40/100^3))-((Geometria!$I$281)/(Geometria!$H$40/100^3))-((Geometria!$I$292)/(Geometria!$H$266))-((Geometria!$H$52*Geometria!$I$303)/(Geometria!$H$266))))</f>
        <v>-1758.7273175523155</v>
      </c>
      <c r="T10" s="788"/>
      <c r="V10" s="368">
        <f ca="1">Geometria!$H$166*R33+Geometria!$H$168*R10</f>
        <v>1096.1053669465141</v>
      </c>
      <c r="W10" s="368">
        <f ca="1">Geometria!$H$166*R33*Geometria!$H$167/100-Geometria!$H$168*R10*Geometria!$H$169/100</f>
        <v>103.59427443575203</v>
      </c>
      <c r="X10" s="363"/>
      <c r="Y10">
        <f t="shared" ca="1" si="2"/>
        <v>-1.7587273175523155</v>
      </c>
    </row>
    <row r="11" spans="1:25" x14ac:dyDescent="0.25">
      <c r="A11" s="115" t="s">
        <v>172</v>
      </c>
      <c r="B11" s="204" t="str">
        <f ca="1">IF(Geometria!$J$280&lt;Geometria!$J$1030/100,"Reduzir","OK")</f>
        <v>OK</v>
      </c>
      <c r="C11" s="364">
        <f t="shared" ca="1" si="0"/>
        <v>261.66354462689105</v>
      </c>
      <c r="D11" s="365">
        <f ca="1">-I11/(Geometria!$H$36/100^2)+J11/(Geometria!$H$40/100^3)-Geometria!$J$741/(Geometria!$H$40/100^3)</f>
        <v>3697.8648015190338</v>
      </c>
      <c r="E11" s="367">
        <f ca="1">('Perdas por Seção'!F60*(Geometria!$J$280*100))/Geometria!$J$1030</f>
        <v>345.10635912894276</v>
      </c>
      <c r="F11" s="770">
        <f ca="1">IF(H11="Sim",-('Isolamento de cabos'!$C$26)/(Geometria!$H$36/100^2)+('Isolamento de cabos'!$C$27)/(Geometria!$H$40/100^3)-Geometria!$J$741/(Geometria!$H$40/100^3),IF(M11="Sim",-'Perdas por Seção'!F99/(Geometria!$H$36/100^2)+'Perdas por Seção'!F100/(Geometria!$H$40/100^3)-Geometria!$J$741/(Geometria!$H$40/100^3),-'Perdas por Seção'!F99/(Geometria!$H$36/100^2)+'Perdas por Seção'!F100/(Geometria!$H$40/100^3)-Geometria!$J$741/(Geometria!$H$40/100^3)))</f>
        <v>261.66354462689105</v>
      </c>
      <c r="G11" s="770"/>
      <c r="H11" s="209" t="str">
        <f>IF(Geometria!$J$280&lt;'Isolamento de cabos'!$C$8,"Sim","Não")</f>
        <v>Não</v>
      </c>
      <c r="I11" s="368">
        <f ca="1">Geometria!$H$166*E34+Geometria!$H$168*E11</f>
        <v>1961.4149597464775</v>
      </c>
      <c r="J11" s="368">
        <f ca="1">Geometria!$H$166*E34*Geometria!$H$167/100-Geometria!$H$168*E11*Geometria!$H$169/100</f>
        <v>185.37575469446736</v>
      </c>
      <c r="K11" s="363"/>
      <c r="L11">
        <f t="shared" ca="1" si="1"/>
        <v>0.26166354462689106</v>
      </c>
      <c r="M11" s="209" t="str">
        <f>IF(Geometria!$J$280&lt;'Isolamento de cabos'!$C$10,"Sim","Não")</f>
        <v>Não</v>
      </c>
      <c r="N11" s="115" t="s">
        <v>172</v>
      </c>
      <c r="O11" s="204" t="str">
        <f ca="1">IF(Geometria!$J$280&lt;Geometria!$J$1030/100,"Reduzir","OK")</f>
        <v>OK</v>
      </c>
      <c r="P11" s="364">
        <f t="shared" ca="1" si="3"/>
        <v>-3392.2751146073133</v>
      </c>
      <c r="Q11" s="365">
        <f ca="1">-(V11/(Geometria!$H$36/100^2))+(W11/(Geometria!$H$40/100^3))-((Geometria!$J$281)/(Geometria!$H$40/100^3))-((Geometria!$J$292)/(Geometria!$H$266))-((Geometria!$H$52*Geometria!$J$303)/(Geometria!$H$266))</f>
        <v>-467.46430008706648</v>
      </c>
      <c r="R11" s="367">
        <f ca="1">('Perdas por Seção'!F92*(Geometria!$J$280*100))/Geometria!$J$1030</f>
        <v>284.59273965893345</v>
      </c>
      <c r="S11" s="787">
        <f ca="1">IF(H11="Sim",-('Isolamento de cabos'!$C$58/(Geometria!$H$36/100^2))+('Isolamento de cabos'!$C$59/(Geometria!$H$40/100^3))-((Geometria!$J$281)/(Geometria!$H$40/100^3))-((Geometria!$J$292)/(Geometria!$H$266))-((Geometria!$H$52*Geometria!$J$303)/(Geometria!$H$266)),IF(M11="Sim",-('Perdas por Seção'!F97/(Geometria!$H$36/100^2))+('Perdas por Seção'!F98/(Geometria!$H$40/100^3))-((Geometria!$J$281)/(Geometria!$H$40/100^3))-((Geometria!$J$292)/(Geometria!$H$266))-((Geometria!$H$52*Geometria!$J$303)/(Geometria!$H$266)),-('Perdas por Seção'!F97/(Geometria!$H$36/100^2))+('Perdas por Seção'!F98/(Geometria!$H$40/100^3))-((Geometria!$J$281)/(Geometria!$H$40/100^3))-((Geometria!$J$292)/(Geometria!$H$266))-((Geometria!$H$52*Geometria!$J$303)/(Geometria!$H$266))))</f>
        <v>-3392.2751146073133</v>
      </c>
      <c r="T11" s="788"/>
      <c r="V11" s="368">
        <f ca="1">Geometria!$H$166*R34+Geometria!$H$168*R11</f>
        <v>1669.5086396705676</v>
      </c>
      <c r="W11" s="368">
        <f ca="1">Geometria!$H$166*R34*Geometria!$H$167/100-Geometria!$H$168*R11*Geometria!$H$169/100</f>
        <v>157.78732720987693</v>
      </c>
      <c r="X11" s="363"/>
      <c r="Y11">
        <f t="shared" ca="1" si="2"/>
        <v>-3.3922751146073131</v>
      </c>
    </row>
    <row r="12" spans="1:25" x14ac:dyDescent="0.25">
      <c r="A12" s="115" t="s">
        <v>173</v>
      </c>
      <c r="B12" s="204" t="str">
        <f ca="1">IF(Geometria!$K$280&lt;Geometria!$J$1030/100,"Reduzir","OK")</f>
        <v>OK</v>
      </c>
      <c r="C12" s="364">
        <f t="shared" ca="1" si="0"/>
        <v>-347.37894253942022</v>
      </c>
      <c r="D12" s="365">
        <f ca="1">-I12/(Geometria!$H$36/100^2)+J12/(Geometria!$H$40/100^3)-Geometria!$K$741/(Geometria!$H$40/100^3)</f>
        <v>5140.9879238149788</v>
      </c>
      <c r="E12" s="367">
        <f ca="1">('Perdas por Seção'!G60*(Geometria!$K$280*100))/Geometria!$J$1030</f>
        <v>456.67341704772508</v>
      </c>
      <c r="F12" s="770">
        <f ca="1">IF(H12="Sim",-('Isolamento de cabos'!$C$26)/(Geometria!$H$36/100^2)+('Isolamento de cabos'!$C$27)/(Geometria!$H$40/100^3)-Geometria!$K$741/(Geometria!$H$40/100^3),IF(M12="Sim",-'Perdas por Seção'!G99/(Geometria!$H$36/100^2)+'Perdas por Seção'!G100/(Geometria!$H$40/100^3)-Geometria!$K$741/(Geometria!$H$40/100^3),-'Perdas por Seção'!G99/(Geometria!$H$36/100^2)+'Perdas por Seção'!G100/(Geometria!$H$40/100^3)-Geometria!$K$741/(Geometria!$H$40/100^3)))</f>
        <v>-347.37894253942022</v>
      </c>
      <c r="G12" s="770"/>
      <c r="H12" s="209" t="str">
        <f>IF(Geometria!$K$280&lt;'Isolamento de cabos'!$C$8,"Sim","Não")</f>
        <v>Não</v>
      </c>
      <c r="I12" s="368">
        <f ca="1">Geometria!$H$166*E35+Geometria!$H$168*E12</f>
        <v>2621.9511762076399</v>
      </c>
      <c r="J12" s="368">
        <f ca="1">Geometria!$H$166*E35*Geometria!$H$167/100-Geometria!$H$168*E12*Geometria!$H$169/100</f>
        <v>247.80384979033781</v>
      </c>
      <c r="K12" s="363"/>
      <c r="L12">
        <f t="shared" ca="1" si="1"/>
        <v>-0.3473789425394202</v>
      </c>
      <c r="M12" s="209" t="str">
        <f>IF(Geometria!$K$280&lt;'Isolamento de cabos'!$C$10,"Sim","Não")</f>
        <v>Não</v>
      </c>
      <c r="N12" s="115" t="s">
        <v>173</v>
      </c>
      <c r="O12" s="204" t="str">
        <f ca="1">IF(Geometria!$K$280&lt;Geometria!$J$1030/100,"Reduzir","OK")</f>
        <v>OK</v>
      </c>
      <c r="P12" s="364">
        <f t="shared" ca="1" si="3"/>
        <v>-4808.0449615920343</v>
      </c>
      <c r="Q12" s="365">
        <f ca="1">-(V12/(Geometria!$H$36/100^2))+(W12/(Geometria!$H$40/100^3))-((Geometria!$K$281)/(Geometria!$H$40/100^3))-((Geometria!$K$292)/(Geometria!$H$266))-((Geometria!$H$52*Geometria!$K$303)/(Geometria!$H$266))</f>
        <v>-87.212651346427947</v>
      </c>
      <c r="R12" s="367">
        <f ca="1">('Perdas por Seção'!G92*(Geometria!$K$280*100))/Geometria!$J$1030</f>
        <v>365.65821320519353</v>
      </c>
      <c r="S12" s="787">
        <f ca="1">IF(H12="Sim",-('Isolamento de cabos'!$C$58/(Geometria!$H$36/100^2))+('Isolamento de cabos'!$C$59/(Geometria!$H$40/100^3))-((Geometria!$K$281)/(Geometria!$H$40/100^3))-((Geometria!$K$292)/(Geometria!$H$266))-((Geometria!$H$52*Geometria!$K$303)/(Geometria!$H$266)),IF(M12="Sim",-('Perdas por Seção'!G97/(Geometria!$H$36/100^2))+('Perdas por Seção'!G98/(Geometria!$H$40/100^3))-((Geometria!$K$281)/(Geometria!$H$40/100^3))-((Geometria!$K$292)/(Geometria!$H$266))-((Geometria!$H$52*Geometria!$K$303)/(Geometria!$H$266)),-('Perdas por Seção'!G97/(Geometria!$H$36/100^2))+('Perdas por Seção'!G98/(Geometria!$H$40/100^3))-((Geometria!$K$281)/(Geometria!$H$40/100^3))-((Geometria!$K$292)/(Geometria!$H$266))-((Geometria!$H$52*Geometria!$K$303)/(Geometria!$H$266))))</f>
        <v>-4808.0449615920343</v>
      </c>
      <c r="T12" s="788"/>
      <c r="V12" s="368">
        <f ca="1">Geometria!$H$166*R35+Geometria!$H$168*R12</f>
        <v>2255.2777775129543</v>
      </c>
      <c r="W12" s="368">
        <f ca="1">Geometria!$H$166*R35*Geometria!$H$167/100-Geometria!$H$168*R12*Geometria!$H$169/100</f>
        <v>213.149093196558</v>
      </c>
      <c r="X12" s="363"/>
      <c r="Y12">
        <f t="shared" ca="1" si="2"/>
        <v>-4.8080449615920342</v>
      </c>
    </row>
    <row r="13" spans="1:25" x14ac:dyDescent="0.25">
      <c r="A13" s="115" t="s">
        <v>174</v>
      </c>
      <c r="B13" s="204" t="str">
        <f ca="1">IF(Geometria!$L$280&lt;Geometria!$J$1030/100,"Reduzir","OK")</f>
        <v>OK</v>
      </c>
      <c r="C13" s="364">
        <f t="shared" ca="1" si="0"/>
        <v>-862.72258552630092</v>
      </c>
      <c r="D13" s="365">
        <f ca="1">-I13/(Geometria!$H$36/100^2)+J13/(Geometria!$H$40/100^3)-Geometria!$L$741/(Geometria!$H$40/100^3)</f>
        <v>6685.3266249998669</v>
      </c>
      <c r="E13" s="367">
        <f ca="1">('Perdas por Seção'!H60*(Geometria!$L$280*100))/Geometria!$J$1030</f>
        <v>567.1732764667538</v>
      </c>
      <c r="F13" s="770">
        <f ca="1">IF(H13="Sim",-('Isolamento de cabos'!$C$26)/(Geometria!$H$36/100^2)+('Isolamento de cabos'!$C$27)/(Geometria!$H$40/100^3)-Geometria!$L$741/(Geometria!$H$40/100^3),IF(M13="Sim",-'Perdas por Seção'!H99/(Geometria!$H$36/100^2)+'Perdas por Seção'!H100/(Geometria!$H$40/100^3)-Geometria!$L$741/(Geometria!$H$40/100^3),-'Perdas por Seção'!H99/(Geometria!$H$36/100^2)+'Perdas por Seção'!H100/(Geometria!$H$40/100^3)-Geometria!$L$741/(Geometria!$H$40/100^3)))</f>
        <v>-862.72258552630092</v>
      </c>
      <c r="G13" s="770"/>
      <c r="H13" s="209" t="str">
        <f>IF(Geometria!$L$280&lt;'Isolamento de cabos'!$C$8,"Sim","Não")</f>
        <v>Não</v>
      </c>
      <c r="I13" s="368">
        <f ca="1">Geometria!$H$166*E36+Geometria!$H$168*E13</f>
        <v>3284.5585403238802</v>
      </c>
      <c r="J13" s="368">
        <f ca="1">Geometria!$H$166*E36*Geometria!$H$167/100-Geometria!$H$168*E13*Geometria!$H$169/100</f>
        <v>310.42769161371024</v>
      </c>
      <c r="K13" s="363"/>
      <c r="L13">
        <f t="shared" ca="1" si="1"/>
        <v>-0.86272258552630088</v>
      </c>
      <c r="M13" s="209" t="str">
        <f>IF(Geometria!$L$280&lt;'Isolamento de cabos'!$C$10,"Sim","Não")</f>
        <v>Não</v>
      </c>
      <c r="N13" s="115" t="s">
        <v>174</v>
      </c>
      <c r="O13" s="204" t="str">
        <f ca="1">IF(Geometria!$L$280&lt;Geometria!$J$1030/100,"Reduzir","OK")</f>
        <v>OK</v>
      </c>
      <c r="P13" s="364">
        <f t="shared" ca="1" si="3"/>
        <v>-6006.0246658246906</v>
      </c>
      <c r="Q13" s="365">
        <f ca="1">-(V13/(Geometria!$H$36/100^2))+(W13/(Geometria!$H$40/100^3))-((Geometria!$L$281)/(Geometria!$H$40/100^3))-((Geometria!$L$292)/(Geometria!$H$266))-((Geometria!$H$52*Geometria!$L$303)/(Geometria!$H$266))</f>
        <v>543.45284626720559</v>
      </c>
      <c r="R13" s="367">
        <f ca="1">('Perdas por Seção'!H92*(Geometria!$L$280*100))/Geometria!$J$1030</f>
        <v>442.47791044169423</v>
      </c>
      <c r="S13" s="787">
        <f ca="1">IF(H13="Sim",-('Isolamento de cabos'!$C$58/(Geometria!$H$36/100^2))+('Isolamento de cabos'!$C$59/(Geometria!$H$40/100^3))-((Geometria!$L$281)/(Geometria!$H$40/100^3))-((Geometria!$L$292)/(Geometria!$H$266))-((Geometria!$H$52*Geometria!$L$303)/(Geometria!$H$266)),IF(M13="Sim",-('Perdas por Seção'!H97/(Geometria!$H$36/100^2))+('Perdas por Seção'!H98/(Geometria!$H$40/100^3))-((Geometria!$L$281)/(Geometria!$H$40/100^3))-((Geometria!$L$292)/(Geometria!$H$266))-((Geometria!$H$52*Geometria!$L$303)/(Geometria!$H$266)),-('Perdas por Seção'!H97/(Geometria!$H$36/100^2))+('Perdas por Seção'!H98/(Geometria!$H$40/100^3))-((Geometria!$L$281)/(Geometria!$H$40/100^3))-((Geometria!$L$292)/(Geometria!$H$266))-((Geometria!$H$52*Geometria!$L$303)/(Geometria!$H$266))))</f>
        <v>-6006.0246658246906</v>
      </c>
      <c r="T13" s="788"/>
      <c r="V13" s="368">
        <f ca="1">Geometria!$H$166*R36+Geometria!$H$168*R13</f>
        <v>2850.0267681086116</v>
      </c>
      <c r="W13" s="368">
        <f ca="1">Geometria!$H$166*R36*Geometria!$H$167/100-Geometria!$H$168*R13*Geometria!$H$169/100</f>
        <v>269.35955617767706</v>
      </c>
      <c r="X13" s="363"/>
      <c r="Y13">
        <f t="shared" ca="1" si="2"/>
        <v>-6.0060246658246905</v>
      </c>
    </row>
    <row r="14" spans="1:25" x14ac:dyDescent="0.25">
      <c r="A14" s="115" t="s">
        <v>175</v>
      </c>
      <c r="B14" s="204" t="str">
        <f ca="1">IF(Geometria!$M$280&lt;Geometria!$J$1030/100,"Reduzir","OK")</f>
        <v>OK</v>
      </c>
      <c r="C14" s="364">
        <f t="shared" ca="1" si="0"/>
        <v>-1284.3673843337469</v>
      </c>
      <c r="D14" s="365">
        <f ca="1">-I14/(Geometria!$H$36/100^2)+J14/(Geometria!$H$40/100^3)-Geometria!$M$741/(Geometria!$H$40/100^3)</f>
        <v>8328.4597958701688</v>
      </c>
      <c r="E14" s="367">
        <f ca="1">('Perdas por Seção'!I60*(Geometria!$M$280*100))/Geometria!$J$1030</f>
        <v>677.0061368234368</v>
      </c>
      <c r="F14" s="770">
        <f ca="1">IF(H14="Sim",-('Isolamento de cabos'!$C$26)/(Geometria!$H$36/100^2)+('Isolamento de cabos'!$C$27)/(Geometria!$H$40/100^3)-Geometria!$M$741/(Geometria!$H$40/100^3),IF(M14="Sim",-'Perdas por Seção'!I99/(Geometria!$H$36/100^2)+'Perdas por Seção'!I100/(Geometria!$H$40/100^3)-Geometria!$M$741/(Geometria!$H$40/100^3),-'Perdas por Seção'!I99/(Geometria!$H$36/100^2)+'Perdas por Seção'!I100/(Geometria!$H$40/100^3)-Geometria!$M$741/(Geometria!$H$40/100^3)))</f>
        <v>-1284.3673843337469</v>
      </c>
      <c r="G14" s="770"/>
      <c r="H14" s="209" t="str">
        <f>IF(Geometria!$M$280&lt;'Isolamento de cabos'!$C$8,"Sim","Não")</f>
        <v>Não</v>
      </c>
      <c r="I14" s="368">
        <f ca="1">Geometria!$H$166*E37+Geometria!$H$168*E14</f>
        <v>3948.4603717245436</v>
      </c>
      <c r="J14" s="368">
        <f ca="1">Geometria!$H$166*E37*Geometria!$H$167/100-Geometria!$H$168*E14*Geometria!$H$169/100</f>
        <v>373.1738751417713</v>
      </c>
      <c r="K14" s="363"/>
      <c r="L14">
        <f t="shared" ca="1" si="1"/>
        <v>-1.2843673843337469</v>
      </c>
      <c r="M14" s="209" t="str">
        <f>IF(Geometria!$M$280&lt;'Isolamento de cabos'!$C$10,"Sim","Não")</f>
        <v>Não</v>
      </c>
      <c r="N14" s="115" t="s">
        <v>175</v>
      </c>
      <c r="O14" s="204" t="str">
        <f ca="1">IF(Geometria!$M$280&lt;Geometria!$J$1030/100,"Reduzir","OK")</f>
        <v>OK</v>
      </c>
      <c r="P14" s="364">
        <f t="shared" ca="1" si="3"/>
        <v>-6986.2039192368766</v>
      </c>
      <c r="Q14" s="365">
        <f ca="1">-(V14/(Geometria!$H$36/100^2))+(W14/(Geometria!$H$40/100^3))-((Geometria!$M$281)/(Geometria!$H$40/100^3))-((Geometria!$M$292)/(Geometria!$H$266))-((Geometria!$H$52*Geometria!$M$303)/(Geometria!$H$266))</f>
        <v>1414.0056463557291</v>
      </c>
      <c r="R14" s="367">
        <f ca="1">('Perdas por Seção'!I92*(Geometria!$M$280*100))/Geometria!$J$1030</f>
        <v>516.6439974845955</v>
      </c>
      <c r="S14" s="787">
        <f ca="1">IF(H14="Sim",-('Isolamento de cabos'!$C$58/(Geometria!$H$36/100^2))+('Isolamento de cabos'!$C$59/(Geometria!$H$40/100^3))-((Geometria!$M$281)/(Geometria!$H$40/100^3))-((Geometria!$M$292)/(Geometria!$H$266))-((Geometria!$H$52*Geometria!$M$303)/(Geometria!$H$266)),IF(M14="Sim",-('Perdas por Seção'!I97/(Geometria!$H$36/100^2))+('Perdas por Seção'!I98/(Geometria!$H$40/100^3))-((Geometria!$M$281)/(Geometria!$H$40/100^3))-((Geometria!$M$292)/(Geometria!$H$266))-((Geometria!$H$52*Geometria!$M$303)/(Geometria!$H$266)),-('Perdas por Seção'!I97/(Geometria!$H$36/100^2))+('Perdas por Seção'!I98/(Geometria!$H$40/100^3))-((Geometria!$M$281)/(Geometria!$H$40/100^3))-((Geometria!$M$292)/(Geometria!$H$266))-((Geometria!$H$52*Geometria!$M$303)/(Geometria!$H$266))))</f>
        <v>-6986.2039192368766</v>
      </c>
      <c r="T14" s="788"/>
      <c r="V14" s="368">
        <f ca="1">Geometria!$H$166*R37+Geometria!$H$168*R14</f>
        <v>3450.3787452070119</v>
      </c>
      <c r="W14" s="368">
        <f ca="1">Geometria!$H$166*R37*Geometria!$H$167/100-Geometria!$H$168*R14*Geometria!$H$169/100</f>
        <v>326.0995643457174</v>
      </c>
      <c r="X14" s="363"/>
      <c r="Y14">
        <f t="shared" ca="1" si="2"/>
        <v>-6.9862039192368766</v>
      </c>
    </row>
    <row r="15" spans="1:25" x14ac:dyDescent="0.25">
      <c r="A15" s="115" t="s">
        <v>176</v>
      </c>
      <c r="B15" s="204" t="str">
        <f ca="1">IF(Geometria!$N$280&lt;Geometria!$J$1030/100,"Reduzir","OK")</f>
        <v>OK</v>
      </c>
      <c r="C15" s="364">
        <f t="shared" ca="1" si="0"/>
        <v>-1612.3133389617606</v>
      </c>
      <c r="D15" s="365">
        <f ca="1">-I15/(Geometria!$H$36/100^2)+J15/(Geometria!$H$40/100^3)-Geometria!$N$741/(Geometria!$H$40/100^3)</f>
        <v>10067.966327222382</v>
      </c>
      <c r="E15" s="367">
        <f ca="1">('Perdas por Seção'!J60*(Geometria!$N$280*100))/Geometria!$J$1030</f>
        <v>786.57219755518145</v>
      </c>
      <c r="F15" s="770">
        <f ca="1">IF(H15="Sim",-('Isolamento de cabos'!$C$26)/(Geometria!$H$36/100^2)+('Isolamento de cabos'!$C$27)/(Geometria!$H$40/100^3)-Geometria!$N$741/(Geometria!$H$40/100^3),IF(M15="Sim",-'Perdas por Seção'!J99/(Geometria!$H$36/100^2)+'Perdas por Seção'!J100/(Geometria!$H$40/100^3)-Geometria!$N$741/(Geometria!$H$40/100^3),-'Perdas por Seção'!J99/(Geometria!$H$36/100^2)+'Perdas por Seção'!J100/(Geometria!$H$40/100^3)-Geometria!$N$741/(Geometria!$H$40/100^3)))</f>
        <v>-1612.3133389617606</v>
      </c>
      <c r="G15" s="770"/>
      <c r="H15" s="209" t="str">
        <f>IF(Geometria!$N$280&lt;'Isolamento de cabos'!$C$8,"Sim","Não")</f>
        <v>Não</v>
      </c>
      <c r="I15" s="368">
        <f ca="1">Geometria!$H$166*E38+Geometria!$H$168*E15</f>
        <v>4612.8799900389768</v>
      </c>
      <c r="J15" s="368">
        <f ca="1">Geometria!$H$166*E38*Geometria!$H$167/100-Geometria!$H$168*E15*Geometria!$H$169/100</f>
        <v>435.96899535170786</v>
      </c>
      <c r="K15" s="363"/>
      <c r="L15">
        <f t="shared" ca="1" si="1"/>
        <v>-1.6123133389617605</v>
      </c>
      <c r="M15" s="209" t="str">
        <f>IF(Geometria!$N$280&lt;'Isolamento de cabos'!$C$10,"Sim","Não")</f>
        <v>Não</v>
      </c>
      <c r="N15" s="115" t="s">
        <v>176</v>
      </c>
      <c r="O15" s="204" t="str">
        <f ca="1">IF(Geometria!$N$280&lt;Geometria!$J$1030/100,"Reduzir","OK")</f>
        <v>OK</v>
      </c>
      <c r="P15" s="364">
        <f t="shared" ca="1" si="3"/>
        <v>-7748.5742939570173</v>
      </c>
      <c r="Q15" s="365">
        <f ca="1">-(V15/(Geometria!$H$36/100^2))+(W15/(Geometria!$H$40/100^3))-((Geometria!$N$281)/(Geometria!$H$40/100^3))-((Geometria!$N$292)/(Geometria!$H$266))-((Geometria!$H$52*Geometria!$N$303)/(Geometria!$H$266))</f>
        <v>2513.9405655023584</v>
      </c>
      <c r="R15" s="367">
        <f ca="1">('Perdas por Seção'!J92*(Geometria!$N$280*100))/Geometria!$J$1030</f>
        <v>589.74864045005677</v>
      </c>
      <c r="S15" s="787">
        <f ca="1">IF(H15="Sim",-('Isolamento de cabos'!$C$58/(Geometria!$H$36/100^2))+('Isolamento de cabos'!$C$59/(Geometria!$H$40/100^3))-((Geometria!$N$281)/(Geometria!$H$40/100^3))-((Geometria!$N$292)/(Geometria!$H$266))-((Geometria!$H$52*Geometria!$N$303)/(Geometria!$H$266)),IF(M15="Sim",-('Perdas por Seção'!J97/(Geometria!$H$36/100^2))+('Perdas por Seção'!J98/(Geometria!$H$40/100^3))-((Geometria!$N$281)/(Geometria!$H$40/100^3))-((Geometria!$N$292)/(Geometria!$H$266))-((Geometria!$H$52*Geometria!$N$303)/(Geometria!$H$266)),-('Perdas por Seção'!J97/(Geometria!$H$36/100^2))+('Perdas por Seção'!J98/(Geometria!$H$40/100^3))-((Geometria!$N$281)/(Geometria!$H$40/100^3))-((Geometria!$N$292)/(Geometria!$H$266))-((Geometria!$H$52*Geometria!$N$303)/(Geometria!$H$266))))</f>
        <v>-7748.5742939570173</v>
      </c>
      <c r="T15" s="788"/>
      <c r="V15" s="368">
        <f ca="1">Geometria!$H$166*R38+Geometria!$H$168*R15</f>
        <v>4052.9636957009066</v>
      </c>
      <c r="W15" s="368">
        <f ca="1">Geometria!$H$166*R38*Geometria!$H$167/100-Geometria!$H$168*R15*Geometria!$H$169/100</f>
        <v>383.05061359221253</v>
      </c>
      <c r="X15" s="363"/>
      <c r="Y15">
        <f t="shared" ca="1" si="2"/>
        <v>-7.7485742939570175</v>
      </c>
    </row>
    <row r="16" spans="1:25" x14ac:dyDescent="0.25">
      <c r="A16" s="115" t="s">
        <v>177</v>
      </c>
      <c r="B16" s="204" t="str">
        <f ca="1">IF(Geometria!$G$283&lt;Geometria!$J$1030/100,"Reduzir","OK")</f>
        <v>OK</v>
      </c>
      <c r="C16" s="364">
        <f t="shared" ca="1" si="0"/>
        <v>-1846.5604494103409</v>
      </c>
      <c r="D16" s="365">
        <f ca="1">-I16/(Geometria!$H$36/100^2)+J16/(Geometria!$H$40/100^3)-Geometria!$G$744/(Geometria!$H$40/100^3)</f>
        <v>11901.425109852971</v>
      </c>
      <c r="E16" s="367">
        <f ca="1">('Perdas por Seção'!K60*(Geometria!$G$283*100))/Geometria!$J$1030</f>
        <v>896.27165809939515</v>
      </c>
      <c r="F16" s="770">
        <f ca="1">IF(H16="Sim",-('Isolamento de cabos'!$C$26)/(Geometria!$H$36/100^2)+('Isolamento de cabos'!$C$27)/(Geometria!$H$40/100^3)-Geometria!$G$744/(Geometria!$H$40/100^3),IF(M16="Sim",-'Perdas por Seção'!K99/(Geometria!$H$36/100^2)+'Perdas por Seção'!K100/(Geometria!$H$40/100^3)-Geometria!$G$744/(Geometria!$H$40/100^3),-'Perdas por Seção'!K99/(Geometria!$H$36/100^2)+'Perdas por Seção'!K100/(Geometria!$H$40/100^3)-Geometria!$G$744/(Geometria!$H$40/100^3)))</f>
        <v>-1846.5604494103409</v>
      </c>
      <c r="G16" s="770"/>
      <c r="H16" s="209" t="str">
        <f>IF(Geometria!$G$283&lt;'Isolamento de cabos'!$C$8,"Sim","Não")</f>
        <v>Não</v>
      </c>
      <c r="I16" s="368">
        <f ca="1">Geometria!$H$166*E39+Geometria!$H$168*E16</f>
        <v>5277.0407148965242</v>
      </c>
      <c r="J16" s="368">
        <f ca="1">Geometria!$H$166*E39*Geometria!$H$167/100-Geometria!$H$168*E16*Geometria!$H$169/100</f>
        <v>498.73964722070662</v>
      </c>
      <c r="K16" s="363"/>
      <c r="L16">
        <f t="shared" ca="1" si="1"/>
        <v>-1.8465604494103409</v>
      </c>
      <c r="M16" s="209" t="str">
        <f>IF(Geometria!$G$283&lt;'Isolamento de cabos'!$C$10,"Sim","Não")</f>
        <v>Não</v>
      </c>
      <c r="N16" s="115" t="s">
        <v>177</v>
      </c>
      <c r="O16" s="204" t="str">
        <f ca="1">IF(Geometria!$G$283&lt;Geometria!$J$1030/100,"Reduzir","OK")</f>
        <v>OK</v>
      </c>
      <c r="P16" s="364">
        <f t="shared" ca="1" si="3"/>
        <v>-8293.1292387045396</v>
      </c>
      <c r="Q16" s="365">
        <f ca="1">-(V16/(Geometria!$H$36/100^2))+(W16/(Geometria!$H$40/100^3))-((Geometria!$G$284)/(Geometria!$H$40/100^3))-((Geometria!$G$295)/(Geometria!$H$266))-((Geometria!$H$52*Geometria!$G$306)/(Geometria!$H$266))</f>
        <v>3832.7666507313006</v>
      </c>
      <c r="R16" s="367">
        <f ca="1">('Perdas por Seção'!K92*(Geometria!$G$283*100))/Geometria!$J$1030</f>
        <v>663.38400545423804</v>
      </c>
      <c r="S16" s="787">
        <f ca="1">IF(H16="Sim",-('Isolamento de cabos'!$C$58/(Geometria!$H$36/100^2))+('Isolamento de cabos'!$C$59/(Geometria!$H$40/100^3))-((Geometria!$G$284)/(Geometria!$H$40/100^3))-((Geometria!$G$295)/(Geometria!$H$266))-((Geometria!$H$52*Geometria!$G$306)/(Geometria!$H$266)),IF(M16="Sim",-('Perdas por Seção'!K97/(Geometria!$H$36/100^2))+('Perdas por Seção'!K98/(Geometria!$H$40/100^3))-((Geometria!$G$284)/(Geometria!$H$40/100^3))-((Geometria!$G$295)/(Geometria!$H$266))-((Geometria!$H$52*Geometria!$G$306)/(Geometria!$H$266)),-('Perdas por Seção'!K97/(Geometria!$H$36/100^2))+('Perdas por Seção'!K98/(Geometria!$H$40/100^3))-((Geometria!$G$284)/(Geometria!$H$40/100^3))-((Geometria!$G$295)/(Geometria!$H$266))-((Geometria!$H$52*Geometria!$G$306)/(Geometria!$H$266))))</f>
        <v>-8293.1292387045396</v>
      </c>
      <c r="T16" s="788"/>
      <c r="V16" s="368">
        <f ca="1">Geometria!$H$166*R39+Geometria!$H$168*R16</f>
        <v>4654.4161715411474</v>
      </c>
      <c r="W16" s="368">
        <f ca="1">Geometria!$H$166*R39*Geometria!$H$167/100-Geometria!$H$168*R16*Geometria!$H$169/100</f>
        <v>439.89463125798568</v>
      </c>
      <c r="X16" s="363"/>
      <c r="Y16">
        <f t="shared" ca="1" si="2"/>
        <v>-8.2931292387045392</v>
      </c>
    </row>
    <row r="17" spans="1:29" x14ac:dyDescent="0.25">
      <c r="A17" s="115" t="s">
        <v>178</v>
      </c>
      <c r="B17" s="204" t="str">
        <f ca="1">IF(Geometria!$H$283&lt;Geometria!$J$1030/100,"Reduzir","OK")</f>
        <v>OK</v>
      </c>
      <c r="C17" s="364">
        <f t="shared" ca="1" si="0"/>
        <v>-1987.1087156794902</v>
      </c>
      <c r="D17" s="365">
        <f ca="1">-$I$17/(Geometria!$H$36/100^2)+J17/(Geometria!$H$40/100^3)-Geometria!$H$744/(Geometria!$H$40/100^3)</f>
        <v>13826.41503455844</v>
      </c>
      <c r="E17" s="367">
        <f ca="1">('Perdas por Seção'!L60*(Geometria!$H$283*100))/Geometria!$J$1030</f>
        <v>1006.5047178934857</v>
      </c>
      <c r="F17" s="770">
        <f ca="1">IF(H17="Sim",-('Isolamento de cabos'!$C$26)/(Geometria!$H$36/100^2)+('Isolamento de cabos'!$C$27)/(Geometria!$H$40/100^3)-Geometria!$H$744/(Geometria!$H$40/100^3),IF(M17="Sim",-'Perdas por Seção'!L99/(Geometria!$H$36/100^2)+'Perdas por Seção'!L100/(Geometria!$H$40/100^3)-Geometria!$H$744/(Geometria!$H$40/100^3),-'Perdas por Seção'!L99/(Geometria!$H$36/100^2)+'Perdas por Seção'!L100/(Geometria!$H$40/100^3)-Geometria!$H$744/(Geometria!$H$40/100^3)))</f>
        <v>-1987.1087156794902</v>
      </c>
      <c r="G17" s="770"/>
      <c r="H17" s="209" t="str">
        <f>IF(Geometria!$H$283&lt;'Isolamento de cabos'!$C$8,"Sim","Não")</f>
        <v>Não</v>
      </c>
      <c r="I17" s="368">
        <f ca="1">Geometria!$H$166*E40+Geometria!$H$168*E17</f>
        <v>5940.1658659265331</v>
      </c>
      <c r="J17" s="368">
        <f ca="1">Geometria!$H$166*E40*Geometria!$H$167/100-Geometria!$H$168*E17*Geometria!$H$169/100</f>
        <v>561.41242572595445</v>
      </c>
      <c r="K17" s="363"/>
      <c r="L17">
        <f t="shared" ca="1" si="1"/>
        <v>-1.9871087156794902</v>
      </c>
      <c r="M17" s="209" t="str">
        <f>IF(Geometria!$H$283&lt;'Isolamento de cabos'!$C$10,"Sim","Não")</f>
        <v>Não</v>
      </c>
      <c r="N17" s="115" t="s">
        <v>178</v>
      </c>
      <c r="O17" s="204" t="str">
        <f ca="1">IF(Geometria!$H$283&lt;Geometria!$J$1030/100,"Reduzir","OK")</f>
        <v>OK</v>
      </c>
      <c r="P17" s="364">
        <f t="shared" ca="1" si="3"/>
        <v>-8619.8640759900682</v>
      </c>
      <c r="Q17" s="365">
        <f ca="1">-(V17/(Geometria!$H$36/100^2))+(W17/(Geometria!$H$40/100^3))-((Geometria!$H$284)/(Geometria!$H$40/100^3))-((Geometria!$H$295)/(Geometria!$H$266))-((Geometria!$H$52*Geometria!$H$306)/(Geometria!$H$266))</f>
        <v>5360.0000579114758</v>
      </c>
      <c r="R17" s="367">
        <f ca="1">('Perdas por Seção'!L92*(Geometria!$H$283*100))/Geometria!$J$1030</f>
        <v>739.14225861329919</v>
      </c>
      <c r="S17" s="787">
        <f ca="1">IF(H17="Sim",-('Isolamento de cabos'!$C$58/(Geometria!$H$36/100^2))+('Isolamento de cabos'!$C$59/(Geometria!$H$40/100^3))-((Geometria!$H$284)/(Geometria!$H$40/100^3))-((Geometria!$H$295)/(Geometria!$H$266))-((Geometria!$H$52*Geometria!$H$306)/(Geometria!$H$266)),IF(M17="Sim",-('Perdas por Seção'!L97/(Geometria!$H$36/100^2))+('Perdas por Seção'!L98/(Geometria!$H$40/100^3))-((Geometria!$H$284)/(Geometria!$H$40/100^3))-((Geometria!$H$295)/(Geometria!$H$266))-((Geometria!$H$52*Geometria!$H$306)/(Geometria!$H$266)),-('Perdas por Seção'!L97/(Geometria!$H$36/100^2))+('Perdas por Seção'!L98/(Geometria!$H$40/100^3))-((Geometria!$H$284)/(Geometria!$H$40/100^3))-((Geometria!$H$295)/(Geometria!$H$266))-((Geometria!$H$52*Geometria!$H$306)/(Geometria!$H$266))))</f>
        <v>-8619.8640759900682</v>
      </c>
      <c r="T17" s="788"/>
      <c r="V17" s="368">
        <f ca="1">Geometria!$H$166*R40+Geometria!$H$168*R17</f>
        <v>5251.3730051623115</v>
      </c>
      <c r="W17" s="368">
        <f ca="1">Geometria!$H$166*R40*Geometria!$H$167/100-Geometria!$H$168*R17*Geometria!$H$169/100</f>
        <v>496.3137602151985</v>
      </c>
      <c r="X17" s="363"/>
      <c r="Y17">
        <f t="shared" ca="1" si="2"/>
        <v>-8.6198640759900673</v>
      </c>
    </row>
    <row r="18" spans="1:29" x14ac:dyDescent="0.25">
      <c r="A18" s="115" t="s">
        <v>179</v>
      </c>
      <c r="B18" s="204" t="str">
        <f ca="1">IF(Geometria!$I$283&lt;Geometria!$J$1030/100,"Reduzir","OK")</f>
        <v>OK</v>
      </c>
      <c r="C18" s="364">
        <f t="shared" ca="1" si="0"/>
        <v>-2033.9581377692084</v>
      </c>
      <c r="D18" s="365">
        <f ca="1">-$I$18/(Geometria!$H$36/100^2)+J18/(Geometria!$H$40/100^3)-Geometria!$I$744/(Geometria!$H$40/100^3)</f>
        <v>15840.514992135249</v>
      </c>
      <c r="E18" s="367">
        <f ca="1">('Perdas por Seção'!M60*(Geometria!$I$283*100))/Geometria!$J$1030</f>
        <v>1117.6715763748603</v>
      </c>
      <c r="F18" s="770">
        <f ca="1">IF(H18="Sim",-('Isolamento de cabos'!$C$26)/(Geometria!$H$36/100^2)+('Isolamento de cabos'!$C$27)/(Geometria!$H$40/100^3)-Geometria!$I$744/(Geometria!$H$40/100^3),IF(M18="Sim",-'Perdas por Seção'!M99/(Geometria!$H$36/100^2)+'Perdas por Seção'!M100/(Geometria!$H$40/100^3)-Geometria!$I$744/(Geometria!$H$40/100^3),-'Perdas por Seção'!M99/(Geometria!$H$36/100^2)+'Perdas por Seção'!M100/(Geometria!$H$40/100^3)-Geometria!$I$744/(Geometria!$H$40/100^3)))</f>
        <v>-2033.9581377692084</v>
      </c>
      <c r="G18" s="770"/>
      <c r="H18" s="209" t="str">
        <f>IF(Geometria!$I$283&lt;'Isolamento de cabos'!$C$8,"Sim","Não")</f>
        <v>Não</v>
      </c>
      <c r="I18" s="368">
        <f ca="1">Geometria!$H$166*E41+Geometria!$H$168*E18</f>
        <v>6601.4787627583491</v>
      </c>
      <c r="J18" s="368">
        <f ca="1">Geometria!$H$166*E41*Geometria!$H$167/100-Geometria!$H$168*E18*Geometria!$H$169/100</f>
        <v>623.91392584463802</v>
      </c>
      <c r="K18" s="363"/>
      <c r="L18">
        <f t="shared" ca="1" si="1"/>
        <v>-2.0339581377692082</v>
      </c>
      <c r="M18" s="209" t="str">
        <f>IF(Geometria!$I$283&lt;'Isolamento de cabos'!$C$10,"Sim","Não")</f>
        <v>Não</v>
      </c>
      <c r="N18" s="115" t="s">
        <v>179</v>
      </c>
      <c r="O18" s="204" t="str">
        <f ca="1">IF(Geometria!$I$283&lt;Geometria!$J$1030/100,"Reduzir","OK")</f>
        <v>OK</v>
      </c>
      <c r="P18" s="364">
        <f t="shared" ca="1" si="3"/>
        <v>-8728.7760001181869</v>
      </c>
      <c r="Q18" s="365">
        <f ca="1">-(V18/(Geometria!$H$36/100^2))+(W18/(Geometria!$H$40/100^3))-((Geometria!$I$284)/(Geometria!$H$40/100^3))-((Geometria!$I$295)/(Geometria!$H$266))-((Geometria!$H$52*Geometria!$I$306)/(Geometria!$H$266))</f>
        <v>7085.1569368371984</v>
      </c>
      <c r="R18" s="367">
        <f ca="1">('Perdas por Seção'!M92*(Geometria!$I$283*100))/Geometria!$J$1030</f>
        <v>818.61556604339944</v>
      </c>
      <c r="S18" s="787">
        <f ca="1">IF(H18="Sim",-('Isolamento de cabos'!$C$58/(Geometria!$H$36/100^2))+('Isolamento de cabos'!$C$59/(Geometria!$H$40/100^3))-((Geometria!$I$284)/(Geometria!$H$40/100^3))-((Geometria!$I$295)/(Geometria!$H$266))-((Geometria!$H$52*Geometria!$I$306)/(Geometria!$H$266)),IF(M18="Sim",-('Perdas por Seção'!M97/(Geometria!$H$36/100^2))+('Perdas por Seção'!M98/(Geometria!$H$40/100^3))-((Geometria!$I$284)/(Geometria!$H$40/100^3))-((Geometria!$I$295)/(Geometria!$H$266))-((Geometria!$H$52*Geometria!$I$306)/(Geometria!$H$266)),-('Perdas por Seção'!M97/(Geometria!$H$36/100^2))+('Perdas por Seção'!M98/(Geometria!$H$40/100^3))-((Geometria!$I$284)/(Geometria!$H$40/100^3))-((Geometria!$I$295)/(Geometria!$H$266))-((Geometria!$H$52*Geometria!$I$306)/(Geometria!$H$266))))</f>
        <v>-8728.7760001181869</v>
      </c>
      <c r="T18" s="788"/>
      <c r="V18" s="368">
        <f ca="1">Geometria!$H$166*R41+Geometria!$H$168*R18</f>
        <v>5840.4710270502801</v>
      </c>
      <c r="W18" s="368">
        <f ca="1">Geometria!$H$166*R41*Geometria!$H$167/100-Geometria!$H$168*R18*Geometria!$H$169/100</f>
        <v>551.99014315183888</v>
      </c>
      <c r="X18" s="363"/>
      <c r="Y18">
        <f t="shared" ca="1" si="2"/>
        <v>-8.7287760001181862</v>
      </c>
    </row>
    <row r="19" spans="1:29" x14ac:dyDescent="0.25">
      <c r="A19" s="115" t="s">
        <v>359</v>
      </c>
      <c r="B19" s="204" t="str">
        <f ca="1">B17</f>
        <v>OK</v>
      </c>
      <c r="C19" s="364">
        <f t="shared" ca="1" si="0"/>
        <v>-1987.108715679492</v>
      </c>
      <c r="D19" s="365">
        <f ca="1">-$I$19/(Geometria!$H$36/100^2)+J19/(Geometria!$H$40/100^3)-Geometria!$J$744/(Geometria!$H$40/100^3)</f>
        <v>13826.415034558438</v>
      </c>
      <c r="E19" s="367">
        <f ca="1">('Perdas por Seção'!N60*(Geometria!$H$283*100))/Geometria!$J$1030</f>
        <v>1006.5047178934856</v>
      </c>
      <c r="F19" s="770">
        <f ca="1">IF(H19="Sim",-('Isolamento de cabos'!$C$26)/(Geometria!$H$36/100^2)+('Isolamento de cabos'!$C$27)/(Geometria!$H$40/100^3)-Geometria!$J$744/(Geometria!$H$40/100^3),IF(M19="Sim",-'Perdas por Seção'!N99/(Geometria!$H$36/100^2)+'Perdas por Seção'!N100/(Geometria!$H$40/100^3)-Geometria!$J$744/(Geometria!$H$40/100^3),-'Perdas por Seção'!N99/(Geometria!$H$36/100^2)+'Perdas por Seção'!N100/(Geometria!$H$40/100^3)-Geometria!$J$744/(Geometria!$H$40/100^3)))</f>
        <v>-1987.108715679492</v>
      </c>
      <c r="G19" s="770"/>
      <c r="H19" s="209" t="str">
        <f>IF(Geometria!$H$283&lt;'Isolamento de cabos'!$C$8,"Sim","Não")</f>
        <v>Não</v>
      </c>
      <c r="I19" s="368">
        <f ca="1">Geometria!$H$166*E42+Geometria!$H$168*E19</f>
        <v>5940.1658659265331</v>
      </c>
      <c r="J19" s="368">
        <f ca="1">Geometria!$H$166*E42*Geometria!$H$167/100-Geometria!$H$168*E19*Geometria!$H$169/100</f>
        <v>561.41242572595445</v>
      </c>
      <c r="K19" s="363"/>
      <c r="L19">
        <f t="shared" ca="1" si="1"/>
        <v>-1.987108715679492</v>
      </c>
      <c r="M19" s="209" t="str">
        <f>IF(Geometria!$H$283&lt;'Isolamento de cabos'!$C$10,"Sim","Não")</f>
        <v>Não</v>
      </c>
      <c r="N19" s="115" t="s">
        <v>359</v>
      </c>
      <c r="O19" s="204" t="str">
        <f ca="1">O17</f>
        <v>OK</v>
      </c>
      <c r="P19" s="364">
        <f t="shared" ca="1" si="3"/>
        <v>-8619.8640759900682</v>
      </c>
      <c r="Q19" s="365">
        <f ca="1">-(V19/(Geometria!$H$36/100^2))+(W19/(Geometria!$H$40/100^3))-((Geometria!$J$284)/(Geometria!$H$40/100^3))-((Geometria!$J$295)/(Geometria!$H$266))-((Geometria!$H$52*Geometria!$J$306)/(Geometria!$H$266))</f>
        <v>5360.0000579114749</v>
      </c>
      <c r="R19" s="367">
        <f ca="1">('Perdas por Seção'!N92*(Geometria!$H$283*100))/Geometria!$J$1030</f>
        <v>739.14225861329896</v>
      </c>
      <c r="S19" s="787">
        <f ca="1">IF(H19="Sim",-('Isolamento de cabos'!$C$58/(Geometria!$H$36/100^2))+('Isolamento de cabos'!$C$59/(Geometria!$H$40/100^3))-((Geometria!$J$284)/(Geometria!$H$40/100^3))-((Geometria!$J$295)/(Geometria!$H$266))-((Geometria!$H$52*Geometria!$J$306)/(Geometria!$H$266)),IF(M19="Sim",-('Perdas por Seção'!N97/(Geometria!$H$36/100^2))+('Perdas por Seção'!N98/(Geometria!$H$40/100^3))-((Geometria!$J$284)/(Geometria!$H$40/100^3))-((Geometria!$J$295)/(Geometria!$H$266))-((Geometria!$H$52*Geometria!$J$306)/(Geometria!$H$266)),-('Perdas por Seção'!N97/(Geometria!$H$36/100^2))+('Perdas por Seção'!N98/(Geometria!$H$40/100^3))-((Geometria!$J$284)/(Geometria!$H$40/100^3))-((Geometria!$J$295)/(Geometria!$H$266))-((Geometria!$H$52*Geometria!$J$306)/(Geometria!$H$266))))</f>
        <v>-8619.8640759900682</v>
      </c>
      <c r="T19" s="788"/>
      <c r="V19" s="368">
        <f ca="1">Geometria!$H$166*R42+Geometria!$H$168*R19</f>
        <v>5251.3730051623115</v>
      </c>
      <c r="W19" s="368">
        <f ca="1">Geometria!$H$166*R42*Geometria!$H$167/100-Geometria!$H$168*R19*Geometria!$H$169/100</f>
        <v>496.3137602151985</v>
      </c>
      <c r="X19" s="363"/>
      <c r="Y19">
        <f t="shared" ca="1" si="2"/>
        <v>-8.6198640759900673</v>
      </c>
    </row>
    <row r="20" spans="1:29" x14ac:dyDescent="0.25">
      <c r="A20" s="115" t="s">
        <v>360</v>
      </c>
      <c r="B20" s="204" t="str">
        <f ca="1">B16</f>
        <v>OK</v>
      </c>
      <c r="C20" s="364">
        <f t="shared" ca="1" si="0"/>
        <v>-1846.5604494103409</v>
      </c>
      <c r="D20" s="365">
        <f ca="1">-$I$20/(Geometria!$H$36/100^2)+J20/(Geometria!$H$40/100^3)-Geometria!$K$744/(Geometria!$H$40/100^3)</f>
        <v>11901.425109852971</v>
      </c>
      <c r="E20" s="367">
        <f ca="1">('Perdas por Seção'!O60*(Geometria!$G$283*100))/Geometria!$J$1030</f>
        <v>896.27165809939515</v>
      </c>
      <c r="F20" s="770">
        <f ca="1">IF(H20="Sim",-('Isolamento de cabos'!$C$26)/(Geometria!$H$36/100^2)+('Isolamento de cabos'!$C$27)/(Geometria!$H$40/100^3)-Geometria!$K$744/(Geometria!$H$40/100^3),IF(M20="Sim",-'Perdas por Seção'!O99/(Geometria!$H$36/100^2)+'Perdas por Seção'!O100/(Geometria!$H$40/100^3)-Geometria!$K$744/(Geometria!$H$40/100^3),-'Perdas por Seção'!O99/(Geometria!$H$36/100^2)+'Perdas por Seção'!O100/(Geometria!$H$40/100^3)-Geometria!$K$744/(Geometria!$H$40/100^3)))</f>
        <v>-1846.5604494103409</v>
      </c>
      <c r="G20" s="770"/>
      <c r="H20" s="209" t="str">
        <f>IF(Geometria!$G$283&lt;'Isolamento de cabos'!$C$8,"Sim","Não")</f>
        <v>Não</v>
      </c>
      <c r="I20" s="368">
        <f ca="1">Geometria!$H$166*E43+Geometria!$H$168*E20</f>
        <v>5277.0407148965242</v>
      </c>
      <c r="J20" s="368">
        <f ca="1">Geometria!$H$166*E43*Geometria!$H$167/100-Geometria!$H$168*E20*Geometria!$H$169/100</f>
        <v>498.73964722070662</v>
      </c>
      <c r="K20" s="363"/>
      <c r="L20">
        <f t="shared" ca="1" si="1"/>
        <v>-1.8465604494103409</v>
      </c>
      <c r="M20" s="209" t="str">
        <f>IF(Geometria!$G$283&lt;'Isolamento de cabos'!$C$10,"Sim","Não")</f>
        <v>Não</v>
      </c>
      <c r="N20" s="115" t="s">
        <v>360</v>
      </c>
      <c r="O20" s="204" t="str">
        <f ca="1">O16</f>
        <v>OK</v>
      </c>
      <c r="P20" s="364">
        <f t="shared" ca="1" si="3"/>
        <v>-8293.1292387045396</v>
      </c>
      <c r="Q20" s="365">
        <f ca="1">-(V20/(Geometria!$H$36/100^2))+(W20/(Geometria!$H$40/100^3))-((Geometria!$K$284)/(Geometria!$H$40/100^3))-((Geometria!$K$295)/(Geometria!$H$266))-((Geometria!$H$52*Geometria!$K$306)/(Geometria!$H$266))</f>
        <v>3832.7666507313079</v>
      </c>
      <c r="R20" s="367">
        <f ca="1">('Perdas por Seção'!O92*(Geometria!$G$283*100))/Geometria!$J$1030</f>
        <v>663.38400545423804</v>
      </c>
      <c r="S20" s="787">
        <f ca="1">IF(H20="Sim",-('Isolamento de cabos'!$C$58/(Geometria!$H$36/100^2))+('Isolamento de cabos'!$C$59/(Geometria!$H$40/100^3))-((Geometria!$K$284)/(Geometria!$H$40/100^3))-((Geometria!$K$295)/(Geometria!$H$266))-((Geometria!$H$52*Geometria!$K$306)/(Geometria!$H$266)),IF(M20="Sim",-('Perdas por Seção'!O97/(Geometria!$H$36/100^2))+('Perdas por Seção'!O98/(Geometria!$H$40/100^3))-((Geometria!$K$284)/(Geometria!$H$40/100^3))-((Geometria!$K$295)/(Geometria!$H$266))-((Geometria!$H$52*Geometria!$K$306)/(Geometria!$H$266)),-('Perdas por Seção'!O97/(Geometria!$H$36/100^2))+('Perdas por Seção'!O98/(Geometria!$H$40/100^3))-((Geometria!$K$284)/(Geometria!$H$40/100^3))-((Geometria!$K$295)/(Geometria!$H$266))-((Geometria!$H$52*Geometria!$K$306)/(Geometria!$H$266))))</f>
        <v>-8293.1292387045396</v>
      </c>
      <c r="T20" s="788"/>
      <c r="V20" s="368">
        <f ca="1">Geometria!$H$166*R43+Geometria!$H$168*R20</f>
        <v>4654.4161715411483</v>
      </c>
      <c r="W20" s="368">
        <f ca="1">Geometria!$H$166*R43*Geometria!$H$167/100-Geometria!$H$168*R20*Geometria!$H$169/100</f>
        <v>439.89463125798579</v>
      </c>
      <c r="X20" s="363"/>
      <c r="Y20">
        <f t="shared" ca="1" si="2"/>
        <v>-8.2931292387045392</v>
      </c>
    </row>
    <row r="21" spans="1:29" x14ac:dyDescent="0.25">
      <c r="A21" s="115" t="s">
        <v>361</v>
      </c>
      <c r="B21" s="204" t="str">
        <f ca="1">B15</f>
        <v>OK</v>
      </c>
      <c r="C21" s="364">
        <f t="shared" ca="1" si="0"/>
        <v>-1612.3133389617624</v>
      </c>
      <c r="D21" s="365">
        <f ca="1">-$I$21/(Geometria!$H$36/100^2)+J21/(Geometria!$H$40/100^3)-Geometria!$L$744/(Geometria!$H$40/100^3)</f>
        <v>10067.966327222381</v>
      </c>
      <c r="E21" s="367">
        <f ca="1">('Perdas por Seção'!P60*(Geometria!$N$280*100))/Geometria!$J$1030</f>
        <v>786.57219755518145</v>
      </c>
      <c r="F21" s="770">
        <f ca="1">IF(H21="Sim",-('Isolamento de cabos'!$C$26)/(Geometria!$H$36/100^2)+('Isolamento de cabos'!$C$27)/(Geometria!$H$40/100^3)-Geometria!$L$744/(Geometria!$H$40/100^3),IF(M21="Sim",-'Perdas por Seção'!P99/(Geometria!$H$36/100^2)+'Perdas por Seção'!P100/(Geometria!$H$40/100^3)-Geometria!$L$744/(Geometria!$H$40/100^3),-'Perdas por Seção'!P99/(Geometria!$H$36/100^2)+'Perdas por Seção'!P100/(Geometria!$H$40/100^3)-Geometria!$L$744/(Geometria!$H$40/100^3)))</f>
        <v>-1612.3133389617624</v>
      </c>
      <c r="G21" s="770"/>
      <c r="H21" s="209" t="str">
        <f>IF(Geometria!$N$280&lt;'Isolamento de cabos'!$C$8,"Sim","Não")</f>
        <v>Não</v>
      </c>
      <c r="I21" s="368">
        <f ca="1">Geometria!$H$166*E44+Geometria!$H$168*E21</f>
        <v>4612.8799900389768</v>
      </c>
      <c r="J21" s="368">
        <f ca="1">Geometria!$H$166*E44*Geometria!$H$167/100-Geometria!$H$168*E21*Geometria!$H$169/100</f>
        <v>435.96899535170786</v>
      </c>
      <c r="K21" s="363"/>
      <c r="L21">
        <f t="shared" ca="1" si="1"/>
        <v>-1.6123133389617623</v>
      </c>
      <c r="M21" s="209" t="str">
        <f>IF(Geometria!$N$280&lt;'Isolamento de cabos'!$C$10,"Sim","Não")</f>
        <v>Não</v>
      </c>
      <c r="N21" s="115" t="s">
        <v>361</v>
      </c>
      <c r="O21" s="204" t="str">
        <f ca="1">O15</f>
        <v>OK</v>
      </c>
      <c r="P21" s="364">
        <f t="shared" ca="1" si="3"/>
        <v>-7748.5742939570182</v>
      </c>
      <c r="Q21" s="365">
        <f ca="1">-(V21/(Geometria!$H$36/100^2))+(W21/(Geometria!$H$40/100^3))-((Geometria!$L$284)/(Geometria!$H$40/100^3))-((Geometria!$L$295)/(Geometria!$H$266))-((Geometria!$H$52*Geometria!$L$306)/(Geometria!$H$266))</f>
        <v>2513.9405655023584</v>
      </c>
      <c r="R21" s="367">
        <f ca="1">('Perdas por Seção'!P92*(Geometria!$N$280*100))/Geometria!$J$1030</f>
        <v>589.74864045005677</v>
      </c>
      <c r="S21" s="787">
        <f ca="1">IF(H21="Sim",-('Isolamento de cabos'!$C$58/(Geometria!$H$36/100^2))+('Isolamento de cabos'!$C$59/(Geometria!$H$40/100^3))-((Geometria!$L$284)/(Geometria!$H$40/100^3))-((Geometria!$L$295)/(Geometria!$H$266))-((Geometria!$H$52*Geometria!$L$306)/(Geometria!$H$266)),IF(M21="Sim",-('Perdas por Seção'!P97/(Geometria!$H$36/100^2))+('Perdas por Seção'!P98/(Geometria!$H$40/100^3))-((Geometria!$L$284)/(Geometria!$H$40/100^3))-((Geometria!$L$295)/(Geometria!$H$266))-((Geometria!$H$52*Geometria!$L$306)/(Geometria!$H$266)),-('Perdas por Seção'!P97/(Geometria!$H$36/100^2))+('Perdas por Seção'!P98/(Geometria!$H$40/100^3))-((Geometria!$L$284)/(Geometria!$H$40/100^3))-((Geometria!$L$295)/(Geometria!$H$266))-((Geometria!$H$52*Geometria!$L$306)/(Geometria!$H$266))))</f>
        <v>-7748.5742939570182</v>
      </c>
      <c r="T21" s="788"/>
      <c r="V21" s="368">
        <f ca="1">Geometria!$H$166*R44+Geometria!$H$168*R21</f>
        <v>4052.9636957009066</v>
      </c>
      <c r="W21" s="368">
        <f ca="1">Geometria!$H$166*R44*Geometria!$H$167/100-Geometria!$H$168*R21*Geometria!$H$169/100</f>
        <v>383.05061359221253</v>
      </c>
      <c r="X21" s="363"/>
      <c r="Y21">
        <f t="shared" ca="1" si="2"/>
        <v>-7.7485742939570184</v>
      </c>
    </row>
    <row r="22" spans="1:29" x14ac:dyDescent="0.25">
      <c r="A22" s="115" t="s">
        <v>362</v>
      </c>
      <c r="B22" s="204" t="str">
        <f ca="1">B14</f>
        <v>OK</v>
      </c>
      <c r="C22" s="364">
        <f t="shared" ca="1" si="0"/>
        <v>-1284.3673843337483</v>
      </c>
      <c r="D22" s="365">
        <f ca="1">-$I$22/(Geometria!$H$36/100^2)+J22/(Geometria!$H$40/100^3)-Geometria!$M$744/(Geometria!$H$40/100^3)</f>
        <v>8328.459795870167</v>
      </c>
      <c r="E22" s="367">
        <f ca="1">('Perdas por Seção'!Q60*(Geometria!$M$280*100))/Geometria!$J$1030</f>
        <v>677.0061368234368</v>
      </c>
      <c r="F22" s="770">
        <f ca="1">IF(H22="Sim",-('Isolamento de cabos'!$C$26)/(Geometria!$H$36/100^2)+('Isolamento de cabos'!$C$27)/(Geometria!$H$40/100^3)-Geometria!$M$744/(Geometria!$H$40/100^3),IF(M22="Sim",-'Perdas por Seção'!Q99/(Geometria!$H$36/100^2)+'Perdas por Seção'!Q100/(Geometria!$H$40/100^3)-Geometria!$M$744/(Geometria!$H$40/100^3),-'Perdas por Seção'!Q99/(Geometria!$H$36/100^2)+'Perdas por Seção'!Q100/(Geometria!$H$40/100^3)-Geometria!$M$744/(Geometria!$H$40/100^3)))</f>
        <v>-1284.3673843337483</v>
      </c>
      <c r="G22" s="770"/>
      <c r="H22" s="209" t="str">
        <f>IF(Geometria!$M$280&lt;'Isolamento de cabos'!$C$8,"Sim","Não")</f>
        <v>Não</v>
      </c>
      <c r="I22" s="368">
        <f ca="1">Geometria!$H$166*E45+Geometria!$H$168*E22</f>
        <v>3948.4603717245436</v>
      </c>
      <c r="J22" s="368">
        <f ca="1">Geometria!$H$166*E45*Geometria!$H$167/100-Geometria!$H$168*E22*Geometria!$H$169/100</f>
        <v>373.1738751417713</v>
      </c>
      <c r="K22" s="363"/>
      <c r="L22">
        <f t="shared" ca="1" si="1"/>
        <v>-1.2843673843337482</v>
      </c>
      <c r="M22" s="209" t="str">
        <f>IF(Geometria!$M$280&lt;'Isolamento de cabos'!$C$10,"Sim","Não")</f>
        <v>Não</v>
      </c>
      <c r="N22" s="115" t="s">
        <v>362</v>
      </c>
      <c r="O22" s="204" t="str">
        <f ca="1">O14</f>
        <v>OK</v>
      </c>
      <c r="P22" s="364">
        <f t="shared" ca="1" si="3"/>
        <v>-6986.2039192368811</v>
      </c>
      <c r="Q22" s="365">
        <f ca="1">-(V22/(Geometria!$H$36/100^2))+(W22/(Geometria!$H$40/100^3))-((Geometria!$M$284)/(Geometria!$H$40/100^3))-((Geometria!$M$295)/(Geometria!$H$266))-((Geometria!$H$52*Geometria!$M$306)/(Geometria!$H$266))</f>
        <v>1414.0056463557248</v>
      </c>
      <c r="R22" s="367">
        <f ca="1">('Perdas por Seção'!Q92*(Geometria!$M$280*100))/Geometria!$J$1030</f>
        <v>516.6439974845955</v>
      </c>
      <c r="S22" s="787">
        <f ca="1">IF(H22="Sim",-('Isolamento de cabos'!$C$58/(Geometria!$H$36/100^2))+('Isolamento de cabos'!$C$59/(Geometria!$H$40/100^3))-((Geometria!$M$284)/(Geometria!$H$40/100^3))-((Geometria!$M$295)/(Geometria!$H$266))-((Geometria!$H$52*Geometria!$M$306)/(Geometria!$H$266)),IF(M22="Sim",-('Perdas por Seção'!Q97/(Geometria!$H$36/100^2))+('Perdas por Seção'!Q98/(Geometria!$H$40/100^3))-((Geometria!$M$284)/(Geometria!$H$40/100^3))-((Geometria!$M$295)/(Geometria!$H$266))-((Geometria!$H$52*Geometria!$M$306)/(Geometria!$H$266)),-('Perdas por Seção'!Q97/(Geometria!$H$36/100^2))+('Perdas por Seção'!Q98/(Geometria!$H$40/100^3))-((Geometria!$M$284)/(Geometria!$H$40/100^3))-((Geometria!$M$295)/(Geometria!$H$266))-((Geometria!$H$52*Geometria!$M$306)/(Geometria!$H$266))))</f>
        <v>-6986.2039192368811</v>
      </c>
      <c r="T22" s="788"/>
      <c r="V22" s="368">
        <f ca="1">Geometria!$H$166*R45+Geometria!$H$168*R22</f>
        <v>3450.3787452070119</v>
      </c>
      <c r="W22" s="368">
        <f ca="1">Geometria!$H$166*R45*Geometria!$H$167/100-Geometria!$H$168*R22*Geometria!$H$169/100</f>
        <v>326.0995643457174</v>
      </c>
      <c r="X22" s="363"/>
      <c r="Y22">
        <f t="shared" ca="1" si="2"/>
        <v>-6.986203919236881</v>
      </c>
    </row>
    <row r="23" spans="1:29" x14ac:dyDescent="0.25">
      <c r="A23" s="115" t="s">
        <v>363</v>
      </c>
      <c r="B23" s="204" t="str">
        <f ca="1">B13</f>
        <v>OK</v>
      </c>
      <c r="C23" s="364">
        <f t="shared" ca="1" si="0"/>
        <v>-862.72258552630365</v>
      </c>
      <c r="D23" s="365">
        <f ca="1">-$I$23/(Geometria!$H$36/100^2)+J23/(Geometria!$H$40/100^3)-Geometria!$N$744/(Geometria!$H$40/100^3)</f>
        <v>6685.3266249998651</v>
      </c>
      <c r="E23" s="367">
        <f ca="1">('Perdas por Seção'!R60*(Geometria!$L$280*100))/Geometria!$J$1030</f>
        <v>567.1732764667538</v>
      </c>
      <c r="F23" s="770">
        <f ca="1">IF(H23="Sim",-('Isolamento de cabos'!$C$26)/(Geometria!$H$36/100^2)+('Isolamento de cabos'!$C$27)/(Geometria!$H$40/100^3)-Geometria!$N$744/(Geometria!$H$40/100^3),IF(M23="Sim",-'Perdas por Seção'!R99/(Geometria!$H$36/100^2)+'Perdas por Seção'!R100/(Geometria!$H$40/100^3)-Geometria!$N$744/(Geometria!$H$40/100^3),-'Perdas por Seção'!R99/(Geometria!$H$36/100^2)+'Perdas por Seção'!R100/(Geometria!$H$40/100^3)-Geometria!$N$744/(Geometria!$H$40/100^3)))</f>
        <v>-862.72258552630365</v>
      </c>
      <c r="G23" s="770"/>
      <c r="H23" s="209" t="str">
        <f>IF(Geometria!$L$280&lt;'Isolamento de cabos'!$C$8,"Sim","Não")</f>
        <v>Não</v>
      </c>
      <c r="I23" s="368">
        <f ca="1">Geometria!$H$166*E46+Geometria!$H$168*E23</f>
        <v>3284.5585403238802</v>
      </c>
      <c r="J23" s="368">
        <f ca="1">Geometria!$H$166*E46*Geometria!$H$167/100-Geometria!$H$168*E23*Geometria!$H$169/100</f>
        <v>310.42769161371024</v>
      </c>
      <c r="K23" s="363"/>
      <c r="L23">
        <f t="shared" ca="1" si="1"/>
        <v>-0.86272258552630365</v>
      </c>
      <c r="M23" s="209" t="str">
        <f>IF(Geometria!$L$280&lt;'Isolamento de cabos'!$C$10,"Sim","Não")</f>
        <v>Não</v>
      </c>
      <c r="N23" s="115" t="s">
        <v>363</v>
      </c>
      <c r="O23" s="204" t="str">
        <f ca="1">O13</f>
        <v>OK</v>
      </c>
      <c r="P23" s="364">
        <f t="shared" ca="1" si="3"/>
        <v>-6006.0246658246997</v>
      </c>
      <c r="Q23" s="365">
        <f ca="1">-(V23/(Geometria!$H$36/100^2))+(W23/(Geometria!$H$40/100^3))-((Geometria!$N$284)/(Geometria!$H$40/100^3))-((Geometria!$N$295)/(Geometria!$H$266))-((Geometria!$H$52*Geometria!$N$306)/(Geometria!$H$266))</f>
        <v>543.45284626719581</v>
      </c>
      <c r="R23" s="367">
        <f ca="1">('Perdas por Seção'!R92*(Geometria!$L$280*100))/Geometria!$J$1030</f>
        <v>442.47791044169423</v>
      </c>
      <c r="S23" s="787">
        <f ca="1">IF(H23="Sim",-('Isolamento de cabos'!$C$58/(Geometria!$H$36/100^2))+('Isolamento de cabos'!$C$59/(Geometria!$H$40/100^3))-((Geometria!$N$284)/(Geometria!$H$40/100^3))-((Geometria!$N$295)/(Geometria!$H$266))-((Geometria!$H$52*Geometria!$N$306)/(Geometria!$H$266)),IF(M23="Sim",-('Perdas por Seção'!R97/(Geometria!$H$36/100^2))+('Perdas por Seção'!R98/(Geometria!$H$40/100^3))-((Geometria!$N$284)/(Geometria!$H$40/100^3))-((Geometria!$N$295)/(Geometria!$H$266))-((Geometria!$H$52*Geometria!$N$306)/(Geometria!$H$266)),-('Perdas por Seção'!R97/(Geometria!$H$36/100^2))+('Perdas por Seção'!R98/(Geometria!$H$40/100^3))-((Geometria!$N$284)/(Geometria!$H$40/100^3))-((Geometria!$N$295)/(Geometria!$H$266))-((Geometria!$H$52*Geometria!$N$306)/(Geometria!$H$266))))</f>
        <v>-6006.0246658246997</v>
      </c>
      <c r="T23" s="788"/>
      <c r="V23" s="368">
        <f ca="1">Geometria!$H$166*R46+Geometria!$H$168*R23</f>
        <v>2850.0267681086116</v>
      </c>
      <c r="W23" s="368">
        <f ca="1">Geometria!$H$166*R46*Geometria!$H$167/100-Geometria!$H$168*R23*Geometria!$H$169/100</f>
        <v>269.35955617767706</v>
      </c>
      <c r="X23" s="363"/>
      <c r="Y23">
        <f t="shared" ca="1" si="2"/>
        <v>-6.0060246658246994</v>
      </c>
    </row>
    <row r="24" spans="1:29" x14ac:dyDescent="0.25">
      <c r="A24" s="115" t="s">
        <v>364</v>
      </c>
      <c r="B24" s="204" t="str">
        <f ca="1">B12</f>
        <v>OK</v>
      </c>
      <c r="C24" s="364">
        <f t="shared" ca="1" si="0"/>
        <v>-347.37894253942204</v>
      </c>
      <c r="D24" s="365">
        <f ca="1">-$I$24/(Geometria!$H$36/100^2)+J24/(Geometria!$H$40/100^3)-Geometria!$G$747/(Geometria!$H$40/100^3)</f>
        <v>5140.987923814977</v>
      </c>
      <c r="E24" s="367">
        <f ca="1">('Perdas por Seção'!S60*(Geometria!$K$280*100))/Geometria!$J$1030</f>
        <v>456.67341704772508</v>
      </c>
      <c r="F24" s="770">
        <f ca="1">IF(H24="Sim",-('Isolamento de cabos'!$C$26)/(Geometria!$H$36/100^2)+('Isolamento de cabos'!$C$27)/(Geometria!$H$40/100^3)-Geometria!$G$747/(Geometria!$H$40/100^3),IF(M24="Sim",-'Perdas por Seção'!S99/(Geometria!$H$36/100^2)+'Perdas por Seção'!S100/(Geometria!$H$40/100^3)-Geometria!$G$747/(Geometria!$H$40/100^3),-'Perdas por Seção'!S99/(Geometria!$H$36/100^2)+'Perdas por Seção'!S100/(Geometria!$H$40/100^3)-Geometria!$G$747/(Geometria!$H$40/100^3)))</f>
        <v>-347.37894253942204</v>
      </c>
      <c r="G24" s="770"/>
      <c r="H24" s="209" t="str">
        <f>IF(Geometria!$K$280&lt;'Isolamento de cabos'!$C$8,"Sim","Não")</f>
        <v>Não</v>
      </c>
      <c r="I24" s="368">
        <f ca="1">Geometria!$H$166*E47+Geometria!$H$168*E24</f>
        <v>2621.9511762076399</v>
      </c>
      <c r="J24" s="368">
        <f ca="1">Geometria!$H$166*E47*Geometria!$H$167/100-Geometria!$H$168*E24*Geometria!$H$169/100</f>
        <v>247.80384979033781</v>
      </c>
      <c r="K24" s="363"/>
      <c r="L24">
        <f t="shared" ca="1" si="1"/>
        <v>-0.34737894253942203</v>
      </c>
      <c r="M24" s="209" t="str">
        <f>IF(Geometria!$K$280&lt;'Isolamento de cabos'!$C$10,"Sim","Não")</f>
        <v>Não</v>
      </c>
      <c r="N24" s="115" t="s">
        <v>364</v>
      </c>
      <c r="O24" s="204" t="str">
        <f ca="1">O12</f>
        <v>OK</v>
      </c>
      <c r="P24" s="364">
        <f t="shared" ca="1" si="3"/>
        <v>-4808.0449615920406</v>
      </c>
      <c r="Q24" s="365">
        <f ca="1">-(V24/(Geometria!$H$36/100^2))+(W24/(Geometria!$H$40/100^3))-((Geometria!$G$287)/(Geometria!$H$40/100^3))-((Geometria!$G$298)/(Geometria!$H$266))-((Geometria!$H$52*Geometria!$G$309)/(Geometria!$H$266))</f>
        <v>-87.212651346434654</v>
      </c>
      <c r="R24" s="367">
        <f ca="1">('Perdas por Seção'!S92*(Geometria!$K$280*100))/Geometria!$J$1030</f>
        <v>365.65821320519359</v>
      </c>
      <c r="S24" s="787">
        <f ca="1">IF(H24="Sim",-('Isolamento de cabos'!$C$58/(Geometria!$H$36/100^2))+('Isolamento de cabos'!$C$59/(Geometria!$H$40/100^3))-((Geometria!$G$287)/(Geometria!$H$40/100^3))-((Geometria!$G$298)/(Geometria!$H$266))-((Geometria!$H$52*Geometria!$G$309)/(Geometria!$H$266)),IF(M24="Sim",-('Perdas por Seção'!S97/(Geometria!$H$36/100^2))+('Perdas por Seção'!S98/(Geometria!$H$40/100^3))-((Geometria!$G$287)/(Geometria!$H$40/100^3))-((Geometria!$G$298)/(Geometria!$H$266))-((Geometria!$H$52*Geometria!$G$309)/(Geometria!$H$266)),-('Perdas por Seção'!S97/(Geometria!$H$36/100^2))+('Perdas por Seção'!S98/(Geometria!$H$40/100^3))-((Geometria!$G$287)/(Geometria!$H$40/100^3))-((Geometria!$G$298)/(Geometria!$H$266))-((Geometria!$H$52*Geometria!$G$309)/(Geometria!$H$266))))</f>
        <v>-4808.0449615920406</v>
      </c>
      <c r="T24" s="788"/>
      <c r="V24" s="368">
        <f ca="1">Geometria!$H$166*R47+Geometria!$H$168*R24</f>
        <v>2255.2777775129543</v>
      </c>
      <c r="W24" s="368">
        <f ca="1">Geometria!$H$166*R47*Geometria!$H$167/100-Geometria!$H$168*R24*Geometria!$H$169/100</f>
        <v>213.149093196558</v>
      </c>
      <c r="X24" s="363"/>
      <c r="Y24">
        <f t="shared" ca="1" si="2"/>
        <v>-4.8080449615920404</v>
      </c>
    </row>
    <row r="25" spans="1:29" x14ac:dyDescent="0.25">
      <c r="A25" s="115" t="s">
        <v>365</v>
      </c>
      <c r="B25" s="204" t="str">
        <f ca="1">B11</f>
        <v>OK</v>
      </c>
      <c r="C25" s="364">
        <f t="shared" ca="1" si="0"/>
        <v>261.66354462688787</v>
      </c>
      <c r="D25" s="365">
        <f ca="1">-I25/(Geometria!$H$36/100^2)+J25/(Geometria!$H$40/100^3)-Geometria!$H$747/(Geometria!$H$40/100^3)</f>
        <v>3697.8648015190306</v>
      </c>
      <c r="E25" s="367">
        <f ca="1">('Perdas por Seção'!T60*(Geometria!$J$280*100))/Geometria!$J$1030</f>
        <v>345.10635912894276</v>
      </c>
      <c r="F25" s="770">
        <f ca="1">IF(H25="Sim",-('Isolamento de cabos'!$C$26)/(Geometria!$H$36/100^2)+('Isolamento de cabos'!$C$27)/(Geometria!$H$40/100^3)-Geometria!$H$747/(Geometria!$H$40/100^3),IF(M25="Sim",-'Perdas por Seção'!T99/(Geometria!$H$36/100^2)+'Perdas por Seção'!T100/(Geometria!$H$40/100^3)-Geometria!$H$747/(Geometria!$H$40/100^3),-'Perdas por Seção'!T99/(Geometria!$H$36/100^2)+'Perdas por Seção'!T100/(Geometria!$H$40/100^3)-Geometria!$H$747/(Geometria!$H$40/100^3)))</f>
        <v>261.66354462688787</v>
      </c>
      <c r="G25" s="770"/>
      <c r="H25" s="209" t="str">
        <f>IF(Geometria!$J$280&lt;'Isolamento de cabos'!$C$8,"Sim","Não")</f>
        <v>Não</v>
      </c>
      <c r="I25" s="368">
        <f ca="1">Geometria!$H$166*E48+Geometria!$H$168*E25</f>
        <v>1961.4149597464775</v>
      </c>
      <c r="J25" s="368">
        <f ca="1">Geometria!$H$166*E48*Geometria!$H$167/100-Geometria!$H$168*E25*Geometria!$H$169/100</f>
        <v>185.37575469446736</v>
      </c>
      <c r="K25" s="363"/>
      <c r="L25">
        <f t="shared" ca="1" si="1"/>
        <v>0.26166354462688785</v>
      </c>
      <c r="M25" s="209" t="str">
        <f>IF(Geometria!$J$280&lt;'Isolamento de cabos'!$C$10,"Sim","Não")</f>
        <v>Não</v>
      </c>
      <c r="N25" s="115" t="s">
        <v>365</v>
      </c>
      <c r="O25" s="204" t="str">
        <f ca="1">O11</f>
        <v>OK</v>
      </c>
      <c r="P25" s="364">
        <f t="shared" ca="1" si="3"/>
        <v>-3392.2751146073251</v>
      </c>
      <c r="Q25" s="365">
        <f ca="1">-(V25/(Geometria!$H$36/100^2))+(W25/(Geometria!$H$40/100^3))-((Geometria!$H$287)/(Geometria!$H$40/100^3))-((Geometria!$H$298)/(Geometria!$H$266))-((Geometria!$H$52*Geometria!$H$309)/(Geometria!$H$266))</f>
        <v>-467.46430008708023</v>
      </c>
      <c r="R25" s="367">
        <f ca="1">('Perdas por Seção'!T92*(Geometria!$J$280*100))/Geometria!$J$1030</f>
        <v>284.59273965893345</v>
      </c>
      <c r="S25" s="787">
        <f ca="1">IF(H25="Sim",-('Isolamento de cabos'!$C$58/(Geometria!$H$36/100^2))+('Isolamento de cabos'!$C$59/(Geometria!$H$40/100^3))-((Geometria!$H$287)/(Geometria!$H$40/100^3))-((Geometria!$H$298)/(Geometria!$H$266))-((Geometria!$H$52*Geometria!$H$309)/(Geometria!$H$266)),IF(M25="Sim",-('Perdas por Seção'!T97/(Geometria!$H$36/100^2))+('Perdas por Seção'!T98/(Geometria!$H$40/100^3))-((Geometria!$H$287)/(Geometria!$H$40/100^3))-((Geometria!$H$298)/(Geometria!$H$266))-((Geometria!$H$52*Geometria!$H$309)/(Geometria!$H$266)),-('Perdas por Seção'!T97/(Geometria!$H$36/100^2))+('Perdas por Seção'!T98/(Geometria!$H$40/100^3))-((Geometria!$H$287)/(Geometria!$H$40/100^3))-((Geometria!$H$298)/(Geometria!$H$266))-((Geometria!$H$52*Geometria!$H$309)/(Geometria!$H$266))))</f>
        <v>-3392.2751146073251</v>
      </c>
      <c r="T25" s="788"/>
      <c r="V25" s="368">
        <f ca="1">Geometria!$H$166*R48+Geometria!$H$168*R25</f>
        <v>1669.5086396705678</v>
      </c>
      <c r="W25" s="368">
        <f ca="1">Geometria!$H$166*R48*Geometria!$H$167/100-Geometria!$H$168*R25*Geometria!$H$169/100</f>
        <v>157.78732720987693</v>
      </c>
      <c r="X25" s="363"/>
      <c r="Y25">
        <f t="shared" ca="1" si="2"/>
        <v>-3.3922751146073251</v>
      </c>
    </row>
    <row r="26" spans="1:29" x14ac:dyDescent="0.25">
      <c r="A26" s="115" t="s">
        <v>366</v>
      </c>
      <c r="B26" s="204" t="str">
        <f ca="1">B10</f>
        <v>OK</v>
      </c>
      <c r="C26" s="364">
        <f t="shared" ca="1" si="0"/>
        <v>964.40487597263063</v>
      </c>
      <c r="D26" s="365">
        <f ca="1">-I26/(Geometria!$H$36/100^2)+J26/(Geometria!$H$40/100^3)-Geometria!$I$747/(Geometria!$H$40/100^3)</f>
        <v>2358.3783673155381</v>
      </c>
      <c r="E26" s="367">
        <f ca="1">('Perdas por Seção'!U60*(Geometria!$I$280*100))/Geometria!$J$1030</f>
        <v>232.07190327299958</v>
      </c>
      <c r="F26" s="770">
        <f ca="1">IF(H26="Sim",-('Isolamento de cabos'!$C$26)/(Geometria!$H$36/100^2)+('Isolamento de cabos'!$C$27)/(Geometria!$H$40/100^3)-Geometria!$I$747/(Geometria!$H$40/100^3),IF(M26="Sim",-'Perdas por Seção'!U99/(Geometria!$H$36/100^2)+'Perdas por Seção'!U100/(Geometria!$H$40/100^3)-Geometria!$I$747/(Geometria!$H$40/100^3),-'Perdas por Seção'!U99/(Geometria!$H$36/100^2)+'Perdas por Seção'!U100/(Geometria!$H$40/100^3)-Geometria!$I$747/(Geometria!$H$40/100^3)))</f>
        <v>964.40487597263063</v>
      </c>
      <c r="G26" s="770"/>
      <c r="H26" s="209" t="str">
        <f>IF(Geometria!$I$280&lt;'Isolamento de cabos'!$C$8,"Sim","Não")</f>
        <v>Não</v>
      </c>
      <c r="I26" s="368">
        <f ca="1">Geometria!$H$166*E49+Geometria!$H$168*E26</f>
        <v>1303.726571311048</v>
      </c>
      <c r="J26" s="368">
        <f ca="1">Geometria!$H$166*E49*Geometria!$H$167/100-Geometria!$H$168*E26*Geometria!$H$169/100</f>
        <v>123.21681134891215</v>
      </c>
      <c r="K26" s="363"/>
      <c r="L26">
        <f t="shared" ca="1" si="1"/>
        <v>0.96440487597263058</v>
      </c>
      <c r="M26" s="209" t="str">
        <f>IF(Geometria!$I$280&lt;'Isolamento de cabos'!$C$10,"Sim","Não")</f>
        <v>Não</v>
      </c>
      <c r="N26" s="115" t="s">
        <v>366</v>
      </c>
      <c r="O26" s="204" t="str">
        <f ca="1">O10</f>
        <v>OK</v>
      </c>
      <c r="P26" s="364">
        <f t="shared" ca="1" si="3"/>
        <v>-1758.7273175523289</v>
      </c>
      <c r="Q26" s="365">
        <f ca="1">-(V26/(Geometria!$H$36/100^2))+(W26/(Geometria!$H$40/100^3))-((Geometria!$I$287)/(Geometria!$H$40/100^3))-((Geometria!$I$298)/(Geometria!$H$266))-((Geometria!$H$52*Geometria!$I$309)/(Geometria!$H$266))</f>
        <v>-586.74704280376238</v>
      </c>
      <c r="R26" s="367">
        <f ca="1">('Perdas por Seção'!U92*(Geometria!$I$280*100))/Geometria!$J$1030</f>
        <v>197.68932368675442</v>
      </c>
      <c r="S26" s="787">
        <f ca="1">IF(H26="Sim",-('Isolamento de cabos'!$C$58/(Geometria!$H$36/100^2))+('Isolamento de cabos'!$C$59/(Geometria!$H$40/100^3))-((Geometria!$I$287)/(Geometria!$H$40/100^3))-((Geometria!$I$298)/(Geometria!$H$266))-((Geometria!$H$52*Geometria!$I$309)/(Geometria!$H$266)),IF(M26="Sim",-('Perdas por Seção'!U97/(Geometria!$H$36/100^2))+('Perdas por Seção'!U98/(Geometria!$H$40/100^3))-((Geometria!$I$287)/(Geometria!$H$40/100^3))-((Geometria!$I$298)/(Geometria!$H$266))-((Geometria!$H$52*Geometria!$I$309)/(Geometria!$H$266)),-('Perdas por Seção'!U97/(Geometria!$H$36/100^2))+('Perdas por Seção'!U98/(Geometria!$H$40/100^3))-((Geometria!$I$287)/(Geometria!$H$40/100^3))-((Geometria!$I$298)/(Geometria!$H$266))-((Geometria!$H$52*Geometria!$I$309)/(Geometria!$H$266))))</f>
        <v>-1758.7273175523289</v>
      </c>
      <c r="T26" s="788"/>
      <c r="V26" s="368">
        <f ca="1">Geometria!$H$166*R49+Geometria!$H$168*R26</f>
        <v>1096.1053669465139</v>
      </c>
      <c r="W26" s="368">
        <f ca="1">Geometria!$H$166*R49*Geometria!$H$167/100-Geometria!$H$168*R26*Geometria!$H$169/100</f>
        <v>103.59427443575201</v>
      </c>
      <c r="X26" s="363"/>
      <c r="Y26">
        <f t="shared" ca="1" si="2"/>
        <v>-1.758727317552329</v>
      </c>
    </row>
    <row r="27" spans="1:29" x14ac:dyDescent="0.25">
      <c r="A27" s="115" t="s">
        <v>367</v>
      </c>
      <c r="B27" s="204" t="str">
        <f ca="1">B9</f>
        <v>OK</v>
      </c>
      <c r="C27" s="364">
        <f t="shared" ca="1" si="0"/>
        <v>1760.845051497804</v>
      </c>
      <c r="D27" s="365">
        <f ca="1">-I27/(Geometria!$H$36/100^2)+J27/(Geometria!$H$40/100^3)-Geometria!$J$747/(Geometria!$H$40/100^3)</f>
        <v>1124.9497304080178</v>
      </c>
      <c r="E27" s="367">
        <f ca="1">('Perdas por Seção'!V60*(Geometria!$H$280*100))/Geometria!$J$1030</f>
        <v>117.16985004248782</v>
      </c>
      <c r="F27" s="770">
        <f ca="1">IF(H27="Sim",-('Isolamento de cabos'!$C$26)/(Geometria!$H$36/100^2)+('Isolamento de cabos'!$C$27)/(Geometria!$H$40/100^3)-Geometria!$J$747/(Geometria!$H$40/100^3),IF(M27="Sim",-'Perdas por Seção'!V99/(Geometria!$H$36/100^2)+'Perdas por Seção'!V100/(Geometria!$H$40/100^3)-Geometria!$J$747/(Geometria!$H$40/100^3),-'Perdas por Seção'!V99/(Geometria!$H$36/100^2)+'Perdas por Seção'!V100/(Geometria!$H$40/100^3)-Geometria!$J$747/(Geometria!$H$40/100^3)))</f>
        <v>1760.845051497804</v>
      </c>
      <c r="G27" s="770"/>
      <c r="H27" s="209" t="str">
        <f>IF(Geometria!$H$280&lt;'Isolamento de cabos'!$C$8,"Sim","Não")</f>
        <v>Não</v>
      </c>
      <c r="I27" s="368">
        <f ca="1">Geometria!$H$166*E50+Geometria!$H$168*E27</f>
        <v>649.66269127200383</v>
      </c>
      <c r="J27" s="368">
        <f ca="1">Geometria!$H$166*E50*Geometria!$H$167/100-Geometria!$H$168*E27*Geometria!$H$169/100</f>
        <v>61.400424776485259</v>
      </c>
      <c r="K27" s="363"/>
      <c r="L27">
        <f t="shared" ca="1" si="1"/>
        <v>1.760845051497804</v>
      </c>
      <c r="M27" s="209" t="str">
        <f>IF(Geometria!$H$280&lt;'Isolamento de cabos'!$C$10,"Sim","Não")</f>
        <v>Não</v>
      </c>
      <c r="N27" s="115" t="s">
        <v>367</v>
      </c>
      <c r="O27" s="204" t="str">
        <f ca="1">O9</f>
        <v>OK</v>
      </c>
      <c r="P27" s="364">
        <f t="shared" ca="1" si="3"/>
        <v>92.584347044881667</v>
      </c>
      <c r="Q27" s="365">
        <f ca="1">-(V27/(Geometria!$H$36/100^2))+(W27/(Geometria!$H$40/100^3))-((Geometria!$J$287)/(Geometria!$H$40/100^3))-((Geometria!$J$298)/(Geometria!$H$266))-((Geometria!$H$52*Geometria!$J$309)/(Geometria!$H$266))</f>
        <v>-434.47014427558958</v>
      </c>
      <c r="R27" s="367">
        <f ca="1">('Perdas por Seção'!V92*(Geometria!$H$280*100))/Geometria!$J$1030</f>
        <v>103.35579917249649</v>
      </c>
      <c r="S27" s="787">
        <f ca="1">IF(H27="Sim",-('Isolamento de cabos'!$C$58/(Geometria!$H$36/100^2))+('Isolamento de cabos'!$C$59/(Geometria!$H$40/100^3))-((Geometria!$J$287)/(Geometria!$H$40/100^3))-((Geometria!$J$298)/(Geometria!$H$266))-((Geometria!$H$52*Geometria!$J$309)/(Geometria!$H$266)),IF(M27="Sim",-('Perdas por Seção'!V97/(Geometria!$H$36/100^2))+('Perdas por Seção'!V98/(Geometria!$H$40/100^3))-((Geometria!$J$287)/(Geometria!$H$40/100^3))-((Geometria!$J$298)/(Geometria!$H$266))-((Geometria!$H$52*Geometria!$J$309)/(Geometria!$H$266)),-('Perdas por Seção'!V97/(Geometria!$H$36/100^2))+('Perdas por Seção'!V98/(Geometria!$H$40/100^3))-((Geometria!$J$287)/(Geometria!$H$40/100^3))-((Geometria!$J$298)/(Geometria!$H$266))-((Geometria!$H$52*Geometria!$J$309)/(Geometria!$H$266))))</f>
        <v>92.584347044881667</v>
      </c>
      <c r="T27" s="788"/>
      <c r="V27" s="368">
        <f ca="1">Geometria!$H$166*R50+Geometria!$H$168*R27</f>
        <v>538.46541706179096</v>
      </c>
      <c r="W27" s="368">
        <f ca="1">Geometria!$H$166*R50*Geometria!$H$167/100-Geometria!$H$168*R27*Geometria!$H$169/100</f>
        <v>50.891032807052028</v>
      </c>
      <c r="X27" s="363"/>
      <c r="Y27">
        <f t="shared" ca="1" si="2"/>
        <v>9.2584347044881665E-2</v>
      </c>
    </row>
    <row r="28" spans="1:29" ht="15.75" thickBot="1" x14ac:dyDescent="0.3">
      <c r="A28" s="133" t="s">
        <v>368</v>
      </c>
      <c r="B28" s="204" t="str">
        <f ca="1">B8</f>
        <v>Reduzir</v>
      </c>
      <c r="C28" s="369"/>
      <c r="D28" s="370"/>
      <c r="E28" s="371">
        <v>0</v>
      </c>
      <c r="F28" s="781">
        <v>0</v>
      </c>
      <c r="G28" s="782"/>
      <c r="K28" s="363"/>
      <c r="L28">
        <f t="shared" si="1"/>
        <v>0</v>
      </c>
      <c r="N28" s="133" t="s">
        <v>368</v>
      </c>
      <c r="O28" s="204" t="str">
        <f ca="1">O8</f>
        <v>Reduzir</v>
      </c>
      <c r="P28" s="369"/>
      <c r="Q28" s="370"/>
      <c r="R28" s="371">
        <v>0</v>
      </c>
      <c r="S28" s="781">
        <v>0</v>
      </c>
      <c r="T28" s="782"/>
      <c r="X28" s="363"/>
      <c r="Y28">
        <f t="shared" si="2"/>
        <v>0</v>
      </c>
    </row>
    <row r="29" spans="1:29" ht="15" customHeight="1" x14ac:dyDescent="0.25">
      <c r="A29" s="362"/>
      <c r="C29" s="783" t="s">
        <v>727</v>
      </c>
      <c r="D29" s="776" t="s">
        <v>728</v>
      </c>
      <c r="E29" s="777"/>
      <c r="F29" s="776" t="s">
        <v>726</v>
      </c>
      <c r="G29" s="777"/>
      <c r="I29" s="780" t="s">
        <v>95</v>
      </c>
      <c r="J29" s="780" t="s">
        <v>97</v>
      </c>
      <c r="K29" s="363"/>
      <c r="N29" s="362"/>
      <c r="P29" s="783" t="s">
        <v>727</v>
      </c>
      <c r="Q29" s="776" t="s">
        <v>728</v>
      </c>
      <c r="R29" s="777"/>
      <c r="S29" s="776" t="s">
        <v>726</v>
      </c>
      <c r="T29" s="777"/>
      <c r="V29" s="780" t="s">
        <v>95</v>
      </c>
      <c r="W29" s="780" t="s">
        <v>97</v>
      </c>
      <c r="X29" s="363"/>
    </row>
    <row r="30" spans="1:29" x14ac:dyDescent="0.25">
      <c r="A30" s="362"/>
      <c r="C30" s="784"/>
      <c r="D30" s="778"/>
      <c r="E30" s="779"/>
      <c r="F30" s="778"/>
      <c r="G30" s="779"/>
      <c r="I30" s="780"/>
      <c r="J30" s="780"/>
      <c r="K30" s="363"/>
      <c r="N30" s="362"/>
      <c r="P30" s="784"/>
      <c r="Q30" s="778"/>
      <c r="R30" s="779"/>
      <c r="S30" s="778"/>
      <c r="T30" s="779"/>
      <c r="V30" s="780"/>
      <c r="W30" s="780"/>
      <c r="X30" s="363"/>
    </row>
    <row r="31" spans="1:29" x14ac:dyDescent="0.25">
      <c r="A31" s="115" t="s">
        <v>169</v>
      </c>
      <c r="B31" s="204" t="str">
        <f ca="1">IF(Geometria!$G$280&lt;Geometria!$J$1031/100,"Reduzir","OK")</f>
        <v>Reduzir</v>
      </c>
      <c r="C31" s="364">
        <f t="shared" ref="C31:C50" ca="1" si="4">IF(B31="Reduzir",D31,F31)</f>
        <v>0</v>
      </c>
      <c r="D31" s="365">
        <v>0</v>
      </c>
      <c r="E31" s="366">
        <v>0</v>
      </c>
      <c r="F31" s="781">
        <v>0</v>
      </c>
      <c r="G31" s="782"/>
      <c r="I31">
        <v>0</v>
      </c>
      <c r="J31">
        <v>0</v>
      </c>
      <c r="K31" s="363"/>
      <c r="L31">
        <f t="shared" ca="1" si="1"/>
        <v>0</v>
      </c>
      <c r="N31" s="115" t="s">
        <v>169</v>
      </c>
      <c r="O31" s="204" t="str">
        <f ca="1">IF(Geometria!$G$280&lt;Geometria!$J$1031/100,"Reduzir","OK")</f>
        <v>Reduzir</v>
      </c>
      <c r="P31" s="364">
        <f t="shared" ref="P31" ca="1" si="5">IF(O31="Reduzir",Q31,S31)</f>
        <v>0</v>
      </c>
      <c r="Q31" s="365">
        <v>0</v>
      </c>
      <c r="R31" s="366">
        <v>0</v>
      </c>
      <c r="S31" s="781">
        <v>0</v>
      </c>
      <c r="T31" s="782"/>
      <c r="V31">
        <v>0</v>
      </c>
      <c r="W31">
        <v>0</v>
      </c>
      <c r="X31" s="363"/>
      <c r="Y31">
        <f t="shared" ref="Y31:Y51" ca="1" si="6">P31/1000</f>
        <v>0</v>
      </c>
    </row>
    <row r="32" spans="1:29" x14ac:dyDescent="0.25">
      <c r="A32" s="115" t="s">
        <v>170</v>
      </c>
      <c r="B32" s="204" t="str">
        <f ca="1">IF(Geometria!$H$280&lt;Geometria!$J$1031/100,"Reduzir","OK")</f>
        <v>Reduzir</v>
      </c>
      <c r="C32" s="364">
        <f ca="1">IF(B32="Reduzir",D32,F32)</f>
        <v>-9418.6990683655295</v>
      </c>
      <c r="D32" s="365">
        <f ca="1">-I32/(Geometria!$H$36/100^2)-J32/(Geometria!$H$41/100^3)+Geometria!$H$741/(Geometria!$H$41/100^3)</f>
        <v>-9418.6990683655295</v>
      </c>
      <c r="E32" s="367">
        <f ca="1">('Perdas por Seção'!D59*(Geometria!$H$280*100))/Geometria!$J$1031</f>
        <v>82.277443170213246</v>
      </c>
      <c r="F32" s="770">
        <f ca="1">IF(H32="Sim",-('Isolamento de cabos'!$C$26)/(Geometria!$H$36/100^2)-('Isolamento de cabos'!$C$27)/(Geometria!$H$41/100^3)+Geometria!$H$741/(Geometria!$H$41/100^3),IF(M32="Sim",-'Perdas por Seção'!D99/(Geometria!$H$36/100^2)-'Perdas por Seção'!D100/(Geometria!$H$41/100^3)+Geometria!$H$741/(Geometria!$H$41/100^3),-'Perdas por Seção'!D99/(Geometria!$H$36/100^2)-'Perdas por Seção'!D100/(Geometria!$H$41/100^3)+Geometria!$H$741/(Geometria!$H$41/100^3)))</f>
        <v>-12656.605843082916</v>
      </c>
      <c r="G32" s="770"/>
      <c r="H32" s="209" t="str">
        <f>IF(Geometria!$H$280&lt;'Isolamento de cabos'!$C$8,"Sim","Não")</f>
        <v>Não</v>
      </c>
      <c r="I32" s="368">
        <f ca="1">Geometria!$H$166*E32+Geometria!$H$168*E9</f>
        <v>649.66269127200383</v>
      </c>
      <c r="J32" s="368">
        <f ca="1">Geometria!$H$166*E32*Geometria!$H$167/100-Geometria!$H$168*E9*Geometria!$H$169/100</f>
        <v>61.400424776485259</v>
      </c>
      <c r="K32" s="363"/>
      <c r="L32">
        <f t="shared" ca="1" si="1"/>
        <v>-9.4186990683655303</v>
      </c>
      <c r="M32" s="209" t="str">
        <f>IF(Geometria!$H$280&lt;'Isolamento de cabos'!$C$10,"Sim","Não")</f>
        <v>Não</v>
      </c>
      <c r="N32" s="115" t="s">
        <v>170</v>
      </c>
      <c r="O32" s="204" t="str">
        <f ca="1">IF(Geometria!$H$280&lt;Geometria!$J$1031/100,"Reduzir","OK")</f>
        <v>Reduzir</v>
      </c>
      <c r="P32" s="364">
        <f ca="1">IF(O32="Reduzir",Q32,S32)</f>
        <v>-5929.594015876617</v>
      </c>
      <c r="Q32" s="365">
        <f ca="1">-(V32/(Geometria!$H$36/100^2))-(W32/(Geometria!$H$41/100^3))+((Geometria!$H$281)/(Geometria!$H$41/100^3))+((Geometria!$H$292)/(Geometria!$I$41/100^3))+((Geometria!$H$52*Geometria!$H$303)/(Geometria!$I$41/100^3))</f>
        <v>-5929.594015876617</v>
      </c>
      <c r="R32" s="367">
        <f ca="1">('Perdas por Seção'!D91*(Geometria!$H$280*100))/Geometria!$J$1031</f>
        <v>68.194708341158957</v>
      </c>
      <c r="S32" s="787">
        <f ca="1">IF(H32="Sim",-('Isolamento de cabos'!$C$58/(Geometria!$H$36/100^2))-('Isolamento de cabos'!$C$59/(Geometria!$H$41/100^3))+((Geometria!$H$281)/(Geometria!$H$41/100^3))+((Geometria!$H$292)/(Geometria!$I$41/100^3))+((Geometria!$H$52*Geometria!$H$303)/(Geometria!$I$41/100^3)),IF(M32="Sim",-('Perdas por Seção'!D97/(Geometria!$H$36/100^2))-('Perdas por Seção'!D98/(Geometria!$H$41/100^3))+((Geometria!$H$281)/(Geometria!$H$41/100^3))+((Geometria!$H$292)/(Geometria!$I$41/100^3))+((Geometria!$H$52*Geometria!$H$303)/(Geometria!$I$41/100^3)),-('Perdas por Seção'!D97/(Geometria!$H$36/100^2))-('Perdas por Seção'!D98/(Geometria!$H$41/100^3))+((Geometria!$H$281)/(Geometria!$H$41/100^3))+((Geometria!$H$292)/(Geometria!$I$41/100^3))+((Geometria!$H$52*Geometria!$H$303)/(Geometria!$I$41/100^3))))</f>
        <v>-8613.2956433191866</v>
      </c>
      <c r="T32" s="788"/>
      <c r="V32" s="368">
        <f ca="1">Geometria!$H$166*R32+Geometria!$H$168*R9</f>
        <v>538.46541706179107</v>
      </c>
      <c r="W32" s="368">
        <f ca="1">Geometria!$H$166*R32*Geometria!$H$167/100-Geometria!$H$168*R9*Geometria!$H$169/100</f>
        <v>50.891032807052035</v>
      </c>
      <c r="X32" s="363"/>
      <c r="Y32">
        <f t="shared" ca="1" si="6"/>
        <v>-5.9295940158766172</v>
      </c>
      <c r="AB32" s="787">
        <f ca="1">-(Geometria!$J$242/(Geometria!$H$36/100^2))-(Geometria!$J$243/(Geometria!$H$41/100^3))+((Geometria!$H$281)/(Geometria!$H$41/100^3))+((Geometria!$H$292)/(Geometria!$I$41/100^3))+((Geometria!$H$52*Geometria!$H$303)/(Geometria!$I$41/100^3))</f>
        <v>-9563.9782595615798</v>
      </c>
      <c r="AC32" s="788"/>
    </row>
    <row r="33" spans="1:29" x14ac:dyDescent="0.25">
      <c r="A33" s="115" t="s">
        <v>171</v>
      </c>
      <c r="B33" s="204" t="str">
        <f ca="1">IF(Geometria!$I$280&lt;Geometria!$J$1031/100,"Reduzir","OK")</f>
        <v>OK</v>
      </c>
      <c r="C33" s="364">
        <f ca="1">IF(B33="Reduzir",D33,F33)</f>
        <v>-11903.323270456392</v>
      </c>
      <c r="D33" s="365">
        <f ca="1">-I33/(Geometria!$H$36/100^2)-J33/(Geometria!$H$41/100^3)+Geometria!$I$741/(Geometria!$H$41/100^3)</f>
        <v>-19001.278015052387</v>
      </c>
      <c r="E33" s="367">
        <f ca="1">('Perdas por Seção'!E59*(Geometria!$I$280*100))/Geometria!$J$1031</f>
        <v>165.1122810677619</v>
      </c>
      <c r="F33" s="770">
        <f ca="1">IF(H33="Sim",-('Isolamento de cabos'!$C$26)/(Geometria!$H$36/100^2)-('Isolamento de cabos'!$C$27)/(Geometria!$H$41/100^3)+Geometria!$I$741/(Geometria!$H$41/100^3),IF(M33="Sim",-'Perdas por Seção'!E99/(Geometria!$H$36/100^2)-'Perdas por Seção'!E100/(Geometria!$H$41/100^3)+Geometria!$I$741/(Geometria!$H$41/100^3),-'Perdas por Seção'!E99/(Geometria!$H$36/100^2)-'Perdas por Seção'!E100/(Geometria!$H$41/100^3)+Geometria!$I$741/(Geometria!$H$41/100^3)))</f>
        <v>-11903.323270456392</v>
      </c>
      <c r="G33" s="770"/>
      <c r="H33" s="209" t="str">
        <f>IF(Geometria!$I$280&lt;'Isolamento de cabos'!$C$8,"Sim","Não")</f>
        <v>Não</v>
      </c>
      <c r="I33" s="368">
        <f ca="1">Geometria!$H$166*E33+Geometria!$H$168*E10</f>
        <v>1303.726571311048</v>
      </c>
      <c r="J33" s="368">
        <f ca="1">Geometria!$H$166*E33*Geometria!$H$167/100-Geometria!$H$168*E10*Geometria!$H$169/100</f>
        <v>123.21681134891215</v>
      </c>
      <c r="K33" s="363"/>
      <c r="L33">
        <f t="shared" ca="1" si="1"/>
        <v>-11.903323270456392</v>
      </c>
      <c r="M33" s="209" t="str">
        <f>IF(Geometria!$I$280&lt;'Isolamento de cabos'!$C$10,"Sim","Não")</f>
        <v>Não</v>
      </c>
      <c r="N33" s="115" t="s">
        <v>171</v>
      </c>
      <c r="O33" s="204" t="str">
        <f ca="1">IF(Geometria!$I$280&lt;Geometria!$J$1031/100,"Reduzir","OK")</f>
        <v>OK</v>
      </c>
      <c r="P33" s="364">
        <f ca="1">IF(O33="Reduzir",Q33,S33)</f>
        <v>-6471.4549116810931</v>
      </c>
      <c r="Q33" s="365">
        <f ca="1">-(V33/(Geometria!$H$36/100^2))-(W33/(Geometria!$H$41/100^3))+((Geometria!$I$281)/(Geometria!$H$41/100^3))+((Geometria!$I$292)/(Geometria!$I$41/100^3))+((Geometria!$H$52*Geometria!$I$303)/(Geometria!$I$41/100^3))</f>
        <v>-12439.045402738851</v>
      </c>
      <c r="R33" s="367">
        <f ca="1">('Perdas por Seção'!E91*(Geometria!$I$280*100))/Geometria!$J$1031</f>
        <v>138.81780229819074</v>
      </c>
      <c r="S33" s="787">
        <f ca="1">IF(H33="Sim",-('Isolamento de cabos'!$C$58/(Geometria!$H$36/100^2))-('Isolamento de cabos'!$C$59/(Geometria!$H$41/100^3))+((Geometria!$I$281)/(Geometria!$H$41/100^3))+((Geometria!$I$292)/(Geometria!$I$41/100^3))+((Geometria!$H$52*Geometria!$I$303)/(Geometria!$I$41/100^3)),IF(M33="Sim",-('Perdas por Seção'!E97/(Geometria!$H$36/100^2))-('Perdas por Seção'!E98/(Geometria!$H$41/100^3))+((Geometria!$I$281)/(Geometria!$H$41/100^3))+((Geometria!$I$292)/(Geometria!$I$41/100^3))+((Geometria!$H$52*Geometria!$I$303)/(Geometria!$I$41/100^3)),-('Perdas por Seção'!E97/(Geometria!$H$36/100^2))-('Perdas por Seção'!E98/(Geometria!$H$41/100^3))+((Geometria!$I$281)/(Geometria!$H$41/100^3))+((Geometria!$I$292)/(Geometria!$I$41/100^3))+((Geometria!$H$52*Geometria!$I$303)/(Geometria!$I$41/100^3))))</f>
        <v>-6471.4549116810931</v>
      </c>
      <c r="T33" s="788"/>
      <c r="V33" s="368">
        <f ca="1">Geometria!$H$166*R33+Geometria!$H$168*R10</f>
        <v>1096.1053669465141</v>
      </c>
      <c r="W33" s="368">
        <f ca="1">Geometria!$H$166*R33*Geometria!$H$167/100-Geometria!$H$168*R10*Geometria!$H$169/100</f>
        <v>103.59427443575203</v>
      </c>
      <c r="X33" s="363"/>
      <c r="Y33">
        <f t="shared" ca="1" si="6"/>
        <v>-6.4714549116810929</v>
      </c>
      <c r="AB33" s="787">
        <f ca="1">-(Geometria!$J$242/(Geometria!$H$36/100^2))-(Geometria!$J$243/(Geometria!$H$41/100^3))+((Geometria!$I$281)/(Geometria!$H$41/100^3))+((Geometria!$I$292)/(Geometria!$I$41/100^3))+((Geometria!$H$52*Geometria!$I$303)/(Geometria!$I$41/100^3))</f>
        <v>-7222.1789834764249</v>
      </c>
      <c r="AC33" s="788"/>
    </row>
    <row r="34" spans="1:29" x14ac:dyDescent="0.25">
      <c r="A34" s="115" t="s">
        <v>172</v>
      </c>
      <c r="B34" s="204" t="str">
        <f ca="1">IF(Geometria!$J$280&lt;Geometria!$J$1031/100,"Reduzir","OK")</f>
        <v>OK</v>
      </c>
      <c r="C34" s="364">
        <f t="shared" ca="1" si="4"/>
        <v>-11238.662176962398</v>
      </c>
      <c r="D34" s="365">
        <f ca="1">-I34/(Geometria!$H$36/100^2)-J34/(Geometria!$H$41/100^3)+Geometria!$J$741/(Geometria!$H$41/100^3)</f>
        <v>-28735.408826891718</v>
      </c>
      <c r="E34" s="367">
        <f ca="1">('Perdas por Seção'!F59*(Geometria!$J$280*100))/Geometria!$J$1031</f>
        <v>248.40614991723373</v>
      </c>
      <c r="F34" s="770">
        <f ca="1">IF(H34="Sim",-('Isolamento de cabos'!$C$26)/(Geometria!$H$36/100^2)-('Isolamento de cabos'!$C$27)/(Geometria!$H$41/100^3)+Geometria!$J$741/(Geometria!$H$41/100^3),IF(M34="Sim",-'Perdas por Seção'!F99/(Geometria!$H$36/100^2)-'Perdas por Seção'!F100/(Geometria!$H$41/100^3)+Geometria!$J$741/(Geometria!$H$41/100^3),-'Perdas por Seção'!F99/(Geometria!$H$36/100^2)-'Perdas por Seção'!F100/(Geometria!$H$41/100^3)+Geometria!$J$741/(Geometria!$H$41/100^3)))</f>
        <v>-11238.662176962398</v>
      </c>
      <c r="G34" s="770"/>
      <c r="H34" s="209" t="str">
        <f>IF(Geometria!$J$280&lt;'Isolamento de cabos'!$C$8,"Sim","Não")</f>
        <v>Não</v>
      </c>
      <c r="I34" s="368">
        <f ca="1">Geometria!$H$166*E34+Geometria!$H$168*E11</f>
        <v>1961.4149597464775</v>
      </c>
      <c r="J34" s="368">
        <f ca="1">Geometria!$H$166*E34*Geometria!$H$167/100-Geometria!$H$168*E11*Geometria!$H$169/100</f>
        <v>185.37575469446736</v>
      </c>
      <c r="K34" s="363"/>
      <c r="L34">
        <f t="shared" ca="1" si="1"/>
        <v>-11.238662176962398</v>
      </c>
      <c r="M34" s="209" t="str">
        <f>IF(Geometria!$J$280&lt;'Isolamento de cabos'!$C$10,"Sim","Não")</f>
        <v>Não</v>
      </c>
      <c r="N34" s="115" t="s">
        <v>172</v>
      </c>
      <c r="O34" s="204" t="str">
        <f ca="1">IF(Geometria!$J$280&lt;Geometria!$J$1031/100,"Reduzir","OK")</f>
        <v>OK</v>
      </c>
      <c r="P34" s="364">
        <f t="shared" ref="P34:P50" ca="1" si="7">IF(O34="Reduzir",Q34,S34)</f>
        <v>-4581.4044725920648</v>
      </c>
      <c r="Q34" s="365">
        <f ca="1">-(V34/(Geometria!$H$36/100^2))-(W34/(Geometria!$H$41/100^3))+((Geometria!$J$281)/(Geometria!$H$41/100^3))+((Geometria!$J$292)/(Geometria!$I$41/100^3))+((Geometria!$H$52*Geometria!$J$303)/(Geometria!$I$41/100^3))</f>
        <v>-19474.209053811184</v>
      </c>
      <c r="R34" s="367">
        <f ca="1">('Perdas por Seção'!F91*(Geometria!$J$280*100))/Geometria!$J$1031</f>
        <v>211.43726439596855</v>
      </c>
      <c r="S34" s="787">
        <f ca="1">IF(H34="Sim",-('Isolamento de cabos'!$C$58/(Geometria!$H$36/100^2))-('Isolamento de cabos'!$C$59/(Geometria!$H$41/100^3))+((Geometria!$J$281)/(Geometria!$H$41/100^3))+((Geometria!$J$292)/(Geometria!$I$41/100^3))+((Geometria!$H$52*Geometria!$J$303)/(Geometria!$I$41/100^3)),IF(M34="Sim",-('Perdas por Seção'!F97/(Geometria!$H$36/100^2))-('Perdas por Seção'!F98/(Geometria!$H$41/100^3))+((Geometria!$J$281)/(Geometria!$H$41/100^3))+((Geometria!$J$292)/(Geometria!$I$41/100^3))+((Geometria!$H$52*Geometria!$J$303)/(Geometria!$I$41/100^3)),-('Perdas por Seção'!F97/(Geometria!$H$36/100^2))-('Perdas por Seção'!F98/(Geometria!$H$41/100^3))+((Geometria!$J$281)/(Geometria!$H$41/100^3))+((Geometria!$J$292)/(Geometria!$I$41/100^3))+((Geometria!$H$52*Geometria!$J$303)/(Geometria!$I$41/100^3))))</f>
        <v>-4581.4044725920648</v>
      </c>
      <c r="T34" s="788"/>
      <c r="V34" s="368">
        <f ca="1">Geometria!$H$166*R34+Geometria!$H$168*R11</f>
        <v>1669.5086396705676</v>
      </c>
      <c r="W34" s="368">
        <f ca="1">Geometria!$H$166*R34*Geometria!$H$167/100-Geometria!$H$168*R11*Geometria!$H$169/100</f>
        <v>157.78732720987693</v>
      </c>
      <c r="X34" s="363"/>
      <c r="Y34">
        <f t="shared" ca="1" si="6"/>
        <v>-4.5814044725920651</v>
      </c>
      <c r="AB34" s="787">
        <f ca="1">-(Geometria!$J$242/(Geometria!$H$36/100^2))-(Geometria!$J$243/(Geometria!$H$41/100^3))+((Geometria!$J$281)/(Geometria!$H$41/100^3))+((Geometria!$J$292)/(Geometria!$I$41/100^3))+((Geometria!$H$52*Geometria!$J$303)/(Geometria!$I$41/100^3))</f>
        <v>-5155.88550457776</v>
      </c>
      <c r="AC34" s="788"/>
    </row>
    <row r="35" spans="1:29" x14ac:dyDescent="0.25">
      <c r="A35" s="115" t="s">
        <v>173</v>
      </c>
      <c r="B35" s="204" t="str">
        <f ca="1">IF(Geometria!$K$280&lt;Geometria!$J$1031/100,"Reduzir","OK")</f>
        <v>OK</v>
      </c>
      <c r="C35" s="364">
        <f t="shared" ca="1" si="4"/>
        <v>-10662.622562600942</v>
      </c>
      <c r="D35" s="365">
        <f ca="1">-I35/(Geometria!$H$36/100^2)-J35/(Geometria!$H$41/100^3)+Geometria!$K$741/(Geometria!$H$41/100^3)</f>
        <v>-38608.763490714708</v>
      </c>
      <c r="E35" s="367">
        <f ca="1">('Perdas por Seção'!G59*(Geometria!$K$280*100))/Geometria!$J$1031</f>
        <v>332.06068594321681</v>
      </c>
      <c r="F35" s="770">
        <f ca="1">IF(H35="Sim",-('Isolamento de cabos'!$C$26)/(Geometria!$H$36/100^2)-('Isolamento de cabos'!$C$27)/(Geometria!$H$41/100^3)+Geometria!$K$741/(Geometria!$H$41/100^3),IF(M35="Sim",-'Perdas por Seção'!G99/(Geometria!$H$36/100^2)-'Perdas por Seção'!G100/(Geometria!$H$41/100^3)+Geometria!$K$741/(Geometria!$H$41/100^3),-'Perdas por Seção'!G99/(Geometria!$H$36/100^2)-'Perdas por Seção'!G100/(Geometria!$H$41/100^3)+Geometria!$K$741/(Geometria!$H$41/100^3)))</f>
        <v>-10662.622562600942</v>
      </c>
      <c r="G35" s="770"/>
      <c r="H35" s="209" t="str">
        <f>IF(Geometria!$K$280&lt;'Isolamento de cabos'!$C$8,"Sim","Não")</f>
        <v>Não</v>
      </c>
      <c r="I35" s="368">
        <f ca="1">Geometria!$H$166*E35+Geometria!$H$168*E12</f>
        <v>2621.9511762076399</v>
      </c>
      <c r="J35" s="368">
        <f ca="1">Geometria!$H$166*E35*Geometria!$H$167/100-Geometria!$H$168*E12*Geometria!$H$169/100</f>
        <v>247.80384979033781</v>
      </c>
      <c r="K35" s="363"/>
      <c r="L35">
        <f t="shared" ca="1" si="1"/>
        <v>-10.662622562600943</v>
      </c>
      <c r="M35" s="209" t="str">
        <f>IF(Geometria!$K$280&lt;'Isolamento de cabos'!$C$10,"Sim","Não")</f>
        <v>Não</v>
      </c>
      <c r="N35" s="115" t="s">
        <v>173</v>
      </c>
      <c r="O35" s="204" t="str">
        <f ca="1">IF(Geometria!$K$280&lt;Geometria!$J$1031/100,"Reduzir","OK")</f>
        <v>OK</v>
      </c>
      <c r="P35" s="364">
        <f t="shared" ca="1" si="7"/>
        <v>-2943.2160326860489</v>
      </c>
      <c r="Q35" s="365">
        <f ca="1">-(V35/(Geometria!$H$36/100^2))-(W35/(Geometria!$H$41/100^3))+((Geometria!$K$281)/(Geometria!$H$41/100^3))+((Geometria!$K$292)/(Geometria!$I$41/100^3))+((Geometria!$H$52*Geometria!$K$303)/(Geometria!$I$41/100^3))</f>
        <v>-26981.158147832815</v>
      </c>
      <c r="R35" s="367">
        <f ca="1">('Perdas por Seção'!G91*(Geometria!$K$280*100))/Geometria!$J$1031</f>
        <v>285.62281883396076</v>
      </c>
      <c r="S35" s="787">
        <f ca="1">IF(H35="Sim",-('Isolamento de cabos'!$C$58/(Geometria!$H$36/100^2))-('Isolamento de cabos'!$C$59/(Geometria!$H$41/100^3))+((Geometria!$K$281)/(Geometria!$H$41/100^3))+((Geometria!$K$292)/(Geometria!$I$41/100^3))+((Geometria!$H$52*Geometria!$K$303)/(Geometria!$I$41/100^3)),IF(M35="Sim",-('Perdas por Seção'!G97/(Geometria!$H$36/100^2))-('Perdas por Seção'!G98/(Geometria!$H$41/100^3))+((Geometria!$K$281)/(Geometria!$H$41/100^3))+((Geometria!$K$292)/(Geometria!$I$41/100^3))+((Geometria!$H$52*Geometria!$K$303)/(Geometria!$I$41/100^3)),-('Perdas por Seção'!G97/(Geometria!$H$36/100^2))-('Perdas por Seção'!G98/(Geometria!$H$41/100^3))+((Geometria!$K$281)/(Geometria!$H$41/100^3))+((Geometria!$K$292)/(Geometria!$I$41/100^3))+((Geometria!$H$52*Geometria!$K$303)/(Geometria!$I$41/100^3))))</f>
        <v>-2943.2160326860489</v>
      </c>
      <c r="T35" s="788"/>
      <c r="V35" s="368">
        <f ca="1">Geometria!$H$166*R35+Geometria!$H$168*R12</f>
        <v>2255.2777775129543</v>
      </c>
      <c r="W35" s="368">
        <f ca="1">Geometria!$H$166*R35*Geometria!$H$167/100-Geometria!$H$168*R12*Geometria!$H$169/100</f>
        <v>213.149093196558</v>
      </c>
      <c r="X35" s="363"/>
      <c r="Y35">
        <f t="shared" ca="1" si="6"/>
        <v>-2.943216032686049</v>
      </c>
      <c r="AB35" s="787">
        <f ca="1">-(Geometria!$J$242/(Geometria!$H$36/100^2))-(Geometria!$J$243/(Geometria!$H$41/100^3))+((Geometria!$K$281)/(Geometria!$H$41/100^3))+((Geometria!$K$292)/(Geometria!$I$41/100^3))+((Geometria!$H$52*Geometria!$K$303)/(Geometria!$I$41/100^3))</f>
        <v>-3365.0978228655827</v>
      </c>
      <c r="AC35" s="788"/>
    </row>
    <row r="36" spans="1:29" x14ac:dyDescent="0.25">
      <c r="A36" s="115" t="s">
        <v>174</v>
      </c>
      <c r="B36" s="204" t="str">
        <f ca="1">IF(Geometria!$L$280&lt;Geometria!$J$1031/100,"Reduzir","OK")</f>
        <v>OK</v>
      </c>
      <c r="C36" s="364">
        <f t="shared" ca="1" si="4"/>
        <v>-10175.204427372013</v>
      </c>
      <c r="D36" s="365">
        <f ca="1">-I36/(Geometria!$H$36/100^2)-J36/(Geometria!$H$41/100^3)+Geometria!$L$741/(Geometria!$H$41/100^3)</f>
        <v>-48609.013993352492</v>
      </c>
      <c r="E36" s="367">
        <f ca="1">('Perdas por Seção'!H59*(Geometria!$L$280*100))/Geometria!$J$1031</f>
        <v>415.97752537029891</v>
      </c>
      <c r="F36" s="770">
        <f ca="1">IF(H36="Sim",-('Isolamento de cabos'!$C$26)/(Geometria!$H$36/100^2)-('Isolamento de cabos'!$C$27)/(Geometria!$H$41/100^3)+Geometria!$L$741/(Geometria!$H$41/100^3),IF(M36="Sim",-'Perdas por Seção'!H99/(Geometria!$H$36/100^2)-'Perdas por Seção'!H100/(Geometria!$H$41/100^3)+Geometria!$L$741/(Geometria!$H$41/100^3),-'Perdas por Seção'!H99/(Geometria!$H$36/100^2)-'Perdas por Seção'!H100/(Geometria!$H$41/100^3)+Geometria!$L$741/(Geometria!$H$41/100^3)))</f>
        <v>-10175.204427372013</v>
      </c>
      <c r="G36" s="770"/>
      <c r="H36" s="209" t="str">
        <f>IF(Geometria!$L$280&lt;'Isolamento de cabos'!$C$8,"Sim","Não")</f>
        <v>Não</v>
      </c>
      <c r="I36" s="368">
        <f ca="1">Geometria!$H$166*E36+Geometria!$H$168*E13</f>
        <v>3284.5585403238802</v>
      </c>
      <c r="J36" s="368">
        <f ca="1">Geometria!$H$166*E36*Geometria!$H$167/100-Geometria!$H$168*E13*Geometria!$H$169/100</f>
        <v>310.42769161371024</v>
      </c>
      <c r="K36" s="363"/>
      <c r="L36">
        <f t="shared" ca="1" si="1"/>
        <v>-10.175204427372012</v>
      </c>
      <c r="M36" s="209" t="str">
        <f>IF(Geometria!$L$280&lt;'Isolamento de cabos'!$C$10,"Sim","Não")</f>
        <v>Não</v>
      </c>
      <c r="N36" s="115" t="s">
        <v>174</v>
      </c>
      <c r="O36" s="204" t="str">
        <f ca="1">IF(Geometria!$L$280&lt;Geometria!$J$1031/100,"Reduzir","OK")</f>
        <v>OK</v>
      </c>
      <c r="P36" s="364">
        <f t="shared" ca="1" si="7"/>
        <v>-1556.951675714341</v>
      </c>
      <c r="Q36" s="365">
        <f ca="1">-(V36/(Geometria!$H$36/100^2))-(W36/(Geometria!$H$41/100^3))+((Geometria!$L$281)/(Geometria!$H$41/100^3))+((Geometria!$L$292)/(Geometria!$I$41/100^3))+((Geometria!$H$52*Geometria!$L$303)/(Geometria!$I$41/100^3))</f>
        <v>-34906.147532224182</v>
      </c>
      <c r="R36" s="367">
        <f ca="1">('Perdas por Seção'!H91*(Geometria!$L$280*100))/Geometria!$J$1031</f>
        <v>360.94563932479883</v>
      </c>
      <c r="S36" s="787">
        <f ca="1">IF(H36="Sim",-('Isolamento de cabos'!$C$58/(Geometria!$H$36/100^2))-('Isolamento de cabos'!$C$59/(Geometria!$H$41/100^3))+((Geometria!$L$281)/(Geometria!$H$41/100^3))+((Geometria!$L$292)/(Geometria!$I$41/100^3))+((Geometria!$H$52*Geometria!$L$303)/(Geometria!$I$41/100^3)),IF(M36="Sim",-('Perdas por Seção'!H97/(Geometria!$H$36/100^2))-('Perdas por Seção'!H98/(Geometria!$H$41/100^3))+((Geometria!$L$281)/(Geometria!$H$41/100^3))+((Geometria!$L$292)/(Geometria!$I$41/100^3))+((Geometria!$H$52*Geometria!$L$303)/(Geometria!$I$41/100^3)),-('Perdas por Seção'!H97/(Geometria!$H$36/100^2))-('Perdas por Seção'!H98/(Geometria!$H$41/100^3))+((Geometria!$L$281)/(Geometria!$H$41/100^3))+((Geometria!$L$292)/(Geometria!$I$41/100^3))+((Geometria!$H$52*Geometria!$L$303)/(Geometria!$I$41/100^3))))</f>
        <v>-1556.951675714341</v>
      </c>
      <c r="T36" s="788"/>
      <c r="V36" s="368">
        <f ca="1">Geometria!$H$166*R36+Geometria!$H$168*R13</f>
        <v>2850.0267681086116</v>
      </c>
      <c r="W36" s="368">
        <f ca="1">Geometria!$H$166*R36*Geometria!$H$167/100-Geometria!$H$168*R13*Geometria!$H$169/100</f>
        <v>269.35955617767706</v>
      </c>
      <c r="X36" s="363"/>
      <c r="Y36">
        <f t="shared" ca="1" si="6"/>
        <v>-1.5569516757143411</v>
      </c>
      <c r="AB36" s="787">
        <f ca="1">-(Geometria!$J$242/(Geometria!$H$36/100^2))-(Geometria!$J$243/(Geometria!$H$41/100^3))+((Geometria!$L$281)/(Geometria!$H$41/100^3))+((Geometria!$L$292)/(Geometria!$I$41/100^3))+((Geometria!$H$52*Geometria!$L$303)/(Geometria!$I$41/100^3))</f>
        <v>-1849.8159383398943</v>
      </c>
      <c r="AC36" s="788"/>
    </row>
    <row r="37" spans="1:29" x14ac:dyDescent="0.25">
      <c r="A37" s="115" t="s">
        <v>175</v>
      </c>
      <c r="B37" s="204" t="str">
        <f ca="1">IF(Geometria!$M$280&lt;Geometria!$J$1031/100,"Reduzir","OK")</f>
        <v>OK</v>
      </c>
      <c r="C37" s="364">
        <f t="shared" ca="1" si="4"/>
        <v>-9776.4077712756171</v>
      </c>
      <c r="D37" s="365">
        <f ca="1">-I37/(Geometria!$H$36/100^2)-J37/(Geometria!$H$41/100^3)+Geometria!$M$741/(Geometria!$H$41/100^3)</f>
        <v>-58723.832321636241</v>
      </c>
      <c r="E37" s="367">
        <f ca="1">('Perdas por Seção'!I59*(Geometria!$M$280*100))/Geometria!$J$1031</f>
        <v>500.05830442306785</v>
      </c>
      <c r="F37" s="770">
        <f ca="1">IF(H37="Sim",-('Isolamento de cabos'!$C$26)/(Geometria!$H$36/100^2)-('Isolamento de cabos'!$C$27)/(Geometria!$H$41/100^3)+Geometria!$M$741/(Geometria!$H$41/100^3),IF(M37="Sim",-'Perdas por Seção'!I99/(Geometria!$H$36/100^2)-'Perdas por Seção'!I100/(Geometria!$H$41/100^3)+Geometria!$M$741/(Geometria!$H$41/100^3),-'Perdas por Seção'!I99/(Geometria!$H$36/100^2)-'Perdas por Seção'!I100/(Geometria!$H$41/100^3)+Geometria!$M$741/(Geometria!$H$41/100^3)))</f>
        <v>-9776.4077712756171</v>
      </c>
      <c r="G37" s="770"/>
      <c r="H37" s="209" t="str">
        <f>IF(Geometria!$M$280&lt;'Isolamento de cabos'!$C$8,"Sim","Não")</f>
        <v>Não</v>
      </c>
      <c r="I37" s="368">
        <f ca="1">Geometria!$H$166*E37+Geometria!$H$168*E14</f>
        <v>3948.4603717245436</v>
      </c>
      <c r="J37" s="368">
        <f ca="1">Geometria!$H$166*E37*Geometria!$H$167/100-Geometria!$H$168*E14*Geometria!$H$169/100</f>
        <v>373.1738751417713</v>
      </c>
      <c r="K37" s="363"/>
      <c r="L37">
        <f t="shared" ca="1" si="1"/>
        <v>-9.7764077712756166</v>
      </c>
      <c r="M37" s="209" t="str">
        <f>IF(Geometria!$M$280&lt;'Isolamento de cabos'!$C$10,"Sim","Não")</f>
        <v>Não</v>
      </c>
      <c r="N37" s="115" t="s">
        <v>175</v>
      </c>
      <c r="O37" s="204" t="str">
        <f ca="1">IF(Geometria!$M$280&lt;Geometria!$J$1031/100,"Reduzir","OK")</f>
        <v>OK</v>
      </c>
      <c r="P37" s="364">
        <f t="shared" ca="1" si="7"/>
        <v>-422.66388919086921</v>
      </c>
      <c r="Q37" s="365">
        <f ca="1">-(V37/(Geometria!$H$36/100^2))-(W37/(Geometria!$H$41/100^3))+((Geometria!$M$281)/(Geometria!$H$41/100^3))+((Geometria!$M$292)/(Geometria!$I$41/100^3))+((Geometria!$H$52*Geometria!$M$303)/(Geometria!$I$41/100^3))</f>
        <v>-43195.577227922033</v>
      </c>
      <c r="R37" s="367">
        <f ca="1">('Perdas por Seção'!I91*(Geometria!$M$280*100))/Geometria!$J$1031</f>
        <v>436.97805790362361</v>
      </c>
      <c r="S37" s="787">
        <f ca="1">IF(H37="Sim",-('Isolamento de cabos'!$C$58/(Geometria!$H$36/100^2))-('Isolamento de cabos'!$C$59/(Geometria!$H$41/100^3))+((Geometria!$M$281)/(Geometria!$H$41/100^3))+((Geometria!$M$292)/(Geometria!$I$41/100^3))+((Geometria!$H$52*Geometria!$M$303)/(Geometria!$I$41/100^3)),IF(M37="Sim",-('Perdas por Seção'!I97/(Geometria!$H$36/100^2))-('Perdas por Seção'!I98/(Geometria!$H$41/100^3))+((Geometria!$M$281)/(Geometria!$H$41/100^3))+((Geometria!$M$292)/(Geometria!$I$41/100^3))+((Geometria!$H$52*Geometria!$M$303)/(Geometria!$I$41/100^3)),-('Perdas por Seção'!I97/(Geometria!$H$36/100^2))-('Perdas por Seção'!I98/(Geometria!$H$41/100^3))+((Geometria!$M$281)/(Geometria!$H$41/100^3))+((Geometria!$M$292)/(Geometria!$I$41/100^3))+((Geometria!$H$52*Geometria!$M$303)/(Geometria!$I$41/100^3))))</f>
        <v>-422.66388919086921</v>
      </c>
      <c r="T37" s="788"/>
      <c r="V37" s="368">
        <f ca="1">Geometria!$H$166*R37+Geometria!$H$168*R14</f>
        <v>3450.3787452070119</v>
      </c>
      <c r="W37" s="368">
        <f ca="1">Geometria!$H$166*R37*Geometria!$H$167/100-Geometria!$H$168*R14*Geometria!$H$169/100</f>
        <v>326.0995643457174</v>
      </c>
      <c r="X37" s="363"/>
      <c r="Y37">
        <f t="shared" ca="1" si="6"/>
        <v>-0.42266388919086922</v>
      </c>
      <c r="AB37" s="787">
        <f ca="1">-(Geometria!$J$242/(Geometria!$H$36/100^2))-(Geometria!$J$243/(Geometria!$H$41/100^3))+((Geometria!$M$281)/(Geometria!$H$41/100^3))+((Geometria!$M$292)/(Geometria!$I$41/100^3))+((Geometria!$H$52*Geometria!$M$303)/(Geometria!$I$41/100^3))</f>
        <v>-610.03985100069212</v>
      </c>
      <c r="AC37" s="788"/>
    </row>
    <row r="38" spans="1:29" x14ac:dyDescent="0.25">
      <c r="A38" s="115" t="s">
        <v>176</v>
      </c>
      <c r="B38" s="204" t="str">
        <f ca="1">IF(Geometria!$N$280&lt;Geometria!$J$1031/100,"Reduzir","OK")</f>
        <v>OK</v>
      </c>
      <c r="C38" s="364">
        <f t="shared" ca="1" si="4"/>
        <v>-9466.2325943117557</v>
      </c>
      <c r="D38" s="365">
        <f ca="1">-I38/(Geometria!$H$36/100^2)-J38/(Geometria!$H$41/100^3)+Geometria!$N$741/(Geometria!$H$41/100^3)</f>
        <v>-68940.890462397088</v>
      </c>
      <c r="E38" s="367">
        <f ca="1">('Perdas por Seção'!J59*(Geometria!$N$280*100))/Geometria!$J$1031</f>
        <v>584.2046593261116</v>
      </c>
      <c r="F38" s="770">
        <f ca="1">IF(H38="Sim",-('Isolamento de cabos'!$C$26)/(Geometria!$H$36/100^2)-('Isolamento de cabos'!$C$27)/(Geometria!$H$41/100^3)+Geometria!$N$741/(Geometria!$H$41/100^3),IF(M38="Sim",-'Perdas por Seção'!J99/(Geometria!$H$36/100^2)-'Perdas por Seção'!J100/(Geometria!$H$41/100^3)+Geometria!$N$741/(Geometria!$H$41/100^3),-'Perdas por Seção'!J99/(Geometria!$H$36/100^2)-'Perdas por Seção'!J100/(Geometria!$H$41/100^3)+Geometria!$N$741/(Geometria!$H$41/100^3)))</f>
        <v>-9466.2325943117557</v>
      </c>
      <c r="G38" s="770"/>
      <c r="H38" s="209" t="str">
        <f>IF(Geometria!$N$280&lt;'Isolamento de cabos'!$C$8,"Sim","Não")</f>
        <v>Não</v>
      </c>
      <c r="I38" s="368">
        <f ca="1">Geometria!$H$166*E38+Geometria!$H$168*E15</f>
        <v>4612.8799900389768</v>
      </c>
      <c r="J38" s="368">
        <f ca="1">Geometria!$H$166*E38*Geometria!$H$167/100-Geometria!$H$168*E15*Geometria!$H$169/100</f>
        <v>435.96899535170786</v>
      </c>
      <c r="K38" s="363"/>
      <c r="L38">
        <f t="shared" ca="1" si="1"/>
        <v>-9.4662325943117551</v>
      </c>
      <c r="M38" s="209" t="str">
        <f>IF(Geometria!$N$280&lt;'Isolamento de cabos'!$C$10,"Sim","Não")</f>
        <v>Não</v>
      </c>
      <c r="N38" s="115" t="s">
        <v>176</v>
      </c>
      <c r="O38" s="204" t="str">
        <f ca="1">IF(Geometria!$N$280&lt;Geometria!$J$1031/100,"Reduzir","OK")</f>
        <v>OK</v>
      </c>
      <c r="P38" s="364">
        <f t="shared" ca="1" si="7"/>
        <v>459.60441311922932</v>
      </c>
      <c r="Q38" s="365">
        <f ca="1">-(V38/(Geometria!$H$36/100^2))-(W38/(Geometria!$H$41/100^3))+((Geometria!$N$281)/(Geometria!$H$41/100^3))+((Geometria!$N$292)/(Geometria!$I$41/100^3))+((Geometria!$H$52*Geometria!$N$303)/(Geometria!$I$41/100^3))</f>
        <v>-51795.956033738497</v>
      </c>
      <c r="R38" s="367">
        <f ca="1">('Perdas por Seção'!J91*(Geometria!$N$280*100))/Geometria!$J$1031</f>
        <v>513.29327453152314</v>
      </c>
      <c r="S38" s="787">
        <f ca="1">IF(H38="Sim",-('Isolamento de cabos'!$C$58/(Geometria!$H$36/100^2))-('Isolamento de cabos'!$C$59/(Geometria!$H$41/100^3))+((Geometria!$N$281)/(Geometria!$H$41/100^3))+((Geometria!$N$292)/(Geometria!$I$41/100^3))+((Geometria!$H$52*Geometria!$N$303)/(Geometria!$I$41/100^3)),IF(M38="Sim",-('Perdas por Seção'!J97/(Geometria!$H$36/100^2))-('Perdas por Seção'!J98/(Geometria!$H$41/100^3))+((Geometria!$N$281)/(Geometria!$H$41/100^3))+((Geometria!$N$292)/(Geometria!$I$41/100^3))+((Geometria!$H$52*Geometria!$N$303)/(Geometria!$I$41/100^3)),-('Perdas por Seção'!J97/(Geometria!$H$36/100^2))-('Perdas por Seção'!J98/(Geometria!$H$41/100^3))+((Geometria!$N$281)/(Geometria!$H$41/100^3))+((Geometria!$N$292)/(Geometria!$I$41/100^3))+((Geometria!$H$52*Geometria!$N$303)/(Geometria!$I$41/100^3))))</f>
        <v>459.60441311922932</v>
      </c>
      <c r="T38" s="788"/>
      <c r="V38" s="368">
        <f ca="1">Geometria!$H$166*R38+Geometria!$H$168*R15</f>
        <v>4052.9636957009066</v>
      </c>
      <c r="W38" s="368">
        <f ca="1">Geometria!$H$166*R38*Geometria!$H$167/100-Geometria!$H$168*R15*Geometria!$H$169/100</f>
        <v>383.05061359221253</v>
      </c>
      <c r="X38" s="363"/>
      <c r="Y38">
        <f t="shared" ca="1" si="6"/>
        <v>0.45960441311922934</v>
      </c>
      <c r="AB38" s="787">
        <f ca="1">-(Geometria!$J$242/(Geometria!$H$36/100^2))-(Geometria!$J$243/(Geometria!$H$41/100^3))+((Geometria!$N$281)/(Geometria!$H$41/100^3))+((Geometria!$N$292)/(Geometria!$I$41/100^3))+((Geometria!$H$52*Geometria!$N$303)/(Geometria!$I$41/100^3))</f>
        <v>354.23043915201652</v>
      </c>
      <c r="AC38" s="788"/>
    </row>
    <row r="39" spans="1:29" x14ac:dyDescent="0.25">
      <c r="A39" s="115" t="s">
        <v>177</v>
      </c>
      <c r="B39" s="204" t="str">
        <f ca="1">IF(Geometria!$G$283&lt;Geometria!$J$1031/100,"Reduzir","OK")</f>
        <v>OK</v>
      </c>
      <c r="C39" s="364">
        <f t="shared" ca="1" si="4"/>
        <v>-9244.6788964804236</v>
      </c>
      <c r="D39" s="365">
        <f ca="1">-I39/(Geometria!$H$36/100^2)-J39/(Geometria!$H$41/100^3)+Geometria!$G$744/(Geometria!$H$41/100^3)</f>
        <v>-79247.86040246622</v>
      </c>
      <c r="E39" s="367">
        <f ca="1">('Perdas por Seção'!K59*(Geometria!$G$283*100))/Geometria!$J$1031</f>
        <v>668.3182263040178</v>
      </c>
      <c r="F39" s="770">
        <f ca="1">IF(H39="Sim",-('Isolamento de cabos'!$C$26)/(Geometria!$H$36/100^2)-('Isolamento de cabos'!$C$27)/(Geometria!$H$41/100^3)+Geometria!$G$744/(Geometria!$H$41/100^3),IF(M39="Sim",-'Perdas por Seção'!K99/(Geometria!$H$36/100^2)-'Perdas por Seção'!K100/(Geometria!$H$41/100^3)+Geometria!$G$744/(Geometria!$H$41/100^3),-'Perdas por Seção'!K99/(Geometria!$H$36/100^2)-'Perdas por Seção'!K100/(Geometria!$H$41/100^3)+Geometria!$G$744/(Geometria!$H$41/100^3)))</f>
        <v>-9244.6788964804236</v>
      </c>
      <c r="G39" s="770"/>
      <c r="H39" s="209" t="str">
        <f>IF(Geometria!$G$283&lt;'Isolamento de cabos'!$C$8,"Sim","Não")</f>
        <v>Não</v>
      </c>
      <c r="I39" s="368">
        <f ca="1">Geometria!$H$166*E39+Geometria!$H$168*E16</f>
        <v>5277.0407148965242</v>
      </c>
      <c r="J39" s="368">
        <f ca="1">Geometria!$H$166*E39*Geometria!$H$167/100-Geometria!$H$168*E16*Geometria!$H$169/100</f>
        <v>498.73964722070662</v>
      </c>
      <c r="K39" s="363"/>
      <c r="L39">
        <f t="shared" ca="1" si="1"/>
        <v>-9.2446788964804245</v>
      </c>
      <c r="M39" s="209" t="str">
        <f>IF(Geometria!$G$283&lt;'Isolamento de cabos'!$C$10,"Sim","Não")</f>
        <v>Não</v>
      </c>
      <c r="N39" s="115" t="s">
        <v>177</v>
      </c>
      <c r="O39" s="204" t="str">
        <f ca="1">IF(Geometria!$G$283&lt;Geometria!$J$1031/100,"Reduzir","OK")</f>
        <v>OK</v>
      </c>
      <c r="P39" s="364">
        <f t="shared" ca="1" si="7"/>
        <v>1089.8198728390826</v>
      </c>
      <c r="Q39" s="365">
        <f ca="1">-(V39/(Geometria!$H$36/100^2))-(W39/(Geometria!$H$41/100^3))+((Geometria!$G$284)/(Geometria!$H$41/100^3))+((Geometria!$G$295)/(Geometria!$I$41/100^3))+((Geometria!$H$52*Geometria!$G$306)/(Geometria!$I$41/100^3))</f>
        <v>-60653.865208275456</v>
      </c>
      <c r="R39" s="367">
        <f ca="1">('Perdas por Seção'!K91*(Geometria!$G$283*100))/Geometria!$J$1031</f>
        <v>589.46506731777447</v>
      </c>
      <c r="S39" s="787">
        <f ca="1">IF(H39="Sim",-('Isolamento de cabos'!$C$58/(Geometria!$H$36/100^2))-('Isolamento de cabos'!$C$59/(Geometria!$H$41/100^3))+((Geometria!$G$284)/(Geometria!$H$41/100^3))+((Geometria!$G$295)/(Geometria!$I$41/100^3))+((Geometria!$H$52*Geometria!$G$306)/(Geometria!$I$41/100^3)),IF(M39="Sim",-('Perdas por Seção'!K97/(Geometria!$H$36/100^2))-('Perdas por Seção'!K98/(Geometria!$H$41/100^3))+((Geometria!$G$284)/(Geometria!$H$41/100^3))+((Geometria!$G$295)/(Geometria!$I$41/100^3))+((Geometria!$H$52*Geometria!$G$306)/(Geometria!$I$41/100^3)),-('Perdas por Seção'!K97/(Geometria!$H$36/100^2))-('Perdas por Seção'!K98/(Geometria!$H$41/100^3))+((Geometria!$G$284)/(Geometria!$H$41/100^3))+((Geometria!$G$295)/(Geometria!$I$41/100^3))+((Geometria!$H$52*Geometria!$G$306)/(Geometria!$I$41/100^3))))</f>
        <v>1089.8198728390826</v>
      </c>
      <c r="T39" s="788"/>
      <c r="V39" s="368">
        <f ca="1">Geometria!$H$166*R39+Geometria!$H$168*R16</f>
        <v>4654.4161715411474</v>
      </c>
      <c r="W39" s="368">
        <f ca="1">Geometria!$H$166*R39*Geometria!$H$167/100-Geometria!$H$168*R16*Geometria!$H$169/100</f>
        <v>439.89463125798568</v>
      </c>
      <c r="X39" s="363"/>
      <c r="Y39">
        <f t="shared" ca="1" si="6"/>
        <v>1.0898198728390827</v>
      </c>
      <c r="AB39" s="787">
        <f ca="1">-(Geometria!$J$242/(Geometria!$H$36/100^2))-(Geometria!$J$243/(Geometria!$H$41/100^3))+((Geometria!$G$284)/(Geometria!$H$41/100^3))+((Geometria!$G$295)/(Geometria!$I$41/100^3))+((Geometria!$H$52*Geometria!$G$306)/(Geometria!$I$41/100^3))</f>
        <v>1042.9949321182403</v>
      </c>
      <c r="AC39" s="788"/>
    </row>
    <row r="40" spans="1:29" x14ac:dyDescent="0.25">
      <c r="A40" s="115" t="s">
        <v>178</v>
      </c>
      <c r="B40" s="204" t="str">
        <f ca="1">IF(Geometria!$H$283&lt;Geometria!$J$1031/100,"Reduzir","OK")</f>
        <v>OK</v>
      </c>
      <c r="C40" s="364">
        <f t="shared" ca="1" si="4"/>
        <v>-9111.7466777816262</v>
      </c>
      <c r="D40" s="365">
        <f ca="1">-I40/(Geometria!$H$36/100^2)-J40/(Geometria!$H$41/100^3)+Geometria!$H$744/(Geometria!$H$41/100^3)</f>
        <v>-89632.414128674791</v>
      </c>
      <c r="E40" s="367">
        <f ca="1">('Perdas por Seção'!L59*(Geometria!$H$283*100))/Geometria!$J$1031</f>
        <v>752.30064158137452</v>
      </c>
      <c r="F40" s="770">
        <f ca="1">IF(H40="Sim",-('Isolamento de cabos'!$C$26)/(Geometria!$H$36/100^2)-('Isolamento de cabos'!$C$27)/(Geometria!$H$41/100^3)+Geometria!$H$744/(Geometria!$H$41/100^3),IF(M40="Sim",-'Perdas por Seção'!L99/(Geometria!$H$36/100^2)-'Perdas por Seção'!L100/(Geometria!$H$41/100^3)+Geometria!$H$744/(Geometria!$H$41/100^3),-'Perdas por Seção'!L99/(Geometria!$H$36/100^2)-'Perdas por Seção'!L100/(Geometria!$H$41/100^3)+Geometria!$H$744/(Geometria!$H$41/100^3)))</f>
        <v>-9111.7466777816262</v>
      </c>
      <c r="G40" s="770"/>
      <c r="H40" s="209" t="str">
        <f>IF(Geometria!$H$283&lt;'Isolamento de cabos'!$C$8,"Sim","Não")</f>
        <v>Não</v>
      </c>
      <c r="I40" s="368">
        <f ca="1">Geometria!$H$166*E40+Geometria!$H$168*E17</f>
        <v>5940.1658659265331</v>
      </c>
      <c r="J40" s="368">
        <f ca="1">Geometria!$H$166*E40*Geometria!$H$167/100-Geometria!$H$168*E17*Geometria!$H$169/100</f>
        <v>561.41242572595445</v>
      </c>
      <c r="K40" s="363"/>
      <c r="L40">
        <f t="shared" ca="1" si="1"/>
        <v>-9.1117466777816265</v>
      </c>
      <c r="M40" s="209" t="str">
        <f>IF(Geometria!$H$283&lt;'Isolamento de cabos'!$C$10,"Sim","Não")</f>
        <v>Não</v>
      </c>
      <c r="N40" s="115" t="s">
        <v>178</v>
      </c>
      <c r="O40" s="204" t="str">
        <f ca="1">IF(Geometria!$H$283&lt;Geometria!$J$1031/100,"Reduzir","OK")</f>
        <v>OK</v>
      </c>
      <c r="P40" s="364">
        <f t="shared" ca="1" si="7"/>
        <v>1467.9586727239193</v>
      </c>
      <c r="Q40" s="365">
        <f ca="1">-(V40/(Geometria!$H$36/100^2))-(W40/(Geometria!$H$41/100^3))+((Geometria!$H$284)/(Geometria!$H$41/100^3))+((Geometria!$H$295)/(Geometria!$I$41/100^3))+((Geometria!$H$52*Geometria!$H$306)/(Geometria!$I$41/100^3))</f>
        <v>-69715.922207564887</v>
      </c>
      <c r="R40" s="367">
        <f ca="1">('Perdas por Seção'!L91*(Geometria!$H$283*100))/Geometria!$J$1031</f>
        <v>665.06750318671629</v>
      </c>
      <c r="S40" s="787">
        <f ca="1">IF(H40="Sim",-('Isolamento de cabos'!$C$58/(Geometria!$H$36/100^2))-('Isolamento de cabos'!$C$59/(Geometria!$H$41/100^3))+((Geometria!$H$284)/(Geometria!$H$41/100^3))+((Geometria!$H$295)/(Geometria!$I$41/100^3))+((Geometria!$H$52*Geometria!$H$306)/(Geometria!$I$41/100^3)),IF(M40="Sim",-('Perdas por Seção'!L97/(Geometria!$H$36/100^2))-('Perdas por Seção'!L98/(Geometria!$H$41/100^3))+((Geometria!$H$284)/(Geometria!$H$41/100^3))+((Geometria!$H$295)/(Geometria!$I$41/100^3))+((Geometria!$H$52*Geometria!$H$306)/(Geometria!$I$41/100^3)),-('Perdas por Seção'!L97/(Geometria!$H$36/100^2))-('Perdas por Seção'!L98/(Geometria!$H$41/100^3))+((Geometria!$H$284)/(Geometria!$H$41/100^3))+((Geometria!$H$295)/(Geometria!$I$41/100^3))+((Geometria!$H$52*Geometria!$H$306)/(Geometria!$I$41/100^3))))</f>
        <v>1467.9586727239193</v>
      </c>
      <c r="T40" s="788"/>
      <c r="V40" s="368">
        <f ca="1">Geometria!$H$166*R40+Geometria!$H$168*R17</f>
        <v>5251.3730051623115</v>
      </c>
      <c r="W40" s="368">
        <f ca="1">Geometria!$H$166*R40*Geometria!$H$167/100-Geometria!$H$168*R17*Geometria!$H$169/100</f>
        <v>496.3137602151985</v>
      </c>
      <c r="X40" s="363"/>
      <c r="Y40">
        <f t="shared" ca="1" si="6"/>
        <v>1.4679586727239193</v>
      </c>
      <c r="AB40" s="787">
        <f ca="1">-(Geometria!$J$242/(Geometria!$H$36/100^2))-(Geometria!$J$243/(Geometria!$H$41/100^3))+((Geometria!$H$284)/(Geometria!$H$41/100^3))+((Geometria!$H$295)/(Geometria!$I$41/100^3))+((Geometria!$H$52*Geometria!$H$306)/(Geometria!$I$41/100^3))</f>
        <v>1456.2536278979724</v>
      </c>
      <c r="AC40" s="788"/>
    </row>
    <row r="41" spans="1:29" x14ac:dyDescent="0.25">
      <c r="A41" s="115" t="s">
        <v>179</v>
      </c>
      <c r="B41" s="204" t="str">
        <f ca="1">IF(Geometria!$I$283&lt;Geometria!$J$1031/100,"Reduzir","OK")</f>
        <v>OK</v>
      </c>
      <c r="C41" s="364">
        <f t="shared" ca="1" si="4"/>
        <v>-9067.4359382153598</v>
      </c>
      <c r="D41" s="365">
        <f ca="1">-I41/(Geometria!$H$36/100^2)-J41/(Geometria!$H$41/100^3)+Geometria!$I$744/(Geometria!$H$41/100^3)</f>
        <v>-100082.22362785396</v>
      </c>
      <c r="E41" s="367">
        <f ca="1">('Perdas por Seção'!M59*(Geometria!$I$283*100))/Geometria!$J$1031</f>
        <v>836.05354138276971</v>
      </c>
      <c r="F41" s="770">
        <f ca="1">IF(H41="Sim",-('Isolamento de cabos'!$C$26)/(Geometria!$H$36/100^2)-('Isolamento de cabos'!$C$27)/(Geometria!$H$41/100^3)+Geometria!$I$744/(Geometria!$H$41/100^3),IF(M41="Sim",-'Perdas por Seção'!M99/(Geometria!$H$36/100^2)-'Perdas por Seção'!M100/(Geometria!$H$41/100^3)+Geometria!$I$744/(Geometria!$H$41/100^3),-'Perdas por Seção'!M99/(Geometria!$H$36/100^2)-'Perdas por Seção'!M100/(Geometria!$H$41/100^3)+Geometria!$I$744/(Geometria!$H$41/100^3)))</f>
        <v>-9067.4359382153598</v>
      </c>
      <c r="G41" s="770"/>
      <c r="H41" s="209" t="str">
        <f>IF(Geometria!$I$283&lt;'Isolamento de cabos'!$C$8,"Sim","Não")</f>
        <v>Não</v>
      </c>
      <c r="I41" s="368">
        <f ca="1">Geometria!$H$166*E41+Geometria!$H$168*E18</f>
        <v>6601.4787627583491</v>
      </c>
      <c r="J41" s="368">
        <f ca="1">Geometria!$H$166*E41*Geometria!$H$167/100-Geometria!$H$168*E18*Geometria!$H$169/100</f>
        <v>623.91392584463802</v>
      </c>
      <c r="K41" s="363"/>
      <c r="L41">
        <f t="shared" ca="1" si="1"/>
        <v>-9.0674359382153593</v>
      </c>
      <c r="M41" s="209" t="str">
        <f>IF(Geometria!$I$283&lt;'Isolamento de cabos'!$C$10,"Sim","Não")</f>
        <v>Não</v>
      </c>
      <c r="N41" s="115" t="s">
        <v>179</v>
      </c>
      <c r="O41" s="204" t="str">
        <f ca="1">IF(Geometria!$I$283&lt;Geometria!$J$1031/100,"Reduzir","OK")</f>
        <v>OK</v>
      </c>
      <c r="P41" s="364">
        <f t="shared" ca="1" si="7"/>
        <v>1594.0065264912155</v>
      </c>
      <c r="Q41" s="365">
        <f ca="1">-(V41/(Geometria!$H$36/100^2))-(W41/(Geometria!$H$41/100^3))+((Geometria!$I$284)/(Geometria!$H$41/100^3))+((Geometria!$I$295)/(Geometria!$I$41/100^3))+((Geometria!$H$52*Geometria!$I$306)/(Geometria!$I$41/100^3))</f>
        <v>-78928.744456707704</v>
      </c>
      <c r="R41" s="367">
        <f ca="1">('Perdas por Seção'!M91*(Geometria!$I$283*100))/Geometria!$J$1031</f>
        <v>739.6746488158916</v>
      </c>
      <c r="S41" s="787">
        <f ca="1">IF(H41="Sim",-('Isolamento de cabos'!$C$58/(Geometria!$H$36/100^2))-('Isolamento de cabos'!$C$59/(Geometria!$H$41/100^3))+((Geometria!$I$284)/(Geometria!$H$41/100^3))+((Geometria!$I$295)/(Geometria!$I$41/100^3))+((Geometria!$H$52*Geometria!$I$306)/(Geometria!$I$41/100^3)),IF(M41="Sim",-('Perdas por Seção'!M97/(Geometria!$H$36/100^2))-('Perdas por Seção'!M98/(Geometria!$H$41/100^3))+((Geometria!$I$284)/(Geometria!$H$41/100^3))+((Geometria!$I$295)/(Geometria!$I$41/100^3))+((Geometria!$H$52*Geometria!$I$306)/(Geometria!$I$41/100^3)),-('Perdas por Seção'!M97/(Geometria!$H$36/100^2))-('Perdas por Seção'!M98/(Geometria!$H$41/100^3))+((Geometria!$I$284)/(Geometria!$H$41/100^3))+((Geometria!$I$295)/(Geometria!$I$41/100^3))+((Geometria!$H$52*Geometria!$I$306)/(Geometria!$I$41/100^3))))</f>
        <v>1594.0065264912155</v>
      </c>
      <c r="T41" s="788"/>
      <c r="V41" s="368">
        <f ca="1">Geometria!$H$166*R41+Geometria!$H$168*R18</f>
        <v>5840.4710270502801</v>
      </c>
      <c r="W41" s="368">
        <f ca="1">Geometria!$H$166*R41*Geometria!$H$167/100-Geometria!$H$168*R18*Geometria!$H$169/100</f>
        <v>551.99014315183888</v>
      </c>
      <c r="X41" s="363"/>
      <c r="Y41">
        <f t="shared" ca="1" si="6"/>
        <v>1.5940065264912155</v>
      </c>
      <c r="AB41" s="787">
        <f ca="1">-(Geometria!$J$242/(Geometria!$H$36/100^2))-(Geometria!$J$243/(Geometria!$H$41/100^3))+((Geometria!$I$284)/(Geometria!$H$41/100^3))+((Geometria!$I$295)/(Geometria!$I$41/100^3))+((Geometria!$H$52*Geometria!$I$306)/(Geometria!$I$41/100^3))</f>
        <v>1594.0065264912155</v>
      </c>
      <c r="AC41" s="788"/>
    </row>
    <row r="42" spans="1:29" x14ac:dyDescent="0.25">
      <c r="A42" s="115" t="s">
        <v>359</v>
      </c>
      <c r="B42" s="204" t="str">
        <f ca="1">B40</f>
        <v>OK</v>
      </c>
      <c r="C42" s="364">
        <f t="shared" ca="1" si="4"/>
        <v>-9111.7466777816226</v>
      </c>
      <c r="D42" s="365">
        <f ca="1">-I42/(Geometria!$H$36/100^2)-J42/(Geometria!$H$41/100^3)+Geometria!$J$744/(Geometria!$H$41/100^3)</f>
        <v>-89632.414128674791</v>
      </c>
      <c r="E42" s="367">
        <f ca="1">('Perdas por Seção'!N59*(Geometria!$H$283*100))/Geometria!$J$1031</f>
        <v>752.30064158137452</v>
      </c>
      <c r="F42" s="770">
        <f ca="1">IF(H42="Sim",-('Isolamento de cabos'!$C$26)/(Geometria!$H$36/100^2)-('Isolamento de cabos'!$C$27)/(Geometria!$H$41/100^3)+Geometria!$J$744/(Geometria!$H$41/100^3),IF(M42="Sim",-'Perdas por Seção'!N99/(Geometria!$H$36/100^2)-'Perdas por Seção'!N100/(Geometria!$H$41/100^3)+Geometria!$J$744/(Geometria!$H$41/100^3),-'Perdas por Seção'!N99/(Geometria!$H$36/100^2)-'Perdas por Seção'!N100/(Geometria!$H$41/100^3)+Geometria!$J$744/(Geometria!$H$41/100^3)))</f>
        <v>-9111.7466777816226</v>
      </c>
      <c r="G42" s="770"/>
      <c r="H42" s="209" t="str">
        <f>IF(Geometria!$H$283&lt;'Isolamento de cabos'!$C$8,"Sim","Não")</f>
        <v>Não</v>
      </c>
      <c r="I42" s="368">
        <f ca="1">Geometria!$H$166*E42+Geometria!$H$168*E19</f>
        <v>5940.1658659265331</v>
      </c>
      <c r="J42" s="368">
        <f ca="1">Geometria!$H$166*E42*Geometria!$H$167/100-Geometria!$H$168*E19*Geometria!$H$169/100</f>
        <v>561.41242572595445</v>
      </c>
      <c r="K42" s="363"/>
      <c r="L42">
        <f t="shared" ca="1" si="1"/>
        <v>-9.1117466777816229</v>
      </c>
      <c r="M42" s="209" t="str">
        <f>IF(Geometria!$H$283&lt;'Isolamento de cabos'!$C$10,"Sim","Não")</f>
        <v>Não</v>
      </c>
      <c r="N42" s="115" t="s">
        <v>359</v>
      </c>
      <c r="O42" s="204" t="str">
        <f ca="1">O40</f>
        <v>OK</v>
      </c>
      <c r="P42" s="364">
        <f t="shared" ca="1" si="7"/>
        <v>1467.9586727239198</v>
      </c>
      <c r="Q42" s="365">
        <f ca="1">-(V42/(Geometria!$H$36/100^2))-(W42/(Geometria!$H$41/100^3))+((Geometria!$J$284)/(Geometria!$H$41/100^3))+((Geometria!$J$295)/(Geometria!$I$41/100^3))+((Geometria!$H$52*Geometria!$J$306)/(Geometria!$I$41/100^3))</f>
        <v>-69715.922207564887</v>
      </c>
      <c r="R42" s="367">
        <f ca="1">('Perdas por Seção'!N91*(Geometria!$H$283*100))/Geometria!$J$1031</f>
        <v>665.06750318671629</v>
      </c>
      <c r="S42" s="787">
        <f ca="1">IF(H42="Sim",-('Isolamento de cabos'!$C$58/(Geometria!$H$36/100^2))-('Isolamento de cabos'!$C$59/(Geometria!$H$41/100^3))+((Geometria!$J$284)/(Geometria!$H$41/100^3))+((Geometria!$J$295)/(Geometria!$I$41/100^3))+((Geometria!$H$52*Geometria!$J$306)/(Geometria!$I$41/100^3)),IF(M42="Sim",-('Perdas por Seção'!N97/(Geometria!$H$36/100^2))-('Perdas por Seção'!N98/(Geometria!$H$41/100^3))+((Geometria!$J$284)/(Geometria!$H$41/100^3))+((Geometria!$J$295)/(Geometria!$I$41/100^3))+((Geometria!$H$52*Geometria!$J$306)/(Geometria!$I$41/100^3)),-('Perdas por Seção'!N97/(Geometria!$H$36/100^2))-('Perdas por Seção'!N98/(Geometria!$H$41/100^3))+((Geometria!$J$284)/(Geometria!$H$41/100^3))+((Geometria!$J$295)/(Geometria!$I$41/100^3))+((Geometria!$H$52*Geometria!$J$306)/(Geometria!$I$41/100^3))))</f>
        <v>1467.9586727239198</v>
      </c>
      <c r="T42" s="788"/>
      <c r="V42" s="368">
        <f ca="1">Geometria!$H$166*R42+Geometria!$H$168*R19</f>
        <v>5251.3730051623115</v>
      </c>
      <c r="W42" s="368">
        <f ca="1">Geometria!$H$166*R42*Geometria!$H$167/100-Geometria!$H$168*R19*Geometria!$H$169/100</f>
        <v>496.3137602151985</v>
      </c>
      <c r="X42" s="363"/>
      <c r="Y42">
        <f t="shared" ca="1" si="6"/>
        <v>1.4679586727239198</v>
      </c>
      <c r="AB42" s="787">
        <f ca="1">-(Geometria!$J$242/(Geometria!$H$36/100^2))-(Geometria!$J$243/(Geometria!$H$41/100^3))+((Geometria!$J$284)/(Geometria!$H$41/100^3))+((Geometria!$J$295)/(Geometria!$I$41/100^3))+((Geometria!$H$52*Geometria!$J$306)/(Geometria!$I$41/100^3))</f>
        <v>1456.2536278979728</v>
      </c>
      <c r="AC42" s="788"/>
    </row>
    <row r="43" spans="1:29" x14ac:dyDescent="0.25">
      <c r="A43" s="115" t="s">
        <v>360</v>
      </c>
      <c r="B43" s="204" t="str">
        <f ca="1">B39</f>
        <v>OK</v>
      </c>
      <c r="C43" s="364">
        <f t="shared" ca="1" si="4"/>
        <v>-9244.6788964804236</v>
      </c>
      <c r="D43" s="365">
        <f ca="1">-I43/(Geometria!$H$36/100^2)-J43/(Geometria!$H$41/100^3)+Geometria!$K$744/(Geometria!$H$41/100^3)</f>
        <v>-79247.86040246622</v>
      </c>
      <c r="E43" s="367">
        <f ca="1">('Perdas por Seção'!O59*(Geometria!$G$283*100))/Geometria!$J$1031</f>
        <v>668.3182263040178</v>
      </c>
      <c r="F43" s="770">
        <f ca="1">IF(H43="Sim",-('Isolamento de cabos'!$C$26)/(Geometria!$H$36/100^2)-('Isolamento de cabos'!$C$27)/(Geometria!$H$41/100^3)+Geometria!$K$744/(Geometria!$H$41/100^3),IF(M43="Sim",-'Perdas por Seção'!O99/(Geometria!$H$36/100^2)-'Perdas por Seção'!O100/(Geometria!$H$41/100^3)+Geometria!$K$744/(Geometria!$H$41/100^3),-'Perdas por Seção'!O99/(Geometria!$H$36/100^2)-'Perdas por Seção'!O100/(Geometria!$H$41/100^3)+Geometria!$K$744/(Geometria!$H$41/100^3)))</f>
        <v>-9244.6788964804236</v>
      </c>
      <c r="G43" s="770"/>
      <c r="H43" s="209" t="str">
        <f>IF(Geometria!$G$283&lt;'Isolamento de cabos'!$C$8,"Sim","Não")</f>
        <v>Não</v>
      </c>
      <c r="I43" s="368">
        <f ca="1">Geometria!$H$166*E43+Geometria!$H$168*E20</f>
        <v>5277.0407148965242</v>
      </c>
      <c r="J43" s="368">
        <f ca="1">Geometria!$H$166*E43*Geometria!$H$167/100-Geometria!$H$168*E20*Geometria!$H$169/100</f>
        <v>498.73964722070662</v>
      </c>
      <c r="K43" s="363"/>
      <c r="L43">
        <f t="shared" ca="1" si="1"/>
        <v>-9.2446788964804245</v>
      </c>
      <c r="M43" s="209" t="str">
        <f>IF(Geometria!$G$283&lt;'Isolamento de cabos'!$C$10,"Sim","Não")</f>
        <v>Não</v>
      </c>
      <c r="N43" s="115" t="s">
        <v>360</v>
      </c>
      <c r="O43" s="204" t="str">
        <f ca="1">O39</f>
        <v>OK</v>
      </c>
      <c r="P43" s="364">
        <f t="shared" ca="1" si="7"/>
        <v>1089.8198728390807</v>
      </c>
      <c r="Q43" s="365">
        <f ca="1">-(V43/(Geometria!$H$36/100^2))-(W43/(Geometria!$H$41/100^3))+((Geometria!$K$284)/(Geometria!$H$41/100^3))+((Geometria!$K$295)/(Geometria!$I$41/100^3))+((Geometria!$H$52*Geometria!$K$306)/(Geometria!$I$41/100^3))</f>
        <v>-60653.865208275471</v>
      </c>
      <c r="R43" s="367">
        <f ca="1">('Perdas por Seção'!O91*(Geometria!$G$283*100))/Geometria!$J$1031</f>
        <v>589.46506731777458</v>
      </c>
      <c r="S43" s="787">
        <f ca="1">IF(H43="Sim",-('Isolamento de cabos'!$C$58/(Geometria!$H$36/100^2))-('Isolamento de cabos'!$C$59/(Geometria!$H$41/100^3))+((Geometria!$K$284)/(Geometria!$H$41/100^3))+((Geometria!$K$295)/(Geometria!$I$41/100^3))+((Geometria!$H$52*Geometria!$K$306)/(Geometria!$I$41/100^3)),IF(M43="Sim",-('Perdas por Seção'!O97/(Geometria!$H$36/100^2))-('Perdas por Seção'!O98/(Geometria!$H$41/100^3))+((Geometria!$K$284)/(Geometria!$H$41/100^3))+((Geometria!$K$295)/(Geometria!$I$41/100^3))+((Geometria!$H$52*Geometria!$K$306)/(Geometria!$I$41/100^3)),-('Perdas por Seção'!O97/(Geometria!$H$36/100^2))-('Perdas por Seção'!O98/(Geometria!$H$41/100^3))+((Geometria!$K$284)/(Geometria!$H$41/100^3))+((Geometria!$K$295)/(Geometria!$I$41/100^3))+((Geometria!$H$52*Geometria!$K$306)/(Geometria!$I$41/100^3))))</f>
        <v>1089.8198728390807</v>
      </c>
      <c r="T43" s="788"/>
      <c r="V43" s="368">
        <f ca="1">Geometria!$H$166*R43+Geometria!$H$168*R20</f>
        <v>4654.4161715411483</v>
      </c>
      <c r="W43" s="368">
        <f ca="1">Geometria!$H$166*R43*Geometria!$H$167/100-Geometria!$H$168*R20*Geometria!$H$169/100</f>
        <v>439.89463125798579</v>
      </c>
      <c r="X43" s="363"/>
      <c r="Y43">
        <f t="shared" ca="1" si="6"/>
        <v>1.0898198728390807</v>
      </c>
      <c r="AB43" s="787">
        <f ca="1">-(Geometria!$J$242/(Geometria!$H$36/100^2))-(Geometria!$J$243/(Geometria!$H$41/100^3))+((Geometria!$K$284)/(Geometria!$H$41/100^3))+((Geometria!$K$295)/(Geometria!$I$41/100^3))+((Geometria!$H$52*Geometria!$K$306)/(Geometria!$I$41/100^3))</f>
        <v>1042.9949321182403</v>
      </c>
      <c r="AC43" s="788"/>
    </row>
    <row r="44" spans="1:29" x14ac:dyDescent="0.25">
      <c r="A44" s="115" t="s">
        <v>361</v>
      </c>
      <c r="B44" s="204" t="str">
        <f ca="1">B38</f>
        <v>OK</v>
      </c>
      <c r="C44" s="364">
        <f t="shared" ca="1" si="4"/>
        <v>-9466.2325943117539</v>
      </c>
      <c r="D44" s="365">
        <f ca="1">-I44/(Geometria!$H$36/100^2)-J44/(Geometria!$H$41/100^3)+Geometria!$L$744/(Geometria!$H$41/100^3)</f>
        <v>-68940.890462397088</v>
      </c>
      <c r="E44" s="367">
        <f ca="1">('Perdas por Seção'!P59*(Geometria!$N$280*100))/Geometria!$J$1031</f>
        <v>584.2046593261116</v>
      </c>
      <c r="F44" s="770">
        <f ca="1">IF(H44="Sim",-('Isolamento de cabos'!$C$26)/(Geometria!$H$36/100^2)-('Isolamento de cabos'!$C$27)/(Geometria!$H$41/100^3)+Geometria!$L$744/(Geometria!$H$41/100^3),IF(M44="Sim",-'Perdas por Seção'!P99/(Geometria!$H$36/100^2)-'Perdas por Seção'!P100/(Geometria!$H$41/100^3)+Geometria!$L$744/(Geometria!$H$41/100^3),-'Perdas por Seção'!P99/(Geometria!$H$36/100^2)-'Perdas por Seção'!P100/(Geometria!$H$41/100^3)+Geometria!$L$744/(Geometria!$H$41/100^3)))</f>
        <v>-9466.2325943117539</v>
      </c>
      <c r="G44" s="770"/>
      <c r="H44" s="209" t="str">
        <f>IF(Geometria!$N$280&lt;'Isolamento de cabos'!$C$8,"Sim","Não")</f>
        <v>Não</v>
      </c>
      <c r="I44" s="368">
        <f ca="1">Geometria!$H$166*E44+Geometria!$H$168*E21</f>
        <v>4612.8799900389768</v>
      </c>
      <c r="J44" s="368">
        <f ca="1">Geometria!$H$166*E44*Geometria!$H$167/100-Geometria!$H$168*E21*Geometria!$H$169/100</f>
        <v>435.96899535170786</v>
      </c>
      <c r="K44" s="363"/>
      <c r="L44">
        <f t="shared" ca="1" si="1"/>
        <v>-9.4662325943117533</v>
      </c>
      <c r="M44" s="209" t="str">
        <f>IF(Geometria!$N$280&lt;'Isolamento de cabos'!$C$10,"Sim","Não")</f>
        <v>Não</v>
      </c>
      <c r="N44" s="115" t="s">
        <v>361</v>
      </c>
      <c r="O44" s="204" t="str">
        <f ca="1">O38</f>
        <v>OK</v>
      </c>
      <c r="P44" s="364">
        <f t="shared" ca="1" si="7"/>
        <v>459.60441311922978</v>
      </c>
      <c r="Q44" s="365">
        <f ca="1">-(V44/(Geometria!$H$36/100^2))-(W44/(Geometria!$H$41/100^3))+((Geometria!$L$284)/(Geometria!$H$41/100^3))+((Geometria!$L$295)/(Geometria!$I$41/100^3))+((Geometria!$H$52*Geometria!$L$306)/(Geometria!$I$41/100^3))</f>
        <v>-51795.956033738497</v>
      </c>
      <c r="R44" s="367">
        <f ca="1">('Perdas por Seção'!P91*(Geometria!$N$280*100))/Geometria!$J$1031</f>
        <v>513.29327453152314</v>
      </c>
      <c r="S44" s="787">
        <f ca="1">IF(H44="Sim",-('Isolamento de cabos'!$C$58/(Geometria!$H$36/100^2))-('Isolamento de cabos'!$C$59/(Geometria!$H$41/100^3))+((Geometria!$L$284)/(Geometria!$H$41/100^3))+((Geometria!$L$295)/(Geometria!$I$41/100^3))+((Geometria!$H$52*Geometria!$L$306)/(Geometria!$I$41/100^3)),IF(M44="Sim",-('Perdas por Seção'!P97/(Geometria!$H$36/100^2))-('Perdas por Seção'!P98/(Geometria!$H$41/100^3))+((Geometria!$L$284)/(Geometria!$H$41/100^3))+((Geometria!$L$295)/(Geometria!$I$41/100^3))+((Geometria!$H$52*Geometria!$L$306)/(Geometria!$I$41/100^3)),-('Perdas por Seção'!P97/(Geometria!$H$36/100^2))-('Perdas por Seção'!P98/(Geometria!$H$41/100^3))+((Geometria!$L$284)/(Geometria!$H$41/100^3))+((Geometria!$L$295)/(Geometria!$I$41/100^3))+((Geometria!$H$52*Geometria!$L$306)/(Geometria!$I$41/100^3))))</f>
        <v>459.60441311922978</v>
      </c>
      <c r="T44" s="788"/>
      <c r="V44" s="368">
        <f ca="1">Geometria!$H$166*R44+Geometria!$H$168*R21</f>
        <v>4052.9636957009066</v>
      </c>
      <c r="W44" s="368">
        <f ca="1">Geometria!$H$166*R44*Geometria!$H$167/100-Geometria!$H$168*R21*Geometria!$H$169/100</f>
        <v>383.05061359221253</v>
      </c>
      <c r="X44" s="363"/>
      <c r="Y44">
        <f t="shared" ca="1" si="6"/>
        <v>0.45960441311922978</v>
      </c>
      <c r="AB44" s="787">
        <f ca="1">-(Geometria!$J$242/(Geometria!$H$36/100^2))-(Geometria!$J$243/(Geometria!$H$41/100^3))+((Geometria!$L$284)/(Geometria!$H$41/100^3))+((Geometria!$L$295)/(Geometria!$I$41/100^3))+((Geometria!$H$52*Geometria!$L$306)/(Geometria!$I$41/100^3))</f>
        <v>354.23043915201697</v>
      </c>
      <c r="AC44" s="788"/>
    </row>
    <row r="45" spans="1:29" x14ac:dyDescent="0.25">
      <c r="A45" s="115" t="s">
        <v>362</v>
      </c>
      <c r="B45" s="204" t="str">
        <f ca="1">B37</f>
        <v>OK</v>
      </c>
      <c r="C45" s="364">
        <f t="shared" ca="1" si="4"/>
        <v>-9776.4077712756152</v>
      </c>
      <c r="D45" s="365">
        <f ca="1">-I45/(Geometria!$H$36/100^2)-J45/(Geometria!$H$41/100^3)+Geometria!$M$744/(Geometria!$H$41/100^3)</f>
        <v>-58723.832321636241</v>
      </c>
      <c r="E45" s="367">
        <f ca="1">('Perdas por Seção'!Q59*(Geometria!$M$280*100))/Geometria!$J$1031</f>
        <v>500.05830442306785</v>
      </c>
      <c r="F45" s="770">
        <f ca="1">IF(H45="Sim",-('Isolamento de cabos'!$C$26)/(Geometria!$H$36/100^2)-('Isolamento de cabos'!$C$27)/(Geometria!$H$41/100^3)+Geometria!$M$744/(Geometria!$H$41/100^3),IF(M45="Sim",-'Perdas por Seção'!Q99/(Geometria!$H$36/100^2)-'Perdas por Seção'!Q100/(Geometria!$H$41/100^3)+Geometria!$M$744/(Geometria!$H$41/100^3),-'Perdas por Seção'!Q99/(Geometria!$H$36/100^2)-'Perdas por Seção'!Q100/(Geometria!$H$41/100^3)+Geometria!$M$744/(Geometria!$H$41/100^3)))</f>
        <v>-9776.4077712756152</v>
      </c>
      <c r="G45" s="770"/>
      <c r="H45" s="209" t="str">
        <f>IF(Geometria!$M$280&lt;'Isolamento de cabos'!$C$8,"Sim","Não")</f>
        <v>Não</v>
      </c>
      <c r="I45" s="368">
        <f ca="1">Geometria!$H$166*E45+Geometria!$H$168*E22</f>
        <v>3948.4603717245436</v>
      </c>
      <c r="J45" s="368">
        <f ca="1">Geometria!$H$166*E45*Geometria!$H$167/100-Geometria!$H$168*E22*Geometria!$H$169/100</f>
        <v>373.1738751417713</v>
      </c>
      <c r="K45" s="363"/>
      <c r="L45">
        <f t="shared" ca="1" si="1"/>
        <v>-9.7764077712756148</v>
      </c>
      <c r="M45" s="209" t="str">
        <f>IF(Geometria!$M$280&lt;'Isolamento de cabos'!$C$10,"Sim","Não")</f>
        <v>Não</v>
      </c>
      <c r="N45" s="115" t="s">
        <v>362</v>
      </c>
      <c r="O45" s="204" t="str">
        <f ca="1">O37</f>
        <v>OK</v>
      </c>
      <c r="P45" s="364">
        <f t="shared" ca="1" si="7"/>
        <v>-422.6638891908633</v>
      </c>
      <c r="Q45" s="365">
        <f ca="1">-(V45/(Geometria!$H$36/100^2))-(W45/(Geometria!$H$41/100^3))+((Geometria!$M$284)/(Geometria!$H$41/100^3))+((Geometria!$M$295)/(Geometria!$I$41/100^3))+((Geometria!$H$52*Geometria!$M$306)/(Geometria!$I$41/100^3))</f>
        <v>-43195.577227922025</v>
      </c>
      <c r="R45" s="367">
        <f ca="1">('Perdas por Seção'!Q91*(Geometria!$M$280*100))/Geometria!$J$1031</f>
        <v>436.97805790362361</v>
      </c>
      <c r="S45" s="787">
        <f ca="1">IF(H45="Sim",-('Isolamento de cabos'!$C$58/(Geometria!$H$36/100^2))-('Isolamento de cabos'!$C$59/(Geometria!$H$41/100^3))+((Geometria!$M$284)/(Geometria!$H$41/100^3))+((Geometria!$M$295)/(Geometria!$I$41/100^3))+((Geometria!$H$52*Geometria!$M$306)/(Geometria!$I$41/100^3)),IF(M45="Sim",-('Perdas por Seção'!Q97/(Geometria!$H$36/100^2))-('Perdas por Seção'!Q98/(Geometria!$H$41/100^3))+((Geometria!$M$284)/(Geometria!$H$41/100^3))+((Geometria!$M$295)/(Geometria!$I$41/100^3))+((Geometria!$H$52*Geometria!$M$306)/(Geometria!$I$41/100^3)),-('Perdas por Seção'!Q97/(Geometria!$H$36/100^2))-('Perdas por Seção'!Q98/(Geometria!$H$41/100^3))+((Geometria!$M$284)/(Geometria!$H$41/100^3))+((Geometria!$M$295)/(Geometria!$I$41/100^3))+((Geometria!$H$52*Geometria!$M$306)/(Geometria!$I$41/100^3))))</f>
        <v>-422.6638891908633</v>
      </c>
      <c r="T45" s="788"/>
      <c r="V45" s="368">
        <f ca="1">Geometria!$H$166*R45+Geometria!$H$168*R22</f>
        <v>3450.3787452070119</v>
      </c>
      <c r="W45" s="368">
        <f ca="1">Geometria!$H$166*R45*Geometria!$H$167/100-Geometria!$H$168*R22*Geometria!$H$169/100</f>
        <v>326.0995643457174</v>
      </c>
      <c r="X45" s="363"/>
      <c r="Y45">
        <f t="shared" ca="1" si="6"/>
        <v>-0.42266388919086328</v>
      </c>
      <c r="AB45" s="787">
        <f ca="1">-(Geometria!$J$242/(Geometria!$H$36/100^2))-(Geometria!$J$243/(Geometria!$H$41/100^3))+((Geometria!$M$284)/(Geometria!$H$41/100^3))+((Geometria!$M$295)/(Geometria!$I$41/100^3))+((Geometria!$H$52*Geometria!$M$306)/(Geometria!$I$41/100^3))</f>
        <v>-610.03985100068621</v>
      </c>
      <c r="AC45" s="788"/>
    </row>
    <row r="46" spans="1:29" x14ac:dyDescent="0.25">
      <c r="A46" s="115" t="s">
        <v>363</v>
      </c>
      <c r="B46" s="204" t="str">
        <f ca="1">B36</f>
        <v>OK</v>
      </c>
      <c r="C46" s="364">
        <f t="shared" ca="1" si="4"/>
        <v>-10175.204427372009</v>
      </c>
      <c r="D46" s="365">
        <f ca="1">-I46/(Geometria!$H$36/100^2)-J46/(Geometria!$H$41/100^3)+Geometria!$N$744/(Geometria!$H$41/100^3)</f>
        <v>-48609.013993352492</v>
      </c>
      <c r="E46" s="367">
        <f ca="1">('Perdas por Seção'!R59*(Geometria!$L$280*100))/Geometria!$J$1031</f>
        <v>415.97752537029891</v>
      </c>
      <c r="F46" s="770">
        <f ca="1">IF(H46="Sim",-('Isolamento de cabos'!$C$26)/(Geometria!$H$36/100^2)-('Isolamento de cabos'!$C$27)/(Geometria!$H$41/100^3)+Geometria!$N$744/(Geometria!$H$41/100^3),IF(M46="Sim",-'Perdas por Seção'!R99/(Geometria!$H$36/100^2)-'Perdas por Seção'!R100/(Geometria!$H$41/100^3)+Geometria!$N$744/(Geometria!$H$41/100^3),-'Perdas por Seção'!R99/(Geometria!$H$36/100^2)-'Perdas por Seção'!R100/(Geometria!$H$41/100^3)+Geometria!$N$744/(Geometria!$H$41/100^3)))</f>
        <v>-10175.204427372009</v>
      </c>
      <c r="G46" s="770"/>
      <c r="H46" s="209" t="str">
        <f>IF(Geometria!$L$280&lt;'Isolamento de cabos'!$C$8,"Sim","Não")</f>
        <v>Não</v>
      </c>
      <c r="I46" s="368">
        <f ca="1">Geometria!$H$166*E46+Geometria!$H$168*E23</f>
        <v>3284.5585403238802</v>
      </c>
      <c r="J46" s="368">
        <f ca="1">Geometria!$H$166*E46*Geometria!$H$167/100-Geometria!$H$168*E23*Geometria!$H$169/100</f>
        <v>310.42769161371024</v>
      </c>
      <c r="K46" s="363"/>
      <c r="L46">
        <f t="shared" ca="1" si="1"/>
        <v>-10.175204427372009</v>
      </c>
      <c r="M46" s="209" t="str">
        <f>IF(Geometria!$L$280&lt;'Isolamento de cabos'!$C$10,"Sim","Não")</f>
        <v>Não</v>
      </c>
      <c r="N46" s="115" t="s">
        <v>363</v>
      </c>
      <c r="O46" s="204" t="str">
        <f ca="1">O36</f>
        <v>OK</v>
      </c>
      <c r="P46" s="364">
        <f t="shared" ca="1" si="7"/>
        <v>-1556.9516757143294</v>
      </c>
      <c r="Q46" s="365">
        <f ca="1">-(V46/(Geometria!$H$36/100^2))-(W46/(Geometria!$H$41/100^3))+((Geometria!$N$284)/(Geometria!$H$41/100^3))+((Geometria!$N$295)/(Geometria!$I$41/100^3))+((Geometria!$H$52*Geometria!$N$306)/(Geometria!$I$41/100^3))</f>
        <v>-34906.147532224168</v>
      </c>
      <c r="R46" s="367">
        <f ca="1">('Perdas por Seção'!R91*(Geometria!$L$280*100))/Geometria!$J$1031</f>
        <v>360.94563932479883</v>
      </c>
      <c r="S46" s="787">
        <f ca="1">IF(H46="Sim",-('Isolamento de cabos'!$C$58/(Geometria!$H$36/100^2))-('Isolamento de cabos'!$C$59/(Geometria!$H$41/100^3))+((Geometria!$N$284)/(Geometria!$H$41/100^3))+((Geometria!$N$295)/(Geometria!$I$41/100^3))+((Geometria!$H$52*Geometria!$N$306)/(Geometria!$I$41/100^3)),IF(M46="Sim",-('Perdas por Seção'!R97/(Geometria!$H$36/100^2))-('Perdas por Seção'!R98/(Geometria!$H$41/100^3))+((Geometria!$N$284)/(Geometria!$H$41/100^3))+((Geometria!$N$295)/(Geometria!$I$41/100^3))+((Geometria!$H$52*Geometria!$N$306)/(Geometria!$I$41/100^3)),-('Perdas por Seção'!R97/(Geometria!$H$36/100^2))-('Perdas por Seção'!R98/(Geometria!$H$41/100^3))+((Geometria!$N$284)/(Geometria!$H$41/100^3))+((Geometria!$N$295)/(Geometria!$I$41/100^3))+((Geometria!$H$52*Geometria!$N$306)/(Geometria!$I$41/100^3))))</f>
        <v>-1556.9516757143294</v>
      </c>
      <c r="T46" s="788"/>
      <c r="V46" s="368">
        <f ca="1">Geometria!$H$166*R46+Geometria!$H$168*R23</f>
        <v>2850.0267681086116</v>
      </c>
      <c r="W46" s="368">
        <f ca="1">Geometria!$H$166*R46*Geometria!$H$167/100-Geometria!$H$168*R23*Geometria!$H$169/100</f>
        <v>269.35955617767706</v>
      </c>
      <c r="X46" s="363"/>
      <c r="Y46">
        <f t="shared" ca="1" si="6"/>
        <v>-1.5569516757143294</v>
      </c>
      <c r="AB46" s="787">
        <f ca="1">-(Geometria!$J$242/(Geometria!$H$36/100^2))-(Geometria!$J$243/(Geometria!$H$41/100^3))+((Geometria!$N$284)/(Geometria!$H$41/100^3))+((Geometria!$N$295)/(Geometria!$I$41/100^3))+((Geometria!$H$52*Geometria!$N$306)/(Geometria!$I$41/100^3))</f>
        <v>-1849.8159383398827</v>
      </c>
      <c r="AC46" s="788"/>
    </row>
    <row r="47" spans="1:29" x14ac:dyDescent="0.25">
      <c r="A47" s="115" t="s">
        <v>364</v>
      </c>
      <c r="B47" s="204" t="str">
        <f ca="1">B35</f>
        <v>OK</v>
      </c>
      <c r="C47" s="364">
        <f t="shared" ca="1" si="4"/>
        <v>-10662.62256260094</v>
      </c>
      <c r="D47" s="365">
        <f ca="1">-I47/(Geometria!$H$36/100^2)-J47/(Geometria!$H$41/100^3)+Geometria!$G$747/(Geometria!$H$41/100^3)</f>
        <v>-38608.763490714708</v>
      </c>
      <c r="E47" s="367">
        <f ca="1">('Perdas por Seção'!S59*(Geometria!$K$280*100))/Geometria!$J$1031</f>
        <v>332.06068594321681</v>
      </c>
      <c r="F47" s="770">
        <f ca="1">IF(H47="Sim",-('Isolamento de cabos'!$C$26)/(Geometria!$H$36/100^2)-('Isolamento de cabos'!$C$27)/(Geometria!$H$41/100^3)+Geometria!$G$747/(Geometria!$H$41/100^3),IF(M47="Sim",-'Perdas por Seção'!S99/(Geometria!$H$36/100^2)-'Perdas por Seção'!S100/(Geometria!$H$41/100^3)+Geometria!$G$747/(Geometria!$H$41/100^3),-'Perdas por Seção'!S99/(Geometria!$H$36/100^2)-'Perdas por Seção'!S100/(Geometria!$H$41/100^3)+Geometria!$G$747/(Geometria!$H$41/100^3)))</f>
        <v>-10662.62256260094</v>
      </c>
      <c r="G47" s="770"/>
      <c r="H47" s="209" t="str">
        <f>IF(Geometria!$K$280&lt;'Isolamento de cabos'!$C$8,"Sim","Não")</f>
        <v>Não</v>
      </c>
      <c r="I47" s="368">
        <f ca="1">Geometria!$H$166*E47+Geometria!$H$168*E24</f>
        <v>2621.9511762076399</v>
      </c>
      <c r="J47" s="368">
        <f ca="1">Geometria!$H$166*E47*Geometria!$H$167/100-Geometria!$H$168*E24*Geometria!$H$169/100</f>
        <v>247.80384979033781</v>
      </c>
      <c r="K47" s="363"/>
      <c r="L47">
        <f t="shared" ca="1" si="1"/>
        <v>-10.662622562600941</v>
      </c>
      <c r="M47" s="209" t="str">
        <f>IF(Geometria!$K$280&lt;'Isolamento de cabos'!$C$10,"Sim","Não")</f>
        <v>Não</v>
      </c>
      <c r="N47" s="115" t="s">
        <v>364</v>
      </c>
      <c r="O47" s="204" t="str">
        <f ca="1">O35</f>
        <v>OK</v>
      </c>
      <c r="P47" s="364">
        <f t="shared" ca="1" si="7"/>
        <v>-2943.2160326860412</v>
      </c>
      <c r="Q47" s="365">
        <f ca="1">-(V47/(Geometria!$H$36/100^2))-(W47/(Geometria!$H$41/100^3))+((Geometria!$G$287)/(Geometria!$H$41/100^3))+((Geometria!$G$298)/(Geometria!$I$41/100^3))+((Geometria!$H$52*Geometria!$G$309)/(Geometria!$I$41/100^3))</f>
        <v>-26981.158147832808</v>
      </c>
      <c r="R47" s="367">
        <f ca="1">('Perdas por Seção'!S91*(Geometria!$K$280*100))/Geometria!$J$1031</f>
        <v>285.62281883396076</v>
      </c>
      <c r="S47" s="787">
        <f ca="1">IF(H47="Sim",-('Isolamento de cabos'!$C$58/(Geometria!$H$36/100^2))-('Isolamento de cabos'!$C$59/(Geometria!$H$41/100^3))+((Geometria!$G$287)/(Geometria!$H$41/100^3))+((Geometria!$G$298)/(Geometria!$I$41/100^3))+((Geometria!$H$52*Geometria!$G$309)/(Geometria!$I$41/100^3)),IF(M47="Sim",-('Perdas por Seção'!S97/(Geometria!$H$36/100^2))-('Perdas por Seção'!S98/(Geometria!$H$41/100^3))+((Geometria!$G$287)/(Geometria!$H$41/100^3))+((Geometria!$G$298)/(Geometria!$I$41/100^3))+((Geometria!$H$52*Geometria!$G$309)/(Geometria!$I$41/100^3)),-('Perdas por Seção'!S97/(Geometria!$H$36/100^2))-('Perdas por Seção'!S98/(Geometria!$H$41/100^3))+((Geometria!$G$287)/(Geometria!$H$41/100^3))+((Geometria!$G$298)/(Geometria!$I$41/100^3))+((Geometria!$H$52*Geometria!$G$309)/(Geometria!$I$41/100^3))))</f>
        <v>-2943.2160326860412</v>
      </c>
      <c r="T47" s="788"/>
      <c r="V47" s="368">
        <f ca="1">Geometria!$H$166*R47+Geometria!$H$168*R24</f>
        <v>2255.2777775129543</v>
      </c>
      <c r="W47" s="368">
        <f ca="1">Geometria!$H$166*R47*Geometria!$H$167/100-Geometria!$H$168*R24*Geometria!$H$169/100</f>
        <v>213.149093196558</v>
      </c>
      <c r="X47" s="363"/>
      <c r="Y47">
        <f t="shared" ca="1" si="6"/>
        <v>-2.943216032686041</v>
      </c>
      <c r="AB47" s="787">
        <f ca="1">-(Geometria!$J$242/(Geometria!$H$36/100^2))-(Geometria!$J$243/(Geometria!$H$41/100^3))+((Geometria!$G$287)/(Geometria!$H$41/100^3))+((Geometria!$G$298)/(Geometria!$I$41/100^3))+((Geometria!$H$52*Geometria!$G$309)/(Geometria!$I$41/100^3))</f>
        <v>-3365.0978228655749</v>
      </c>
      <c r="AC47" s="788"/>
    </row>
    <row r="48" spans="1:29" x14ac:dyDescent="0.25">
      <c r="A48" s="115" t="s">
        <v>365</v>
      </c>
      <c r="B48" s="204" t="str">
        <f ca="1">B34</f>
        <v>OK</v>
      </c>
      <c r="C48" s="364">
        <f t="shared" ca="1" si="4"/>
        <v>-11238.662176962394</v>
      </c>
      <c r="D48" s="365">
        <f ca="1">-I48/(Geometria!$H$36/100^2)-J48/(Geometria!$H$41/100^3)+Geometria!$H$747/(Geometria!$H$41/100^3)</f>
        <v>-28735.408826891715</v>
      </c>
      <c r="E48" s="367">
        <f ca="1">('Perdas por Seção'!T59*(Geometria!$J$280*100))/Geometria!$J$1031</f>
        <v>248.40614991723373</v>
      </c>
      <c r="F48" s="770">
        <f ca="1">IF(H48="Sim",-('Isolamento de cabos'!$C$26)/(Geometria!$H$36/100^2)-('Isolamento de cabos'!$C$27)/(Geometria!$H$41/100^3)+Geometria!$H$747/(Geometria!$H$41/100^3),IF(M48="Sim",-'Perdas por Seção'!T99/(Geometria!$H$36/100^2)-'Perdas por Seção'!T100/(Geometria!$H$41/100^3)+Geometria!$H$747/(Geometria!$H$41/100^3),-'Perdas por Seção'!T99/(Geometria!$H$36/100^2)-'Perdas por Seção'!T100/(Geometria!$H$41/100^3)+Geometria!$H$747/(Geometria!$H$41/100^3)))</f>
        <v>-11238.662176962394</v>
      </c>
      <c r="G48" s="770"/>
      <c r="H48" s="209" t="str">
        <f>IF(Geometria!$J$280&lt;'Isolamento de cabos'!$C$8,"Sim","Não")</f>
        <v>Não</v>
      </c>
      <c r="I48" s="368">
        <f ca="1">Geometria!$H$166*E48+Geometria!$H$168*E25</f>
        <v>1961.4149597464775</v>
      </c>
      <c r="J48" s="368">
        <f ca="1">Geometria!$H$166*E48*Geometria!$H$167/100-Geometria!$H$168*E25*Geometria!$H$169/100</f>
        <v>185.37575469446736</v>
      </c>
      <c r="K48" s="363"/>
      <c r="L48">
        <f t="shared" ca="1" si="1"/>
        <v>-11.238662176962395</v>
      </c>
      <c r="M48" s="209" t="str">
        <f>IF(Geometria!$J$280&lt;'Isolamento de cabos'!$C$10,"Sim","Não")</f>
        <v>Não</v>
      </c>
      <c r="N48" s="115" t="s">
        <v>365</v>
      </c>
      <c r="O48" s="204" t="str">
        <f ca="1">O34</f>
        <v>OK</v>
      </c>
      <c r="P48" s="364">
        <f t="shared" ca="1" si="7"/>
        <v>-4581.4044725920512</v>
      </c>
      <c r="Q48" s="365">
        <f ca="1">-(V48/(Geometria!$H$36/100^2))-(W48/(Geometria!$H$41/100^3))+((Geometria!$H$287)/(Geometria!$H$41/100^3))+((Geometria!$H$298)/(Geometria!$I$41/100^3))+((Geometria!$H$52*Geometria!$H$309)/(Geometria!$I$41/100^3))</f>
        <v>-19474.209053811173</v>
      </c>
      <c r="R48" s="367">
        <f ca="1">('Perdas por Seção'!T91*(Geometria!$J$280*100))/Geometria!$J$1031</f>
        <v>211.43726439596858</v>
      </c>
      <c r="S48" s="787">
        <f ca="1">IF(H48="Sim",-('Isolamento de cabos'!$C$58/(Geometria!$H$36/100^2))-('Isolamento de cabos'!$C$59/(Geometria!$H$41/100^3))+((Geometria!$H$287)/(Geometria!$H$41/100^3))+((Geometria!$H$298)/(Geometria!$I$41/100^3))+((Geometria!$H$52*Geometria!$H$309)/(Geometria!$I$41/100^3)),IF(M48="Sim",-('Perdas por Seção'!T97/(Geometria!$H$36/100^2))-('Perdas por Seção'!T98/(Geometria!$H$41/100^3))+((Geometria!$H$287)/(Geometria!$H$41/100^3))+((Geometria!$H$298)/(Geometria!$I$41/100^3))+((Geometria!$H$52*Geometria!$H$309)/(Geometria!$I$41/100^3)),-('Perdas por Seção'!T97/(Geometria!$H$36/100^2))-('Perdas por Seção'!T98/(Geometria!$H$41/100^3))+((Geometria!$H$287)/(Geometria!$H$41/100^3))+((Geometria!$H$298)/(Geometria!$I$41/100^3))+((Geometria!$H$52*Geometria!$H$309)/(Geometria!$I$41/100^3))))</f>
        <v>-4581.4044725920512</v>
      </c>
      <c r="T48" s="788"/>
      <c r="V48" s="368">
        <f ca="1">Geometria!$H$166*R48+Geometria!$H$168*R25</f>
        <v>1669.5086396705678</v>
      </c>
      <c r="W48" s="368">
        <f ca="1">Geometria!$H$166*R48*Geometria!$H$167/100-Geometria!$H$168*R25*Geometria!$H$169/100</f>
        <v>157.78732720987693</v>
      </c>
      <c r="X48" s="363"/>
      <c r="Y48">
        <f t="shared" ca="1" si="6"/>
        <v>-4.5814044725920509</v>
      </c>
      <c r="AB48" s="787">
        <f ca="1">-(Geometria!$J$242/(Geometria!$H$36/100^2))-(Geometria!$J$243/(Geometria!$H$41/100^3))+((Geometria!$H$287)/(Geometria!$H$41/100^3))+((Geometria!$H$298)/(Geometria!$I$41/100^3))+((Geometria!$H$52*Geometria!$H$309)/(Geometria!$I$41/100^3))</f>
        <v>-5155.8855045777445</v>
      </c>
      <c r="AC48" s="788"/>
    </row>
    <row r="49" spans="1:29" x14ac:dyDescent="0.25">
      <c r="A49" s="115" t="s">
        <v>366</v>
      </c>
      <c r="B49" s="204" t="str">
        <f ca="1">B33</f>
        <v>OK</v>
      </c>
      <c r="C49" s="364">
        <f t="shared" ca="1" si="4"/>
        <v>-11903.323270456385</v>
      </c>
      <c r="D49" s="365">
        <f ca="1">-I49/(Geometria!$H$36/100^2)-J49/(Geometria!$H$41/100^3)+Geometria!$I$747/(Geometria!$H$41/100^3)</f>
        <v>-19001.278015052379</v>
      </c>
      <c r="E49" s="367">
        <f ca="1">('Perdas por Seção'!U59*(Geometria!$I$280*100))/Geometria!$J$1031</f>
        <v>165.1122810677619</v>
      </c>
      <c r="F49" s="770">
        <f ca="1">IF(H49="Sim",-('Isolamento de cabos'!$C$26)/(Geometria!$H$36/100^2)-('Isolamento de cabos'!$C$27)/(Geometria!$H$41/100^3)+Geometria!$I$747/(Geometria!$H$41/100^3),IF(M49="Sim",-'Perdas por Seção'!U99/(Geometria!$H$36/100^2)-'Perdas por Seção'!U100/(Geometria!$H$41/100^3)+Geometria!$I$747/(Geometria!$H$41/100^3),-'Perdas por Seção'!U99/(Geometria!$H$36/100^2)-'Perdas por Seção'!U100/(Geometria!$H$41/100^3)+Geometria!$I$747/(Geometria!$H$41/100^3)))</f>
        <v>-11903.323270456385</v>
      </c>
      <c r="G49" s="770"/>
      <c r="H49" s="209" t="str">
        <f>IF(Geometria!$I$280&lt;'Isolamento de cabos'!$C$8,"Sim","Não")</f>
        <v>Não</v>
      </c>
      <c r="I49" s="368">
        <f ca="1">Geometria!$H$166*E49+Geometria!$H$168*E26</f>
        <v>1303.726571311048</v>
      </c>
      <c r="J49" s="368">
        <f ca="1">Geometria!$H$166*E49*Geometria!$H$167/100-Geometria!$H$168*E26*Geometria!$H$169/100</f>
        <v>123.21681134891215</v>
      </c>
      <c r="K49" s="363"/>
      <c r="L49">
        <f t="shared" ca="1" si="1"/>
        <v>-11.903323270456385</v>
      </c>
      <c r="M49" s="209" t="str">
        <f>IF(Geometria!$I$280&lt;'Isolamento de cabos'!$C$10,"Sim","Não")</f>
        <v>Não</v>
      </c>
      <c r="N49" s="115" t="s">
        <v>366</v>
      </c>
      <c r="O49" s="204" t="str">
        <f ca="1">O33</f>
        <v>OK</v>
      </c>
      <c r="P49" s="364">
        <f t="shared" ca="1" si="7"/>
        <v>-6471.4549116810776</v>
      </c>
      <c r="Q49" s="365">
        <f ca="1">-(V49/(Geometria!$H$36/100^2))-(W49/(Geometria!$H$41/100^3))+((Geometria!$I$287)/(Geometria!$H$41/100^3))+((Geometria!$I$298)/(Geometria!$I$41/100^3))+((Geometria!$H$52*Geometria!$I$309)/(Geometria!$I$41/100^3))</f>
        <v>-12439.045402738833</v>
      </c>
      <c r="R49" s="367">
        <f ca="1">('Perdas por Seção'!U91*(Geometria!$I$280*100))/Geometria!$J$1031</f>
        <v>138.81780229819071</v>
      </c>
      <c r="S49" s="787">
        <f ca="1">IF(H49="Sim",-('Isolamento de cabos'!$C$58/(Geometria!$H$36/100^2))-('Isolamento de cabos'!$C$59/(Geometria!$H$41/100^3))+((Geometria!$I$287)/(Geometria!$H$41/100^3))+((Geometria!$I$298)/(Geometria!$I$41/100^3))+((Geometria!$H$52*Geometria!$I$309)/(Geometria!$I$41/100^3)),IF(M49="Sim",-('Perdas por Seção'!U97/(Geometria!$H$36/100^2))-('Perdas por Seção'!U98/(Geometria!$H$41/100^3))+((Geometria!$I$287)/(Geometria!$H$41/100^3))+((Geometria!$I$298)/(Geometria!$I$41/100^3))+((Geometria!$H$52*Geometria!$I$309)/(Geometria!$I$41/100^3)),-('Perdas por Seção'!U97/(Geometria!$H$36/100^2))-('Perdas por Seção'!U98/(Geometria!$H$41/100^3))+((Geometria!$I$287)/(Geometria!$H$41/100^3))+((Geometria!$I$298)/(Geometria!$I$41/100^3))+((Geometria!$H$52*Geometria!$I$309)/(Geometria!$I$41/100^3))))</f>
        <v>-6471.4549116810776</v>
      </c>
      <c r="T49" s="788"/>
      <c r="V49" s="368">
        <f ca="1">Geometria!$H$166*R49+Geometria!$H$168*R26</f>
        <v>1096.1053669465139</v>
      </c>
      <c r="W49" s="368">
        <f ca="1">Geometria!$H$166*R49*Geometria!$H$167/100-Geometria!$H$168*R26*Geometria!$H$169/100</f>
        <v>103.59427443575201</v>
      </c>
      <c r="X49" s="363"/>
      <c r="Y49">
        <f t="shared" ca="1" si="6"/>
        <v>-6.4714549116810778</v>
      </c>
      <c r="AB49" s="787">
        <f ca="1">-(Geometria!$J$242/(Geometria!$H$36/100^2))-(Geometria!$J$243/(Geometria!$H$41/100^3))+((Geometria!$I$287)/(Geometria!$H$41/100^3))+((Geometria!$I$298)/(Geometria!$I$41/100^3))+((Geometria!$H$52*Geometria!$I$309)/(Geometria!$I$41/100^3))</f>
        <v>-7222.1789834764095</v>
      </c>
      <c r="AC49" s="788"/>
    </row>
    <row r="50" spans="1:29" x14ac:dyDescent="0.25">
      <c r="A50" s="115" t="s">
        <v>367</v>
      </c>
      <c r="B50" s="204" t="str">
        <f ca="1">B32</f>
        <v>Reduzir</v>
      </c>
      <c r="C50" s="364">
        <f t="shared" ca="1" si="4"/>
        <v>-9418.6990683655204</v>
      </c>
      <c r="D50" s="365">
        <f ca="1">-I50/(Geometria!$H$36/100^2)-J50/(Geometria!$H$41/100^3)+Geometria!$J$747/(Geometria!$H$41/100^3)</f>
        <v>-9418.6990683655204</v>
      </c>
      <c r="E50" s="367">
        <f ca="1">('Perdas por Seção'!V59*(Geometria!$H$280*100))/Geometria!$J$1031</f>
        <v>82.277443170213246</v>
      </c>
      <c r="F50" s="770">
        <f ca="1">IF(H50="Sim",-('Isolamento de cabos'!$C$26)/(Geometria!$H$36/100^2)-('Isolamento de cabos'!$C$27)/(Geometria!$H$41/100^3)+Geometria!$H$741/(Geometria!$H$41/100^3),IF(M50="Sim",-'Perdas por Seção'!V99/(Geometria!$H$36/100^2)-'Perdas por Seção'!V100/(Geometria!$H$41/100^3)+Geometria!$H$741/(Geometria!$H$41/100^3),-'Perdas por Seção'!V99/(Geometria!$H$36/100^2)-'Perdas por Seção'!V100/(Geometria!$H$41/100^3)+Geometria!$H$741/(Geometria!$H$41/100^3)))</f>
        <v>-12656.605843082916</v>
      </c>
      <c r="G50" s="770"/>
      <c r="H50" s="209" t="str">
        <f>IF(Geometria!$H$280&lt;'Isolamento de cabos'!$C$8,"Sim","Não")</f>
        <v>Não</v>
      </c>
      <c r="I50" s="368">
        <f ca="1">Geometria!$H$166*E50+Geometria!$H$168*E27</f>
        <v>649.66269127200383</v>
      </c>
      <c r="J50" s="368">
        <f ca="1">Geometria!$H$166*E50*Geometria!$H$167/100-Geometria!$H$168*E27*Geometria!$H$169/100</f>
        <v>61.400424776485259</v>
      </c>
      <c r="K50" s="363"/>
      <c r="L50">
        <f t="shared" ca="1" si="1"/>
        <v>-9.4186990683655196</v>
      </c>
      <c r="M50" s="209" t="str">
        <f>IF(Geometria!$H$280&lt;'Isolamento de cabos'!$C$10,"Sim","Não")</f>
        <v>Não</v>
      </c>
      <c r="N50" s="115" t="s">
        <v>367</v>
      </c>
      <c r="O50" s="204" t="str">
        <f ca="1">O32</f>
        <v>Reduzir</v>
      </c>
      <c r="P50" s="364">
        <f t="shared" ca="1" si="7"/>
        <v>-5929.594015876597</v>
      </c>
      <c r="Q50" s="365">
        <f ca="1">-(V50/(Geometria!$H$36/100^2))-(W50/(Geometria!$H$41/100^3))+((Geometria!$J$287)/(Geometria!$H$41/100^3))+((Geometria!$J$298)/(Geometria!$I$41/100^3))+((Geometria!$H$52*Geometria!$J$309)/(Geometria!$I$41/100^3))</f>
        <v>-5929.594015876597</v>
      </c>
      <c r="R50" s="367">
        <f ca="1">('Perdas por Seção'!V91*(Geometria!$H$280*100))/Geometria!$J$1031</f>
        <v>68.194708341158943</v>
      </c>
      <c r="S50" s="787">
        <f ca="1">IF(H50="Sim",-('Isolamento de cabos'!$C$58/(Geometria!$H$36/100^2))-('Isolamento de cabos'!$C$59/(Geometria!$H$41/100^3))+((Geometria!$J$287)/(Geometria!$H$41/100^3))+((Geometria!$J$298)/(Geometria!$I$41/100^3))+((Geometria!$H$52*Geometria!$J$309)/(Geometria!$I$41/100^3)),IF(M50="Sim",-('Perdas por Seção'!V97/(Geometria!$H$36/100^2))-('Perdas por Seção'!V98/(Geometria!$H$41/100^3))+((Geometria!$J$287)/(Geometria!$H$41/100^3))+((Geometria!$J$298)/(Geometria!$I$41/100^3))+((Geometria!$H$52*Geometria!$J$309)/(Geometria!$I$41/100^3)),-('Perdas por Seção'!V97/(Geometria!$H$36/100^2))-('Perdas por Seção'!V98/(Geometria!$H$41/100^3))+((Geometria!$J$287)/(Geometria!$H$41/100^3))+((Geometria!$J$298)/(Geometria!$I$41/100^3))+((Geometria!$H$52*Geometria!$J$309)/(Geometria!$I$41/100^3))))</f>
        <v>-8613.2956433191684</v>
      </c>
      <c r="T50" s="788"/>
      <c r="V50" s="368">
        <f ca="1">Geometria!$H$166*R50+Geometria!$H$168*R27</f>
        <v>538.46541706179096</v>
      </c>
      <c r="W50" s="368">
        <f ca="1">Geometria!$H$166*R50*Geometria!$H$167/100-Geometria!$H$168*R27*Geometria!$H$169/100</f>
        <v>50.891032807052028</v>
      </c>
      <c r="X50" s="363"/>
      <c r="Y50">
        <f t="shared" ca="1" si="6"/>
        <v>-5.9295940158765967</v>
      </c>
      <c r="AB50" s="787">
        <f ca="1">-(Geometria!$J$242/(Geometria!$H$36/100^2))-(Geometria!$J$243/(Geometria!$H$41/100^3))+((Geometria!$J$287)/(Geometria!$H$41/100^3))+((Geometria!$J$298)/(Geometria!$I$41/100^3))+((Geometria!$H$52*Geometria!$J$309)/(Geometria!$I$41/100^3))</f>
        <v>-9563.9782595615616</v>
      </c>
      <c r="AC50" s="788"/>
    </row>
    <row r="51" spans="1:29" ht="15.75" thickBot="1" x14ac:dyDescent="0.3">
      <c r="A51" s="133" t="s">
        <v>368</v>
      </c>
      <c r="B51" s="204" t="str">
        <f ca="1">B31</f>
        <v>Reduzir</v>
      </c>
      <c r="C51" s="369"/>
      <c r="D51" s="370">
        <v>0</v>
      </c>
      <c r="E51" s="371">
        <v>0</v>
      </c>
      <c r="F51" s="785">
        <v>0</v>
      </c>
      <c r="G51" s="786"/>
      <c r="K51" s="363"/>
      <c r="L51">
        <f t="shared" si="1"/>
        <v>0</v>
      </c>
      <c r="N51" s="133" t="s">
        <v>368</v>
      </c>
      <c r="O51" s="204" t="str">
        <f ca="1">O31</f>
        <v>Reduzir</v>
      </c>
      <c r="P51" s="369"/>
      <c r="Q51" s="370">
        <v>0</v>
      </c>
      <c r="R51" s="371">
        <v>0</v>
      </c>
      <c r="S51" s="785">
        <v>0</v>
      </c>
      <c r="T51" s="786"/>
      <c r="X51" s="363"/>
      <c r="Y51">
        <f t="shared" si="6"/>
        <v>0</v>
      </c>
    </row>
    <row r="52" spans="1:29" x14ac:dyDescent="0.25">
      <c r="A52" s="362"/>
      <c r="K52" s="363"/>
      <c r="N52" s="362"/>
      <c r="X52" s="363"/>
    </row>
    <row r="53" spans="1:29" ht="15.75" thickBot="1" x14ac:dyDescent="0.3">
      <c r="A53" s="372"/>
      <c r="B53" s="373"/>
      <c r="C53" s="373"/>
      <c r="D53" s="373"/>
      <c r="E53" s="373"/>
      <c r="F53" s="373"/>
      <c r="G53" s="373"/>
      <c r="H53" s="373"/>
      <c r="I53" s="373"/>
      <c r="J53" s="373"/>
      <c r="K53" s="374"/>
      <c r="N53" s="372"/>
      <c r="O53" s="373"/>
      <c r="P53" s="373"/>
      <c r="Q53" s="373"/>
      <c r="R53" s="373"/>
      <c r="S53" s="373"/>
      <c r="T53" s="373"/>
      <c r="U53" s="373"/>
      <c r="V53" s="373"/>
      <c r="W53" s="373"/>
      <c r="X53" s="374"/>
    </row>
  </sheetData>
  <mergeCells count="125">
    <mergeCell ref="AB46:AC46"/>
    <mergeCell ref="AB47:AC47"/>
    <mergeCell ref="AB48:AC48"/>
    <mergeCell ref="AB49:AC49"/>
    <mergeCell ref="AB50:AC50"/>
    <mergeCell ref="AB41:AC41"/>
    <mergeCell ref="AB42:AC42"/>
    <mergeCell ref="AB43:AC43"/>
    <mergeCell ref="AB44:AC44"/>
    <mergeCell ref="AB45:AC45"/>
    <mergeCell ref="AB36:AC36"/>
    <mergeCell ref="AB37:AC37"/>
    <mergeCell ref="AB38:AC38"/>
    <mergeCell ref="AB39:AC39"/>
    <mergeCell ref="AB40:AC40"/>
    <mergeCell ref="AB32:AC32"/>
    <mergeCell ref="AB33:AC33"/>
    <mergeCell ref="AB34:AC34"/>
    <mergeCell ref="AB35:AC35"/>
    <mergeCell ref="S50:T50"/>
    <mergeCell ref="S51:T51"/>
    <mergeCell ref="S45:T45"/>
    <mergeCell ref="S46:T46"/>
    <mergeCell ref="S47:T47"/>
    <mergeCell ref="S48:T48"/>
    <mergeCell ref="S49:T49"/>
    <mergeCell ref="S40:T40"/>
    <mergeCell ref="S41:T41"/>
    <mergeCell ref="S42:T42"/>
    <mergeCell ref="S43:T43"/>
    <mergeCell ref="S44:T44"/>
    <mergeCell ref="S35:T35"/>
    <mergeCell ref="S36:T36"/>
    <mergeCell ref="S37:T37"/>
    <mergeCell ref="S38:T38"/>
    <mergeCell ref="S39:T39"/>
    <mergeCell ref="W29:W30"/>
    <mergeCell ref="S31:T31"/>
    <mergeCell ref="S32:T32"/>
    <mergeCell ref="S33:T33"/>
    <mergeCell ref="S34:T34"/>
    <mergeCell ref="S28:T28"/>
    <mergeCell ref="P29:P30"/>
    <mergeCell ref="Q29:R30"/>
    <mergeCell ref="S29:T30"/>
    <mergeCell ref="V29:V30"/>
    <mergeCell ref="S23:T23"/>
    <mergeCell ref="S24:T24"/>
    <mergeCell ref="S25:T25"/>
    <mergeCell ref="S26:T26"/>
    <mergeCell ref="S27:T27"/>
    <mergeCell ref="S18:T18"/>
    <mergeCell ref="S19:T19"/>
    <mergeCell ref="S20:T20"/>
    <mergeCell ref="S21:T21"/>
    <mergeCell ref="S22:T22"/>
    <mergeCell ref="S13:T13"/>
    <mergeCell ref="S14:T14"/>
    <mergeCell ref="S15:T15"/>
    <mergeCell ref="S16:T16"/>
    <mergeCell ref="S17:T17"/>
    <mergeCell ref="S8:T8"/>
    <mergeCell ref="S9:T9"/>
    <mergeCell ref="S10:T10"/>
    <mergeCell ref="S11:T11"/>
    <mergeCell ref="S12:T12"/>
    <mergeCell ref="N4:X4"/>
    <mergeCell ref="P6:P7"/>
    <mergeCell ref="Q6:R7"/>
    <mergeCell ref="S6:T7"/>
    <mergeCell ref="V6:V7"/>
    <mergeCell ref="W6:W7"/>
    <mergeCell ref="F47:G47"/>
    <mergeCell ref="F48:G48"/>
    <mergeCell ref="F49:G49"/>
    <mergeCell ref="F50:G50"/>
    <mergeCell ref="F51:G51"/>
    <mergeCell ref="F46:G46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I29:I30"/>
    <mergeCell ref="J29:J30"/>
    <mergeCell ref="F31:G31"/>
    <mergeCell ref="F32:G32"/>
    <mergeCell ref="F33:G33"/>
    <mergeCell ref="F34:G34"/>
    <mergeCell ref="F26:G26"/>
    <mergeCell ref="F27:G27"/>
    <mergeCell ref="F28:G28"/>
    <mergeCell ref="C29:C30"/>
    <mergeCell ref="D29:E30"/>
    <mergeCell ref="F29:G30"/>
    <mergeCell ref="F25:G25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13:G13"/>
    <mergeCell ref="A4:K4"/>
    <mergeCell ref="C6:C7"/>
    <mergeCell ref="D6:E7"/>
    <mergeCell ref="F6:G7"/>
    <mergeCell ref="I6:I7"/>
    <mergeCell ref="J6:J7"/>
    <mergeCell ref="F8:G8"/>
    <mergeCell ref="F9:G9"/>
    <mergeCell ref="F10:G10"/>
    <mergeCell ref="F11:G11"/>
    <mergeCell ref="F12:G1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9F5F-3891-4B69-ADF4-444FA4FD3C60}">
  <dimension ref="B1:W838"/>
  <sheetViews>
    <sheetView showGridLines="0" topLeftCell="A28" workbookViewId="0">
      <selection activeCell="C786" sqref="C786"/>
    </sheetView>
  </sheetViews>
  <sheetFormatPr defaultColWidth="9.140625" defaultRowHeight="15" x14ac:dyDescent="0.25"/>
  <cols>
    <col min="1" max="1" width="9.140625" style="1"/>
    <col min="2" max="2" width="16.140625" style="1" customWidth="1"/>
    <col min="3" max="3" width="15.5703125" style="1" customWidth="1"/>
    <col min="4" max="4" width="16.140625" style="1" customWidth="1"/>
    <col min="5" max="13" width="9.140625" style="1"/>
    <col min="14" max="14" width="9.5703125" style="1" customWidth="1"/>
    <col min="15" max="21" width="9.140625" style="1"/>
    <col min="22" max="22" width="10.5703125" style="1" bestFit="1" customWidth="1"/>
    <col min="23" max="16384" width="9.140625" style="1"/>
  </cols>
  <sheetData>
    <row r="1" spans="2:23" ht="15.75" customHeight="1" thickBot="1" x14ac:dyDescent="0.3"/>
    <row r="2" ht="15.75" thickBot="1" x14ac:dyDescent="0.3">
      <c r="B2" s="486" t="s">
        <v>1043</v>
      </c>
      <c r="C2" s="812" t="s">
        <v>1044</v>
      </c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3"/>
      <c r="V2" s="528" t="inlineStr">
        <is>
          <t xml:space="preserve">AUXILIAR: MATERIAIS E SEÇÃO COMPOSTA</t>
        </is>
      </c>
      <c r="W2" s="528"/>
      <c r="X2" s="528"/>
    </row>
    <row r="3" ht="18" x14ac:dyDescent="0.35">
      <c r="B3" s="483" t="s">
        <v>1045</v>
      </c>
      <c r="C3" s="487">
        <f>Geometria!H23</f>
        <v>25.0</v>
      </c>
      <c r="D3" s="1" t="s">
        <v>80</v>
      </c>
      <c r="E3" s="488" t="s">
        <v>1046</v>
      </c>
      <c r="S3" s="489"/>
      <c r="V3" s="483" t="inlineStr">
        <is>
          <t xml:space="preserve">αE,laje</t>
        </is>
      </c>
      <c r="W3" s="490">
        <v>1.0</v>
      </c>
      <c r="X3" s="1" t="inlineStr">
        <is>
          <t xml:space="preserve">-</t>
        </is>
      </c>
    </row>
    <row r="4" ht="18" x14ac:dyDescent="0.35">
      <c r="B4" s="483" t="s">
        <v>1047</v>
      </c>
      <c r="C4" s="490">
        <f>Geometria!H33</f>
        <v>5.0</v>
      </c>
      <c r="D4" s="1" t="s">
        <v>80</v>
      </c>
      <c r="E4" s="488" t="s">
        <v>1048</v>
      </c>
      <c r="S4" s="489"/>
      <c r="V4" s="483" t="inlineStr">
        <is>
          <t xml:space="preserve">αE,capa</t>
        </is>
      </c>
      <c r="W4" s="490">
        <v>1.2</v>
      </c>
      <c r="X4" s="1" t="inlineStr">
        <is>
          <t xml:space="preserve">-</t>
        </is>
      </c>
    </row>
    <row r="5" ht="18" x14ac:dyDescent="0.25">
      <c r="B5" s="482" t="s">
        <v>1049</v>
      </c>
      <c r="C5" s="491">
        <f>Geometria!H22</f>
        <v>125.0</v>
      </c>
      <c r="D5" s="1" t="s">
        <v>80</v>
      </c>
      <c r="E5" s="488" t="s">
        <v>1050</v>
      </c>
      <c r="S5" s="489"/>
      <c r="V5" s="483" t="inlineStr">
        <is>
          <t xml:space="preserve">fck,chav</t>
        </is>
      </c>
      <c r="W5" s="490">
        <f>Geometria!H59</f>
        <v>30.0</v>
      </c>
      <c r="X5" s="1" t="inlineStr">
        <is>
          <t xml:space="preserve">MPa</t>
        </is>
      </c>
    </row>
    <row r="6" ht="18" x14ac:dyDescent="0.35">
      <c r="B6" s="483" t="s">
        <v>1051</v>
      </c>
      <c r="C6" s="490">
        <f>Geometria!H58</f>
        <v>50.0</v>
      </c>
      <c r="D6" s="1" t="s">
        <v>50</v>
      </c>
      <c r="E6" s="488" t="s">
        <v>1052</v>
      </c>
      <c r="S6" s="489"/>
      <c r="V6" s="483" t="inlineStr">
        <is>
          <t xml:space="preserve">αE,chav</t>
        </is>
      </c>
      <c r="W6" s="490">
        <f>W4</f>
        <v>1.2</v>
      </c>
      <c r="X6" s="1" t="inlineStr">
        <is>
          <t xml:space="preserve">-</t>
        </is>
      </c>
    </row>
    <row r="7" ht="18" x14ac:dyDescent="0.35">
      <c r="B7" s="492" t="s">
        <v>1053</v>
      </c>
      <c r="C7" s="493">
        <f>W8*W7</f>
        <v>36628.13126546316</v>
      </c>
      <c r="D7" s="1" t="s">
        <v>50</v>
      </c>
      <c r="E7" s="488" t="inlineStr">
        <is>
          <t xml:space="preserve">*Módulo secante da laje × daf da laje isolada (auxiliar em V2:X23)</t>
        </is>
      </c>
      <c r="S7" s="489"/>
      <c r="V7" s="483" t="inlineStr">
        <is>
          <t xml:space="preserve">daf,isol</t>
        </is>
      </c>
      <c r="W7" s="490">
        <v>1.0</v>
      </c>
      <c r="X7" s="1" t="inlineStr">
        <is>
          <t xml:space="preserve">-</t>
        </is>
      </c>
    </row>
    <row r="8" ht="18" customHeight="1" x14ac:dyDescent="0.35">
      <c r="B8" s="494" t="s">
        <v>1054</v>
      </c>
      <c r="C8" s="495">
        <f ca="1">Geometria!H36/100^2</f>
        <v>0.1558883157708945</v>
      </c>
      <c r="D8" s="1" t="s">
        <v>631</v>
      </c>
      <c r="E8" s="488" t="s">
        <v>1055</v>
      </c>
      <c r="S8" s="489"/>
      <c r="V8" s="483" t="inlineStr">
        <is>
          <t xml:space="preserve">Ecs,laje</t>
        </is>
      </c>
      <c r="W8" s="1">
        <f>W3*5600*SQRT(C6)*MIN(1,0.8+0.2*C6/80)</f>
        <v>36628.13126546316</v>
      </c>
      <c r="X8" s="1" t="inlineStr">
        <is>
          <t xml:space="preserve">MPa</t>
        </is>
      </c>
    </row>
    <row r="9" x14ac:dyDescent="0.25">
      <c r="B9" s="483" t="s">
        <v>1056</v>
      </c>
      <c r="C9" s="495">
        <f ca="1">Geometria!H37/100^4</f>
        <v>0.00124422696076471</v>
      </c>
      <c r="D9" s="1" t="s">
        <v>1057</v>
      </c>
      <c r="E9" s="488" t="s">
        <v>1058</v>
      </c>
      <c r="S9" s="489"/>
      <c r="V9" s="483" t="inlineStr">
        <is>
          <t xml:space="preserve">Ecs,capa</t>
        </is>
      </c>
      <c r="W9" s="1">
        <f>W4*5600*SQRT(Geometria!H59)*MIN(1,0.8+0.2*Geometria!H59/80)</f>
        <v>32206.086381303765</v>
      </c>
      <c r="X9" s="1" t="inlineStr">
        <is>
          <t xml:space="preserve">MPa</t>
        </is>
      </c>
    </row>
    <row r="10" x14ac:dyDescent="0.25">
      <c r="B10" s="483" t="s">
        <v>1059</v>
      </c>
      <c r="C10" s="496">
        <f ca="1">(C8*2500)</f>
        <v>389.72078942723624</v>
      </c>
      <c r="D10" s="1" t="s">
        <v>1060</v>
      </c>
      <c r="E10" s="488" t="s">
        <v>1061</v>
      </c>
      <c r="S10" s="489"/>
      <c r="V10" s="483" t="inlineStr">
        <is>
          <t xml:space="preserve">Ecs,chav</t>
        </is>
      </c>
      <c r="W10" s="1">
        <f>W6*5600*SQRT(W5)*MIN(1,0.8+0.2*W5/80)</f>
        <v>32206.086381303765</v>
      </c>
      <c r="X10" s="1" t="inlineStr">
        <is>
          <t xml:space="preserve">MPa</t>
        </is>
      </c>
    </row>
    <row r="11" ht="15.75" thickBot="1" x14ac:dyDescent="0.3">
      <c r="B11" s="497"/>
      <c r="C11" s="496"/>
      <c r="E11" s="488"/>
      <c r="S11" s="489"/>
      <c r="V11" s="483" t="inlineStr">
        <is>
          <t xml:space="preserve">n,capa</t>
        </is>
      </c>
      <c r="W11" s="1">
        <f>W9/W8</f>
        <v>0.8792718948146567</v>
      </c>
      <c r="X11" s="1" t="inlineStr">
        <is>
          <t xml:space="preserve">-</t>
        </is>
      </c>
    </row>
    <row r="12" ht="15.75" thickBot="1" x14ac:dyDescent="0.3">
      <c r="B12" s="486" t="s">
        <v>1062</v>
      </c>
      <c r="C12" s="791" t="s">
        <v>1063</v>
      </c>
      <c r="D12" s="791"/>
      <c r="E12" s="791"/>
      <c r="F12" s="791"/>
      <c r="G12" s="791"/>
      <c r="H12" s="791"/>
      <c r="I12" s="791"/>
      <c r="J12" s="791"/>
      <c r="K12" s="791"/>
      <c r="L12" s="791"/>
      <c r="M12" s="791"/>
      <c r="N12" s="791"/>
      <c r="O12" s="791"/>
      <c r="P12" s="791"/>
      <c r="Q12" s="791"/>
      <c r="R12" s="791"/>
      <c r="S12" s="811"/>
      <c r="V12" s="483" t="inlineStr">
        <is>
          <t xml:space="preserve">n,chav</t>
        </is>
      </c>
      <c r="W12" s="1">
        <f>W10/W8</f>
        <v>0.8792718948146567</v>
      </c>
      <c r="X12" s="1" t="inlineStr">
        <is>
          <t xml:space="preserve">-</t>
        </is>
      </c>
    </row>
    <row r="13" ht="18" customHeight="1" x14ac:dyDescent="0.35">
      <c r="B13" s="483" t="s">
        <v>1064</v>
      </c>
      <c r="C13" s="498">
        <f>Geometria!H30+Geometria!H33</f>
        <v>30.0</v>
      </c>
      <c r="D13" s="1" t="s">
        <v>80</v>
      </c>
      <c r="E13" s="488" t="s">
        <v>1065</v>
      </c>
      <c r="S13" s="489"/>
      <c r="V13" s="483" t="inlineStr">
        <is>
          <t xml:space="preserve">y,pré</t>
        </is>
      </c>
      <c r="W13" s="1">
        <f>Geometria!H24/100</f>
        <v>0.1245112372949516</v>
      </c>
      <c r="X13" s="1" t="inlineStr">
        <is>
          <t xml:space="preserve">m</t>
        </is>
      </c>
    </row>
    <row r="14" ht="18" x14ac:dyDescent="0.35">
      <c r="B14" s="482" t="s">
        <v>1066</v>
      </c>
      <c r="C14" s="490">
        <f>Geometria!H21</f>
        <v>982.0</v>
      </c>
      <c r="D14" s="1" t="s">
        <v>80</v>
      </c>
      <c r="E14" s="488" t="s">
        <v>1067</v>
      </c>
      <c r="S14" s="489"/>
      <c r="V14" s="483" t="inlineStr">
        <is>
          <t xml:space="preserve">A,capa</t>
        </is>
      </c>
      <c r="W14" s="1">
        <f>(C5/100)*(C4/100)</f>
        <v>0.0625</v>
      </c>
      <c r="X14" s="1" t="inlineStr">
        <is>
          <t xml:space="preserve">m²</t>
        </is>
      </c>
    </row>
    <row r="15" ht="18" x14ac:dyDescent="0.35">
      <c r="B15" s="483" t="s">
        <v>1068</v>
      </c>
      <c r="C15" s="491">
        <f>'Propriedades geométricas LA '!M16</f>
        <v>121.2</v>
      </c>
      <c r="D15" s="1" t="s">
        <v>80</v>
      </c>
      <c r="E15" s="488" t="s">
        <v>1069</v>
      </c>
      <c r="S15" s="489"/>
      <c r="V15" s="483" t="inlineStr">
        <is>
          <t xml:space="preserve">y,capa</t>
        </is>
      </c>
      <c r="W15" s="1">
        <f>(C3+C4/2)/100</f>
        <v>0.275</v>
      </c>
      <c r="X15" s="1" t="inlineStr">
        <is>
          <t xml:space="preserve">m</t>
        </is>
      </c>
    </row>
    <row r="16" ht="18" x14ac:dyDescent="0.35">
      <c r="B16" s="483" t="s">
        <v>1051</v>
      </c>
      <c r="C16" s="490">
        <f>C6</f>
        <v>50.0</v>
      </c>
      <c r="D16" s="1" t="s">
        <v>50</v>
      </c>
      <c r="E16" s="488" t="s">
        <v>1762</v>
      </c>
      <c r="S16" s="489"/>
      <c r="V16" s="483" t="inlineStr">
        <is>
          <t xml:space="preserve">I,capa</t>
        </is>
      </c>
      <c r="W16" s="1">
        <f>(C5/100)*(C4/100)^3/12</f>
        <v>1.3020833333333336e-05</v>
      </c>
      <c r="X16" s="1" t="inlineStr">
        <is>
          <t xml:space="preserve">m⁴</t>
        </is>
      </c>
    </row>
    <row r="17" ht="18" x14ac:dyDescent="0.35">
      <c r="B17" s="492" t="s">
        <v>1053</v>
      </c>
      <c r="C17" s="493">
        <f>W8*Geometria!H1290</f>
        <v>36628.13126546316</v>
      </c>
      <c r="D17" s="1" t="s">
        <v>50</v>
      </c>
      <c r="E17" s="488" t="inlineStr">
        <is>
          <t xml:space="preserve">*Módulo secante da laje × daf da Geometria (H1290)</t>
        </is>
      </c>
      <c r="S17" s="489"/>
      <c r="V17" s="483" t="inlineStr">
        <is>
          <t xml:space="preserve">A,chav</t>
        </is>
      </c>
      <c r="W17" s="1">
        <f>'Propriedades geométricas chavet'!M6/100^2</f>
        <v>0.0078021</v>
      </c>
      <c r="X17" s="1" t="inlineStr">
        <is>
          <t xml:space="preserve">m²</t>
        </is>
      </c>
    </row>
    <row r="18" ht="18" customHeight="1" x14ac:dyDescent="0.35">
      <c r="B18" s="483" t="s">
        <v>1070</v>
      </c>
      <c r="C18" s="495">
        <f>W23</f>
        <v>0.2183883157708945</v>
      </c>
      <c r="D18" s="1" t="s">
        <v>631</v>
      </c>
      <c r="E18" s="488" t="inlineStr">
        <is>
          <t xml:space="preserve">*Área real de concreto: laje + capa (a chaveta é somada em C20). Auxiliar em V2:X23</t>
        </is>
      </c>
      <c r="S18" s="489"/>
      <c r="V18" s="483" t="inlineStr">
        <is>
          <t xml:space="preserve">y,chav</t>
        </is>
      </c>
      <c r="W18" s="1">
        <f>'Propriedades geométricas chavet'!M7/100</f>
        <v>0.1463607163455993</v>
      </c>
      <c r="X18" s="1" t="inlineStr">
        <is>
          <t xml:space="preserve">m</t>
        </is>
      </c>
    </row>
    <row r="19" x14ac:dyDescent="0.25">
      <c r="B19" s="483" t="s">
        <v>1056</v>
      </c>
      <c r="C19" s="495">
        <f>W22</f>
        <v>0.002219390557176543</v>
      </c>
      <c r="D19" s="1" t="s">
        <v>1057</v>
      </c>
      <c r="E19" s="488" t="inlineStr">
        <is>
          <t xml:space="preserve">*Inércia da seção composta (laje + capa + chaveta) homogeneizada para o concreto da laje. Auxiliar em V2:X23</t>
        </is>
      </c>
      <c r="S19" s="489"/>
      <c r="U19" s="499"/>
      <c r="V19" s="483" t="inlineStr">
        <is>
          <t xml:space="preserve">I,chav</t>
        </is>
      </c>
      <c r="W19" s="1">
        <f>'Propriedades geométricas chavet'!M9/100^4</f>
        <v>4.7247377939506293e-05</v>
      </c>
      <c r="X19" s="1" t="inlineStr">
        <is>
          <t xml:space="preserve">m⁴</t>
        </is>
      </c>
    </row>
    <row r="20" x14ac:dyDescent="0.25">
      <c r="B20" s="483" t="s">
        <v>1059</v>
      </c>
      <c r="C20" s="496">
        <f ca="1">(C18*2500)+(('Propriedades geométricas chavet'!M6/100^2)*2500)</f>
        <v>565.4760394272363</v>
      </c>
      <c r="D20" s="1" t="s">
        <v>1060</v>
      </c>
      <c r="E20" s="488" t="s">
        <v>1263</v>
      </c>
      <c r="S20" s="489"/>
      <c r="U20" s="500"/>
      <c r="V20" s="483" t="inlineStr">
        <is>
          <t xml:space="preserve">A,hom</t>
        </is>
      </c>
      <c r="W20" s="1">
        <f>C8+W11*W14+W12*W17</f>
        <v>0.21770297644734396</v>
      </c>
      <c r="X20" s="1" t="inlineStr">
        <is>
          <t xml:space="preserve">m²</t>
        </is>
      </c>
    </row>
    <row r="21" ht="15.75" thickBot="1" x14ac:dyDescent="0.3">
      <c r="B21" s="497"/>
      <c r="S21" s="489"/>
      <c r="V21" s="483" t="inlineStr">
        <is>
          <t xml:space="preserve">y,hom</t>
        </is>
      </c>
      <c r="W21" s="1">
        <f>(C8*W13+W11*W14*W15+W12*W17*W18)/W20</f>
        <v>0.16318744162975923</v>
      </c>
      <c r="X21" s="1" t="inlineStr">
        <is>
          <t xml:space="preserve">m</t>
        </is>
      </c>
    </row>
    <row r="22" ht="15.75" thickBot="1" x14ac:dyDescent="0.3">
      <c r="B22" s="486" t="s">
        <v>1071</v>
      </c>
      <c r="C22" s="791" t="s">
        <v>1072</v>
      </c>
      <c r="D22" s="791"/>
      <c r="E22" s="791"/>
      <c r="F22" s="791"/>
      <c r="G22" s="791"/>
      <c r="H22" s="791"/>
      <c r="I22" s="791"/>
      <c r="J22" s="791"/>
      <c r="K22" s="791"/>
      <c r="L22" s="791"/>
      <c r="M22" s="791"/>
      <c r="N22" s="791"/>
      <c r="O22" s="791"/>
      <c r="P22" s="791"/>
      <c r="Q22" s="791"/>
      <c r="R22" s="791"/>
      <c r="S22" s="811"/>
      <c r="U22" s="500"/>
      <c r="V22" s="483" t="inlineStr">
        <is>
          <t xml:space="preserve">I,hom</t>
        </is>
      </c>
      <c r="W22" s="1">
        <f>C9+C8*(W13-W21)^2+W11*(W16+W14*(W15-W21)^2)+W12*(W19+W17*(W18-W21)^2)</f>
        <v>0.002219390557176543</v>
      </c>
      <c r="X22" s="1" t="inlineStr">
        <is>
          <t xml:space="preserve">m⁴</t>
        </is>
      </c>
    </row>
    <row r="23" x14ac:dyDescent="0.25">
      <c r="B23" s="482" t="s">
        <v>1073</v>
      </c>
      <c r="C23" s="501">
        <f ca="1">((C26/(C10*(C14/100)))^0.5)*1/(2*PI())</f>
        <v>5.57028350357053</v>
      </c>
      <c r="D23" s="502" t="s">
        <v>1074</v>
      </c>
      <c r="E23" s="488" t="s">
        <v>1957</v>
      </c>
      <c r="S23" s="489"/>
      <c r="V23" s="483" t="inlineStr">
        <is>
          <t xml:space="preserve">A,real</t>
        </is>
      </c>
      <c r="W23" s="1">
        <f>C8+W14</f>
        <v>0.2183883157708945</v>
      </c>
      <c r="X23" s="1" t="inlineStr">
        <is>
          <t xml:space="preserve">m²</t>
        </is>
      </c>
    </row>
    <row r="24" spans="2:23" x14ac:dyDescent="0.25">
      <c r="B24" s="482" t="s">
        <v>1075</v>
      </c>
      <c r="C24" s="1">
        <f ca="1">C7*C9*1000</f>
        <v>45573.70844291808</v>
      </c>
      <c r="D24" s="1" t="s">
        <v>1076</v>
      </c>
      <c r="E24" s="488" t="s">
        <v>1077</v>
      </c>
      <c r="S24" s="489"/>
    </row>
    <row r="25" spans="2:23" x14ac:dyDescent="0.25">
      <c r="B25" s="482" t="s">
        <v>1078</v>
      </c>
      <c r="C25" s="499">
        <f ca="1">(384*C24)/(5*(C14/100)^3)</f>
        <v>3696.07798746207</v>
      </c>
      <c r="D25" s="503" t="s">
        <v>47</v>
      </c>
      <c r="E25" s="488" t="s">
        <v>1766</v>
      </c>
      <c r="S25" s="489"/>
    </row>
    <row r="26" spans="2:23" x14ac:dyDescent="0.25">
      <c r="B26" s="482" t="s">
        <v>1079</v>
      </c>
      <c r="C26" s="499">
        <f ca="1">(((PI()^4)*(C24*1000))/((C14/100)^3))</f>
        <v>4687911.421216995</v>
      </c>
      <c r="D26" s="503" t="s">
        <v>1080</v>
      </c>
      <c r="E26" s="488" t="s">
        <v>1081</v>
      </c>
      <c r="S26" s="489"/>
    </row>
    <row r="27" spans="2:23" ht="15.75" thickBot="1" x14ac:dyDescent="0.3">
      <c r="B27" s="497"/>
      <c r="S27" s="489"/>
    </row>
    <row r="28" spans="2:23" ht="15.75" thickBot="1" x14ac:dyDescent="0.3">
      <c r="B28" s="486" t="s">
        <v>1082</v>
      </c>
      <c r="C28" s="791" t="s">
        <v>1083</v>
      </c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811"/>
    </row>
    <row r="29" spans="2:23" x14ac:dyDescent="0.25">
      <c r="B29" s="482" t="s">
        <v>1073</v>
      </c>
      <c r="C29" s="501">
        <f ca="1">((C32/(C20*(C14/100)))^0.5)*1/(2*PI())*$C$512</f>
        <v>9.570904097845478</v>
      </c>
      <c r="D29" s="502" t="s">
        <v>1074</v>
      </c>
      <c r="E29" s="488" t="s">
        <v>1767</v>
      </c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4"/>
    </row>
    <row r="30" spans="2:23" x14ac:dyDescent="0.25">
      <c r="B30" s="482" t="s">
        <v>1075</v>
      </c>
      <c r="C30" s="1">
        <f ca="1">(C17*C19)*1000</f>
        <v>81292.12865759185</v>
      </c>
      <c r="D30" s="1" t="s">
        <v>1076</v>
      </c>
      <c r="E30" s="488" t="s">
        <v>1077</v>
      </c>
      <c r="S30" s="489"/>
    </row>
    <row r="31" spans="2:23" x14ac:dyDescent="0.25">
      <c r="B31" s="482" t="s">
        <v>1078</v>
      </c>
      <c r="C31" s="499">
        <f ca="1">(384*C30)/(5*(C14/100)^3)</f>
        <v>6592.881236812098</v>
      </c>
      <c r="D31" s="1" t="s">
        <v>47</v>
      </c>
      <c r="E31" s="488" t="s">
        <v>1766</v>
      </c>
      <c r="S31" s="489"/>
    </row>
    <row r="32" spans="2:23" x14ac:dyDescent="0.25">
      <c r="B32" s="482" t="s">
        <v>1079</v>
      </c>
      <c r="C32" s="499">
        <f ca="1">(((PI()^4)*(C30*1000))/((C14/100)^3))</f>
        <v>8362064.694960888</v>
      </c>
      <c r="D32" s="503" t="s">
        <v>1080</v>
      </c>
      <c r="E32" s="488" t="s">
        <v>1081</v>
      </c>
      <c r="S32" s="489"/>
    </row>
    <row r="33" spans="2:19" x14ac:dyDescent="0.25">
      <c r="B33" s="482" t="s">
        <v>1084</v>
      </c>
      <c r="C33" s="505">
        <f>1.5*10^8</f>
        <v>150000000</v>
      </c>
      <c r="D33" s="503" t="s">
        <v>1080</v>
      </c>
      <c r="E33" s="488" t="s">
        <v>1768</v>
      </c>
      <c r="S33" s="489"/>
    </row>
    <row r="34" spans="2:19" x14ac:dyDescent="0.25">
      <c r="B34" s="506" t="s">
        <v>1085</v>
      </c>
      <c r="C34" s="507" t="str">
        <f ca="1">IF(C32&gt;=C33,"Ok","Aumentar Rigidez do Elemento")</f>
        <v>Aumentar Rigidez do Elemento</v>
      </c>
      <c r="D34" s="508"/>
      <c r="E34" s="508"/>
      <c r="S34" s="489"/>
    </row>
    <row r="35" spans="2:19" ht="18" customHeight="1" thickBot="1" x14ac:dyDescent="0.3">
      <c r="B35" s="481"/>
      <c r="S35" s="489"/>
    </row>
    <row r="36" spans="2:19" ht="15.75" thickBot="1" x14ac:dyDescent="0.3">
      <c r="B36" s="509" t="s">
        <v>1086</v>
      </c>
      <c r="C36" s="791" t="s">
        <v>1087</v>
      </c>
      <c r="D36" s="791"/>
      <c r="E36" s="791"/>
      <c r="F36" s="791"/>
      <c r="G36" s="791"/>
      <c r="H36" s="791"/>
      <c r="I36" s="791"/>
      <c r="J36" s="791"/>
      <c r="K36" s="791"/>
      <c r="L36" s="791"/>
      <c r="M36" s="791"/>
      <c r="N36" s="791"/>
      <c r="O36" s="791"/>
      <c r="P36" s="791"/>
      <c r="Q36" s="791"/>
      <c r="R36" s="791"/>
      <c r="S36" s="811"/>
    </row>
    <row r="37" spans="2:19" x14ac:dyDescent="0.25">
      <c r="B37" s="482" t="s">
        <v>1073</v>
      </c>
      <c r="C37" s="501">
        <f ca="1">((C40/(C20*C39*(C14/100)))^0.5)*1/(2*PI())*$C$512</f>
        <v>9.570904097845478</v>
      </c>
      <c r="D37" s="502" t="s">
        <v>1074</v>
      </c>
      <c r="E37" s="488" t="s">
        <v>1769</v>
      </c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4"/>
    </row>
    <row r="38" spans="2:19" x14ac:dyDescent="0.25">
      <c r="B38" s="483" t="s">
        <v>1088</v>
      </c>
      <c r="C38" s="490">
        <v>2000</v>
      </c>
      <c r="D38" s="1" t="s">
        <v>80</v>
      </c>
      <c r="E38" s="488" t="s">
        <v>1089</v>
      </c>
      <c r="S38" s="489"/>
    </row>
    <row r="39" spans="2:19" x14ac:dyDescent="0.25">
      <c r="B39" s="483" t="s">
        <v>1090</v>
      </c>
      <c r="C39" s="1">
        <f>INT(C38/C5)</f>
        <v>16.0</v>
      </c>
      <c r="D39" s="1" t="s">
        <v>1091</v>
      </c>
      <c r="E39" s="488" t="s">
        <v>1092</v>
      </c>
      <c r="S39" s="489"/>
    </row>
    <row r="40" spans="2:19" x14ac:dyDescent="0.25">
      <c r="B40" s="482" t="s">
        <v>1079</v>
      </c>
      <c r="C40" s="499">
        <f ca="1">C32*C39</f>
        <v>133793035.1193742</v>
      </c>
      <c r="D40" s="503" t="s">
        <v>1080</v>
      </c>
      <c r="E40" s="488" t="s">
        <v>1081</v>
      </c>
      <c r="S40" s="489"/>
    </row>
    <row r="41" spans="2:19" x14ac:dyDescent="0.25">
      <c r="B41" s="506" t="s">
        <v>1085</v>
      </c>
      <c r="C41" s="507" t="str">
        <f ca="1">IF(C40&gt;=C33,"Ok","Aumentar Rigidez do Elemento")</f>
        <v>Aumentar Rigidez do Elemento</v>
      </c>
      <c r="S41" s="489"/>
    </row>
    <row r="42" spans="2:19" x14ac:dyDescent="0.25">
      <c r="B42" s="789" t="s">
        <v>1093</v>
      </c>
      <c r="C42" s="814"/>
      <c r="D42" s="814"/>
      <c r="E42" s="814"/>
      <c r="F42" s="814"/>
      <c r="G42" s="814"/>
      <c r="H42" s="814"/>
      <c r="I42" s="814"/>
      <c r="J42" s="814"/>
      <c r="K42" s="814"/>
      <c r="L42" s="814"/>
      <c r="M42" s="814"/>
      <c r="N42" s="814"/>
      <c r="O42" s="814"/>
      <c r="P42" s="814"/>
      <c r="Q42" s="814"/>
      <c r="R42" s="814"/>
      <c r="S42" s="815"/>
    </row>
    <row r="43" spans="2:19" x14ac:dyDescent="0.25">
      <c r="B43" s="789"/>
      <c r="C43" s="814"/>
      <c r="D43" s="814"/>
      <c r="E43" s="814"/>
      <c r="F43" s="814"/>
      <c r="G43" s="814"/>
      <c r="H43" s="814"/>
      <c r="I43" s="814"/>
      <c r="J43" s="814"/>
      <c r="K43" s="814"/>
      <c r="L43" s="814"/>
      <c r="M43" s="814"/>
      <c r="N43" s="814"/>
      <c r="O43" s="814"/>
      <c r="P43" s="814"/>
      <c r="Q43" s="814"/>
      <c r="R43" s="814"/>
      <c r="S43" s="815"/>
    </row>
    <row r="44" spans="2:19" ht="18" customHeight="1" thickBot="1" x14ac:dyDescent="0.3">
      <c r="B44" s="510"/>
      <c r="C44" s="511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2"/>
    </row>
    <row r="45" spans="2:19" ht="15.75" customHeight="1" thickBot="1" x14ac:dyDescent="0.3">
      <c r="B45" s="486" t="s">
        <v>1094</v>
      </c>
      <c r="C45" s="791" t="s">
        <v>1095</v>
      </c>
      <c r="D45" s="791"/>
      <c r="E45" s="791"/>
      <c r="F45" s="791"/>
      <c r="G45" s="791"/>
      <c r="H45" s="791"/>
      <c r="I45" s="791"/>
      <c r="J45" s="791"/>
      <c r="K45" s="791"/>
      <c r="L45" s="791"/>
      <c r="M45" s="791"/>
      <c r="N45" s="791"/>
      <c r="O45" s="791"/>
      <c r="P45" s="791"/>
      <c r="Q45" s="791"/>
      <c r="R45" s="791"/>
      <c r="S45" s="811"/>
    </row>
    <row r="46" spans="2:19" ht="18" x14ac:dyDescent="0.35">
      <c r="B46" s="483" t="s">
        <v>1096</v>
      </c>
      <c r="C46" s="490">
        <f>Geometria!H8</f>
        <v>300.0</v>
      </c>
      <c r="D46" s="1" t="s">
        <v>702</v>
      </c>
      <c r="E46" s="488" t="s">
        <v>1097</v>
      </c>
      <c r="S46" s="489"/>
    </row>
    <row r="47" ht="18" x14ac:dyDescent="0.35">
      <c r="B47" s="483" t="s">
        <v>1098</v>
      </c>
      <c r="C47" s="490">
        <f>Geometria!H6</f>
        <v>300.0</v>
      </c>
      <c r="D47" s="1" t="s">
        <v>702</v>
      </c>
      <c r="E47" s="488" t="s">
        <v>1099</v>
      </c>
      <c r="S47" s="489"/>
      <c r="V47" s="483" t="inlineStr">
        <is>
          <t xml:space="preserve">δviga,méd</t>
        </is>
      </c>
      <c r="W47" s="1">
        <f>('Deslocamento viga'!C27+'Deslocamento viga'!D27)/2</f>
        <v>1.5</v>
      </c>
      <c r="X47" s="1" t="inlineStr">
        <is>
          <t xml:space="preserve">mm</t>
        </is>
      </c>
    </row>
    <row r="48" ht="18" x14ac:dyDescent="0.25">
      <c r="B48" s="482" t="s">
        <v>1033</v>
      </c>
      <c r="C48" s="491">
        <f>Geometria!H1291</f>
        <v>0.4</v>
      </c>
      <c r="E48" s="488" t="s">
        <v>1100</v>
      </c>
      <c r="S48" s="489"/>
      <c r="V48" s="483" t="inlineStr">
        <is>
          <t xml:space="preserve">fviga</t>
        </is>
      </c>
      <c r="W48" s="1">
        <f>IF(W47&gt;0,0.18*SQRT(9.81/(W47/1000)),0)</f>
        <v>14.556647965792124</v>
      </c>
      <c r="X48" s="1" t="inlineStr">
        <is>
          <t xml:space="preserve">Hz</t>
        </is>
      </c>
    </row>
    <row r="49" spans="2:19" x14ac:dyDescent="0.25">
      <c r="B49" s="483"/>
      <c r="L49" s="499"/>
      <c r="S49" s="489"/>
    </row>
    <row r="50" spans="2:19" ht="15" customHeight="1" x14ac:dyDescent="0.25">
      <c r="B50" s="482" t="s">
        <v>1073</v>
      </c>
      <c r="C50" s="501">
        <f ca="1">((C40/((C20*C39*(C14/100))+(C47*(C14/100)*C48*(C39*C5/100))+(C46*(C14/100)*(C39*C5/100))))^0.5)*1/(2*PI())*$C$512</f>
        <v>6.892106894374424</v>
      </c>
      <c r="D50" s="502" t="s">
        <v>1074</v>
      </c>
      <c r="E50" s="488" t="s">
        <v>1101</v>
      </c>
      <c r="L50" s="499"/>
      <c r="M50" s="500"/>
      <c r="S50" s="489"/>
    </row>
    <row r="51" ht="15.75" customHeight="1" thickBot="1" x14ac:dyDescent="0.3">
      <c r="B51" s="482" t="s">
        <v>1958</v>
      </c>
      <c r="C51" s="501">
        <f>IF(W47&gt;0,1/SQRT(1/C50^2+1/W48^2),C50)</f>
        <v>6.229178762822037</v>
      </c>
      <c r="D51" s="502" t="s">
        <v>1074</v>
      </c>
      <c r="E51" s="488" t="inlineStr">
        <is>
          <t xml:space="preserve">*Frequência do pano com todas as cargas + deformação das vigas de apoio (aba Deslocamento viga; auxiliar em V47:X48). É o valor usado nos critérios</t>
        </is>
      </c>
      <c r="F51" s="511"/>
      <c r="G51" s="511"/>
      <c r="H51" s="511"/>
      <c r="I51" s="511"/>
      <c r="J51" s="511"/>
      <c r="K51" s="513"/>
      <c r="L51" s="514"/>
      <c r="M51" s="515"/>
      <c r="N51" s="515"/>
      <c r="O51" s="511"/>
      <c r="P51" s="511"/>
      <c r="Q51" s="511"/>
      <c r="R51" s="511"/>
      <c r="S51" s="512"/>
    </row>
    <row r="53" spans="2:19" ht="15" customHeight="1" x14ac:dyDescent="0.25">
      <c r="B53" s="516" t="s">
        <v>1102</v>
      </c>
      <c r="C53" s="516" t="s">
        <v>1103</v>
      </c>
    </row>
    <row r="54" spans="2:19" ht="15" customHeight="1" x14ac:dyDescent="0.25">
      <c r="B54" s="516" t="s">
        <v>1104</v>
      </c>
      <c r="C54" s="516" t="s">
        <v>1105</v>
      </c>
    </row>
    <row r="55" spans="2:19" ht="15" customHeight="1" x14ac:dyDescent="0.25">
      <c r="B55" s="517" t="s">
        <v>1106</v>
      </c>
      <c r="C55" s="518">
        <f ca="1">C23</f>
        <v>5.57028350357053</v>
      </c>
    </row>
    <row r="56" spans="2:19" ht="15" customHeight="1" x14ac:dyDescent="0.25">
      <c r="B56" s="517" t="s">
        <v>1107</v>
      </c>
      <c r="C56" s="518">
        <f ca="1">C29</f>
        <v>9.570904097845478</v>
      </c>
    </row>
    <row r="57" spans="2:19" ht="15" customHeight="1" x14ac:dyDescent="0.25">
      <c r="B57" s="517" t="s">
        <v>1960</v>
      </c>
      <c r="C57" s="518">
        <f ca="1">C51</f>
        <v>6.229178762822037</v>
      </c>
    </row>
    <row r="60" spans="2:19" ht="15" customHeight="1" x14ac:dyDescent="0.25">
      <c r="B60" s="516" t="s">
        <v>1108</v>
      </c>
      <c r="C60" s="516" t="s">
        <v>1109</v>
      </c>
    </row>
    <row r="61" spans="2:19" ht="15" customHeight="1" x14ac:dyDescent="0.25">
      <c r="B61" s="519" t="s">
        <v>1770</v>
      </c>
    </row>
    <row r="63" spans="2:19" ht="15" customHeight="1" x14ac:dyDescent="0.25">
      <c r="B63" s="516" t="s">
        <v>1110</v>
      </c>
    </row>
    <row r="64" spans="2:19" ht="15" customHeight="1" x14ac:dyDescent="0.25">
      <c r="B64" s="516" t="s">
        <v>1111</v>
      </c>
      <c r="C64" s="516" t="s">
        <v>1112</v>
      </c>
      <c r="D64" s="516" t="s">
        <v>1105</v>
      </c>
    </row>
    <row r="65" spans="2:4" ht="15" customHeight="1" x14ac:dyDescent="0.25">
      <c r="B65" s="517">
        <v>400</v>
      </c>
      <c r="C65" s="518">
        <f>B65/100</f>
        <v>4.0</v>
      </c>
      <c r="D65" s="520">
        <f t="shared" ref="D65:D81" ca="1" si="0">(((PI()^4*($C$24*1000)/(C65^3))/($C$10*C65))^0.5)*1/(2*PI())</f>
        <v>33.572237933107175</v>
      </c>
    </row>
    <row r="66" spans="2:4" ht="15" customHeight="1" x14ac:dyDescent="0.25">
      <c r="B66" s="517">
        <v>450</v>
      </c>
      <c r="C66" s="518">
        <f>B66/100</f>
        <v>4.5</v>
      </c>
      <c r="D66" s="520">
        <f t="shared" ca="1" si="0"/>
        <v>26.52621268788715</v>
      </c>
    </row>
    <row r="67" spans="2:4" ht="15" customHeight="1" x14ac:dyDescent="0.25">
      <c r="B67" s="517">
        <v>500</v>
      </c>
      <c r="C67" s="518">
        <f>B67/100</f>
        <v>5.0</v>
      </c>
      <c r="D67" s="520">
        <f t="shared" ca="1" si="0"/>
        <v>21.48623227718859</v>
      </c>
    </row>
    <row r="68" spans="2:4" ht="15" customHeight="1" x14ac:dyDescent="0.25">
      <c r="B68" s="517">
        <v>550</v>
      </c>
      <c r="C68" s="518">
        <f t="shared" ref="C68:C81" si="1">B68/100</f>
        <v>5.5</v>
      </c>
      <c r="D68" s="520">
        <f t="shared" ca="1" si="0"/>
        <v>17.757216758007097</v>
      </c>
    </row>
    <row r="69" spans="2:4" ht="15" customHeight="1" x14ac:dyDescent="0.25">
      <c r="B69" s="517">
        <v>600</v>
      </c>
      <c r="C69" s="518">
        <f t="shared" si="1"/>
        <v>6.0</v>
      </c>
      <c r="D69" s="520">
        <f t="shared" ca="1" si="0"/>
        <v>14.920994636936522</v>
      </c>
    </row>
    <row r="70" spans="2:4" ht="15" customHeight="1" x14ac:dyDescent="0.25">
      <c r="B70" s="517">
        <v>650</v>
      </c>
      <c r="C70" s="518">
        <f t="shared" si="1"/>
        <v>6.5</v>
      </c>
      <c r="D70" s="520">
        <f t="shared" ca="1" si="0"/>
        <v>12.713746909579047</v>
      </c>
    </row>
    <row r="71" spans="2:4" ht="15" customHeight="1" x14ac:dyDescent="0.25">
      <c r="B71" s="517">
        <v>700</v>
      </c>
      <c r="C71" s="518">
        <f t="shared" si="1"/>
        <v>7.0</v>
      </c>
      <c r="D71" s="520">
        <f t="shared" ca="1" si="0"/>
        <v>10.96236340672887</v>
      </c>
    </row>
    <row r="72" spans="2:4" ht="15" customHeight="1" x14ac:dyDescent="0.25">
      <c r="B72" s="517">
        <v>750</v>
      </c>
      <c r="C72" s="518">
        <f t="shared" si="1"/>
        <v>7.5</v>
      </c>
      <c r="D72" s="520">
        <f t="shared" ca="1" si="0"/>
        <v>9.549436567639372</v>
      </c>
    </row>
    <row r="73" spans="2:4" ht="15" customHeight="1" x14ac:dyDescent="0.25">
      <c r="B73" s="517">
        <v>800</v>
      </c>
      <c r="C73" s="518">
        <f t="shared" si="1"/>
        <v>8.0</v>
      </c>
      <c r="D73" s="520">
        <f t="shared" ca="1" si="0"/>
        <v>8.393059483276794</v>
      </c>
    </row>
    <row r="74" spans="2:4" ht="15" customHeight="1" x14ac:dyDescent="0.25">
      <c r="B74" s="517">
        <v>850</v>
      </c>
      <c r="C74" s="518">
        <f t="shared" si="1"/>
        <v>8.5</v>
      </c>
      <c r="D74" s="520">
        <f t="shared" ca="1" si="0"/>
        <v>7.434682448854183</v>
      </c>
    </row>
    <row r="75" spans="2:4" ht="15" customHeight="1" x14ac:dyDescent="0.25">
      <c r="B75" s="517">
        <v>900</v>
      </c>
      <c r="C75" s="518">
        <f t="shared" si="1"/>
        <v>9.0</v>
      </c>
      <c r="D75" s="520">
        <f t="shared" ca="1" si="0"/>
        <v>6.631553171971787</v>
      </c>
    </row>
    <row r="76" spans="2:4" ht="15" customHeight="1" x14ac:dyDescent="0.25">
      <c r="B76" s="517">
        <v>950</v>
      </c>
      <c r="C76" s="518">
        <f t="shared" si="1"/>
        <v>9.5</v>
      </c>
      <c r="D76" s="520">
        <f t="shared" ca="1" si="0"/>
        <v>5.95186489672814</v>
      </c>
    </row>
    <row r="77" spans="2:4" ht="15" customHeight="1" x14ac:dyDescent="0.25">
      <c r="B77" s="517">
        <v>1000</v>
      </c>
      <c r="C77" s="518">
        <f t="shared" si="1"/>
        <v>10.0</v>
      </c>
      <c r="D77" s="520">
        <f t="shared" ca="1" si="0"/>
        <v>5.371558069297148</v>
      </c>
    </row>
    <row r="78" spans="2:4" ht="15" customHeight="1" x14ac:dyDescent="0.25">
      <c r="B78" s="517">
        <v>1050</v>
      </c>
      <c r="C78" s="518">
        <f t="shared" si="1"/>
        <v>10.5</v>
      </c>
      <c r="D78" s="520">
        <f t="shared" ca="1" si="0"/>
        <v>4.872161514101721</v>
      </c>
    </row>
    <row r="79" spans="2:4" ht="15" customHeight="1" x14ac:dyDescent="0.25">
      <c r="B79" s="517">
        <v>1100</v>
      </c>
      <c r="C79" s="518">
        <f t="shared" si="1"/>
        <v>11.0</v>
      </c>
      <c r="D79" s="520">
        <f t="shared" ca="1" si="0"/>
        <v>4.439304189501774</v>
      </c>
    </row>
    <row r="80" spans="2:4" ht="15" customHeight="1" x14ac:dyDescent="0.25">
      <c r="B80" s="517">
        <v>1150</v>
      </c>
      <c r="C80" s="518">
        <f t="shared" si="1"/>
        <v>11.5</v>
      </c>
      <c r="D80" s="520">
        <f t="shared" ca="1" si="0"/>
        <v>4.0616696176159905</v>
      </c>
    </row>
    <row r="81" spans="2:4" ht="15" customHeight="1" x14ac:dyDescent="0.25">
      <c r="B81" s="517">
        <v>1200</v>
      </c>
      <c r="C81" s="518">
        <f t="shared" si="1"/>
        <v>12.0</v>
      </c>
      <c r="D81" s="520">
        <f t="shared" ca="1" si="0"/>
        <v>3.7302486592341304</v>
      </c>
    </row>
    <row r="84" spans="2:4" ht="15" customHeight="1" x14ac:dyDescent="0.25">
      <c r="B84" s="516" t="s">
        <v>1113</v>
      </c>
    </row>
    <row r="85" spans="2:4" ht="15" customHeight="1" x14ac:dyDescent="0.25">
      <c r="B85" s="516" t="s">
        <v>1111</v>
      </c>
      <c r="C85" s="516" t="s">
        <v>1112</v>
      </c>
      <c r="D85" s="516" t="s">
        <v>1105</v>
      </c>
    </row>
    <row r="86" spans="2:4" ht="15" customHeight="1" x14ac:dyDescent="0.25">
      <c r="B86" s="517">
        <v>400</v>
      </c>
      <c r="C86" s="518">
        <f t="shared" ref="C86:C102" si="2">B86/100</f>
        <v>4.0</v>
      </c>
      <c r="D86" s="520">
        <f t="shared" ref="D86:D102" ca="1" si="3">(((PI()^4*($C$30*1000)/(C86^3))/($C$20*C86))^0.5)*1/(2*PI())*$C$512</f>
        <v>57.684078270317144</v>
      </c>
    </row>
    <row r="87" spans="2:4" ht="15" customHeight="1" x14ac:dyDescent="0.25">
      <c r="B87" s="517">
        <v>450</v>
      </c>
      <c r="C87" s="518">
        <f t="shared" si="2"/>
        <v>4.5</v>
      </c>
      <c r="D87" s="520">
        <f t="shared" ca="1" si="3"/>
        <v>45.577543324695036</v>
      </c>
    </row>
    <row r="88" spans="2:4" ht="15" customHeight="1" x14ac:dyDescent="0.25">
      <c r="B88" s="517">
        <v>500</v>
      </c>
      <c r="C88" s="518">
        <f t="shared" si="2"/>
        <v>5.0</v>
      </c>
      <c r="D88" s="520">
        <f t="shared" ca="1" si="3"/>
        <v>36.91781009300298</v>
      </c>
    </row>
    <row r="89" spans="2:4" ht="15" customHeight="1" x14ac:dyDescent="0.25">
      <c r="B89" s="517">
        <v>550</v>
      </c>
      <c r="C89" s="518">
        <f t="shared" si="2"/>
        <v>5.5</v>
      </c>
      <c r="D89" s="520">
        <f t="shared" ca="1" si="3"/>
        <v>30.510586853721467</v>
      </c>
    </row>
    <row r="90" spans="2:4" ht="15" customHeight="1" x14ac:dyDescent="0.25">
      <c r="B90" s="517">
        <v>600</v>
      </c>
      <c r="C90" s="518">
        <f t="shared" si="2"/>
        <v>6.0</v>
      </c>
      <c r="D90" s="520">
        <f t="shared" ca="1" si="3"/>
        <v>25.637368120140955</v>
      </c>
    </row>
    <row r="91" spans="2:4" ht="15" customHeight="1" x14ac:dyDescent="0.25">
      <c r="B91" s="517">
        <v>650</v>
      </c>
      <c r="C91" s="518">
        <f t="shared" si="2"/>
        <v>6.5</v>
      </c>
      <c r="D91" s="520">
        <f t="shared" ca="1" si="3"/>
        <v>21.84485804319703</v>
      </c>
    </row>
    <row r="92" spans="2:4" ht="15" customHeight="1" x14ac:dyDescent="0.25">
      <c r="B92" s="517">
        <v>700</v>
      </c>
      <c r="C92" s="518">
        <f t="shared" si="2"/>
        <v>7.0</v>
      </c>
      <c r="D92" s="520">
        <f t="shared" ca="1" si="3"/>
        <v>18.835617394389274</v>
      </c>
    </row>
    <row r="93" spans="2:4" ht="15" customHeight="1" x14ac:dyDescent="0.25">
      <c r="B93" s="517">
        <v>750</v>
      </c>
      <c r="C93" s="518">
        <f t="shared" si="2"/>
        <v>7.5</v>
      </c>
      <c r="D93" s="520">
        <f t="shared" ca="1" si="3"/>
        <v>16.40791559689021</v>
      </c>
    </row>
    <row r="94" spans="2:4" ht="15" customHeight="1" x14ac:dyDescent="0.25">
      <c r="B94" s="517">
        <v>800</v>
      </c>
      <c r="C94" s="518">
        <f t="shared" si="2"/>
        <v>8.0</v>
      </c>
      <c r="D94" s="520">
        <f t="shared" ca="1" si="3"/>
        <v>14.421019567579286</v>
      </c>
    </row>
    <row r="95" spans="2:4" ht="15" customHeight="1" x14ac:dyDescent="0.25">
      <c r="B95" s="517">
        <v>850</v>
      </c>
      <c r="C95" s="518">
        <f t="shared" si="2"/>
        <v>8.5</v>
      </c>
      <c r="D95" s="520">
        <f t="shared" ca="1" si="3"/>
        <v>12.774328751904143</v>
      </c>
    </row>
    <row r="96" spans="2:4" ht="15" customHeight="1" x14ac:dyDescent="0.25">
      <c r="B96" s="517">
        <v>900</v>
      </c>
      <c r="C96" s="518">
        <f t="shared" si="2"/>
        <v>9.0</v>
      </c>
      <c r="D96" s="520">
        <f t="shared" ca="1" si="3"/>
        <v>11.394385831173759</v>
      </c>
    </row>
    <row r="97" spans="2:4" ht="15" customHeight="1" x14ac:dyDescent="0.25">
      <c r="B97" s="517">
        <v>950</v>
      </c>
      <c r="C97" s="518">
        <f t="shared" si="2"/>
        <v>9.5</v>
      </c>
      <c r="D97" s="520">
        <f t="shared" ca="1" si="3"/>
        <v>10.226540191967585</v>
      </c>
    </row>
    <row r="98" spans="2:4" ht="15" customHeight="1" x14ac:dyDescent="0.25">
      <c r="B98" s="517">
        <v>1000</v>
      </c>
      <c r="C98" s="518">
        <f t="shared" si="2"/>
        <v>10.0</v>
      </c>
      <c r="D98" s="520">
        <f t="shared" ca="1" si="3"/>
        <v>9.229452523250744</v>
      </c>
    </row>
    <row r="99" spans="2:4" ht="15" customHeight="1" x14ac:dyDescent="0.25">
      <c r="B99" s="517">
        <v>1050</v>
      </c>
      <c r="C99" s="518">
        <f t="shared" si="2"/>
        <v>10.5</v>
      </c>
      <c r="D99" s="520">
        <f t="shared" ca="1" si="3"/>
        <v>8.371385508617454</v>
      </c>
    </row>
    <row r="100" spans="2:4" ht="15" customHeight="1" x14ac:dyDescent="0.25">
      <c r="B100" s="517">
        <v>1100</v>
      </c>
      <c r="C100" s="518">
        <f t="shared" si="2"/>
        <v>11.0</v>
      </c>
      <c r="D100" s="520">
        <f t="shared" ca="1" si="3"/>
        <v>7.627646713430367</v>
      </c>
    </row>
    <row r="101" spans="2:4" ht="15" customHeight="1" x14ac:dyDescent="0.25">
      <c r="B101" s="517">
        <v>1150</v>
      </c>
      <c r="C101" s="518">
        <f t="shared" si="2"/>
        <v>11.5</v>
      </c>
      <c r="D101" s="520">
        <f t="shared" ca="1" si="3"/>
        <v>6.978792078072396</v>
      </c>
    </row>
    <row r="102" spans="2:4" ht="15" customHeight="1" x14ac:dyDescent="0.25">
      <c r="B102" s="517">
        <v>1200</v>
      </c>
      <c r="C102" s="518">
        <f t="shared" si="2"/>
        <v>12.0</v>
      </c>
      <c r="D102" s="520">
        <f t="shared" ca="1" si="3"/>
        <v>6.409342030035239</v>
      </c>
    </row>
    <row r="105" spans="2:4" ht="15" customHeight="1" x14ac:dyDescent="0.25">
      <c r="B105" s="516" t="s">
        <v>1114</v>
      </c>
    </row>
    <row r="106" spans="2:4" ht="15" customHeight="1" x14ac:dyDescent="0.25">
      <c r="B106" s="516" t="s">
        <v>1111</v>
      </c>
      <c r="C106" s="516" t="s">
        <v>1112</v>
      </c>
      <c r="D106" s="516" t="s">
        <v>1105</v>
      </c>
    </row>
    <row r="107" spans="2:4" ht="15" customHeight="1" x14ac:dyDescent="0.25">
      <c r="B107" s="517">
        <v>400</v>
      </c>
      <c r="C107" s="518">
        <f t="shared" ref="C107:C123" si="4">B107/100</f>
        <v>4.0</v>
      </c>
      <c r="D107" s="520">
        <f t="shared" ref="D107:D123" ca="1" si="5">((((PI()^4*($C$30*1000)/(C107^3))*$C$39)/(($C$20*$C$39*C107)+($C$47*C107*$C$48*($C$39*$C$5/100))+($C$46*C107*($C$39*$C$5/100))))^0.5)*1/(2*PI())*$C$512</f>
        <v>41.538900555067016</v>
      </c>
    </row>
    <row r="108" spans="2:4" ht="15" customHeight="1" x14ac:dyDescent="0.25">
      <c r="B108" s="517">
        <v>450</v>
      </c>
      <c r="C108" s="518">
        <f t="shared" si="4"/>
        <v>4.5</v>
      </c>
      <c r="D108" s="520">
        <f t="shared" ca="1" si="5"/>
        <v>32.82085969783073</v>
      </c>
    </row>
    <row r="109" spans="2:4" ht="15" customHeight="1" x14ac:dyDescent="0.25">
      <c r="B109" s="517">
        <v>500</v>
      </c>
      <c r="C109" s="518">
        <f t="shared" si="4"/>
        <v>5.0</v>
      </c>
      <c r="D109" s="520">
        <f t="shared" ca="1" si="5"/>
        <v>26.584896355242893</v>
      </c>
    </row>
    <row r="110" spans="2:4" ht="15" customHeight="1" x14ac:dyDescent="0.25">
      <c r="B110" s="517">
        <v>550</v>
      </c>
      <c r="C110" s="518">
        <f t="shared" si="4"/>
        <v>5.5</v>
      </c>
      <c r="D110" s="520">
        <f t="shared" ca="1" si="5"/>
        <v>21.970988723341236</v>
      </c>
    </row>
    <row r="111" spans="2:4" ht="15" customHeight="1" x14ac:dyDescent="0.25">
      <c r="B111" s="517">
        <v>600</v>
      </c>
      <c r="C111" s="518">
        <f t="shared" si="4"/>
        <v>6.0</v>
      </c>
      <c r="D111" s="520">
        <f t="shared" ca="1" si="5"/>
        <v>18.461733580029787</v>
      </c>
    </row>
    <row r="112" spans="2:4" ht="15" customHeight="1" x14ac:dyDescent="0.25">
      <c r="B112" s="517">
        <v>650</v>
      </c>
      <c r="C112" s="518">
        <f t="shared" si="4"/>
        <v>6.5</v>
      </c>
      <c r="D112" s="520">
        <f t="shared" ca="1" si="5"/>
        <v>15.730707902510586</v>
      </c>
    </row>
    <row r="113" spans="2:4" ht="15" customHeight="1" x14ac:dyDescent="0.25">
      <c r="B113" s="517">
        <v>700</v>
      </c>
      <c r="C113" s="518">
        <f t="shared" si="4"/>
        <v>7.0</v>
      </c>
      <c r="D113" s="520">
        <f t="shared" ca="1" si="5"/>
        <v>13.563722630225966</v>
      </c>
    </row>
    <row r="114" spans="2:4" ht="15" customHeight="1" x14ac:dyDescent="0.25">
      <c r="B114" s="517">
        <v>750</v>
      </c>
      <c r="C114" s="518">
        <f t="shared" si="4"/>
        <v>7.5</v>
      </c>
      <c r="D114" s="520">
        <f t="shared" ca="1" si="5"/>
        <v>11.815509491219064</v>
      </c>
    </row>
    <row r="115" spans="2:4" ht="15" customHeight="1" x14ac:dyDescent="0.25">
      <c r="B115" s="517">
        <v>800</v>
      </c>
      <c r="C115" s="518">
        <f t="shared" si="4"/>
        <v>8.0</v>
      </c>
      <c r="D115" s="520">
        <f t="shared" ca="1" si="5"/>
        <v>10.384725138766754</v>
      </c>
    </row>
    <row r="116" spans="2:4" ht="15" customHeight="1" x14ac:dyDescent="0.25">
      <c r="B116" s="517">
        <v>850</v>
      </c>
      <c r="C116" s="518">
        <f t="shared" si="4"/>
        <v>8.5</v>
      </c>
      <c r="D116" s="520">
        <f t="shared" ca="1" si="5"/>
        <v>9.198926074478509</v>
      </c>
    </row>
    <row r="117" spans="2:4" ht="15" customHeight="1" x14ac:dyDescent="0.25">
      <c r="B117" s="517">
        <v>900</v>
      </c>
      <c r="C117" s="518">
        <f t="shared" si="4"/>
        <v>9.0</v>
      </c>
      <c r="D117" s="520">
        <f t="shared" ca="1" si="5"/>
        <v>8.205214924457682</v>
      </c>
    </row>
    <row r="118" spans="2:4" ht="15" customHeight="1" x14ac:dyDescent="0.25">
      <c r="B118" s="517">
        <v>950</v>
      </c>
      <c r="C118" s="518">
        <f t="shared" si="4"/>
        <v>9.5</v>
      </c>
      <c r="D118" s="520">
        <f t="shared" ca="1" si="5"/>
        <v>7.364237217518807</v>
      </c>
    </row>
    <row r="119" spans="2:4" ht="15" customHeight="1" x14ac:dyDescent="0.25">
      <c r="B119" s="517">
        <v>1000</v>
      </c>
      <c r="C119" s="518">
        <f t="shared" si="4"/>
        <v>10.0</v>
      </c>
      <c r="D119" s="520">
        <f t="shared" ca="1" si="5"/>
        <v>6.646224088810723</v>
      </c>
    </row>
    <row r="120" spans="2:4" ht="15" customHeight="1" x14ac:dyDescent="0.25">
      <c r="B120" s="517">
        <v>1050</v>
      </c>
      <c r="C120" s="518">
        <f t="shared" si="4"/>
        <v>10.5</v>
      </c>
      <c r="D120" s="520">
        <f t="shared" ca="1" si="5"/>
        <v>6.028321168989319</v>
      </c>
    </row>
    <row r="121" spans="2:4" ht="15" customHeight="1" x14ac:dyDescent="0.25">
      <c r="B121" s="517">
        <v>1100</v>
      </c>
      <c r="C121" s="518">
        <f t="shared" si="4"/>
        <v>11.0</v>
      </c>
      <c r="D121" s="520">
        <f t="shared" ca="1" si="5"/>
        <v>5.492747180835309</v>
      </c>
    </row>
    <row r="122" spans="2:4" ht="15" customHeight="1" x14ac:dyDescent="0.25">
      <c r="B122" s="517">
        <v>1150</v>
      </c>
      <c r="C122" s="518">
        <f t="shared" si="4"/>
        <v>11.5</v>
      </c>
      <c r="D122" s="520">
        <f t="shared" ca="1" si="5"/>
        <v>5.0255002561895825</v>
      </c>
    </row>
    <row r="123" spans="2:4" ht="15" customHeight="1" x14ac:dyDescent="0.25">
      <c r="B123" s="517">
        <v>1200</v>
      </c>
      <c r="C123" s="518">
        <f t="shared" si="4"/>
        <v>12.0</v>
      </c>
      <c r="D123" s="520">
        <f t="shared" ca="1" si="5"/>
        <v>4.615433395007447</v>
      </c>
    </row>
    <row r="126" spans="2:4" x14ac:dyDescent="0.25">
      <c r="B126" s="516" t="s">
        <v>1115</v>
      </c>
      <c r="C126" s="516" t="s">
        <v>1116</v>
      </c>
    </row>
    <row r="127" spans="2:4" x14ac:dyDescent="0.25">
      <c r="B127" s="519" t="s">
        <v>1117</v>
      </c>
    </row>
    <row r="129" spans="2:4" x14ac:dyDescent="0.25">
      <c r="B129" s="516" t="s">
        <v>1118</v>
      </c>
    </row>
    <row r="130" spans="2:4" x14ac:dyDescent="0.25">
      <c r="B130" s="516" t="s">
        <v>1119</v>
      </c>
      <c r="C130" s="516" t="s">
        <v>1120</v>
      </c>
      <c r="D130" s="516" t="s">
        <v>398</v>
      </c>
    </row>
    <row r="131" spans="2:4" x14ac:dyDescent="0.25">
      <c r="B131" s="521">
        <v>0</v>
      </c>
      <c r="C131" s="522">
        <f t="shared" ref="C131:C194" ca="1" si="6">B131/40/$C$23</f>
        <v>0.0</v>
      </c>
      <c r="D131" s="523">
        <f t="shared" ref="D131:D194" ca="1" si="7">SIN(2*PI()*$C$23*C131)</f>
        <v>0.0</v>
      </c>
    </row>
    <row r="132" spans="2:4" x14ac:dyDescent="0.25">
      <c r="B132" s="521">
        <v>1</v>
      </c>
      <c r="C132" s="522">
        <f t="shared" ca="1" si="6"/>
        <v>0.004488101904324098</v>
      </c>
      <c r="D132" s="523">
        <f t="shared" ca="1" si="7"/>
        <v>0.1564344650402309</v>
      </c>
    </row>
    <row r="133" spans="2:4" x14ac:dyDescent="0.25">
      <c r="B133" s="521">
        <v>2</v>
      </c>
      <c r="C133" s="522">
        <f t="shared" ca="1" si="6"/>
        <v>0.008976203808648196</v>
      </c>
      <c r="D133" s="523">
        <f t="shared" ca="1" si="7"/>
        <v>0.30901699437494745</v>
      </c>
    </row>
    <row r="134" spans="2:4" x14ac:dyDescent="0.25">
      <c r="B134" s="521">
        <v>3</v>
      </c>
      <c r="C134" s="522">
        <f t="shared" ca="1" si="6"/>
        <v>0.013464305712972292</v>
      </c>
      <c r="D134" s="523">
        <f t="shared" ca="1" si="7"/>
        <v>0.45399049973954675</v>
      </c>
    </row>
    <row r="135" spans="2:4" x14ac:dyDescent="0.25">
      <c r="B135" s="521">
        <v>4</v>
      </c>
      <c r="C135" s="522">
        <f t="shared" ca="1" si="6"/>
        <v>0.01795240761729639</v>
      </c>
      <c r="D135" s="523">
        <f t="shared" ca="1" si="7"/>
        <v>0.5877852522924732</v>
      </c>
    </row>
    <row r="136" spans="2:4" x14ac:dyDescent="0.25">
      <c r="B136" s="521">
        <v>5</v>
      </c>
      <c r="C136" s="522">
        <f t="shared" ca="1" si="6"/>
        <v>0.022440509521620487</v>
      </c>
      <c r="D136" s="523">
        <f t="shared" ca="1" si="7"/>
        <v>0.7071067811865475</v>
      </c>
    </row>
    <row r="137" spans="2:4" x14ac:dyDescent="0.25">
      <c r="B137" s="521">
        <v>6</v>
      </c>
      <c r="C137" s="522">
        <f t="shared" ca="1" si="6"/>
        <v>0.026928611425944583</v>
      </c>
      <c r="D137" s="523">
        <f t="shared" ca="1" si="7"/>
        <v>0.8090169943749475</v>
      </c>
    </row>
    <row r="138" spans="2:4" x14ac:dyDescent="0.25">
      <c r="B138" s="521">
        <v>7</v>
      </c>
      <c r="C138" s="522">
        <f t="shared" ca="1" si="6"/>
        <v>0.03141671333026868</v>
      </c>
      <c r="D138" s="523">
        <f t="shared" ca="1" si="7"/>
        <v>0.8910065241883678</v>
      </c>
    </row>
    <row r="139" spans="2:4" x14ac:dyDescent="0.25">
      <c r="B139" s="521">
        <v>8</v>
      </c>
      <c r="C139" s="522">
        <f t="shared" ca="1" si="6"/>
        <v>0.03590481523459278</v>
      </c>
      <c r="D139" s="523">
        <f t="shared" ca="1" si="7"/>
        <v>0.9510565162951536</v>
      </c>
    </row>
    <row r="140" spans="2:4" x14ac:dyDescent="0.25">
      <c r="B140" s="521">
        <v>9</v>
      </c>
      <c r="C140" s="522">
        <f t="shared" ca="1" si="6"/>
        <v>0.04039291713891688</v>
      </c>
      <c r="D140" s="523">
        <f t="shared" ca="1" si="7"/>
        <v>0.9876883405951378</v>
      </c>
    </row>
    <row r="141" spans="2:4" x14ac:dyDescent="0.25">
      <c r="B141" s="521">
        <v>10</v>
      </c>
      <c r="C141" s="522">
        <f t="shared" ca="1" si="6"/>
        <v>0.044881019043240974</v>
      </c>
      <c r="D141" s="523">
        <f t="shared" ca="1" si="7"/>
        <v>1.0</v>
      </c>
    </row>
    <row r="142" spans="2:4" x14ac:dyDescent="0.25">
      <c r="B142" s="521">
        <v>11</v>
      </c>
      <c r="C142" s="522">
        <f t="shared" ca="1" si="6"/>
        <v>0.04936912094756507</v>
      </c>
      <c r="D142" s="523">
        <f t="shared" ca="1" si="7"/>
        <v>0.9876883405951378</v>
      </c>
    </row>
    <row r="143" spans="2:4" x14ac:dyDescent="0.25">
      <c r="B143" s="521">
        <v>12</v>
      </c>
      <c r="C143" s="522">
        <f t="shared" ca="1" si="6"/>
        <v>0.05385722285188917</v>
      </c>
      <c r="D143" s="523">
        <f t="shared" ca="1" si="7"/>
        <v>0.9510565162951536</v>
      </c>
    </row>
    <row r="144" spans="2:4" x14ac:dyDescent="0.25">
      <c r="B144" s="521">
        <v>13</v>
      </c>
      <c r="C144" s="522">
        <f t="shared" ca="1" si="6"/>
        <v>0.05834532475621326</v>
      </c>
      <c r="D144" s="523">
        <f t="shared" ca="1" si="7"/>
        <v>0.8910065241883679</v>
      </c>
    </row>
    <row r="145" spans="2:4" x14ac:dyDescent="0.25">
      <c r="B145" s="521">
        <v>14</v>
      </c>
      <c r="C145" s="522">
        <f t="shared" ca="1" si="6"/>
        <v>0.06283342666053736</v>
      </c>
      <c r="D145" s="523">
        <f t="shared" ca="1" si="7"/>
        <v>0.8090169943749475</v>
      </c>
    </row>
    <row r="146" spans="2:4" x14ac:dyDescent="0.25">
      <c r="B146" s="521">
        <v>15</v>
      </c>
      <c r="C146" s="522">
        <f t="shared" ca="1" si="6"/>
        <v>0.06732152856486145</v>
      </c>
      <c r="D146" s="523">
        <f t="shared" ca="1" si="7"/>
        <v>0.7071067811865476</v>
      </c>
    </row>
    <row r="147" spans="2:4" x14ac:dyDescent="0.25">
      <c r="B147" s="521">
        <v>16</v>
      </c>
      <c r="C147" s="522">
        <f t="shared" ca="1" si="6"/>
        <v>0.07180963046918556</v>
      </c>
      <c r="D147" s="523">
        <f t="shared" ca="1" si="7"/>
        <v>0.5877852522924728</v>
      </c>
    </row>
    <row r="148" spans="2:4" x14ac:dyDescent="0.25">
      <c r="B148" s="521">
        <v>17</v>
      </c>
      <c r="C148" s="522">
        <f t="shared" ca="1" si="6"/>
        <v>0.07629773237350965</v>
      </c>
      <c r="D148" s="523">
        <f t="shared" ca="1" si="7"/>
        <v>0.4539904997395473</v>
      </c>
    </row>
    <row r="149" spans="2:4" x14ac:dyDescent="0.25">
      <c r="B149" s="521">
        <v>18</v>
      </c>
      <c r="C149" s="522">
        <f t="shared" ca="1" si="6"/>
        <v>0.08078583427783376</v>
      </c>
      <c r="D149" s="523">
        <f t="shared" ca="1" si="7"/>
        <v>0.3090169943749475</v>
      </c>
    </row>
    <row r="150" spans="2:4" x14ac:dyDescent="0.25">
      <c r="B150" s="521">
        <v>19</v>
      </c>
      <c r="C150" s="522">
        <f t="shared" ca="1" si="6"/>
        <v>0.08527393618215784</v>
      </c>
      <c r="D150" s="523">
        <f t="shared" ca="1" si="7"/>
        <v>0.15643446504023142</v>
      </c>
    </row>
    <row r="151" spans="2:4" x14ac:dyDescent="0.25">
      <c r="B151" s="521">
        <v>20</v>
      </c>
      <c r="C151" s="522">
        <f t="shared" ca="1" si="6"/>
        <v>0.08976203808648195</v>
      </c>
      <c r="D151" s="523">
        <f t="shared" ca="1" si="7"/>
        <v>1.2246467991473532e-16</v>
      </c>
    </row>
    <row r="152" spans="2:4" x14ac:dyDescent="0.25">
      <c r="B152" s="521">
        <v>21</v>
      </c>
      <c r="C152" s="522">
        <f t="shared" ca="1" si="6"/>
        <v>0.09425013999080604</v>
      </c>
      <c r="D152" s="523">
        <f t="shared" ca="1" si="7"/>
        <v>-0.15643446504023073</v>
      </c>
    </row>
    <row r="153" spans="2:4" x14ac:dyDescent="0.25">
      <c r="B153" s="521">
        <v>22</v>
      </c>
      <c r="C153" s="522">
        <f t="shared" ca="1" si="6"/>
        <v>0.09873824189513014</v>
      </c>
      <c r="D153" s="523">
        <f t="shared" ca="1" si="7"/>
        <v>-0.3090169943749473</v>
      </c>
    </row>
    <row r="154" spans="2:4" x14ac:dyDescent="0.25">
      <c r="B154" s="521">
        <v>23</v>
      </c>
      <c r="C154" s="522">
        <f t="shared" ca="1" si="6"/>
        <v>0.10322634379945422</v>
      </c>
      <c r="D154" s="523">
        <f t="shared" ca="1" si="7"/>
        <v>-0.45399049973954625</v>
      </c>
    </row>
    <row r="155" spans="2:4" x14ac:dyDescent="0.25">
      <c r="B155" s="521">
        <v>24</v>
      </c>
      <c r="C155" s="522">
        <f t="shared" ca="1" si="6"/>
        <v>0.10771444570377833</v>
      </c>
      <c r="D155" s="523">
        <f t="shared" ca="1" si="7"/>
        <v>-0.587785252292473</v>
      </c>
    </row>
    <row r="156" spans="2:4" x14ac:dyDescent="0.25">
      <c r="B156" s="521">
        <v>25</v>
      </c>
      <c r="C156" s="522">
        <f t="shared" ca="1" si="6"/>
        <v>0.11220254760810243</v>
      </c>
      <c r="D156" s="523">
        <f t="shared" ca="1" si="7"/>
        <v>-0.7071067811865475</v>
      </c>
    </row>
    <row r="157" spans="2:4" x14ac:dyDescent="0.25">
      <c r="B157" s="521">
        <v>26</v>
      </c>
      <c r="C157" s="522">
        <f t="shared" ca="1" si="6"/>
        <v>0.11669064951242653</v>
      </c>
      <c r="D157" s="523">
        <f t="shared" ca="1" si="7"/>
        <v>-0.8090169943749473</v>
      </c>
    </row>
    <row r="158" spans="2:4" x14ac:dyDescent="0.25">
      <c r="B158" s="521">
        <v>27</v>
      </c>
      <c r="C158" s="522">
        <f t="shared" ca="1" si="6"/>
        <v>0.12117875141675064</v>
      </c>
      <c r="D158" s="523">
        <f t="shared" ca="1" si="7"/>
        <v>-0.8910065241883678</v>
      </c>
    </row>
    <row r="159" spans="2:4" x14ac:dyDescent="0.25">
      <c r="B159" s="521">
        <v>28</v>
      </c>
      <c r="C159" s="522">
        <f t="shared" ca="1" si="6"/>
        <v>0.12566685332107472</v>
      </c>
      <c r="D159" s="523">
        <f t="shared" ca="1" si="7"/>
        <v>-0.9510565162951535</v>
      </c>
    </row>
    <row r="160" spans="2:4" x14ac:dyDescent="0.25">
      <c r="B160" s="521">
        <v>29</v>
      </c>
      <c r="C160" s="522">
        <f t="shared" ca="1" si="6"/>
        <v>0.13015495522539883</v>
      </c>
      <c r="D160" s="523">
        <f t="shared" ca="1" si="7"/>
        <v>-0.9876883405951377</v>
      </c>
    </row>
    <row r="161" spans="2:4" x14ac:dyDescent="0.25">
      <c r="B161" s="521">
        <v>30</v>
      </c>
      <c r="C161" s="522">
        <f t="shared" ca="1" si="6"/>
        <v>0.1346430571297229</v>
      </c>
      <c r="D161" s="523">
        <f t="shared" ca="1" si="7"/>
        <v>-1.0</v>
      </c>
    </row>
    <row r="162" spans="2:4" x14ac:dyDescent="0.25">
      <c r="B162" s="521">
        <v>31</v>
      </c>
      <c r="C162" s="522">
        <f t="shared" ca="1" si="6"/>
        <v>0.13913115903404702</v>
      </c>
      <c r="D162" s="523">
        <f t="shared" ca="1" si="7"/>
        <v>-0.9876883405951378</v>
      </c>
    </row>
    <row r="163" spans="2:4" x14ac:dyDescent="0.25">
      <c r="B163" s="521">
        <v>32</v>
      </c>
      <c r="C163" s="522">
        <f t="shared" ca="1" si="6"/>
        <v>0.14361926093837113</v>
      </c>
      <c r="D163" s="523">
        <f t="shared" ca="1" si="7"/>
        <v>-0.9510565162951533</v>
      </c>
    </row>
    <row r="164" spans="2:4" x14ac:dyDescent="0.25">
      <c r="B164" s="521">
        <v>33</v>
      </c>
      <c r="C164" s="522">
        <f t="shared" ca="1" si="6"/>
        <v>0.1481073628426952</v>
      </c>
      <c r="D164" s="523">
        <f t="shared" ca="1" si="7"/>
        <v>-0.891006524188368</v>
      </c>
    </row>
    <row r="165" spans="2:4" x14ac:dyDescent="0.25">
      <c r="B165" s="521">
        <v>34</v>
      </c>
      <c r="C165" s="522">
        <f t="shared" ca="1" si="6"/>
        <v>0.1525954647470193</v>
      </c>
      <c r="D165" s="523">
        <f t="shared" ca="1" si="7"/>
        <v>-0.8090169943749481</v>
      </c>
    </row>
    <row r="166" spans="2:4" x14ac:dyDescent="0.25">
      <c r="B166" s="521">
        <v>35</v>
      </c>
      <c r="C166" s="522">
        <f t="shared" ca="1" si="6"/>
        <v>0.1570835666513434</v>
      </c>
      <c r="D166" s="523">
        <f t="shared" ca="1" si="7"/>
        <v>-0.7071067811865477</v>
      </c>
    </row>
    <row r="167" spans="2:4" x14ac:dyDescent="0.25">
      <c r="B167" s="521">
        <v>36</v>
      </c>
      <c r="C167" s="522">
        <f t="shared" ca="1" si="6"/>
        <v>0.1615716685556675</v>
      </c>
      <c r="D167" s="523">
        <f t="shared" ca="1" si="7"/>
        <v>-0.5877852522924734</v>
      </c>
    </row>
    <row r="168" spans="2:4" x14ac:dyDescent="0.25">
      <c r="B168" s="521">
        <v>37</v>
      </c>
      <c r="C168" s="522">
        <f t="shared" ca="1" si="6"/>
        <v>0.1660597704599916</v>
      </c>
      <c r="D168" s="523">
        <f t="shared" ca="1" si="7"/>
        <v>-0.45399049973954697</v>
      </c>
    </row>
    <row r="169" spans="2:4" x14ac:dyDescent="0.25">
      <c r="B169" s="521">
        <v>38</v>
      </c>
      <c r="C169" s="522">
        <f t="shared" ca="1" si="6"/>
        <v>0.17054787236431568</v>
      </c>
      <c r="D169" s="523">
        <f t="shared" ca="1" si="7"/>
        <v>-0.3090169943749485</v>
      </c>
    </row>
    <row r="170" spans="2:4" x14ac:dyDescent="0.25">
      <c r="B170" s="521">
        <v>39</v>
      </c>
      <c r="C170" s="522">
        <f t="shared" ca="1" si="6"/>
        <v>0.1750359742686398</v>
      </c>
      <c r="D170" s="523">
        <f t="shared" ca="1" si="7"/>
        <v>-0.15643446504023112</v>
      </c>
    </row>
    <row r="171" spans="2:4" x14ac:dyDescent="0.25">
      <c r="B171" s="521">
        <v>40</v>
      </c>
      <c r="C171" s="522">
        <f t="shared" ca="1" si="6"/>
        <v>0.1795240761729639</v>
      </c>
      <c r="D171" s="523">
        <f t="shared" ca="1" si="7"/>
        <v>-2.4492935982947064e-16</v>
      </c>
    </row>
    <row r="172" spans="2:4" x14ac:dyDescent="0.25">
      <c r="B172" s="521">
        <v>41</v>
      </c>
      <c r="C172" s="522">
        <f t="shared" ca="1" si="6"/>
        <v>0.18401217807728798</v>
      </c>
      <c r="D172" s="523">
        <f t="shared" ca="1" si="7"/>
        <v>0.15643446504023062</v>
      </c>
    </row>
    <row r="173" spans="2:4" x14ac:dyDescent="0.25">
      <c r="B173" s="521">
        <v>42</v>
      </c>
      <c r="C173" s="522">
        <f t="shared" ca="1" si="6"/>
        <v>0.1885002799816121</v>
      </c>
      <c r="D173" s="523">
        <f t="shared" ca="1" si="7"/>
        <v>0.3090169943749472</v>
      </c>
    </row>
    <row r="174" spans="2:4" x14ac:dyDescent="0.25">
      <c r="B174" s="521">
        <v>43</v>
      </c>
      <c r="C174" s="522">
        <f t="shared" ca="1" si="6"/>
        <v>0.19298838188593617</v>
      </c>
      <c r="D174" s="523">
        <f t="shared" ca="1" si="7"/>
        <v>0.45399049973954575</v>
      </c>
    </row>
    <row r="175" spans="2:4" x14ac:dyDescent="0.25">
      <c r="B175" s="521">
        <v>44</v>
      </c>
      <c r="C175" s="522">
        <f t="shared" ca="1" si="6"/>
        <v>0.19747648379026028</v>
      </c>
      <c r="D175" s="523">
        <f t="shared" ca="1" si="7"/>
        <v>0.5877852522924729</v>
      </c>
    </row>
    <row r="176" spans="2:4" x14ac:dyDescent="0.25">
      <c r="B176" s="521">
        <v>45</v>
      </c>
      <c r="C176" s="522">
        <f t="shared" ca="1" si="6"/>
        <v>0.20196458569458436</v>
      </c>
      <c r="D176" s="523">
        <f t="shared" ca="1" si="7"/>
        <v>0.7071067811865467</v>
      </c>
    </row>
    <row r="177" spans="2:4" x14ac:dyDescent="0.25">
      <c r="B177" s="521">
        <v>46</v>
      </c>
      <c r="C177" s="522">
        <f t="shared" ca="1" si="6"/>
        <v>0.20645268759890845</v>
      </c>
      <c r="D177" s="523">
        <f t="shared" ca="1" si="7"/>
        <v>0.8090169943749468</v>
      </c>
    </row>
    <row r="178" spans="2:4" x14ac:dyDescent="0.25">
      <c r="B178" s="521">
        <v>47</v>
      </c>
      <c r="C178" s="522">
        <f t="shared" ca="1" si="6"/>
        <v>0.21094078950323258</v>
      </c>
      <c r="D178" s="523">
        <f t="shared" ca="1" si="7"/>
        <v>0.8910065241883677</v>
      </c>
    </row>
    <row r="179" spans="2:4" x14ac:dyDescent="0.25">
      <c r="B179" s="521">
        <v>48</v>
      </c>
      <c r="C179" s="522">
        <f t="shared" ca="1" si="6"/>
        <v>0.21542889140755667</v>
      </c>
      <c r="D179" s="523">
        <f t="shared" ca="1" si="7"/>
        <v>0.9510565162951535</v>
      </c>
    </row>
    <row r="180" spans="2:4" x14ac:dyDescent="0.25">
      <c r="B180" s="521">
        <v>49</v>
      </c>
      <c r="C180" s="522">
        <f t="shared" ca="1" si="6"/>
        <v>0.21991699331188078</v>
      </c>
      <c r="D180" s="523">
        <f t="shared" ca="1" si="7"/>
        <v>0.9876883405951377</v>
      </c>
    </row>
    <row r="181" spans="2:4" x14ac:dyDescent="0.25">
      <c r="B181" s="521">
        <v>50</v>
      </c>
      <c r="C181" s="522">
        <f t="shared" ca="1" si="6"/>
        <v>0.22440509521620486</v>
      </c>
      <c r="D181" s="523">
        <f t="shared" ca="1" si="7"/>
        <v>1.0</v>
      </c>
    </row>
    <row r="182" spans="2:4" x14ac:dyDescent="0.25">
      <c r="B182" s="521">
        <v>51</v>
      </c>
      <c r="C182" s="522">
        <f t="shared" ca="1" si="6"/>
        <v>0.22889319712052894</v>
      </c>
      <c r="D182" s="523">
        <f t="shared" ca="1" si="7"/>
        <v>0.9876883405951379</v>
      </c>
    </row>
    <row r="183" spans="2:4" x14ac:dyDescent="0.25">
      <c r="B183" s="521">
        <v>52</v>
      </c>
      <c r="C183" s="522">
        <f t="shared" ca="1" si="6"/>
        <v>0.23338129902485305</v>
      </c>
      <c r="D183" s="523">
        <f t="shared" ca="1" si="7"/>
        <v>0.9510565162951536</v>
      </c>
    </row>
    <row r="184" spans="2:4" x14ac:dyDescent="0.25">
      <c r="B184" s="521">
        <v>53</v>
      </c>
      <c r="C184" s="522">
        <f t="shared" ca="1" si="6"/>
        <v>0.23786940092917713</v>
      </c>
      <c r="D184" s="523">
        <f t="shared" ca="1" si="7"/>
        <v>0.8910065241883685</v>
      </c>
    </row>
    <row r="185" spans="2:4" x14ac:dyDescent="0.25">
      <c r="B185" s="521">
        <v>54</v>
      </c>
      <c r="C185" s="522">
        <f t="shared" ca="1" si="6"/>
        <v>0.24235750283350127</v>
      </c>
      <c r="D185" s="523">
        <f t="shared" ca="1" si="7"/>
        <v>0.8090169943749477</v>
      </c>
    </row>
    <row r="186" spans="2:4" x14ac:dyDescent="0.25">
      <c r="B186" s="521">
        <v>55</v>
      </c>
      <c r="C186" s="522">
        <f t="shared" ca="1" si="6"/>
        <v>0.24684560473782535</v>
      </c>
      <c r="D186" s="523">
        <f t="shared" ca="1" si="7"/>
        <v>0.7071067811865483</v>
      </c>
    </row>
    <row r="187" spans="2:4" x14ac:dyDescent="0.25">
      <c r="B187" s="521">
        <v>56</v>
      </c>
      <c r="C187" s="522">
        <f t="shared" ca="1" si="6"/>
        <v>0.25133370664214943</v>
      </c>
      <c r="D187" s="523">
        <f t="shared" ca="1" si="7"/>
        <v>0.5877852522924734</v>
      </c>
    </row>
    <row r="188" spans="2:4" x14ac:dyDescent="0.25">
      <c r="B188" s="521">
        <v>57</v>
      </c>
      <c r="C188" s="522">
        <f t="shared" ca="1" si="6"/>
        <v>0.2558218085464736</v>
      </c>
      <c r="D188" s="523">
        <f t="shared" ca="1" si="7"/>
        <v>0.4539904997395463</v>
      </c>
    </row>
    <row r="189" spans="2:4" x14ac:dyDescent="0.25">
      <c r="B189" s="521">
        <v>58</v>
      </c>
      <c r="C189" s="522">
        <f t="shared" ca="1" si="6"/>
        <v>0.26030991045079765</v>
      </c>
      <c r="D189" s="523">
        <f t="shared" ca="1" si="7"/>
        <v>0.3090169943749478</v>
      </c>
    </row>
    <row r="190" spans="2:4" x14ac:dyDescent="0.25">
      <c r="B190" s="521">
        <v>59</v>
      </c>
      <c r="C190" s="522">
        <f t="shared" ca="1" si="6"/>
        <v>0.26479801235512174</v>
      </c>
      <c r="D190" s="523">
        <f t="shared" ca="1" si="7"/>
        <v>0.1564344650402321</v>
      </c>
    </row>
    <row r="191" spans="2:4" x14ac:dyDescent="0.25">
      <c r="B191" s="521">
        <v>60</v>
      </c>
      <c r="C191" s="522">
        <f t="shared" ca="1" si="6"/>
        <v>0.2692861142594458</v>
      </c>
      <c r="D191" s="523">
        <f t="shared" ca="1" si="7"/>
        <v>3.6739403974420594e-16</v>
      </c>
    </row>
    <row r="192" spans="2:4" x14ac:dyDescent="0.25">
      <c r="B192" s="521">
        <v>61</v>
      </c>
      <c r="C192" s="522">
        <f t="shared" ca="1" si="6"/>
        <v>0.2737742161637699</v>
      </c>
      <c r="D192" s="523">
        <f t="shared" ca="1" si="7"/>
        <v>-0.15643446504022962</v>
      </c>
    </row>
    <row r="193" spans="2:4" x14ac:dyDescent="0.25">
      <c r="B193" s="521">
        <v>62</v>
      </c>
      <c r="C193" s="522">
        <f t="shared" ca="1" si="6"/>
        <v>0.27826231806809404</v>
      </c>
      <c r="D193" s="523">
        <f t="shared" ca="1" si="7"/>
        <v>-0.30901699437494706</v>
      </c>
    </row>
    <row r="194" spans="2:4" x14ac:dyDescent="0.25">
      <c r="B194" s="521">
        <v>63</v>
      </c>
      <c r="C194" s="522">
        <f t="shared" ca="1" si="6"/>
        <v>0.2827504199724181</v>
      </c>
      <c r="D194" s="523">
        <f t="shared" ca="1" si="7"/>
        <v>-0.45399049973954564</v>
      </c>
    </row>
    <row r="195" spans="2:4" x14ac:dyDescent="0.25">
      <c r="B195" s="521">
        <v>64</v>
      </c>
      <c r="C195" s="522">
        <f t="shared" ref="C195:C251" ca="1" si="8">B195/40/$C$23</f>
        <v>0.28723852187674226</v>
      </c>
      <c r="D195" s="523">
        <f t="shared" ref="D195:D251" ca="1" si="9">SIN(2*PI()*$C$23*C195)</f>
        <v>-0.5877852522924742</v>
      </c>
    </row>
    <row r="196" spans="2:4" x14ac:dyDescent="0.25">
      <c r="B196" s="521">
        <v>65</v>
      </c>
      <c r="C196" s="522">
        <f t="shared" ca="1" si="8"/>
        <v>0.29172662378106634</v>
      </c>
      <c r="D196" s="523">
        <f t="shared" ca="1" si="9"/>
        <v>-0.7071067811865479</v>
      </c>
    </row>
    <row r="197" spans="2:4" x14ac:dyDescent="0.25">
      <c r="B197" s="521">
        <v>66</v>
      </c>
      <c r="C197" s="522">
        <f t="shared" ca="1" si="8"/>
        <v>0.2962147256853904</v>
      </c>
      <c r="D197" s="523">
        <f t="shared" ca="1" si="9"/>
        <v>-0.8090169943749472</v>
      </c>
    </row>
    <row r="198" spans="2:4" x14ac:dyDescent="0.25">
      <c r="B198" s="521">
        <v>67</v>
      </c>
      <c r="C198" s="522">
        <f t="shared" ca="1" si="8"/>
        <v>0.3007028275897145</v>
      </c>
      <c r="D198" s="523">
        <f t="shared" ca="1" si="9"/>
        <v>-0.8910065241883672</v>
      </c>
    </row>
    <row r="199" spans="2:4" x14ac:dyDescent="0.25">
      <c r="B199" s="521">
        <v>68</v>
      </c>
      <c r="C199" s="522">
        <f t="shared" ca="1" si="8"/>
        <v>0.3051909294940386</v>
      </c>
      <c r="D199" s="523">
        <f t="shared" ca="1" si="9"/>
        <v>-0.9510565162951529</v>
      </c>
    </row>
    <row r="200" spans="2:4" x14ac:dyDescent="0.25">
      <c r="B200" s="521">
        <v>69</v>
      </c>
      <c r="C200" s="522">
        <f t="shared" ca="1" si="8"/>
        <v>0.3096790313983627</v>
      </c>
      <c r="D200" s="523">
        <f t="shared" ca="1" si="9"/>
        <v>-0.9876883405951378</v>
      </c>
    </row>
    <row r="201" spans="2:4" x14ac:dyDescent="0.25">
      <c r="B201" s="521">
        <v>70</v>
      </c>
      <c r="C201" s="522">
        <f t="shared" ca="1" si="8"/>
        <v>0.3141671333026868</v>
      </c>
      <c r="D201" s="523">
        <f t="shared" ca="1" si="9"/>
        <v>-1.0</v>
      </c>
    </row>
    <row r="202" spans="2:4" x14ac:dyDescent="0.25">
      <c r="B202" s="521">
        <v>71</v>
      </c>
      <c r="C202" s="522">
        <f t="shared" ca="1" si="8"/>
        <v>0.3186552352070109</v>
      </c>
      <c r="D202" s="523">
        <f t="shared" ca="1" si="9"/>
        <v>-0.9876883405951379</v>
      </c>
    </row>
    <row r="203" spans="2:4" x14ac:dyDescent="0.25">
      <c r="B203" s="521">
        <v>72</v>
      </c>
      <c r="C203" s="522">
        <f t="shared" ca="1" si="8"/>
        <v>0.323143337111335</v>
      </c>
      <c r="D203" s="523">
        <f t="shared" ca="1" si="9"/>
        <v>-0.9510565162951538</v>
      </c>
    </row>
    <row r="204" spans="2:4" x14ac:dyDescent="0.25">
      <c r="B204" s="521">
        <v>73</v>
      </c>
      <c r="C204" s="522">
        <f t="shared" ca="1" si="8"/>
        <v>0.3276314390156591</v>
      </c>
      <c r="D204" s="523">
        <f t="shared" ca="1" si="9"/>
        <v>-0.8910065241883677</v>
      </c>
    </row>
    <row r="205" spans="2:4" x14ac:dyDescent="0.25">
      <c r="B205" s="521">
        <v>74</v>
      </c>
      <c r="C205" s="522">
        <f t="shared" ca="1" si="8"/>
        <v>0.3321195409199832</v>
      </c>
      <c r="D205" s="523">
        <f t="shared" ca="1" si="9"/>
        <v>-0.8090169943749477</v>
      </c>
    </row>
    <row r="206" spans="2:4" x14ac:dyDescent="0.25">
      <c r="B206" s="521">
        <v>75</v>
      </c>
      <c r="C206" s="522">
        <f t="shared" ca="1" si="8"/>
        <v>0.3366076428243073</v>
      </c>
      <c r="D206" s="523">
        <f t="shared" ca="1" si="9"/>
        <v>-0.7071067811865485</v>
      </c>
    </row>
    <row r="207" spans="2:4" x14ac:dyDescent="0.25">
      <c r="B207" s="521">
        <v>76</v>
      </c>
      <c r="C207" s="522">
        <f t="shared" ca="1" si="8"/>
        <v>0.34109574472863136</v>
      </c>
      <c r="D207" s="523">
        <f t="shared" ca="1" si="9"/>
        <v>-0.5877852522924749</v>
      </c>
    </row>
    <row r="208" spans="2:4" x14ac:dyDescent="0.25">
      <c r="B208" s="521">
        <v>77</v>
      </c>
      <c r="C208" s="522">
        <f t="shared" ca="1" si="8"/>
        <v>0.3455838466329555</v>
      </c>
      <c r="D208" s="523">
        <f t="shared" ca="1" si="9"/>
        <v>-0.453990499739548</v>
      </c>
    </row>
    <row r="209" spans="2:4" x14ac:dyDescent="0.25">
      <c r="B209" s="521">
        <v>78</v>
      </c>
      <c r="C209" s="522">
        <f t="shared" ca="1" si="8"/>
        <v>0.3500719485372796</v>
      </c>
      <c r="D209" s="523">
        <f t="shared" ca="1" si="9"/>
        <v>-0.3090169943749479</v>
      </c>
    </row>
    <row r="210" spans="2:4" x14ac:dyDescent="0.25">
      <c r="B210" s="521">
        <v>79</v>
      </c>
      <c r="C210" s="522">
        <f t="shared" ca="1" si="8"/>
        <v>0.3545600504416037</v>
      </c>
      <c r="D210" s="523">
        <f t="shared" ca="1" si="9"/>
        <v>-0.15643446504023048</v>
      </c>
    </row>
    <row r="211" spans="2:4" x14ac:dyDescent="0.25">
      <c r="B211" s="521">
        <v>80</v>
      </c>
      <c r="C211" s="522">
        <f t="shared" ca="1" si="8"/>
        <v>0.3590481523459278</v>
      </c>
      <c r="D211" s="523">
        <f t="shared" ca="1" si="9"/>
        <v>-4.898587196589413e-16</v>
      </c>
    </row>
    <row r="212" spans="2:4" x14ac:dyDescent="0.25">
      <c r="B212" s="521">
        <v>81</v>
      </c>
      <c r="C212" s="522">
        <f t="shared" ca="1" si="8"/>
        <v>0.3635362542502519</v>
      </c>
      <c r="D212" s="523">
        <f t="shared" ca="1" si="9"/>
        <v>0.1564344650402295</v>
      </c>
    </row>
    <row r="213" spans="2:4" x14ac:dyDescent="0.25">
      <c r="B213" s="521">
        <v>82</v>
      </c>
      <c r="C213" s="522">
        <f t="shared" ca="1" si="8"/>
        <v>0.36802435615457596</v>
      </c>
      <c r="D213" s="523">
        <f t="shared" ca="1" si="9"/>
        <v>0.30901699437494695</v>
      </c>
    </row>
    <row r="214" spans="2:4" x14ac:dyDescent="0.25">
      <c r="B214" s="521">
        <v>83</v>
      </c>
      <c r="C214" s="522">
        <f t="shared" ca="1" si="8"/>
        <v>0.3725124580589001</v>
      </c>
      <c r="D214" s="523">
        <f t="shared" ca="1" si="9"/>
        <v>0.45399049973954714</v>
      </c>
    </row>
    <row r="215" spans="2:4" x14ac:dyDescent="0.25">
      <c r="B215" s="521">
        <v>84</v>
      </c>
      <c r="C215" s="522">
        <f t="shared" ca="1" si="8"/>
        <v>0.3770005599632242</v>
      </c>
      <c r="D215" s="523">
        <f t="shared" ca="1" si="9"/>
        <v>0.5877852522924727</v>
      </c>
    </row>
    <row r="216" spans="2:4" x14ac:dyDescent="0.25">
      <c r="B216" s="521">
        <v>85</v>
      </c>
      <c r="C216" s="522">
        <f t="shared" ca="1" si="8"/>
        <v>0.38148866186754826</v>
      </c>
      <c r="D216" s="523">
        <f t="shared" ca="1" si="9"/>
        <v>0.7071067811865466</v>
      </c>
    </row>
    <row r="217" spans="2:4" x14ac:dyDescent="0.25">
      <c r="B217" s="521">
        <v>86</v>
      </c>
      <c r="C217" s="522">
        <f t="shared" ca="1" si="8"/>
        <v>0.38597676377187234</v>
      </c>
      <c r="D217" s="523">
        <f t="shared" ca="1" si="9"/>
        <v>0.8090169943749461</v>
      </c>
    </row>
    <row r="218" spans="2:4" x14ac:dyDescent="0.25">
      <c r="B218" s="521">
        <v>87</v>
      </c>
      <c r="C218" s="522">
        <f t="shared" ca="1" si="8"/>
        <v>0.3904648656761964</v>
      </c>
      <c r="D218" s="523">
        <f t="shared" ca="1" si="9"/>
        <v>0.8910065241883672</v>
      </c>
    </row>
    <row r="219" spans="2:4" x14ac:dyDescent="0.25">
      <c r="B219" s="521">
        <v>88</v>
      </c>
      <c r="C219" s="522">
        <f t="shared" ca="1" si="8"/>
        <v>0.39495296758052056</v>
      </c>
      <c r="D219" s="523">
        <f t="shared" ca="1" si="9"/>
        <v>0.9510565162951534</v>
      </c>
    </row>
    <row r="220" spans="2:4" x14ac:dyDescent="0.25">
      <c r="B220" s="521">
        <v>89</v>
      </c>
      <c r="C220" s="522">
        <f t="shared" ca="1" si="8"/>
        <v>0.39944106948484465</v>
      </c>
      <c r="D220" s="523">
        <f t="shared" ca="1" si="9"/>
        <v>0.9876883405951375</v>
      </c>
    </row>
    <row r="221" spans="2:4" x14ac:dyDescent="0.25">
      <c r="B221" s="521">
        <v>90</v>
      </c>
      <c r="C221" s="522">
        <f t="shared" ca="1" si="8"/>
        <v>0.40392917138916873</v>
      </c>
      <c r="D221" s="523">
        <f t="shared" ca="1" si="9"/>
        <v>1.0</v>
      </c>
    </row>
    <row r="222" spans="2:4" x14ac:dyDescent="0.25">
      <c r="B222" s="521">
        <v>91</v>
      </c>
      <c r="C222" s="522">
        <f t="shared" ca="1" si="8"/>
        <v>0.4084172732934928</v>
      </c>
      <c r="D222" s="523">
        <f t="shared" ca="1" si="9"/>
        <v>0.987688340595138</v>
      </c>
    </row>
    <row r="223" spans="2:4" x14ac:dyDescent="0.25">
      <c r="B223" s="521">
        <v>92</v>
      </c>
      <c r="C223" s="522">
        <f t="shared" ca="1" si="8"/>
        <v>0.4129053751978169</v>
      </c>
      <c r="D223" s="523">
        <f t="shared" ca="1" si="9"/>
        <v>0.9510565162951543</v>
      </c>
    </row>
    <row r="224" spans="2:4" x14ac:dyDescent="0.25">
      <c r="B224" s="521">
        <v>93</v>
      </c>
      <c r="C224" s="522">
        <f t="shared" ca="1" si="8"/>
        <v>0.4173934771021411</v>
      </c>
      <c r="D224" s="523">
        <f t="shared" ca="1" si="9"/>
        <v>0.8910065241883677</v>
      </c>
    </row>
    <row r="225" spans="2:4" x14ac:dyDescent="0.25">
      <c r="B225" s="521">
        <v>94</v>
      </c>
      <c r="C225" s="522">
        <f t="shared" ca="1" si="8"/>
        <v>0.42188157900646517</v>
      </c>
      <c r="D225" s="523">
        <f t="shared" ca="1" si="9"/>
        <v>0.8090169943749478</v>
      </c>
    </row>
    <row r="226" spans="2:4" x14ac:dyDescent="0.25">
      <c r="B226" s="521">
        <v>95</v>
      </c>
      <c r="C226" s="522">
        <f t="shared" ca="1" si="8"/>
        <v>0.42636968091078925</v>
      </c>
      <c r="D226" s="523">
        <f t="shared" ca="1" si="9"/>
        <v>0.7071067811865474</v>
      </c>
    </row>
    <row r="227" spans="2:4" x14ac:dyDescent="0.25">
      <c r="B227" s="521">
        <v>96</v>
      </c>
      <c r="C227" s="522">
        <f t="shared" ca="1" si="8"/>
        <v>0.43085778281511333</v>
      </c>
      <c r="D227" s="523">
        <f t="shared" ca="1" si="9"/>
        <v>0.5877852522924736</v>
      </c>
    </row>
    <row r="228" spans="2:4" x14ac:dyDescent="0.25">
      <c r="B228" s="521">
        <v>97</v>
      </c>
      <c r="C228" s="522">
        <f t="shared" ca="1" si="8"/>
        <v>0.4353458847194374</v>
      </c>
      <c r="D228" s="523">
        <f t="shared" ca="1" si="9"/>
        <v>0.45399049973954814</v>
      </c>
    </row>
    <row r="229" spans="2:4" x14ac:dyDescent="0.25">
      <c r="B229" s="521">
        <v>98</v>
      </c>
      <c r="C229" s="522">
        <f t="shared" ca="1" si="8"/>
        <v>0.43983398662376155</v>
      </c>
      <c r="D229" s="523">
        <f t="shared" ca="1" si="9"/>
        <v>0.309016994374948</v>
      </c>
    </row>
    <row r="230" spans="2:4" x14ac:dyDescent="0.25">
      <c r="B230" s="521">
        <v>99</v>
      </c>
      <c r="C230" s="522">
        <f t="shared" ca="1" si="8"/>
        <v>0.44432208852808563</v>
      </c>
      <c r="D230" s="523">
        <f t="shared" ca="1" si="9"/>
        <v>0.15643446504023234</v>
      </c>
    </row>
    <row r="231" spans="2:4" x14ac:dyDescent="0.25">
      <c r="B231" s="521">
        <v>100</v>
      </c>
      <c r="C231" s="522">
        <f t="shared" ca="1" si="8"/>
        <v>0.4488101904324097</v>
      </c>
      <c r="D231" s="523">
        <f t="shared" ca="1" si="9"/>
        <v>6.123233995736766e-16</v>
      </c>
    </row>
    <row r="232" spans="2:4" x14ac:dyDescent="0.25">
      <c r="B232" s="521">
        <v>101</v>
      </c>
      <c r="C232" s="522">
        <f t="shared" ca="1" si="8"/>
        <v>0.4532982923367338</v>
      </c>
      <c r="D232" s="523">
        <f t="shared" ca="1" si="9"/>
        <v>-0.15643446504022937</v>
      </c>
    </row>
    <row r="233" spans="2:4" x14ac:dyDescent="0.25">
      <c r="B233" s="521">
        <v>102</v>
      </c>
      <c r="C233" s="522">
        <f t="shared" ca="1" si="8"/>
        <v>0.4577863942410579</v>
      </c>
      <c r="D233" s="523">
        <f t="shared" ca="1" si="9"/>
        <v>-0.3090169943749451</v>
      </c>
    </row>
    <row r="234" spans="2:4" x14ac:dyDescent="0.25">
      <c r="B234" s="521">
        <v>103</v>
      </c>
      <c r="C234" s="522">
        <f t="shared" ca="1" si="8"/>
        <v>0.462274496145382</v>
      </c>
      <c r="D234" s="523">
        <f t="shared" ca="1" si="9"/>
        <v>-0.4539904997395454</v>
      </c>
    </row>
    <row r="235" spans="2:4" x14ac:dyDescent="0.25">
      <c r="B235" s="521">
        <v>104</v>
      </c>
      <c r="C235" s="522">
        <f t="shared" ca="1" si="8"/>
        <v>0.4667625980497061</v>
      </c>
      <c r="D235" s="523">
        <f t="shared" ca="1" si="9"/>
        <v>-0.5877852522924726</v>
      </c>
    </row>
    <row r="236" spans="2:4" x14ac:dyDescent="0.25">
      <c r="B236" s="521">
        <v>105</v>
      </c>
      <c r="C236" s="522">
        <f t="shared" ca="1" si="8"/>
        <v>0.4712506999540302</v>
      </c>
      <c r="D236" s="523">
        <f t="shared" ca="1" si="9"/>
        <v>-0.7071067811865452</v>
      </c>
    </row>
    <row r="237" spans="2:4" x14ac:dyDescent="0.25">
      <c r="B237" s="521">
        <v>106</v>
      </c>
      <c r="C237" s="522">
        <f t="shared" ca="1" si="8"/>
        <v>0.47573880185835427</v>
      </c>
      <c r="D237" s="523">
        <f t="shared" ca="1" si="9"/>
        <v>-0.809016994374946</v>
      </c>
    </row>
    <row r="238" spans="2:4" x14ac:dyDescent="0.25">
      <c r="B238" s="521">
        <v>107</v>
      </c>
      <c r="C238" s="522">
        <f t="shared" ca="1" si="8"/>
        <v>0.48022690376267835</v>
      </c>
      <c r="D238" s="523">
        <f t="shared" ca="1" si="9"/>
        <v>-0.8910065241883671</v>
      </c>
    </row>
    <row r="239" spans="2:4" x14ac:dyDescent="0.25">
      <c r="B239" s="521">
        <v>108</v>
      </c>
      <c r="C239" s="522">
        <f t="shared" ca="1" si="8"/>
        <v>0.48471500566700254</v>
      </c>
      <c r="D239" s="523">
        <f t="shared" ca="1" si="9"/>
        <v>-0.9510565162951534</v>
      </c>
    </row>
    <row r="240" spans="2:4" x14ac:dyDescent="0.25">
      <c r="B240" s="521">
        <v>109</v>
      </c>
      <c r="C240" s="522">
        <f t="shared" ca="1" si="8"/>
        <v>0.4892031075713266</v>
      </c>
      <c r="D240" s="523">
        <f t="shared" ca="1" si="9"/>
        <v>-0.9876883405951378</v>
      </c>
    </row>
    <row r="241" spans="2:4" x14ac:dyDescent="0.25">
      <c r="B241" s="521">
        <v>110</v>
      </c>
      <c r="C241" s="522">
        <f t="shared" ca="1" si="8"/>
        <v>0.4936912094756507</v>
      </c>
      <c r="D241" s="523">
        <f t="shared" ca="1" si="9"/>
        <v>-1.0</v>
      </c>
    </row>
    <row r="242" spans="2:4" x14ac:dyDescent="0.25">
      <c r="B242" s="521">
        <v>111</v>
      </c>
      <c r="C242" s="522">
        <f t="shared" ca="1" si="8"/>
        <v>0.4981793113799748</v>
      </c>
      <c r="D242" s="523">
        <f t="shared" ca="1" si="9"/>
        <v>-0.987688340595138</v>
      </c>
    </row>
    <row r="243" spans="2:4" x14ac:dyDescent="0.25">
      <c r="B243" s="521">
        <v>112</v>
      </c>
      <c r="C243" s="522">
        <f t="shared" ca="1" si="8"/>
        <v>0.5026674132842989</v>
      </c>
      <c r="D243" s="523">
        <f t="shared" ca="1" si="9"/>
        <v>-0.9510565162951538</v>
      </c>
    </row>
    <row r="244" spans="2:4" x14ac:dyDescent="0.25">
      <c r="B244" s="521">
        <v>113</v>
      </c>
      <c r="C244" s="522">
        <f t="shared" ca="1" si="8"/>
        <v>0.507155515188623</v>
      </c>
      <c r="D244" s="523">
        <f t="shared" ca="1" si="9"/>
        <v>-0.8910065241883678</v>
      </c>
    </row>
    <row r="245" spans="2:4" x14ac:dyDescent="0.25">
      <c r="B245" s="521">
        <v>114</v>
      </c>
      <c r="C245" s="522">
        <f t="shared" ca="1" si="8"/>
        <v>0.5116436170929471</v>
      </c>
      <c r="D245" s="523">
        <f t="shared" ca="1" si="9"/>
        <v>-0.8090169943749468</v>
      </c>
    </row>
    <row r="246" spans="2:4" x14ac:dyDescent="0.25">
      <c r="B246" s="521">
        <v>115</v>
      </c>
      <c r="C246" s="522">
        <f t="shared" ca="1" si="8"/>
        <v>0.5161317189972712</v>
      </c>
      <c r="D246" s="523">
        <f t="shared" ca="1" si="9"/>
        <v>-0.7071067811865487</v>
      </c>
    </row>
    <row r="247" spans="2:4" x14ac:dyDescent="0.25">
      <c r="B247" s="521">
        <v>116</v>
      </c>
      <c r="C247" s="522">
        <f t="shared" ca="1" si="8"/>
        <v>0.5206198209015953</v>
      </c>
      <c r="D247" s="523">
        <f t="shared" ca="1" si="9"/>
        <v>-0.5877852522924737</v>
      </c>
    </row>
    <row r="248" spans="2:4" x14ac:dyDescent="0.25">
      <c r="B248" s="521">
        <v>117</v>
      </c>
      <c r="C248" s="522">
        <f t="shared" ca="1" si="8"/>
        <v>0.5251079228059193</v>
      </c>
      <c r="D248" s="523">
        <f t="shared" ca="1" si="9"/>
        <v>-0.4539904997395498</v>
      </c>
    </row>
    <row r="249" spans="2:4" x14ac:dyDescent="0.25">
      <c r="B249" s="521">
        <v>118</v>
      </c>
      <c r="C249" s="522">
        <f t="shared" ca="1" si="8"/>
        <v>0.5295960247102435</v>
      </c>
      <c r="D249" s="523">
        <f t="shared" ca="1" si="9"/>
        <v>-0.3090169943749498</v>
      </c>
    </row>
    <row r="250" spans="2:4" x14ac:dyDescent="0.25">
      <c r="B250" s="521">
        <v>119</v>
      </c>
      <c r="C250" s="522">
        <f t="shared" ca="1" si="8"/>
        <v>0.5340841266145676</v>
      </c>
      <c r="D250" s="523">
        <f t="shared" ca="1" si="9"/>
        <v>-0.15643446504022895</v>
      </c>
    </row>
    <row r="251" spans="2:4" x14ac:dyDescent="0.25">
      <c r="B251" s="521">
        <v>120</v>
      </c>
      <c r="C251" s="522">
        <f t="shared" ca="1" si="8"/>
        <v>0.5385722285188916</v>
      </c>
      <c r="D251" s="523">
        <f t="shared" ca="1" si="9"/>
        <v>-7.347880794884119e-16</v>
      </c>
    </row>
    <row r="254" spans="2:4" x14ac:dyDescent="0.25">
      <c r="B254" s="516" t="s">
        <v>1121</v>
      </c>
    </row>
    <row r="255" spans="2:4" x14ac:dyDescent="0.25">
      <c r="B255" s="516" t="s">
        <v>1119</v>
      </c>
      <c r="C255" s="516" t="s">
        <v>1120</v>
      </c>
      <c r="D255" s="516" t="s">
        <v>398</v>
      </c>
    </row>
    <row r="256" spans="2:4" x14ac:dyDescent="0.25">
      <c r="B256" s="521">
        <v>0</v>
      </c>
      <c r="C256" s="522">
        <f t="shared" ref="C256:C319" ca="1" si="10">B256/40/$C$29</f>
        <v>0.0</v>
      </c>
      <c r="D256" s="523">
        <f t="shared" ref="D256:D319" ca="1" si="11">SIN(2*PI()*$C$29*C256)</f>
        <v>0.0</v>
      </c>
    </row>
    <row r="257" spans="2:4" x14ac:dyDescent="0.25">
      <c r="B257" s="521">
        <v>1</v>
      </c>
      <c r="C257" s="522">
        <f t="shared" ca="1" si="10"/>
        <v>0.0026120834295714854</v>
      </c>
      <c r="D257" s="523">
        <f t="shared" ca="1" si="11"/>
        <v>0.15643446504023087</v>
      </c>
    </row>
    <row r="258" spans="2:4" x14ac:dyDescent="0.25">
      <c r="B258" s="521">
        <v>2</v>
      </c>
      <c r="C258" s="522">
        <f t="shared" ca="1" si="10"/>
        <v>0.005224166859142971</v>
      </c>
      <c r="D258" s="523">
        <f t="shared" ca="1" si="11"/>
        <v>0.3090169943749474</v>
      </c>
    </row>
    <row r="259" spans="2:4" x14ac:dyDescent="0.25">
      <c r="B259" s="521">
        <v>3</v>
      </c>
      <c r="C259" s="522">
        <f t="shared" ca="1" si="10"/>
        <v>0.007836250288714456</v>
      </c>
      <c r="D259" s="523">
        <f t="shared" ca="1" si="11"/>
        <v>0.45399049973954675</v>
      </c>
    </row>
    <row r="260" spans="2:4" x14ac:dyDescent="0.25">
      <c r="B260" s="521">
        <v>4</v>
      </c>
      <c r="C260" s="522">
        <f t="shared" ca="1" si="10"/>
        <v>0.010448333718285942</v>
      </c>
      <c r="D260" s="523">
        <f t="shared" ca="1" si="11"/>
        <v>0.5877852522924731</v>
      </c>
    </row>
    <row r="261" spans="2:4" x14ac:dyDescent="0.25">
      <c r="B261" s="521">
        <v>5</v>
      </c>
      <c r="C261" s="522">
        <f t="shared" ca="1" si="10"/>
        <v>0.013060417147857427</v>
      </c>
      <c r="D261" s="523">
        <f t="shared" ca="1" si="11"/>
        <v>0.7071067811865475</v>
      </c>
    </row>
    <row r="262" spans="2:4" x14ac:dyDescent="0.25">
      <c r="B262" s="521">
        <v>6</v>
      </c>
      <c r="C262" s="522">
        <f t="shared" ca="1" si="10"/>
        <v>0.015672500577428913</v>
      </c>
      <c r="D262" s="523">
        <f t="shared" ca="1" si="11"/>
        <v>0.8090169943749475</v>
      </c>
    </row>
    <row r="263" spans="2:4" x14ac:dyDescent="0.25">
      <c r="B263" s="521">
        <v>7</v>
      </c>
      <c r="C263" s="522">
        <f t="shared" ca="1" si="10"/>
        <v>0.018284584007000396</v>
      </c>
      <c r="D263" s="523">
        <f t="shared" ca="1" si="11"/>
        <v>0.8910065241883678</v>
      </c>
    </row>
    <row r="264" spans="2:4" x14ac:dyDescent="0.25">
      <c r="B264" s="521">
        <v>8</v>
      </c>
      <c r="C264" s="522">
        <f t="shared" ca="1" si="10"/>
        <v>0.020896667436571884</v>
      </c>
      <c r="D264" s="523">
        <f t="shared" ca="1" si="11"/>
        <v>0.9510565162951535</v>
      </c>
    </row>
    <row r="265" spans="2:4" x14ac:dyDescent="0.25">
      <c r="B265" s="521">
        <v>9</v>
      </c>
      <c r="C265" s="522">
        <f t="shared" ca="1" si="10"/>
        <v>0.02350875086614337</v>
      </c>
      <c r="D265" s="523">
        <f t="shared" ca="1" si="11"/>
        <v>0.9876883405951378</v>
      </c>
    </row>
    <row r="266" spans="2:4" x14ac:dyDescent="0.25">
      <c r="B266" s="521">
        <v>10</v>
      </c>
      <c r="C266" s="522">
        <f t="shared" ca="1" si="10"/>
        <v>0.026120834295714854</v>
      </c>
      <c r="D266" s="523">
        <f t="shared" ca="1" si="11"/>
        <v>1.0</v>
      </c>
    </row>
    <row r="267" spans="2:4" x14ac:dyDescent="0.25">
      <c r="B267" s="521">
        <v>11</v>
      </c>
      <c r="C267" s="522">
        <f t="shared" ca="1" si="10"/>
        <v>0.02873291772528634</v>
      </c>
      <c r="D267" s="523">
        <f t="shared" ca="1" si="11"/>
        <v>0.9876883405951378</v>
      </c>
    </row>
    <row r="268" spans="2:4" x14ac:dyDescent="0.25">
      <c r="B268" s="521">
        <v>12</v>
      </c>
      <c r="C268" s="522">
        <f t="shared" ca="1" si="10"/>
        <v>0.031345001154857825</v>
      </c>
      <c r="D268" s="523">
        <f t="shared" ca="1" si="11"/>
        <v>0.9510565162951536</v>
      </c>
    </row>
    <row r="269" spans="2:4" x14ac:dyDescent="0.25">
      <c r="B269" s="521">
        <v>13</v>
      </c>
      <c r="C269" s="522">
        <f t="shared" ca="1" si="10"/>
        <v>0.03395708458442931</v>
      </c>
      <c r="D269" s="523">
        <f t="shared" ca="1" si="11"/>
        <v>0.8910065241883679</v>
      </c>
    </row>
    <row r="270" spans="2:4" x14ac:dyDescent="0.25">
      <c r="B270" s="521">
        <v>14</v>
      </c>
      <c r="C270" s="522">
        <f t="shared" ca="1" si="10"/>
        <v>0.03656916801400079</v>
      </c>
      <c r="D270" s="523">
        <f t="shared" ca="1" si="11"/>
        <v>0.8090169943749478</v>
      </c>
    </row>
    <row r="271" spans="2:4" x14ac:dyDescent="0.25">
      <c r="B271" s="521">
        <v>15</v>
      </c>
      <c r="C271" s="522">
        <f t="shared" ca="1" si="10"/>
        <v>0.03918125144357228</v>
      </c>
      <c r="D271" s="523">
        <f t="shared" ca="1" si="11"/>
        <v>0.7071067811865476</v>
      </c>
    </row>
    <row r="272" spans="2:4" x14ac:dyDescent="0.25">
      <c r="B272" s="521">
        <v>16</v>
      </c>
      <c r="C272" s="522">
        <f t="shared" ca="1" si="10"/>
        <v>0.04179333487314377</v>
      </c>
      <c r="D272" s="523">
        <f t="shared" ca="1" si="11"/>
        <v>0.5877852522924732</v>
      </c>
    </row>
    <row r="273" spans="2:4" x14ac:dyDescent="0.25">
      <c r="B273" s="521">
        <v>17</v>
      </c>
      <c r="C273" s="522">
        <f t="shared" ca="1" si="10"/>
        <v>0.04440541830271525</v>
      </c>
      <c r="D273" s="523">
        <f t="shared" ca="1" si="11"/>
        <v>0.45399049973954686</v>
      </c>
    </row>
    <row r="274" spans="2:4" x14ac:dyDescent="0.25">
      <c r="B274" s="521">
        <v>18</v>
      </c>
      <c r="C274" s="522">
        <f t="shared" ca="1" si="10"/>
        <v>0.04701750173228674</v>
      </c>
      <c r="D274" s="523">
        <f t="shared" ca="1" si="11"/>
        <v>0.3090169943749475</v>
      </c>
    </row>
    <row r="275" spans="2:4" x14ac:dyDescent="0.25">
      <c r="B275" s="521">
        <v>19</v>
      </c>
      <c r="C275" s="522">
        <f t="shared" ca="1" si="10"/>
        <v>0.04962958516185822</v>
      </c>
      <c r="D275" s="523">
        <f t="shared" ca="1" si="11"/>
        <v>0.15643446504023142</v>
      </c>
    </row>
    <row r="276" spans="2:4" x14ac:dyDescent="0.25">
      <c r="B276" s="521">
        <v>20</v>
      </c>
      <c r="C276" s="522">
        <f t="shared" ca="1" si="10"/>
        <v>0.05224166859142971</v>
      </c>
      <c r="D276" s="523">
        <f t="shared" ca="1" si="11"/>
        <v>1.2246467991473532e-16</v>
      </c>
    </row>
    <row r="277" spans="2:4" x14ac:dyDescent="0.25">
      <c r="B277" s="521">
        <v>21</v>
      </c>
      <c r="C277" s="522">
        <f t="shared" ca="1" si="10"/>
        <v>0.0548537520210012</v>
      </c>
      <c r="D277" s="523">
        <f t="shared" ca="1" si="11"/>
        <v>-0.15643446504023073</v>
      </c>
    </row>
    <row r="278" spans="2:4" x14ac:dyDescent="0.25">
      <c r="B278" s="521">
        <v>22</v>
      </c>
      <c r="C278" s="522">
        <f t="shared" ca="1" si="10"/>
        <v>0.05746583545057268</v>
      </c>
      <c r="D278" s="523">
        <f t="shared" ca="1" si="11"/>
        <v>-0.3090169943749473</v>
      </c>
    </row>
    <row r="279" spans="2:4" x14ac:dyDescent="0.25">
      <c r="B279" s="521">
        <v>23</v>
      </c>
      <c r="C279" s="522">
        <f t="shared" ca="1" si="10"/>
        <v>0.06007791888014416</v>
      </c>
      <c r="D279" s="523">
        <f t="shared" ca="1" si="11"/>
        <v>-0.45399049973954625</v>
      </c>
    </row>
    <row r="280" spans="2:4" x14ac:dyDescent="0.25">
      <c r="B280" s="521">
        <v>24</v>
      </c>
      <c r="C280" s="522">
        <f t="shared" ca="1" si="10"/>
        <v>0.06269000230971565</v>
      </c>
      <c r="D280" s="523">
        <f t="shared" ca="1" si="11"/>
        <v>-0.587785252292473</v>
      </c>
    </row>
    <row r="281" spans="2:4" x14ac:dyDescent="0.25">
      <c r="B281" s="521">
        <v>25</v>
      </c>
      <c r="C281" s="522">
        <f t="shared" ca="1" si="10"/>
        <v>0.06530208573928714</v>
      </c>
      <c r="D281" s="523">
        <f t="shared" ca="1" si="11"/>
        <v>-0.7071067811865475</v>
      </c>
    </row>
    <row r="282" spans="2:4" x14ac:dyDescent="0.25">
      <c r="B282" s="521">
        <v>26</v>
      </c>
      <c r="C282" s="522">
        <f t="shared" ca="1" si="10"/>
        <v>0.06791416916885862</v>
      </c>
      <c r="D282" s="523">
        <f t="shared" ca="1" si="11"/>
        <v>-0.8090169943749473</v>
      </c>
    </row>
    <row r="283" spans="2:4" x14ac:dyDescent="0.25">
      <c r="B283" s="521">
        <v>27</v>
      </c>
      <c r="C283" s="522">
        <f t="shared" ca="1" si="10"/>
        <v>0.07052625259843011</v>
      </c>
      <c r="D283" s="523">
        <f t="shared" ca="1" si="11"/>
        <v>-0.8910065241883678</v>
      </c>
    </row>
    <row r="284" spans="2:4" x14ac:dyDescent="0.25">
      <c r="B284" s="521">
        <v>28</v>
      </c>
      <c r="C284" s="522">
        <f t="shared" ca="1" si="10"/>
        <v>0.07313833602800159</v>
      </c>
      <c r="D284" s="523">
        <f t="shared" ca="1" si="11"/>
        <v>-0.9510565162951532</v>
      </c>
    </row>
    <row r="285" spans="2:4" x14ac:dyDescent="0.25">
      <c r="B285" s="521">
        <v>29</v>
      </c>
      <c r="C285" s="522">
        <f t="shared" ca="1" si="10"/>
        <v>0.07575041945757308</v>
      </c>
      <c r="D285" s="523">
        <f t="shared" ca="1" si="11"/>
        <v>-0.9876883405951377</v>
      </c>
    </row>
    <row r="286" spans="2:4" x14ac:dyDescent="0.25">
      <c r="B286" s="521">
        <v>30</v>
      </c>
      <c r="C286" s="522">
        <f t="shared" ca="1" si="10"/>
        <v>0.07836250288714457</v>
      </c>
      <c r="D286" s="523">
        <f t="shared" ca="1" si="11"/>
        <v>-1.0</v>
      </c>
    </row>
    <row r="287" spans="2:4" x14ac:dyDescent="0.25">
      <c r="B287" s="521">
        <v>31</v>
      </c>
      <c r="C287" s="522">
        <f t="shared" ca="1" si="10"/>
        <v>0.08097458631671606</v>
      </c>
      <c r="D287" s="523">
        <f t="shared" ca="1" si="11"/>
        <v>-0.9876883405951378</v>
      </c>
    </row>
    <row r="288" spans="2:4" x14ac:dyDescent="0.25">
      <c r="B288" s="521">
        <v>32</v>
      </c>
      <c r="C288" s="522">
        <f t="shared" ca="1" si="10"/>
        <v>0.08358666974628753</v>
      </c>
      <c r="D288" s="523">
        <f t="shared" ca="1" si="11"/>
        <v>-0.9510565162951536</v>
      </c>
    </row>
    <row r="289" spans="2:4" x14ac:dyDescent="0.25">
      <c r="B289" s="521">
        <v>33</v>
      </c>
      <c r="C289" s="522">
        <f t="shared" ca="1" si="10"/>
        <v>0.08619875317585901</v>
      </c>
      <c r="D289" s="523">
        <f t="shared" ca="1" si="11"/>
        <v>-0.8910065241883683</v>
      </c>
    </row>
    <row r="290" spans="2:4" x14ac:dyDescent="0.25">
      <c r="B290" s="521">
        <v>34</v>
      </c>
      <c r="C290" s="522">
        <f t="shared" ca="1" si="10"/>
        <v>0.0888108366054305</v>
      </c>
      <c r="D290" s="523">
        <f t="shared" ca="1" si="11"/>
        <v>-0.8090169943749476</v>
      </c>
    </row>
    <row r="291" spans="2:4" x14ac:dyDescent="0.25">
      <c r="B291" s="521">
        <v>35</v>
      </c>
      <c r="C291" s="522">
        <f t="shared" ca="1" si="10"/>
        <v>0.09142292003500199</v>
      </c>
      <c r="D291" s="523">
        <f t="shared" ca="1" si="11"/>
        <v>-0.7071067811865477</v>
      </c>
    </row>
    <row r="292" spans="2:4" x14ac:dyDescent="0.25">
      <c r="B292" s="521">
        <v>36</v>
      </c>
      <c r="C292" s="522">
        <f t="shared" ca="1" si="10"/>
        <v>0.09403500346457348</v>
      </c>
      <c r="D292" s="523">
        <f t="shared" ca="1" si="11"/>
        <v>-0.5877852522924734</v>
      </c>
    </row>
    <row r="293" spans="2:4" x14ac:dyDescent="0.25">
      <c r="B293" s="521">
        <v>37</v>
      </c>
      <c r="C293" s="522">
        <f t="shared" ca="1" si="10"/>
        <v>0.09664708689414496</v>
      </c>
      <c r="D293" s="523">
        <f t="shared" ca="1" si="11"/>
        <v>-0.45399049973954697</v>
      </c>
    </row>
    <row r="294" spans="2:4" x14ac:dyDescent="0.25">
      <c r="B294" s="521">
        <v>38</v>
      </c>
      <c r="C294" s="522">
        <f t="shared" ca="1" si="10"/>
        <v>0.09925917032371644</v>
      </c>
      <c r="D294" s="523">
        <f t="shared" ca="1" si="11"/>
        <v>-0.3090169943749485</v>
      </c>
    </row>
    <row r="295" spans="2:4" x14ac:dyDescent="0.25">
      <c r="B295" s="521">
        <v>39</v>
      </c>
      <c r="C295" s="522">
        <f t="shared" ca="1" si="10"/>
        <v>0.10187125375328793</v>
      </c>
      <c r="D295" s="523">
        <f t="shared" ca="1" si="11"/>
        <v>-0.15643446504023198</v>
      </c>
    </row>
    <row r="296" spans="2:4" x14ac:dyDescent="0.25">
      <c r="B296" s="521">
        <v>40</v>
      </c>
      <c r="C296" s="522">
        <f t="shared" ca="1" si="10"/>
        <v>0.10448333718285942</v>
      </c>
      <c r="D296" s="523">
        <f t="shared" ca="1" si="11"/>
        <v>-2.4492935982947064e-16</v>
      </c>
    </row>
    <row r="297" spans="2:4" x14ac:dyDescent="0.25">
      <c r="B297" s="521">
        <v>41</v>
      </c>
      <c r="C297" s="522">
        <f t="shared" ca="1" si="10"/>
        <v>0.1070954206124309</v>
      </c>
      <c r="D297" s="523">
        <f t="shared" ca="1" si="11"/>
        <v>0.15643446504022973</v>
      </c>
    </row>
    <row r="298" spans="2:4" x14ac:dyDescent="0.25">
      <c r="B298" s="521">
        <v>42</v>
      </c>
      <c r="C298" s="522">
        <f t="shared" ca="1" si="10"/>
        <v>0.1097075040420024</v>
      </c>
      <c r="D298" s="523">
        <f t="shared" ca="1" si="11"/>
        <v>0.3090169943749472</v>
      </c>
    </row>
    <row r="299" spans="2:4" x14ac:dyDescent="0.25">
      <c r="B299" s="521">
        <v>43</v>
      </c>
      <c r="C299" s="522">
        <f t="shared" ca="1" si="10"/>
        <v>0.11231958747157388</v>
      </c>
      <c r="D299" s="523">
        <f t="shared" ca="1" si="11"/>
        <v>0.4539904997395466</v>
      </c>
    </row>
    <row r="300" spans="2:4" x14ac:dyDescent="0.25">
      <c r="B300" s="521">
        <v>44</v>
      </c>
      <c r="C300" s="522">
        <f t="shared" ca="1" si="10"/>
        <v>0.11493167090114537</v>
      </c>
      <c r="D300" s="523">
        <f t="shared" ca="1" si="11"/>
        <v>0.5877852522924729</v>
      </c>
    </row>
    <row r="301" spans="2:4" x14ac:dyDescent="0.25">
      <c r="B301" s="521">
        <v>45</v>
      </c>
      <c r="C301" s="522">
        <f t="shared" ca="1" si="10"/>
        <v>0.11754375433071684</v>
      </c>
      <c r="D301" s="523">
        <f t="shared" ca="1" si="11"/>
        <v>0.7071067811865474</v>
      </c>
    </row>
    <row r="302" spans="2:4" x14ac:dyDescent="0.25">
      <c r="B302" s="521">
        <v>46</v>
      </c>
      <c r="C302" s="522">
        <f t="shared" ca="1" si="10"/>
        <v>0.12015583776028832</v>
      </c>
      <c r="D302" s="523">
        <f t="shared" ca="1" si="11"/>
        <v>0.8090169943749468</v>
      </c>
    </row>
    <row r="303" spans="2:4" x14ac:dyDescent="0.25">
      <c r="B303" s="521">
        <v>47</v>
      </c>
      <c r="C303" s="522">
        <f t="shared" ca="1" si="10"/>
        <v>0.12276792118985982</v>
      </c>
      <c r="D303" s="523">
        <f t="shared" ca="1" si="11"/>
        <v>0.8910065241883677</v>
      </c>
    </row>
    <row r="304" spans="2:4" x14ac:dyDescent="0.25">
      <c r="B304" s="521">
        <v>48</v>
      </c>
      <c r="C304" s="522">
        <f t="shared" ca="1" si="10"/>
        <v>0.1253800046194313</v>
      </c>
      <c r="D304" s="523">
        <f t="shared" ca="1" si="11"/>
        <v>0.9510565162951535</v>
      </c>
    </row>
    <row r="305" spans="2:4" x14ac:dyDescent="0.25">
      <c r="B305" s="521">
        <v>49</v>
      </c>
      <c r="C305" s="522">
        <f t="shared" ca="1" si="10"/>
        <v>0.1279920880490028</v>
      </c>
      <c r="D305" s="523">
        <f t="shared" ca="1" si="11"/>
        <v>0.9876883405951378</v>
      </c>
    </row>
    <row r="306" spans="2:4" x14ac:dyDescent="0.25">
      <c r="B306" s="521">
        <v>50</v>
      </c>
      <c r="C306" s="522">
        <f t="shared" ca="1" si="10"/>
        <v>0.13060417147857428</v>
      </c>
      <c r="D306" s="523">
        <f t="shared" ca="1" si="11"/>
        <v>1.0</v>
      </c>
    </row>
    <row r="307" spans="2:4" x14ac:dyDescent="0.25">
      <c r="B307" s="521">
        <v>51</v>
      </c>
      <c r="C307" s="522">
        <f t="shared" ca="1" si="10"/>
        <v>0.13321625490814576</v>
      </c>
      <c r="D307" s="523">
        <f t="shared" ca="1" si="11"/>
        <v>0.9876883405951379</v>
      </c>
    </row>
    <row r="308" spans="2:4" x14ac:dyDescent="0.25">
      <c r="B308" s="521">
        <v>52</v>
      </c>
      <c r="C308" s="522">
        <f t="shared" ca="1" si="10"/>
        <v>0.13582833833771724</v>
      </c>
      <c r="D308" s="523">
        <f t="shared" ca="1" si="11"/>
        <v>0.9510565162951536</v>
      </c>
    </row>
    <row r="309" spans="2:4" x14ac:dyDescent="0.25">
      <c r="B309" s="521">
        <v>53</v>
      </c>
      <c r="C309" s="522">
        <f t="shared" ca="1" si="10"/>
        <v>0.1384404217672887</v>
      </c>
      <c r="D309" s="523">
        <f t="shared" ca="1" si="11"/>
        <v>0.8910065241883685</v>
      </c>
    </row>
    <row r="310" spans="2:4" x14ac:dyDescent="0.25">
      <c r="B310" s="521">
        <v>54</v>
      </c>
      <c r="C310" s="522">
        <f t="shared" ca="1" si="10"/>
        <v>0.14105250519686022</v>
      </c>
      <c r="D310" s="523">
        <f t="shared" ca="1" si="11"/>
        <v>0.8090169943749477</v>
      </c>
    </row>
    <row r="311" spans="2:4" x14ac:dyDescent="0.25">
      <c r="B311" s="521">
        <v>55</v>
      </c>
      <c r="C311" s="522">
        <f t="shared" ca="1" si="10"/>
        <v>0.1436645886264317</v>
      </c>
      <c r="D311" s="523">
        <f t="shared" ca="1" si="11"/>
        <v>0.7071067811865483</v>
      </c>
    </row>
    <row r="312" spans="2:4" x14ac:dyDescent="0.25">
      <c r="B312" s="521">
        <v>56</v>
      </c>
      <c r="C312" s="522">
        <f t="shared" ca="1" si="10"/>
        <v>0.14627667205600317</v>
      </c>
      <c r="D312" s="523">
        <f t="shared" ca="1" si="11"/>
        <v>0.5877852522924748</v>
      </c>
    </row>
    <row r="313" spans="2:4" x14ac:dyDescent="0.25">
      <c r="B313" s="521">
        <v>57</v>
      </c>
      <c r="C313" s="522">
        <f t="shared" ca="1" si="10"/>
        <v>0.14888875548557468</v>
      </c>
      <c r="D313" s="523">
        <f t="shared" ca="1" si="11"/>
        <v>0.4539904997395479</v>
      </c>
    </row>
    <row r="314" spans="2:4" x14ac:dyDescent="0.25">
      <c r="B314" s="521">
        <v>58</v>
      </c>
      <c r="C314" s="522">
        <f t="shared" ca="1" si="10"/>
        <v>0.15150083891514615</v>
      </c>
      <c r="D314" s="523">
        <f t="shared" ca="1" si="11"/>
        <v>0.3090169943749478</v>
      </c>
    </row>
    <row r="315" spans="2:4" x14ac:dyDescent="0.25">
      <c r="B315" s="521">
        <v>59</v>
      </c>
      <c r="C315" s="522">
        <f t="shared" ca="1" si="10"/>
        <v>0.15411292234471766</v>
      </c>
      <c r="D315" s="523">
        <f t="shared" ca="1" si="11"/>
        <v>0.15643446504023034</v>
      </c>
    </row>
    <row r="316" spans="2:4" x14ac:dyDescent="0.25">
      <c r="B316" s="521">
        <v>60</v>
      </c>
      <c r="C316" s="522">
        <f t="shared" ca="1" si="10"/>
        <v>0.15672500577428913</v>
      </c>
      <c r="D316" s="523">
        <f t="shared" ca="1" si="11"/>
        <v>3.6739403974420594e-16</v>
      </c>
    </row>
    <row r="317" spans="2:4" x14ac:dyDescent="0.25">
      <c r="B317" s="521">
        <v>61</v>
      </c>
      <c r="C317" s="522">
        <f t="shared" ca="1" si="10"/>
        <v>0.1593370892038606</v>
      </c>
      <c r="D317" s="523">
        <f t="shared" ca="1" si="11"/>
        <v>-0.15643446504022962</v>
      </c>
    </row>
    <row r="318" spans="2:4" x14ac:dyDescent="0.25">
      <c r="B318" s="521">
        <v>62</v>
      </c>
      <c r="C318" s="522">
        <f t="shared" ca="1" si="10"/>
        <v>0.16194917263343211</v>
      </c>
      <c r="D318" s="523">
        <f t="shared" ca="1" si="11"/>
        <v>-0.30901699437494706</v>
      </c>
    </row>
    <row r="319" spans="2:4" x14ac:dyDescent="0.25">
      <c r="B319" s="521">
        <v>63</v>
      </c>
      <c r="C319" s="522">
        <f t="shared" ca="1" si="10"/>
        <v>0.1645612560630036</v>
      </c>
      <c r="D319" s="523">
        <f t="shared" ca="1" si="11"/>
        <v>-0.45399049973954725</v>
      </c>
    </row>
    <row r="320" spans="2:4" x14ac:dyDescent="0.25">
      <c r="B320" s="521">
        <v>64</v>
      </c>
      <c r="C320" s="522">
        <f t="shared" ref="C320:C376" ca="1" si="12">B320/40/$C$29</f>
        <v>0.16717333949257507</v>
      </c>
      <c r="D320" s="523">
        <f t="shared" ref="D320:D376" ca="1" si="13">SIN(2*PI()*$C$29*C320)</f>
        <v>-0.5877852522924728</v>
      </c>
    </row>
    <row r="321" spans="2:4" x14ac:dyDescent="0.25">
      <c r="B321" s="521">
        <v>65</v>
      </c>
      <c r="C321" s="522">
        <f t="shared" ca="1" si="12"/>
        <v>0.16978542292214654</v>
      </c>
      <c r="D321" s="523">
        <f t="shared" ca="1" si="13"/>
        <v>-0.7071067811865466</v>
      </c>
    </row>
    <row r="322" spans="2:4" x14ac:dyDescent="0.25">
      <c r="B322" s="521">
        <v>66</v>
      </c>
      <c r="C322" s="522">
        <f t="shared" ca="1" si="12"/>
        <v>0.17239750635171802</v>
      </c>
      <c r="D322" s="523">
        <f t="shared" ca="1" si="13"/>
        <v>-0.8090169943749461</v>
      </c>
    </row>
    <row r="323" spans="2:4" x14ac:dyDescent="0.25">
      <c r="B323" s="521">
        <v>67</v>
      </c>
      <c r="C323" s="522">
        <f t="shared" ca="1" si="12"/>
        <v>0.17500958978128953</v>
      </c>
      <c r="D323" s="523">
        <f t="shared" ca="1" si="13"/>
        <v>-0.8910065241883672</v>
      </c>
    </row>
    <row r="324" spans="2:4" x14ac:dyDescent="0.25">
      <c r="B324" s="521">
        <v>68</v>
      </c>
      <c r="C324" s="522">
        <f t="shared" ca="1" si="12"/>
        <v>0.177621673210861</v>
      </c>
      <c r="D324" s="523">
        <f t="shared" ca="1" si="13"/>
        <v>-0.9510565162951534</v>
      </c>
    </row>
    <row r="325" spans="2:4" x14ac:dyDescent="0.25">
      <c r="B325" s="521">
        <v>69</v>
      </c>
      <c r="C325" s="522">
        <f t="shared" ca="1" si="12"/>
        <v>0.1802337566404325</v>
      </c>
      <c r="D325" s="523">
        <f t="shared" ca="1" si="13"/>
        <v>-0.9876883405951378</v>
      </c>
    </row>
    <row r="326" spans="2:4" x14ac:dyDescent="0.25">
      <c r="B326" s="521">
        <v>70</v>
      </c>
      <c r="C326" s="522">
        <f t="shared" ca="1" si="12"/>
        <v>0.18284584007000398</v>
      </c>
      <c r="D326" s="523">
        <f t="shared" ca="1" si="13"/>
        <v>-1.0</v>
      </c>
    </row>
    <row r="327" spans="2:4" x14ac:dyDescent="0.25">
      <c r="B327" s="521">
        <v>71</v>
      </c>
      <c r="C327" s="522">
        <f t="shared" ca="1" si="12"/>
        <v>0.18545792349957546</v>
      </c>
      <c r="D327" s="523">
        <f t="shared" ca="1" si="13"/>
        <v>-0.9876883405951379</v>
      </c>
    </row>
    <row r="328" spans="2:4" x14ac:dyDescent="0.25">
      <c r="B328" s="521">
        <v>72</v>
      </c>
      <c r="C328" s="522">
        <f t="shared" ca="1" si="12"/>
        <v>0.18807000692914697</v>
      </c>
      <c r="D328" s="523">
        <f t="shared" ca="1" si="13"/>
        <v>-0.9510565162951538</v>
      </c>
    </row>
    <row r="329" spans="2:4" x14ac:dyDescent="0.25">
      <c r="B329" s="521">
        <v>73</v>
      </c>
      <c r="C329" s="522">
        <f t="shared" ca="1" si="12"/>
        <v>0.19068209035871844</v>
      </c>
      <c r="D329" s="523">
        <f t="shared" ca="1" si="13"/>
        <v>-0.8910065241883685</v>
      </c>
    </row>
    <row r="330" spans="2:4" x14ac:dyDescent="0.25">
      <c r="B330" s="521">
        <v>74</v>
      </c>
      <c r="C330" s="522">
        <f t="shared" ca="1" si="12"/>
        <v>0.19329417378828992</v>
      </c>
      <c r="D330" s="523">
        <f t="shared" ca="1" si="13"/>
        <v>-0.8090169943749477</v>
      </c>
    </row>
    <row r="331" spans="2:4" x14ac:dyDescent="0.25">
      <c r="B331" s="521">
        <v>75</v>
      </c>
      <c r="C331" s="522">
        <f t="shared" ca="1" si="12"/>
        <v>0.1959062572178614</v>
      </c>
      <c r="D331" s="523">
        <f t="shared" ca="1" si="13"/>
        <v>-0.7071067811865485</v>
      </c>
    </row>
    <row r="332" spans="2:4" x14ac:dyDescent="0.25">
      <c r="B332" s="521">
        <v>76</v>
      </c>
      <c r="C332" s="522">
        <f t="shared" ca="1" si="12"/>
        <v>0.19851834064743287</v>
      </c>
      <c r="D332" s="523">
        <f t="shared" ca="1" si="13"/>
        <v>-0.5877852522924749</v>
      </c>
    </row>
    <row r="333" spans="2:4" x14ac:dyDescent="0.25">
      <c r="B333" s="521">
        <v>77</v>
      </c>
      <c r="C333" s="522">
        <f t="shared" ca="1" si="12"/>
        <v>0.20113042407700438</v>
      </c>
      <c r="D333" s="523">
        <f t="shared" ca="1" si="13"/>
        <v>-0.453990499739548</v>
      </c>
    </row>
    <row r="334" spans="2:4" x14ac:dyDescent="0.25">
      <c r="B334" s="521">
        <v>78</v>
      </c>
      <c r="C334" s="522">
        <f t="shared" ca="1" si="12"/>
        <v>0.20374250750657585</v>
      </c>
      <c r="D334" s="523">
        <f t="shared" ca="1" si="13"/>
        <v>-0.30901699437494956</v>
      </c>
    </row>
    <row r="335" spans="2:4" x14ac:dyDescent="0.25">
      <c r="B335" s="521">
        <v>79</v>
      </c>
      <c r="C335" s="522">
        <f t="shared" ca="1" si="12"/>
        <v>0.20635459093614736</v>
      </c>
      <c r="D335" s="523">
        <f t="shared" ca="1" si="13"/>
        <v>-0.15643446504023048</v>
      </c>
    </row>
    <row r="336" spans="2:4" x14ac:dyDescent="0.25">
      <c r="B336" s="521">
        <v>80</v>
      </c>
      <c r="C336" s="522">
        <f t="shared" ca="1" si="12"/>
        <v>0.20896667436571884</v>
      </c>
      <c r="D336" s="523">
        <f t="shared" ca="1" si="13"/>
        <v>-4.898587196589413e-16</v>
      </c>
    </row>
    <row r="337" spans="2:4" x14ac:dyDescent="0.25">
      <c r="B337" s="521">
        <v>81</v>
      </c>
      <c r="C337" s="522">
        <f t="shared" ca="1" si="12"/>
        <v>0.2115787577952903</v>
      </c>
      <c r="D337" s="523">
        <f t="shared" ca="1" si="13"/>
        <v>0.1564344650402295</v>
      </c>
    </row>
    <row r="338" spans="2:4" x14ac:dyDescent="0.25">
      <c r="B338" s="521">
        <v>82</v>
      </c>
      <c r="C338" s="522">
        <f t="shared" ca="1" si="12"/>
        <v>0.2141908412248618</v>
      </c>
      <c r="D338" s="523">
        <f t="shared" ca="1" si="13"/>
        <v>0.30901699437494523</v>
      </c>
    </row>
    <row r="339" spans="2:4" x14ac:dyDescent="0.25">
      <c r="B339" s="521">
        <v>83</v>
      </c>
      <c r="C339" s="522">
        <f t="shared" ca="1" si="12"/>
        <v>0.21680292465443332</v>
      </c>
      <c r="D339" s="523">
        <f t="shared" ca="1" si="13"/>
        <v>0.45399049973954714</v>
      </c>
    </row>
    <row r="340" spans="2:4" x14ac:dyDescent="0.25">
      <c r="B340" s="521">
        <v>84</v>
      </c>
      <c r="C340" s="522">
        <f t="shared" ca="1" si="12"/>
        <v>0.2194150080840048</v>
      </c>
      <c r="D340" s="523">
        <f t="shared" ca="1" si="13"/>
        <v>0.5877852522924727</v>
      </c>
    </row>
    <row r="341" spans="2:4" x14ac:dyDescent="0.25">
      <c r="B341" s="521">
        <v>85</v>
      </c>
      <c r="C341" s="522">
        <f t="shared" ca="1" si="12"/>
        <v>0.22202709151357627</v>
      </c>
      <c r="D341" s="523">
        <f t="shared" ca="1" si="13"/>
        <v>0.7071067811865478</v>
      </c>
    </row>
    <row r="342" spans="2:4" x14ac:dyDescent="0.25">
      <c r="B342" s="521">
        <v>86</v>
      </c>
      <c r="C342" s="522">
        <f t="shared" ca="1" si="12"/>
        <v>0.22463917494314775</v>
      </c>
      <c r="D342" s="523">
        <f t="shared" ca="1" si="13"/>
        <v>0.8090169943749471</v>
      </c>
    </row>
    <row r="343" spans="2:4" x14ac:dyDescent="0.25">
      <c r="B343" s="521">
        <v>87</v>
      </c>
      <c r="C343" s="522">
        <f t="shared" ca="1" si="12"/>
        <v>0.2272512583727192</v>
      </c>
      <c r="D343" s="523">
        <f t="shared" ca="1" si="13"/>
        <v>0.8910065241883665</v>
      </c>
    </row>
    <row r="344" spans="2:4" x14ac:dyDescent="0.25">
      <c r="B344" s="521">
        <v>88</v>
      </c>
      <c r="C344" s="522">
        <f t="shared" ca="1" si="12"/>
        <v>0.22986334180229073</v>
      </c>
      <c r="D344" s="523">
        <f t="shared" ca="1" si="13"/>
        <v>0.9510565162951534</v>
      </c>
    </row>
    <row r="345" spans="2:4" x14ac:dyDescent="0.25">
      <c r="B345" s="521">
        <v>89</v>
      </c>
      <c r="C345" s="522">
        <f t="shared" ca="1" si="12"/>
        <v>0.2324754252318622</v>
      </c>
      <c r="D345" s="523">
        <f t="shared" ca="1" si="13"/>
        <v>0.9876883405951375</v>
      </c>
    </row>
    <row r="346" spans="2:4" x14ac:dyDescent="0.25">
      <c r="B346" s="521">
        <v>90</v>
      </c>
      <c r="C346" s="522">
        <f t="shared" ca="1" si="12"/>
        <v>0.2350875086614337</v>
      </c>
      <c r="D346" s="523">
        <f t="shared" ca="1" si="13"/>
        <v>1.0</v>
      </c>
    </row>
    <row r="347" spans="2:4" x14ac:dyDescent="0.25">
      <c r="B347" s="521">
        <v>91</v>
      </c>
      <c r="C347" s="522">
        <f t="shared" ca="1" si="12"/>
        <v>0.23769959209100516</v>
      </c>
      <c r="D347" s="523">
        <f t="shared" ca="1" si="13"/>
        <v>0.987688340595138</v>
      </c>
    </row>
    <row r="348" spans="2:4" x14ac:dyDescent="0.25">
      <c r="B348" s="521">
        <v>92</v>
      </c>
      <c r="C348" s="522">
        <f t="shared" ca="1" si="12"/>
        <v>0.24031167552057664</v>
      </c>
      <c r="D348" s="523">
        <f t="shared" ca="1" si="13"/>
        <v>0.9510565162951543</v>
      </c>
    </row>
    <row r="349" spans="2:4" x14ac:dyDescent="0.25">
      <c r="B349" s="521">
        <v>93</v>
      </c>
      <c r="C349" s="522">
        <f t="shared" ca="1" si="12"/>
        <v>0.24292375895014817</v>
      </c>
      <c r="D349" s="523">
        <f t="shared" ca="1" si="13"/>
        <v>0.8910065241883677</v>
      </c>
    </row>
    <row r="350" spans="2:4" x14ac:dyDescent="0.25">
      <c r="B350" s="521">
        <v>94</v>
      </c>
      <c r="C350" s="522">
        <f t="shared" ca="1" si="12"/>
        <v>0.24553584237971965</v>
      </c>
      <c r="D350" s="523">
        <f t="shared" ca="1" si="13"/>
        <v>0.8090169943749478</v>
      </c>
    </row>
    <row r="351" spans="2:4" x14ac:dyDescent="0.25">
      <c r="B351" s="521">
        <v>95</v>
      </c>
      <c r="C351" s="522">
        <f t="shared" ca="1" si="12"/>
        <v>0.24814792580929113</v>
      </c>
      <c r="D351" s="523">
        <f t="shared" ca="1" si="13"/>
        <v>0.7071067811865486</v>
      </c>
    </row>
    <row r="352" spans="2:4" x14ac:dyDescent="0.25">
      <c r="B352" s="521">
        <v>96</v>
      </c>
      <c r="C352" s="522">
        <f t="shared" ca="1" si="12"/>
        <v>0.2507600092388626</v>
      </c>
      <c r="D352" s="523">
        <f t="shared" ca="1" si="13"/>
        <v>0.5877852522924736</v>
      </c>
    </row>
    <row r="353" spans="2:4" x14ac:dyDescent="0.25">
      <c r="B353" s="521">
        <v>97</v>
      </c>
      <c r="C353" s="522">
        <f t="shared" ca="1" si="12"/>
        <v>0.2533720926684341</v>
      </c>
      <c r="D353" s="523">
        <f t="shared" ca="1" si="13"/>
        <v>0.45399049973954814</v>
      </c>
    </row>
    <row r="354" spans="2:4" x14ac:dyDescent="0.25">
      <c r="B354" s="521">
        <v>98</v>
      </c>
      <c r="C354" s="522">
        <f t="shared" ca="1" si="12"/>
        <v>0.2559841760980056</v>
      </c>
      <c r="D354" s="523">
        <f t="shared" ca="1" si="13"/>
        <v>0.3090169943749463</v>
      </c>
    </row>
    <row r="355" spans="2:4" x14ac:dyDescent="0.25">
      <c r="B355" s="521">
        <v>99</v>
      </c>
      <c r="C355" s="522">
        <f t="shared" ca="1" si="12"/>
        <v>0.2585962595275771</v>
      </c>
      <c r="D355" s="523">
        <f t="shared" ca="1" si="13"/>
        <v>0.1564344650402306</v>
      </c>
    </row>
    <row r="356" spans="2:4" x14ac:dyDescent="0.25">
      <c r="B356" s="521">
        <v>100</v>
      </c>
      <c r="C356" s="522">
        <f t="shared" ca="1" si="12"/>
        <v>0.26120834295714856</v>
      </c>
      <c r="D356" s="523">
        <f t="shared" ca="1" si="13"/>
        <v>6.123233995736766e-16</v>
      </c>
    </row>
    <row r="357" spans="2:4" x14ac:dyDescent="0.25">
      <c r="B357" s="521">
        <v>101</v>
      </c>
      <c r="C357" s="522">
        <f t="shared" ca="1" si="12"/>
        <v>0.26382042638672004</v>
      </c>
      <c r="D357" s="523">
        <f t="shared" ca="1" si="13"/>
        <v>-0.15643446504023115</v>
      </c>
    </row>
    <row r="358" spans="2:4" x14ac:dyDescent="0.25">
      <c r="B358" s="521">
        <v>102</v>
      </c>
      <c r="C358" s="522">
        <f t="shared" ca="1" si="12"/>
        <v>0.2664325098162915</v>
      </c>
      <c r="D358" s="523">
        <f t="shared" ca="1" si="13"/>
        <v>-0.3090169943749451</v>
      </c>
    </row>
    <row r="359" spans="2:4" x14ac:dyDescent="0.25">
      <c r="B359" s="521">
        <v>103</v>
      </c>
      <c r="C359" s="522">
        <f t="shared" ca="1" si="12"/>
        <v>0.269044593245863</v>
      </c>
      <c r="D359" s="523">
        <f t="shared" ca="1" si="13"/>
        <v>-0.4539904997395454</v>
      </c>
    </row>
    <row r="360" spans="2:4" x14ac:dyDescent="0.25">
      <c r="B360" s="521">
        <v>104</v>
      </c>
      <c r="C360" s="522">
        <f t="shared" ca="1" si="12"/>
        <v>0.27165667667543447</v>
      </c>
      <c r="D360" s="523">
        <f t="shared" ca="1" si="13"/>
        <v>-0.5877852522924726</v>
      </c>
    </row>
    <row r="361" spans="2:4" x14ac:dyDescent="0.25">
      <c r="B361" s="521">
        <v>105</v>
      </c>
      <c r="C361" s="522">
        <f t="shared" ca="1" si="12"/>
        <v>0.27426876010500595</v>
      </c>
      <c r="D361" s="523">
        <f t="shared" ca="1" si="13"/>
        <v>-0.7071067811865452</v>
      </c>
    </row>
    <row r="362" spans="2:4" x14ac:dyDescent="0.25">
      <c r="B362" s="521">
        <v>106</v>
      </c>
      <c r="C362" s="522">
        <f t="shared" ca="1" si="12"/>
        <v>0.2768808435345774</v>
      </c>
      <c r="D362" s="523">
        <f t="shared" ca="1" si="13"/>
        <v>-0.809016994374946</v>
      </c>
    </row>
    <row r="363" spans="2:4" x14ac:dyDescent="0.25">
      <c r="B363" s="521">
        <v>107</v>
      </c>
      <c r="C363" s="522">
        <f t="shared" ca="1" si="12"/>
        <v>0.2794929269641489</v>
      </c>
      <c r="D363" s="523">
        <f t="shared" ca="1" si="13"/>
        <v>-0.8910065241883656</v>
      </c>
    </row>
    <row r="364" spans="2:4" x14ac:dyDescent="0.25">
      <c r="B364" s="521">
        <v>108</v>
      </c>
      <c r="C364" s="522">
        <f t="shared" ca="1" si="12"/>
        <v>0.28210501039372043</v>
      </c>
      <c r="D364" s="523">
        <f t="shared" ca="1" si="13"/>
        <v>-0.9510565162951534</v>
      </c>
    </row>
    <row r="365" spans="2:4" x14ac:dyDescent="0.25">
      <c r="B365" s="521">
        <v>109</v>
      </c>
      <c r="C365" s="522">
        <f t="shared" ca="1" si="12"/>
        <v>0.2847170938232919</v>
      </c>
      <c r="D365" s="523">
        <f t="shared" ca="1" si="13"/>
        <v>-0.9876883405951378</v>
      </c>
    </row>
    <row r="366" spans="2:4" x14ac:dyDescent="0.25">
      <c r="B366" s="521">
        <v>110</v>
      </c>
      <c r="C366" s="522">
        <f t="shared" ca="1" si="12"/>
        <v>0.2873291772528634</v>
      </c>
      <c r="D366" s="523">
        <f t="shared" ca="1" si="13"/>
        <v>-1.0</v>
      </c>
    </row>
    <row r="367" spans="2:4" x14ac:dyDescent="0.25">
      <c r="B367" s="521">
        <v>111</v>
      </c>
      <c r="C367" s="522">
        <f t="shared" ca="1" si="12"/>
        <v>0.28994126068243486</v>
      </c>
      <c r="D367" s="523">
        <f t="shared" ca="1" si="13"/>
        <v>-0.987688340595138</v>
      </c>
    </row>
    <row r="368" spans="2:4" x14ac:dyDescent="0.25">
      <c r="B368" s="521">
        <v>112</v>
      </c>
      <c r="C368" s="522">
        <f t="shared" ca="1" si="12"/>
        <v>0.29255334411200634</v>
      </c>
      <c r="D368" s="523">
        <f t="shared" ca="1" si="13"/>
        <v>-0.9510565162951549</v>
      </c>
    </row>
    <row r="369" spans="2:4" x14ac:dyDescent="0.25">
      <c r="B369" s="521">
        <v>113</v>
      </c>
      <c r="C369" s="522">
        <f t="shared" ca="1" si="12"/>
        <v>0.2951654275415779</v>
      </c>
      <c r="D369" s="523">
        <f t="shared" ca="1" si="13"/>
        <v>-0.8910065241883678</v>
      </c>
    </row>
    <row r="370" spans="2:4" x14ac:dyDescent="0.25">
      <c r="B370" s="521">
        <v>114</v>
      </c>
      <c r="C370" s="522">
        <f t="shared" ca="1" si="12"/>
        <v>0.29777751097114935</v>
      </c>
      <c r="D370" s="523">
        <f t="shared" ca="1" si="13"/>
        <v>-0.8090169943749489</v>
      </c>
    </row>
    <row r="371" spans="2:4" x14ac:dyDescent="0.25">
      <c r="B371" s="521">
        <v>115</v>
      </c>
      <c r="C371" s="522">
        <f t="shared" ca="1" si="12"/>
        <v>0.3003895944007208</v>
      </c>
      <c r="D371" s="523">
        <f t="shared" ca="1" si="13"/>
        <v>-0.7071067811865487</v>
      </c>
    </row>
    <row r="372" spans="2:4" x14ac:dyDescent="0.25">
      <c r="B372" s="521">
        <v>116</v>
      </c>
      <c r="C372" s="522">
        <f t="shared" ca="1" si="12"/>
        <v>0.3030016778302923</v>
      </c>
      <c r="D372" s="523">
        <f t="shared" ca="1" si="13"/>
        <v>-0.5877852522924737</v>
      </c>
    </row>
    <row r="373" spans="2:4" x14ac:dyDescent="0.25">
      <c r="B373" s="521">
        <v>117</v>
      </c>
      <c r="C373" s="522">
        <f t="shared" ca="1" si="12"/>
        <v>0.3056137612598638</v>
      </c>
      <c r="D373" s="523">
        <f t="shared" ca="1" si="13"/>
        <v>-0.4539904997395498</v>
      </c>
    </row>
    <row r="374" spans="2:4" x14ac:dyDescent="0.25">
      <c r="B374" s="521">
        <v>118</v>
      </c>
      <c r="C374" s="522">
        <f t="shared" ca="1" si="12"/>
        <v>0.3082258446894353</v>
      </c>
      <c r="D374" s="523">
        <f t="shared" ca="1" si="13"/>
        <v>-0.3090169943749464</v>
      </c>
    </row>
    <row r="375" spans="2:4" x14ac:dyDescent="0.25">
      <c r="B375" s="521">
        <v>119</v>
      </c>
      <c r="C375" s="522">
        <f t="shared" ca="1" si="12"/>
        <v>0.3108379281190068</v>
      </c>
      <c r="D375" s="523">
        <f t="shared" ca="1" si="13"/>
        <v>-0.15643446504023248</v>
      </c>
    </row>
    <row r="376" spans="2:4" x14ac:dyDescent="0.25">
      <c r="B376" s="521">
        <v>120</v>
      </c>
      <c r="C376" s="522">
        <f t="shared" ca="1" si="12"/>
        <v>0.31345001154857827</v>
      </c>
      <c r="D376" s="523">
        <f t="shared" ca="1" si="13"/>
        <v>-7.347880794884119e-16</v>
      </c>
    </row>
    <row r="379" spans="2:4" x14ac:dyDescent="0.25">
      <c r="B379" s="516" t="s">
        <v>1122</v>
      </c>
    </row>
    <row r="380" spans="2:4" x14ac:dyDescent="0.25">
      <c r="B380" s="516" t="s">
        <v>1119</v>
      </c>
      <c r="C380" s="516" t="s">
        <v>1120</v>
      </c>
      <c r="D380" s="516" t="s">
        <v>398</v>
      </c>
    </row>
    <row r="381" spans="2:4" x14ac:dyDescent="0.25">
      <c r="B381" s="521">
        <v>0</v>
      </c>
      <c r="C381" s="522">
        <f t="shared" ref="C381:C444" ca="1" si="14">B381/40/$C$50</f>
        <v>0.0</v>
      </c>
      <c r="D381" s="523">
        <f t="shared" ref="D381:D444" ca="1" si="15">SIN(2*PI()*$C$50*C381)</f>
        <v>0.0</v>
      </c>
    </row>
    <row r="382" spans="2:4" x14ac:dyDescent="0.25">
      <c r="B382" s="521">
        <v>1</v>
      </c>
      <c r="C382" s="522">
        <f t="shared" ca="1" si="14"/>
        <v>0.00362733782037041</v>
      </c>
      <c r="D382" s="523">
        <f t="shared" ca="1" si="15"/>
        <v>0.15643446504023087</v>
      </c>
    </row>
    <row r="383" spans="2:4" x14ac:dyDescent="0.25">
      <c r="B383" s="521">
        <v>2</v>
      </c>
      <c r="C383" s="522">
        <f t="shared" ca="1" si="14"/>
        <v>0.00725467564074082</v>
      </c>
      <c r="D383" s="523">
        <f t="shared" ca="1" si="15"/>
        <v>0.3090169943749474</v>
      </c>
    </row>
    <row r="384" spans="2:4" x14ac:dyDescent="0.25">
      <c r="B384" s="521">
        <v>3</v>
      </c>
      <c r="C384" s="522">
        <f t="shared" ca="1" si="14"/>
        <v>0.01088201346111123</v>
      </c>
      <c r="D384" s="523">
        <f t="shared" ca="1" si="15"/>
        <v>0.45399049973954675</v>
      </c>
    </row>
    <row r="385" spans="2:4" x14ac:dyDescent="0.25">
      <c r="B385" s="521">
        <v>4</v>
      </c>
      <c r="C385" s="522">
        <f t="shared" ca="1" si="14"/>
        <v>0.01450935128148164</v>
      </c>
      <c r="D385" s="523">
        <f t="shared" ca="1" si="15"/>
        <v>0.5877852522924731</v>
      </c>
    </row>
    <row r="386" spans="2:4" x14ac:dyDescent="0.25">
      <c r="B386" s="521">
        <v>5</v>
      </c>
      <c r="C386" s="522">
        <f t="shared" ca="1" si="14"/>
        <v>0.01813668910185205</v>
      </c>
      <c r="D386" s="523">
        <f t="shared" ca="1" si="15"/>
        <v>0.7071067811865475</v>
      </c>
    </row>
    <row r="387" spans="2:4" x14ac:dyDescent="0.25">
      <c r="B387" s="521">
        <v>6</v>
      </c>
      <c r="C387" s="522">
        <f t="shared" ca="1" si="14"/>
        <v>0.02176402692222246</v>
      </c>
      <c r="D387" s="523">
        <f t="shared" ca="1" si="15"/>
        <v>0.8090169943749475</v>
      </c>
    </row>
    <row r="388" spans="2:4" x14ac:dyDescent="0.25">
      <c r="B388" s="521">
        <v>7</v>
      </c>
      <c r="C388" s="522">
        <f t="shared" ca="1" si="14"/>
        <v>0.02539136474259287</v>
      </c>
      <c r="D388" s="523">
        <f t="shared" ca="1" si="15"/>
        <v>0.8910065241883678</v>
      </c>
    </row>
    <row r="389" spans="2:4" x14ac:dyDescent="0.25">
      <c r="B389" s="521">
        <v>8</v>
      </c>
      <c r="C389" s="522">
        <f t="shared" ca="1" si="14"/>
        <v>0.02901870256296328</v>
      </c>
      <c r="D389" s="523">
        <f t="shared" ca="1" si="15"/>
        <v>0.9510565162951535</v>
      </c>
    </row>
    <row r="390" spans="2:4" x14ac:dyDescent="0.25">
      <c r="B390" s="521">
        <v>9</v>
      </c>
      <c r="C390" s="522">
        <f t="shared" ca="1" si="14"/>
        <v>0.03264604038333369</v>
      </c>
      <c r="D390" s="523">
        <f t="shared" ca="1" si="15"/>
        <v>0.9876883405951378</v>
      </c>
    </row>
    <row r="391" spans="2:4" x14ac:dyDescent="0.25">
      <c r="B391" s="521">
        <v>10</v>
      </c>
      <c r="C391" s="522">
        <f t="shared" ca="1" si="14"/>
        <v>0.0362733782037041</v>
      </c>
      <c r="D391" s="523">
        <f t="shared" ca="1" si="15"/>
        <v>1.0</v>
      </c>
    </row>
    <row r="392" spans="2:4" x14ac:dyDescent="0.25">
      <c r="B392" s="521">
        <v>11</v>
      </c>
      <c r="C392" s="522">
        <f t="shared" ca="1" si="14"/>
        <v>0.039900716024074516</v>
      </c>
      <c r="D392" s="523">
        <f t="shared" ca="1" si="15"/>
        <v>0.9876883405951377</v>
      </c>
    </row>
    <row r="393" spans="2:4" x14ac:dyDescent="0.25">
      <c r="B393" s="521">
        <v>12</v>
      </c>
      <c r="C393" s="522">
        <f t="shared" ca="1" si="14"/>
        <v>0.04352805384444492</v>
      </c>
      <c r="D393" s="523">
        <f t="shared" ca="1" si="15"/>
        <v>0.9510565162951536</v>
      </c>
    </row>
    <row r="394" spans="2:4" x14ac:dyDescent="0.25">
      <c r="B394" s="521">
        <v>13</v>
      </c>
      <c r="C394" s="522">
        <f t="shared" ca="1" si="14"/>
        <v>0.04715539166481533</v>
      </c>
      <c r="D394" s="523">
        <f t="shared" ca="1" si="15"/>
        <v>0.8910065241883679</v>
      </c>
    </row>
    <row r="395" spans="2:4" x14ac:dyDescent="0.25">
      <c r="B395" s="521">
        <v>14</v>
      </c>
      <c r="C395" s="522">
        <f t="shared" ca="1" si="14"/>
        <v>0.05078272948518574</v>
      </c>
      <c r="D395" s="523">
        <f t="shared" ca="1" si="15"/>
        <v>0.8090169943749475</v>
      </c>
    </row>
    <row r="396" spans="2:4" x14ac:dyDescent="0.25">
      <c r="B396" s="521">
        <v>15</v>
      </c>
      <c r="C396" s="522">
        <f t="shared" ca="1" si="14"/>
        <v>0.05441006730555615</v>
      </c>
      <c r="D396" s="523">
        <f t="shared" ca="1" si="15"/>
        <v>0.7071067811865476</v>
      </c>
    </row>
    <row r="397" spans="2:4" x14ac:dyDescent="0.25">
      <c r="B397" s="521">
        <v>16</v>
      </c>
      <c r="C397" s="522">
        <f t="shared" ca="1" si="14"/>
        <v>0.05803740512592656</v>
      </c>
      <c r="D397" s="523">
        <f t="shared" ca="1" si="15"/>
        <v>0.5877852522924732</v>
      </c>
    </row>
    <row r="398" spans="2:4" x14ac:dyDescent="0.25">
      <c r="B398" s="521">
        <v>17</v>
      </c>
      <c r="C398" s="522">
        <f t="shared" ca="1" si="14"/>
        <v>0.061664742946296966</v>
      </c>
      <c r="D398" s="523">
        <f t="shared" ca="1" si="15"/>
        <v>0.45399049973954686</v>
      </c>
    </row>
    <row r="399" spans="2:4" x14ac:dyDescent="0.25">
      <c r="B399" s="521">
        <v>18</v>
      </c>
      <c r="C399" s="522">
        <f t="shared" ca="1" si="14"/>
        <v>0.06529208076666738</v>
      </c>
      <c r="D399" s="523">
        <f t="shared" ca="1" si="15"/>
        <v>0.3090169943749475</v>
      </c>
    </row>
    <row r="400" spans="2:4" x14ac:dyDescent="0.25">
      <c r="B400" s="521">
        <v>19</v>
      </c>
      <c r="C400" s="522">
        <f t="shared" ca="1" si="14"/>
        <v>0.06891941858703779</v>
      </c>
      <c r="D400" s="523">
        <f t="shared" ca="1" si="15"/>
        <v>0.15643446504023098</v>
      </c>
    </row>
    <row r="401" spans="2:4" x14ac:dyDescent="0.25">
      <c r="B401" s="521">
        <v>20</v>
      </c>
      <c r="C401" s="522">
        <f t="shared" ca="1" si="14"/>
        <v>0.0725467564074082</v>
      </c>
      <c r="D401" s="523">
        <f t="shared" ca="1" si="15"/>
        <v>5.66553889764798e-16</v>
      </c>
    </row>
    <row r="402" spans="2:4" x14ac:dyDescent="0.25">
      <c r="B402" s="521">
        <v>21</v>
      </c>
      <c r="C402" s="522">
        <f t="shared" ca="1" si="14"/>
        <v>0.07617409422777861</v>
      </c>
      <c r="D402" s="523">
        <f t="shared" ca="1" si="15"/>
        <v>-0.15643446504023073</v>
      </c>
    </row>
    <row r="403" spans="2:4" x14ac:dyDescent="0.25">
      <c r="B403" s="521">
        <v>22</v>
      </c>
      <c r="C403" s="522">
        <f t="shared" ca="1" si="14"/>
        <v>0.07980143204814903</v>
      </c>
      <c r="D403" s="523">
        <f t="shared" ca="1" si="15"/>
        <v>-0.30901699437494773</v>
      </c>
    </row>
    <row r="404" spans="2:4" x14ac:dyDescent="0.25">
      <c r="B404" s="521">
        <v>23</v>
      </c>
      <c r="C404" s="522">
        <f t="shared" ca="1" si="14"/>
        <v>0.08342876986851942</v>
      </c>
      <c r="D404" s="523">
        <f t="shared" ca="1" si="15"/>
        <v>-0.45399049973954625</v>
      </c>
    </row>
    <row r="405" spans="2:4" x14ac:dyDescent="0.25">
      <c r="B405" s="521">
        <v>24</v>
      </c>
      <c r="C405" s="522">
        <f t="shared" ca="1" si="14"/>
        <v>0.08705610768888984</v>
      </c>
      <c r="D405" s="523">
        <f t="shared" ca="1" si="15"/>
        <v>-0.587785252292473</v>
      </c>
    </row>
    <row r="406" spans="2:4" x14ac:dyDescent="0.25">
      <c r="B406" s="521">
        <v>25</v>
      </c>
      <c r="C406" s="522">
        <f t="shared" ca="1" si="14"/>
        <v>0.09068344550926025</v>
      </c>
      <c r="D406" s="523">
        <f t="shared" ca="1" si="15"/>
        <v>-0.7071067811865475</v>
      </c>
    </row>
    <row r="407" spans="2:4" x14ac:dyDescent="0.25">
      <c r="B407" s="521">
        <v>26</v>
      </c>
      <c r="C407" s="522">
        <f t="shared" ca="1" si="14"/>
        <v>0.09431078332963067</v>
      </c>
      <c r="D407" s="523">
        <f t="shared" ca="1" si="15"/>
        <v>-0.8090169943749473</v>
      </c>
    </row>
    <row r="408" spans="2:4" x14ac:dyDescent="0.25">
      <c r="B408" s="521">
        <v>27</v>
      </c>
      <c r="C408" s="522">
        <f t="shared" ca="1" si="14"/>
        <v>0.09793812115000107</v>
      </c>
      <c r="D408" s="523">
        <f t="shared" ca="1" si="15"/>
        <v>-0.8910065241883678</v>
      </c>
    </row>
    <row r="409" spans="2:4" x14ac:dyDescent="0.25">
      <c r="B409" s="521">
        <v>28</v>
      </c>
      <c r="C409" s="522">
        <f t="shared" ca="1" si="14"/>
        <v>0.10156545897037147</v>
      </c>
      <c r="D409" s="523">
        <f t="shared" ca="1" si="15"/>
        <v>-0.9510565162951535</v>
      </c>
    </row>
    <row r="410" spans="2:4" x14ac:dyDescent="0.25">
      <c r="B410" s="521">
        <v>29</v>
      </c>
      <c r="C410" s="522">
        <f t="shared" ca="1" si="14"/>
        <v>0.10519279679074188</v>
      </c>
      <c r="D410" s="523">
        <f t="shared" ca="1" si="15"/>
        <v>-0.9876883405951375</v>
      </c>
    </row>
    <row r="411" spans="2:4" x14ac:dyDescent="0.25">
      <c r="B411" s="521">
        <v>30</v>
      </c>
      <c r="C411" s="522">
        <f t="shared" ca="1" si="14"/>
        <v>0.1088201346111123</v>
      </c>
      <c r="D411" s="523">
        <f t="shared" ca="1" si="15"/>
        <v>-1.0</v>
      </c>
    </row>
    <row r="412" spans="2:4" x14ac:dyDescent="0.25">
      <c r="B412" s="521">
        <v>31</v>
      </c>
      <c r="C412" s="522">
        <f t="shared" ca="1" si="14"/>
        <v>0.11244747243148272</v>
      </c>
      <c r="D412" s="523">
        <f t="shared" ca="1" si="15"/>
        <v>-0.9876883405951378</v>
      </c>
    </row>
    <row r="413" spans="2:4" x14ac:dyDescent="0.25">
      <c r="B413" s="521">
        <v>32</v>
      </c>
      <c r="C413" s="522">
        <f t="shared" ca="1" si="14"/>
        <v>0.11607481025185312</v>
      </c>
      <c r="D413" s="523">
        <f t="shared" ca="1" si="15"/>
        <v>-0.9510565162951536</v>
      </c>
    </row>
    <row r="414" spans="2:4" x14ac:dyDescent="0.25">
      <c r="B414" s="521">
        <v>33</v>
      </c>
      <c r="C414" s="522">
        <f t="shared" ca="1" si="14"/>
        <v>0.11970214807222353</v>
      </c>
      <c r="D414" s="523">
        <f t="shared" ca="1" si="15"/>
        <v>-0.891006524188368</v>
      </c>
    </row>
    <row r="415" spans="2:4" x14ac:dyDescent="0.25">
      <c r="B415" s="521">
        <v>34</v>
      </c>
      <c r="C415" s="522">
        <f t="shared" ca="1" si="14"/>
        <v>0.12332948589259393</v>
      </c>
      <c r="D415" s="523">
        <f t="shared" ca="1" si="15"/>
        <v>-0.8090169943749476</v>
      </c>
    </row>
    <row r="416" spans="2:4" x14ac:dyDescent="0.25">
      <c r="B416" s="521">
        <v>35</v>
      </c>
      <c r="C416" s="522">
        <f t="shared" ca="1" si="14"/>
        <v>0.12695682371296435</v>
      </c>
      <c r="D416" s="523">
        <f t="shared" ca="1" si="15"/>
        <v>-0.7071067811865477</v>
      </c>
    </row>
    <row r="417" spans="2:4" x14ac:dyDescent="0.25">
      <c r="B417" s="521">
        <v>36</v>
      </c>
      <c r="C417" s="522">
        <f t="shared" ca="1" si="14"/>
        <v>0.13058416153333477</v>
      </c>
      <c r="D417" s="523">
        <f t="shared" ca="1" si="15"/>
        <v>-0.5877852522924734</v>
      </c>
    </row>
    <row r="418" spans="2:4" x14ac:dyDescent="0.25">
      <c r="B418" s="521">
        <v>37</v>
      </c>
      <c r="C418" s="522">
        <f t="shared" ca="1" si="14"/>
        <v>0.1342114993537052</v>
      </c>
      <c r="D418" s="523">
        <f t="shared" ca="1" si="15"/>
        <v>-0.4539904997395462</v>
      </c>
    </row>
    <row r="419" spans="2:4" x14ac:dyDescent="0.25">
      <c r="B419" s="521">
        <v>38</v>
      </c>
      <c r="C419" s="522">
        <f t="shared" ca="1" si="14"/>
        <v>0.13783883717407558</v>
      </c>
      <c r="D419" s="523">
        <f t="shared" ca="1" si="15"/>
        <v>-0.3090169943749476</v>
      </c>
    </row>
    <row r="420" spans="2:4" x14ac:dyDescent="0.25">
      <c r="B420" s="521">
        <v>39</v>
      </c>
      <c r="C420" s="522">
        <f t="shared" ca="1" si="14"/>
        <v>0.141466174994446</v>
      </c>
      <c r="D420" s="523">
        <f t="shared" ca="1" si="15"/>
        <v>-0.15643446504023112</v>
      </c>
    </row>
    <row r="421" spans="2:4" x14ac:dyDescent="0.25">
      <c r="B421" s="521">
        <v>40</v>
      </c>
      <c r="C421" s="522">
        <f t="shared" ca="1" si="14"/>
        <v>0.1450935128148164</v>
      </c>
      <c r="D421" s="523">
        <f t="shared" ca="1" si="15"/>
        <v>-1.133107779529596e-15</v>
      </c>
    </row>
    <row r="422" spans="2:4" x14ac:dyDescent="0.25">
      <c r="B422" s="521">
        <v>41</v>
      </c>
      <c r="C422" s="522">
        <f t="shared" ca="1" si="14"/>
        <v>0.1487208506351868</v>
      </c>
      <c r="D422" s="523">
        <f t="shared" ca="1" si="15"/>
        <v>0.15643446504023062</v>
      </c>
    </row>
    <row r="423" spans="2:4" x14ac:dyDescent="0.25">
      <c r="B423" s="521">
        <v>42</v>
      </c>
      <c r="C423" s="522">
        <f t="shared" ca="1" si="14"/>
        <v>0.15234818845555723</v>
      </c>
      <c r="D423" s="523">
        <f t="shared" ca="1" si="15"/>
        <v>0.3090169943749472</v>
      </c>
    </row>
    <row r="424" spans="2:4" x14ac:dyDescent="0.25">
      <c r="B424" s="521">
        <v>43</v>
      </c>
      <c r="C424" s="522">
        <f t="shared" ca="1" si="14"/>
        <v>0.15597552627592762</v>
      </c>
      <c r="D424" s="523">
        <f t="shared" ca="1" si="15"/>
        <v>0.45399049973954575</v>
      </c>
    </row>
    <row r="425" spans="2:4" x14ac:dyDescent="0.25">
      <c r="B425" s="521">
        <v>44</v>
      </c>
      <c r="C425" s="522">
        <f t="shared" ca="1" si="14"/>
        <v>0.15960286409629806</v>
      </c>
      <c r="D425" s="523">
        <f t="shared" ca="1" si="15"/>
        <v>0.5877852522924736</v>
      </c>
    </row>
    <row r="426" spans="2:4" x14ac:dyDescent="0.25">
      <c r="B426" s="521">
        <v>45</v>
      </c>
      <c r="C426" s="522">
        <f t="shared" ca="1" si="14"/>
        <v>0.16323020191666845</v>
      </c>
      <c r="D426" s="523">
        <f t="shared" ca="1" si="15"/>
        <v>0.7071067811865474</v>
      </c>
    </row>
    <row r="427" spans="2:4" x14ac:dyDescent="0.25">
      <c r="B427" s="521">
        <v>46</v>
      </c>
      <c r="C427" s="522">
        <f t="shared" ca="1" si="14"/>
        <v>0.16685753973703885</v>
      </c>
      <c r="D427" s="523">
        <f t="shared" ca="1" si="15"/>
        <v>0.8090169943749468</v>
      </c>
    </row>
    <row r="428" spans="2:4" x14ac:dyDescent="0.25">
      <c r="B428" s="521">
        <v>47</v>
      </c>
      <c r="C428" s="522">
        <f t="shared" ca="1" si="14"/>
        <v>0.17048487755740926</v>
      </c>
      <c r="D428" s="523">
        <f t="shared" ca="1" si="15"/>
        <v>0.8910065241883677</v>
      </c>
    </row>
    <row r="429" spans="2:4" x14ac:dyDescent="0.25">
      <c r="B429" s="521">
        <v>48</v>
      </c>
      <c r="C429" s="522">
        <f t="shared" ca="1" si="14"/>
        <v>0.17411221537777968</v>
      </c>
      <c r="D429" s="523">
        <f t="shared" ca="1" si="15"/>
        <v>0.9510565162951535</v>
      </c>
    </row>
    <row r="430" spans="2:4" x14ac:dyDescent="0.25">
      <c r="B430" s="521">
        <v>49</v>
      </c>
      <c r="C430" s="522">
        <f t="shared" ca="1" si="14"/>
        <v>0.1777395531981501</v>
      </c>
      <c r="D430" s="523">
        <f t="shared" ca="1" si="15"/>
        <v>0.9876883405951377</v>
      </c>
    </row>
    <row r="431" spans="2:4" x14ac:dyDescent="0.25">
      <c r="B431" s="521">
        <v>50</v>
      </c>
      <c r="C431" s="522">
        <f t="shared" ca="1" si="14"/>
        <v>0.1813668910185205</v>
      </c>
      <c r="D431" s="523">
        <f t="shared" ca="1" si="15"/>
        <v>1.0</v>
      </c>
    </row>
    <row r="432" spans="2:4" x14ac:dyDescent="0.25">
      <c r="B432" s="521">
        <v>51</v>
      </c>
      <c r="C432" s="522">
        <f t="shared" ca="1" si="14"/>
        <v>0.18499422883889088</v>
      </c>
      <c r="D432" s="523">
        <f t="shared" ca="1" si="15"/>
        <v>0.9876883405951379</v>
      </c>
    </row>
    <row r="433" spans="2:4" x14ac:dyDescent="0.25">
      <c r="B433" s="521">
        <v>52</v>
      </c>
      <c r="C433" s="522">
        <f t="shared" ca="1" si="14"/>
        <v>0.18862156665926133</v>
      </c>
      <c r="D433" s="523">
        <f t="shared" ca="1" si="15"/>
        <v>0.9510565162951536</v>
      </c>
    </row>
    <row r="434" spans="2:4" x14ac:dyDescent="0.25">
      <c r="B434" s="521">
        <v>53</v>
      </c>
      <c r="C434" s="522">
        <f t="shared" ca="1" si="14"/>
        <v>0.19224890447963172</v>
      </c>
      <c r="D434" s="523">
        <f t="shared" ca="1" si="15"/>
        <v>0.8910065241883685</v>
      </c>
    </row>
    <row r="435" spans="2:4" x14ac:dyDescent="0.25">
      <c r="B435" s="521">
        <v>54</v>
      </c>
      <c r="C435" s="522">
        <f t="shared" ca="1" si="14"/>
        <v>0.19587624230000214</v>
      </c>
      <c r="D435" s="523">
        <f t="shared" ca="1" si="15"/>
        <v>0.8090169943749477</v>
      </c>
    </row>
    <row r="436" spans="2:4" x14ac:dyDescent="0.25">
      <c r="B436" s="521">
        <v>55</v>
      </c>
      <c r="C436" s="522">
        <f t="shared" ca="1" si="14"/>
        <v>0.19950358012037256</v>
      </c>
      <c r="D436" s="523">
        <f t="shared" ca="1" si="15"/>
        <v>0.7071067811865471</v>
      </c>
    </row>
    <row r="437" spans="2:4" x14ac:dyDescent="0.25">
      <c r="B437" s="521">
        <v>56</v>
      </c>
      <c r="C437" s="522">
        <f t="shared" ca="1" si="14"/>
        <v>0.20313091794074295</v>
      </c>
      <c r="D437" s="523">
        <f t="shared" ca="1" si="15"/>
        <v>0.5877852522924734</v>
      </c>
    </row>
    <row r="438" spans="2:4" x14ac:dyDescent="0.25">
      <c r="B438" s="521">
        <v>57</v>
      </c>
      <c r="C438" s="522">
        <f t="shared" ca="1" si="14"/>
        <v>0.20675825576111337</v>
      </c>
      <c r="D438" s="523">
        <f t="shared" ca="1" si="15"/>
        <v>0.4539904997395479</v>
      </c>
    </row>
    <row r="439" spans="2:4" x14ac:dyDescent="0.25">
      <c r="B439" s="521">
        <v>58</v>
      </c>
      <c r="C439" s="522">
        <f t="shared" ca="1" si="14"/>
        <v>0.21038559358148376</v>
      </c>
      <c r="D439" s="523">
        <f t="shared" ca="1" si="15"/>
        <v>0.30901699437494945</v>
      </c>
    </row>
    <row r="440" spans="2:4" x14ac:dyDescent="0.25">
      <c r="B440" s="521">
        <v>59</v>
      </c>
      <c r="C440" s="522">
        <f t="shared" ca="1" si="14"/>
        <v>0.2140129314018542</v>
      </c>
      <c r="D440" s="523">
        <f t="shared" ca="1" si="15"/>
        <v>0.15643446504023034</v>
      </c>
    </row>
    <row r="441" spans="2:4" x14ac:dyDescent="0.25">
      <c r="B441" s="521">
        <v>60</v>
      </c>
      <c r="C441" s="522">
        <f t="shared" ca="1" si="14"/>
        <v>0.2176402692222246</v>
      </c>
      <c r="D441" s="523">
        <f t="shared" ca="1" si="15"/>
        <v>3.6739403974420594e-16</v>
      </c>
    </row>
    <row r="442" spans="2:4" x14ac:dyDescent="0.25">
      <c r="B442" s="521">
        <v>61</v>
      </c>
      <c r="C442" s="522">
        <f t="shared" ca="1" si="14"/>
        <v>0.221267607042595</v>
      </c>
      <c r="D442" s="523">
        <f t="shared" ca="1" si="15"/>
        <v>-0.15643446504022962</v>
      </c>
    </row>
    <row r="443" spans="2:4" x14ac:dyDescent="0.25">
      <c r="B443" s="521">
        <v>62</v>
      </c>
      <c r="C443" s="522">
        <f t="shared" ca="1" si="14"/>
        <v>0.22489494486296543</v>
      </c>
      <c r="D443" s="523">
        <f t="shared" ca="1" si="15"/>
        <v>-0.30901699437494706</v>
      </c>
    </row>
    <row r="444" spans="2:4" x14ac:dyDescent="0.25">
      <c r="B444" s="521">
        <v>63</v>
      </c>
      <c r="C444" s="522">
        <f t="shared" ca="1" si="14"/>
        <v>0.22852228268333583</v>
      </c>
      <c r="D444" s="523">
        <f t="shared" ca="1" si="15"/>
        <v>-0.45399049973954564</v>
      </c>
    </row>
    <row r="445" spans="2:4" x14ac:dyDescent="0.25">
      <c r="B445" s="521">
        <v>64</v>
      </c>
      <c r="C445" s="522">
        <f t="shared" ref="C445:C501" ca="1" si="16">B445/40/$C$50</f>
        <v>0.23214962050370624</v>
      </c>
      <c r="D445" s="523">
        <f t="shared" ref="D445:D501" ca="1" si="17">SIN(2*PI()*$C$50*C445)</f>
        <v>-0.5877852522924728</v>
      </c>
    </row>
    <row r="446" spans="2:4" x14ac:dyDescent="0.25">
      <c r="B446" s="521">
        <v>65</v>
      </c>
      <c r="C446" s="522">
        <f t="shared" ca="1" si="16"/>
        <v>0.23577695832407666</v>
      </c>
      <c r="D446" s="523">
        <f t="shared" ca="1" si="17"/>
        <v>-0.7071067811865479</v>
      </c>
    </row>
    <row r="447" spans="2:4" x14ac:dyDescent="0.25">
      <c r="B447" s="521">
        <v>66</v>
      </c>
      <c r="C447" s="522">
        <f t="shared" ca="1" si="16"/>
        <v>0.23940429614444705</v>
      </c>
      <c r="D447" s="523">
        <f t="shared" ca="1" si="17"/>
        <v>-0.8090169943749472</v>
      </c>
    </row>
    <row r="448" spans="2:4" x14ac:dyDescent="0.25">
      <c r="B448" s="521">
        <v>67</v>
      </c>
      <c r="C448" s="522">
        <f t="shared" ca="1" si="16"/>
        <v>0.24303163396481747</v>
      </c>
      <c r="D448" s="523">
        <f t="shared" ca="1" si="17"/>
        <v>-0.8910065241883672</v>
      </c>
    </row>
    <row r="449" spans="2:4" x14ac:dyDescent="0.25">
      <c r="B449" s="521">
        <v>68</v>
      </c>
      <c r="C449" s="522">
        <f t="shared" ca="1" si="16"/>
        <v>0.24665897178518786</v>
      </c>
      <c r="D449" s="523">
        <f t="shared" ca="1" si="17"/>
        <v>-0.9510565162951534</v>
      </c>
    </row>
    <row r="450" spans="2:4" x14ac:dyDescent="0.25">
      <c r="B450" s="521">
        <v>69</v>
      </c>
      <c r="C450" s="522">
        <f t="shared" ca="1" si="16"/>
        <v>0.2502863096055583</v>
      </c>
      <c r="D450" s="523">
        <f t="shared" ca="1" si="17"/>
        <v>-0.9876883405951378</v>
      </c>
    </row>
    <row r="451" spans="2:4" x14ac:dyDescent="0.25">
      <c r="B451" s="521">
        <v>70</v>
      </c>
      <c r="C451" s="522">
        <f t="shared" ca="1" si="16"/>
        <v>0.2539136474259287</v>
      </c>
      <c r="D451" s="523">
        <f t="shared" ca="1" si="17"/>
        <v>-1.0</v>
      </c>
    </row>
    <row r="452" spans="2:4" x14ac:dyDescent="0.25">
      <c r="B452" s="521">
        <v>71</v>
      </c>
      <c r="C452" s="522">
        <f t="shared" ca="1" si="16"/>
        <v>0.2575409852462991</v>
      </c>
      <c r="D452" s="523">
        <f t="shared" ca="1" si="17"/>
        <v>-0.9876883405951379</v>
      </c>
    </row>
    <row r="453" spans="2:4" x14ac:dyDescent="0.25">
      <c r="B453" s="521">
        <v>72</v>
      </c>
      <c r="C453" s="522">
        <f t="shared" ca="1" si="16"/>
        <v>0.26116832306666954</v>
      </c>
      <c r="D453" s="523">
        <f t="shared" ca="1" si="17"/>
        <v>-0.9510565162951538</v>
      </c>
    </row>
    <row r="454" spans="2:4" x14ac:dyDescent="0.25">
      <c r="B454" s="521">
        <v>73</v>
      </c>
      <c r="C454" s="522">
        <f t="shared" ca="1" si="16"/>
        <v>0.26479566088703993</v>
      </c>
      <c r="D454" s="523">
        <f t="shared" ca="1" si="17"/>
        <v>-0.8910065241883685</v>
      </c>
    </row>
    <row r="455" spans="2:4" x14ac:dyDescent="0.25">
      <c r="B455" s="521">
        <v>74</v>
      </c>
      <c r="C455" s="522">
        <f t="shared" ca="1" si="16"/>
        <v>0.2684229987074104</v>
      </c>
      <c r="D455" s="523">
        <f t="shared" ca="1" si="17"/>
        <v>-0.8090169943749467</v>
      </c>
    </row>
    <row r="456" spans="2:4" x14ac:dyDescent="0.25">
      <c r="B456" s="521">
        <v>75</v>
      </c>
      <c r="C456" s="522">
        <f t="shared" ca="1" si="16"/>
        <v>0.27205033652778077</v>
      </c>
      <c r="D456" s="523">
        <f t="shared" ca="1" si="17"/>
        <v>-0.7071067811865472</v>
      </c>
    </row>
    <row r="457" spans="2:4" x14ac:dyDescent="0.25">
      <c r="B457" s="521">
        <v>76</v>
      </c>
      <c r="C457" s="522">
        <f t="shared" ca="1" si="16"/>
        <v>0.27567767434815116</v>
      </c>
      <c r="D457" s="523">
        <f t="shared" ca="1" si="17"/>
        <v>-0.5877852522924735</v>
      </c>
    </row>
    <row r="458" spans="2:4" x14ac:dyDescent="0.25">
      <c r="B458" s="521">
        <v>77</v>
      </c>
      <c r="C458" s="522">
        <f t="shared" ca="1" si="16"/>
        <v>0.27930501216852155</v>
      </c>
      <c r="D458" s="523">
        <f t="shared" ca="1" si="17"/>
        <v>-0.453990499739548</v>
      </c>
    </row>
    <row r="459" spans="2:4" x14ac:dyDescent="0.25">
      <c r="B459" s="521">
        <v>78</v>
      </c>
      <c r="C459" s="522">
        <f t="shared" ca="1" si="16"/>
        <v>0.282932349988892</v>
      </c>
      <c r="D459" s="523">
        <f t="shared" ca="1" si="17"/>
        <v>-0.3090169943749479</v>
      </c>
    </row>
    <row r="460" spans="2:4" x14ac:dyDescent="0.25">
      <c r="B460" s="521">
        <v>79</v>
      </c>
      <c r="C460" s="522">
        <f t="shared" ca="1" si="16"/>
        <v>0.2865596878092624</v>
      </c>
      <c r="D460" s="523">
        <f t="shared" ca="1" si="17"/>
        <v>-0.15643446504023223</v>
      </c>
    </row>
    <row r="461" spans="2:4" x14ac:dyDescent="0.25">
      <c r="B461" s="521">
        <v>80</v>
      </c>
      <c r="C461" s="522">
        <f t="shared" ca="1" si="16"/>
        <v>0.2901870256296328</v>
      </c>
      <c r="D461" s="523">
        <f t="shared" ca="1" si="17"/>
        <v>-2.266215559059192e-15</v>
      </c>
    </row>
    <row r="462" spans="2:4" x14ac:dyDescent="0.25">
      <c r="B462" s="521">
        <v>81</v>
      </c>
      <c r="C462" s="522">
        <f t="shared" ca="1" si="16"/>
        <v>0.2938143634500032</v>
      </c>
      <c r="D462" s="523">
        <f t="shared" ca="1" si="17"/>
        <v>0.15643446504023126</v>
      </c>
    </row>
    <row r="463" spans="2:4" x14ac:dyDescent="0.25">
      <c r="B463" s="521">
        <v>82</v>
      </c>
      <c r="C463" s="522">
        <f t="shared" ca="1" si="16"/>
        <v>0.2974417012703736</v>
      </c>
      <c r="D463" s="523">
        <f t="shared" ca="1" si="17"/>
        <v>0.30901699437494695</v>
      </c>
    </row>
    <row r="464" spans="2:4" x14ac:dyDescent="0.25">
      <c r="B464" s="521">
        <v>83</v>
      </c>
      <c r="C464" s="522">
        <f t="shared" ca="1" si="16"/>
        <v>0.30106903909074406</v>
      </c>
      <c r="D464" s="523">
        <f t="shared" ca="1" si="17"/>
        <v>0.45399049973954714</v>
      </c>
    </row>
    <row r="465" spans="2:4" x14ac:dyDescent="0.25">
      <c r="B465" s="521">
        <v>84</v>
      </c>
      <c r="C465" s="522">
        <f t="shared" ca="1" si="16"/>
        <v>0.30469637691111445</v>
      </c>
      <c r="D465" s="523">
        <f t="shared" ca="1" si="17"/>
        <v>0.5877852522924727</v>
      </c>
    </row>
    <row r="466" spans="2:4" x14ac:dyDescent="0.25">
      <c r="B466" s="521">
        <v>85</v>
      </c>
      <c r="C466" s="522">
        <f t="shared" ca="1" si="16"/>
        <v>0.30832371473148484</v>
      </c>
      <c r="D466" s="523">
        <f t="shared" ca="1" si="17"/>
        <v>0.7071067811865466</v>
      </c>
    </row>
    <row r="467" spans="2:4" x14ac:dyDescent="0.25">
      <c r="B467" s="521">
        <v>86</v>
      </c>
      <c r="C467" s="522">
        <f t="shared" ca="1" si="16"/>
        <v>0.31195105255185523</v>
      </c>
      <c r="D467" s="523">
        <f t="shared" ca="1" si="17"/>
        <v>0.8090169943749461</v>
      </c>
    </row>
    <row r="468" spans="2:4" x14ac:dyDescent="0.25">
      <c r="B468" s="521">
        <v>87</v>
      </c>
      <c r="C468" s="522">
        <f t="shared" ca="1" si="16"/>
        <v>0.3155783903722256</v>
      </c>
      <c r="D468" s="523">
        <f t="shared" ca="1" si="17"/>
        <v>0.8910065241883665</v>
      </c>
    </row>
    <row r="469" spans="2:4" x14ac:dyDescent="0.25">
      <c r="B469" s="521">
        <v>88</v>
      </c>
      <c r="C469" s="522">
        <f t="shared" ca="1" si="16"/>
        <v>0.3192057281925961</v>
      </c>
      <c r="D469" s="523">
        <f t="shared" ca="1" si="17"/>
        <v>0.951056516295154</v>
      </c>
    </row>
    <row r="470" spans="2:4" x14ac:dyDescent="0.25">
      <c r="B470" s="521">
        <v>89</v>
      </c>
      <c r="C470" s="522">
        <f t="shared" ca="1" si="16"/>
        <v>0.3228330660129665</v>
      </c>
      <c r="D470" s="523">
        <f t="shared" ca="1" si="17"/>
        <v>0.9876883405951378</v>
      </c>
    </row>
    <row r="471" spans="2:4" x14ac:dyDescent="0.25">
      <c r="B471" s="521">
        <v>90</v>
      </c>
      <c r="C471" s="522">
        <f t="shared" ca="1" si="16"/>
        <v>0.3264604038333369</v>
      </c>
      <c r="D471" s="523">
        <f t="shared" ca="1" si="17"/>
        <v>1.0</v>
      </c>
    </row>
    <row r="472" spans="2:4" x14ac:dyDescent="0.25">
      <c r="B472" s="521">
        <v>91</v>
      </c>
      <c r="C472" s="522">
        <f t="shared" ca="1" si="16"/>
        <v>0.3300877416537073</v>
      </c>
      <c r="D472" s="523">
        <f t="shared" ca="1" si="17"/>
        <v>0.987688340595138</v>
      </c>
    </row>
    <row r="473" spans="2:4" x14ac:dyDescent="0.25">
      <c r="B473" s="521">
        <v>92</v>
      </c>
      <c r="C473" s="522">
        <f t="shared" ca="1" si="16"/>
        <v>0.3337150794740777</v>
      </c>
      <c r="D473" s="523">
        <f t="shared" ca="1" si="17"/>
        <v>0.9510565162951543</v>
      </c>
    </row>
    <row r="474" spans="2:4" x14ac:dyDescent="0.25">
      <c r="B474" s="521">
        <v>93</v>
      </c>
      <c r="C474" s="522">
        <f t="shared" ca="1" si="16"/>
        <v>0.33734241729444814</v>
      </c>
      <c r="D474" s="523">
        <f t="shared" ca="1" si="17"/>
        <v>0.8910065241883677</v>
      </c>
    </row>
    <row r="475" spans="2:4" x14ac:dyDescent="0.25">
      <c r="B475" s="521">
        <v>94</v>
      </c>
      <c r="C475" s="522">
        <f t="shared" ca="1" si="16"/>
        <v>0.34096975511481853</v>
      </c>
      <c r="D475" s="523">
        <f t="shared" ca="1" si="17"/>
        <v>0.8090169943749478</v>
      </c>
    </row>
    <row r="476" spans="2:4" x14ac:dyDescent="0.25">
      <c r="B476" s="521">
        <v>95</v>
      </c>
      <c r="C476" s="522">
        <f t="shared" ca="1" si="16"/>
        <v>0.344597092935189</v>
      </c>
      <c r="D476" s="523">
        <f t="shared" ca="1" si="17"/>
        <v>0.7071067811865474</v>
      </c>
    </row>
    <row r="477" spans="2:4" x14ac:dyDescent="0.25">
      <c r="B477" s="521">
        <v>96</v>
      </c>
      <c r="C477" s="522">
        <f t="shared" ca="1" si="16"/>
        <v>0.34822443075555937</v>
      </c>
      <c r="D477" s="523">
        <f t="shared" ca="1" si="17"/>
        <v>0.5877852522924736</v>
      </c>
    </row>
    <row r="478" spans="2:4" x14ac:dyDescent="0.25">
      <c r="B478" s="521">
        <v>97</v>
      </c>
      <c r="C478" s="522">
        <f t="shared" ca="1" si="16"/>
        <v>0.35185176857592976</v>
      </c>
      <c r="D478" s="523">
        <f t="shared" ca="1" si="17"/>
        <v>0.45399049973954814</v>
      </c>
    </row>
    <row r="479" spans="2:4" x14ac:dyDescent="0.25">
      <c r="B479" s="521">
        <v>98</v>
      </c>
      <c r="C479" s="522">
        <f t="shared" ca="1" si="16"/>
        <v>0.3554791063963002</v>
      </c>
      <c r="D479" s="523">
        <f t="shared" ca="1" si="17"/>
        <v>0.309016994374948</v>
      </c>
    </row>
    <row r="480" spans="2:4" x14ac:dyDescent="0.25">
      <c r="B480" s="521">
        <v>99</v>
      </c>
      <c r="C480" s="522">
        <f t="shared" ca="1" si="16"/>
        <v>0.3591064442166706</v>
      </c>
      <c r="D480" s="523">
        <f t="shared" ca="1" si="17"/>
        <v>0.15643446504023234</v>
      </c>
    </row>
    <row r="481" spans="2:4" x14ac:dyDescent="0.25">
      <c r="B481" s="521">
        <v>100</v>
      </c>
      <c r="C481" s="522">
        <f t="shared" ca="1" si="16"/>
        <v>0.362733782037041</v>
      </c>
      <c r="D481" s="523">
        <f t="shared" ca="1" si="17"/>
        <v>6.123233995736766e-16</v>
      </c>
    </row>
    <row r="482" spans="2:4" x14ac:dyDescent="0.25">
      <c r="B482" s="521">
        <v>101</v>
      </c>
      <c r="C482" s="522">
        <f t="shared" ca="1" si="16"/>
        <v>0.3663611198574114</v>
      </c>
      <c r="D482" s="523">
        <f t="shared" ca="1" si="17"/>
        <v>-0.15643446504022937</v>
      </c>
    </row>
    <row r="483" spans="2:4" x14ac:dyDescent="0.25">
      <c r="B483" s="521">
        <v>102</v>
      </c>
      <c r="C483" s="522">
        <f t="shared" ca="1" si="16"/>
        <v>0.36998845767778177</v>
      </c>
      <c r="D483" s="523">
        <f t="shared" ca="1" si="17"/>
        <v>-0.3090169943749451</v>
      </c>
    </row>
    <row r="484" spans="2:4" x14ac:dyDescent="0.25">
      <c r="B484" s="521">
        <v>103</v>
      </c>
      <c r="C484" s="522">
        <f t="shared" ca="1" si="16"/>
        <v>0.37361579549815227</v>
      </c>
      <c r="D484" s="523">
        <f t="shared" ca="1" si="17"/>
        <v>-0.4539904997395486</v>
      </c>
    </row>
    <row r="485" spans="2:4" x14ac:dyDescent="0.25">
      <c r="B485" s="521">
        <v>104</v>
      </c>
      <c r="C485" s="522">
        <f t="shared" ca="1" si="16"/>
        <v>0.37724313331852266</v>
      </c>
      <c r="D485" s="523">
        <f t="shared" ca="1" si="17"/>
        <v>-0.5877852522924726</v>
      </c>
    </row>
    <row r="486" spans="2:4" x14ac:dyDescent="0.25">
      <c r="B486" s="521">
        <v>105</v>
      </c>
      <c r="C486" s="522">
        <f t="shared" ca="1" si="16"/>
        <v>0.38087047113889305</v>
      </c>
      <c r="D486" s="523">
        <f t="shared" ca="1" si="17"/>
        <v>-0.7071067811865477</v>
      </c>
    </row>
    <row r="487" spans="2:4" x14ac:dyDescent="0.25">
      <c r="B487" s="521">
        <v>106</v>
      </c>
      <c r="C487" s="522">
        <f t="shared" ca="1" si="16"/>
        <v>0.38449780895926344</v>
      </c>
      <c r="D487" s="523">
        <f t="shared" ca="1" si="17"/>
        <v>-0.809016994374946</v>
      </c>
    </row>
    <row r="488" spans="2:4" x14ac:dyDescent="0.25">
      <c r="B488" s="521">
        <v>107</v>
      </c>
      <c r="C488" s="522">
        <f t="shared" ca="1" si="16"/>
        <v>0.38812514677963383</v>
      </c>
      <c r="D488" s="523">
        <f t="shared" ca="1" si="17"/>
        <v>-0.8910065241883671</v>
      </c>
    </row>
    <row r="489" spans="2:4" x14ac:dyDescent="0.25">
      <c r="B489" s="521">
        <v>108</v>
      </c>
      <c r="C489" s="522">
        <f t="shared" ca="1" si="16"/>
        <v>0.3917524846000043</v>
      </c>
      <c r="D489" s="523">
        <f t="shared" ca="1" si="17"/>
        <v>-0.9510565162951534</v>
      </c>
    </row>
    <row r="490" spans="2:4" x14ac:dyDescent="0.25">
      <c r="B490" s="521">
        <v>109</v>
      </c>
      <c r="C490" s="522">
        <f t="shared" ca="1" si="16"/>
        <v>0.3953798224203747</v>
      </c>
      <c r="D490" s="523">
        <f t="shared" ca="1" si="17"/>
        <v>-0.9876883405951378</v>
      </c>
    </row>
    <row r="491" spans="2:4" x14ac:dyDescent="0.25">
      <c r="B491" s="521">
        <v>110</v>
      </c>
      <c r="C491" s="522">
        <f t="shared" ca="1" si="16"/>
        <v>0.3990071602407451</v>
      </c>
      <c r="D491" s="523">
        <f t="shared" ca="1" si="17"/>
        <v>-1.0</v>
      </c>
    </row>
    <row r="492" spans="2:4" x14ac:dyDescent="0.25">
      <c r="B492" s="521">
        <v>111</v>
      </c>
      <c r="C492" s="522">
        <f t="shared" ca="1" si="16"/>
        <v>0.4026344980611155</v>
      </c>
      <c r="D492" s="523">
        <f t="shared" ca="1" si="17"/>
        <v>-0.987688340595138</v>
      </c>
    </row>
    <row r="493" spans="2:4" x14ac:dyDescent="0.25">
      <c r="B493" s="521">
        <v>112</v>
      </c>
      <c r="C493" s="522">
        <f t="shared" ca="1" si="16"/>
        <v>0.4062618358814859</v>
      </c>
      <c r="D493" s="523">
        <f t="shared" ca="1" si="17"/>
        <v>-0.9510565162951538</v>
      </c>
    </row>
    <row r="494" spans="2:4" x14ac:dyDescent="0.25">
      <c r="B494" s="521">
        <v>113</v>
      </c>
      <c r="C494" s="522">
        <f t="shared" ca="1" si="16"/>
        <v>0.40988917370185635</v>
      </c>
      <c r="D494" s="523">
        <f t="shared" ca="1" si="17"/>
        <v>-0.8910065241883678</v>
      </c>
    </row>
    <row r="495" spans="2:4" x14ac:dyDescent="0.25">
      <c r="B495" s="521">
        <v>114</v>
      </c>
      <c r="C495" s="522">
        <f t="shared" ca="1" si="16"/>
        <v>0.41351651152222674</v>
      </c>
      <c r="D495" s="523">
        <f t="shared" ca="1" si="17"/>
        <v>-0.8090169943749489</v>
      </c>
    </row>
    <row r="496" spans="2:4" x14ac:dyDescent="0.25">
      <c r="B496" s="521">
        <v>115</v>
      </c>
      <c r="C496" s="522">
        <f t="shared" ca="1" si="16"/>
        <v>0.41714384934259713</v>
      </c>
      <c r="D496" s="523">
        <f t="shared" ca="1" si="17"/>
        <v>-0.7071067811865487</v>
      </c>
    </row>
    <row r="497" spans="2:8" x14ac:dyDescent="0.25">
      <c r="B497" s="521">
        <v>116</v>
      </c>
      <c r="C497" s="522">
        <f t="shared" ca="1" si="16"/>
        <v>0.4207711871629675</v>
      </c>
      <c r="D497" s="523">
        <f t="shared" ca="1" si="17"/>
        <v>-0.5877852522924766</v>
      </c>
    </row>
    <row r="498" spans="2:8" x14ac:dyDescent="0.25">
      <c r="B498" s="521">
        <v>117</v>
      </c>
      <c r="C498" s="522">
        <f t="shared" ca="1" si="16"/>
        <v>0.42439852498333797</v>
      </c>
      <c r="D498" s="523">
        <f t="shared" ca="1" si="17"/>
        <v>-0.45399049973954664</v>
      </c>
    </row>
    <row r="499" spans="2:8" x14ac:dyDescent="0.25">
      <c r="B499" s="521">
        <v>118</v>
      </c>
      <c r="C499" s="522">
        <f t="shared" ca="1" si="16"/>
        <v>0.4280258628037084</v>
      </c>
      <c r="D499" s="523">
        <f t="shared" ca="1" si="17"/>
        <v>-0.3090169943749464</v>
      </c>
    </row>
    <row r="500" spans="2:8" x14ac:dyDescent="0.25">
      <c r="B500" s="521">
        <v>119</v>
      </c>
      <c r="C500" s="522">
        <f t="shared" ca="1" si="16"/>
        <v>0.4316532006240788</v>
      </c>
      <c r="D500" s="523">
        <f t="shared" ca="1" si="17"/>
        <v>-0.15643446504023248</v>
      </c>
    </row>
    <row r="501" spans="2:8" x14ac:dyDescent="0.25">
      <c r="B501" s="521">
        <v>120</v>
      </c>
      <c r="C501" s="522">
        <f t="shared" ca="1" si="16"/>
        <v>0.4352805384444492</v>
      </c>
      <c r="D501" s="523">
        <f t="shared" ca="1" si="17"/>
        <v>-7.347880794884119e-16</v>
      </c>
    </row>
    <row r="502" spans="2:8" ht="15.75" thickBot="1" x14ac:dyDescent="0.3"/>
    <row r="503" ht="15.75" thickBot="1" x14ac:dyDescent="0.3">
      <c r="B503" s="486" t="s">
        <v>1148</v>
      </c>
      <c r="C503" s="806" t="s">
        <v>1149</v>
      </c>
      <c r="D503" s="807"/>
      <c r="E503" s="807"/>
      <c r="F503" s="807"/>
      <c r="G503" s="807"/>
      <c r="H503" s="808"/>
      <c r="V503" s="528" t="inlineStr">
        <is>
          <t xml:space="preserve">AUXILIAR: ENGASTAMENTO PELA ARMADURA DA CAPA</t>
        </is>
      </c>
      <c r="W503" s="528"/>
      <c r="X503" s="528"/>
    </row>
    <row r="504">
      <c r="V504" s="483" t="inlineStr">
        <is>
          <t xml:space="preserve">As,malha</t>
        </is>
      </c>
      <c r="W504" s="490">
        <v>1.31</v>
      </c>
      <c r="X504" s="1" t="inlineStr">
        <is>
          <t xml:space="preserve">cm²/m</t>
        </is>
      </c>
    </row>
    <row r="505" x14ac:dyDescent="0.25">
      <c r="B505" s="541" t="s">
        <v>1150</v>
      </c>
      <c r="C505" s="527">
        <f>W515</f>
        <v>0.6486009561988066</v>
      </c>
      <c r="D505" s="503" t="s">
        <v>1161</v>
      </c>
      <c r="E505" s="488" t="inlineStr">
        <is>
          <t xml:space="preserve">*Coeficiente de engastamento esquerdo para a frequência, pela armadura da capa sobre o apoio (auxiliar em V503:X516)</t>
        </is>
      </c>
      <c r="V505" s="483" t="inlineStr">
        <is>
          <t xml:space="preserve">φ,malha</t>
        </is>
      </c>
      <c r="W505" s="490">
        <v>5.0</v>
      </c>
      <c r="X505" s="1" t="inlineStr">
        <is>
          <t xml:space="preserve">mm</t>
        </is>
      </c>
    </row>
    <row r="506" x14ac:dyDescent="0.25">
      <c r="B506" s="541" t="s">
        <v>1151</v>
      </c>
      <c r="C506" s="527">
        <f>W516</f>
        <v>0.617680362467715</v>
      </c>
      <c r="D506" s="503" t="s">
        <v>1161</v>
      </c>
      <c r="E506" s="488" t="inlineStr">
        <is>
          <t xml:space="preserve">*Coeficiente de engastamento direito para a frequência, pela armadura da capa sobre o apoio (auxiliar em V503:X516)</t>
        </is>
      </c>
      <c r="V506" s="483" t="inlineStr">
        <is>
          <t xml:space="preserve">As,esq</t>
        </is>
      </c>
      <c r="W506" s="1">
        <f>MAX(W504,Geometria!H1226)</f>
        <v>2.818200441919574</v>
      </c>
      <c r="X506" s="1" t="inlineStr">
        <is>
          <t xml:space="preserve">cm²/m</t>
        </is>
      </c>
    </row>
    <row r="507" x14ac:dyDescent="0.25">
      <c r="B507" s="541" t="s">
        <v>1152</v>
      </c>
      <c r="C507" s="527">
        <f ca="1">3*C505/(1-C505)</f>
        <v>5.537302684572109</v>
      </c>
      <c r="D507" s="503" t="s">
        <v>1161</v>
      </c>
      <c r="E507" s="488" t="s">
        <v>1153</v>
      </c>
      <c r="V507" s="483" t="inlineStr">
        <is>
          <t xml:space="preserve">φ,esq</t>
        </is>
      </c>
      <c r="W507" s="1">
        <f>IF(Geometria!H1226&gt;W504,Geometria!H1223,W505)</f>
        <v>8.0</v>
      </c>
      <c r="X507" s="1" t="inlineStr">
        <is>
          <t xml:space="preserve">mm</t>
        </is>
      </c>
    </row>
    <row r="508" x14ac:dyDescent="0.25">
      <c r="B508" s="541" t="s">
        <v>1154</v>
      </c>
      <c r="C508" s="527">
        <f ca="1">3*C506/(1-C506)</f>
        <v>4.84683732011193</v>
      </c>
      <c r="D508" s="503" t="s">
        <v>1161</v>
      </c>
      <c r="E508" s="488" t="s">
        <v>1155</v>
      </c>
      <c r="V508" s="483" t="inlineStr">
        <is>
          <t xml:space="preserve">As,dir</t>
        </is>
      </c>
      <c r="W508" s="1">
        <f>MAX(W504,Geometria!H1232)</f>
        <v>2.829552445670269</v>
      </c>
      <c r="X508" s="1" t="inlineStr">
        <is>
          <t xml:space="preserve">cm²/m</t>
        </is>
      </c>
    </row>
    <row r="509" x14ac:dyDescent="0.25">
      <c r="B509" s="541" t="s">
        <v>1156</v>
      </c>
      <c r="C509" s="527">
        <f ca="1">F536</f>
        <v>3.910833549499512</v>
      </c>
      <c r="D509" s="503" t="s">
        <v>1161</v>
      </c>
      <c r="E509" s="488" t="s">
        <v>1169</v>
      </c>
      <c r="V509" s="483" t="inlineStr">
        <is>
          <t xml:space="preserve">φ,dir</t>
        </is>
      </c>
      <c r="W509" s="1">
        <f>IF(Geometria!H1232&gt;W504,Geometria!H1229,W505)</f>
        <v>10.0</v>
      </c>
      <c r="X509" s="1" t="inlineStr">
        <is>
          <t xml:space="preserve">mm</t>
        </is>
      </c>
    </row>
    <row r="510" x14ac:dyDescent="0.25">
      <c r="B510" s="541" t="s">
        <v>1157</v>
      </c>
      <c r="C510" s="527">
        <f ca="1">2*C509^2*SIN(C509)*SINH(C509)+C509*($C$507+$C$508)*(SIN(C509)*COSH(C509)-COS(C509)*SINH(C509))-$C$507*$C$508*(COS(C509)*COSH(C509)-1)</f>
        <v>0.003537799608864134</v>
      </c>
      <c r="D510" s="503" t="s">
        <v>1161</v>
      </c>
      <c r="E510" s="488" t="s">
        <v>1158</v>
      </c>
      <c r="V510" s="483" t="inlineStr">
        <is>
          <t xml:space="preserve">d</t>
        </is>
      </c>
      <c r="W510" s="1">
        <f>(C3+C4-Geometria!N52)/100</f>
        <v>0.265</v>
      </c>
      <c r="X510" s="1" t="inlineStr">
        <is>
          <t xml:space="preserve">m</t>
        </is>
      </c>
    </row>
    <row r="511" x14ac:dyDescent="0.25">
      <c r="B511" s="541" t="s">
        <v>1159</v>
      </c>
      <c r="C511" s="527">
        <f ca="1">E536-D536</f>
        <v>3.433227539151318e-06</v>
      </c>
      <c r="D511" s="503" t="s">
        <v>1161</v>
      </c>
      <c r="E511" s="488" t="s">
        <v>1194</v>
      </c>
      <c r="V511" s="483" t="inlineStr">
        <is>
          <t xml:space="preserve">La</t>
        </is>
      </c>
      <c r="W511" s="1">
        <f>Geometria!H26/100</f>
        <v>0.14</v>
      </c>
      <c r="X511" s="1" t="inlineStr">
        <is>
          <t xml:space="preserve">m</t>
        </is>
      </c>
    </row>
    <row r="512" x14ac:dyDescent="0.25">
      <c r="B512" s="541" t="s">
        <v>1160</v>
      </c>
      <c r="C512" s="527">
        <f ca="1">(C509/PI())^2</f>
        <v>1.5496689056962412</v>
      </c>
      <c r="D512" s="503" t="s">
        <v>1161</v>
      </c>
      <c r="E512" s="488" t="s">
        <v>1773</v>
      </c>
      <c r="V512" s="483" t="inlineStr">
        <is>
          <t xml:space="preserve">Rsec,esq</t>
        </is>
      </c>
      <c r="W512" s="1">
        <f>0.75*W506*(C5/100)*21000*W510^2/(25*W507/1000+W511)</f>
        <v>11459.753621442584</v>
      </c>
      <c r="X512" s="1" t="inlineStr">
        <is>
          <t xml:space="preserve">kN.m/rad</t>
        </is>
      </c>
    </row>
    <row r="513">
      <c r="V513" s="483" t="inlineStr">
        <is>
          <t xml:space="preserve">Rsec,dir</t>
        </is>
      </c>
      <c r="W513" s="1">
        <f>0.75*W508*(C5/100)*21000*W510^2/(25*W509/1000+W511)</f>
        <v>10030.797428944923</v>
      </c>
      <c r="X513" s="1" t="inlineStr">
        <is>
          <t xml:space="preserve">kN.m/rad</t>
        </is>
      </c>
    </row>
    <row r="514" ht="15.75" thickBot="1" x14ac:dyDescent="0.3">
      <c r="V514" s="483" t="inlineStr">
        <is>
          <t xml:space="preserve">NLF</t>
        </is>
      </c>
      <c r="W514" s="490">
        <v>0.25</v>
      </c>
      <c r="X514" s="1" t="inlineStr">
        <is>
          <t xml:space="preserve">-</t>
        </is>
      </c>
    </row>
    <row r="515" ht="15.75" thickBot="1" x14ac:dyDescent="0.3">
      <c r="D515" s="806" t="s">
        <v>1168</v>
      </c>
      <c r="E515" s="807"/>
      <c r="F515" s="807"/>
      <c r="G515" s="808"/>
      <c r="V515" s="483" t="inlineStr">
        <is>
          <t xml:space="preserve">αR,esq</t>
        </is>
      </c>
      <c r="W515" s="1">
        <f>IF(W512&gt;0,1/(1+3*C30*W514/(W512*(C14/100))),0)</f>
        <v>0.6486009561988066</v>
      </c>
      <c r="X515" s="1" t="inlineStr">
        <is>
          <t xml:space="preserve">-</t>
        </is>
      </c>
    </row>
    <row r="516" ht="15.75" thickBot="1" x14ac:dyDescent="0.3">
      <c r="D516" s="542" t="s">
        <v>1162</v>
      </c>
      <c r="E516" s="541" t="s">
        <v>1163</v>
      </c>
      <c r="F516" s="482" t="s">
        <v>1164</v>
      </c>
      <c r="G516" s="546" t="s">
        <v>1165</v>
      </c>
      <c r="V516" s="483" t="inlineStr">
        <is>
          <t xml:space="preserve">αR,dir</t>
        </is>
      </c>
      <c r="W516" s="1">
        <f>IF(W513&gt;0,1/(1+3*C30*W514/(W513*(C14/100))),0)</f>
        <v>0.617680362467715</v>
      </c>
      <c r="X516" s="1" t="inlineStr">
        <is>
          <t xml:space="preserve">-</t>
        </is>
      </c>
    </row>
    <row r="517" spans="4:7" x14ac:dyDescent="0.25">
      <c r="D517" s="545">
        <v>3</v>
      </c>
      <c r="E517" s="545">
        <v>4.8</v>
      </c>
      <c r="F517" s="545">
        <f t="shared" ref="F517:F536" si="18">(D517+E517)/2</f>
        <v>3.9</v>
      </c>
      <c r="G517" s="545">
        <f ca="1">2*F517^2*SIN(F517)*SINH(F517)+F517*($C$507+$C$508)*(SIN(F517)*COSH(F517)-COS(F517)*SINH(F517))-$C$507*$C$508*(COS(F517)*COSH(F517)-1)</f>
        <v>29.302944381986038</v>
      </c>
    </row>
    <row r="518" spans="4:7" x14ac:dyDescent="0.25">
      <c r="D518" s="543">
        <f t="shared" ref="D518:D536" ca="1" si="19">IF(G517&gt;0,F517,D517)</f>
        <v>3.9</v>
      </c>
      <c r="E518" s="543">
        <f t="shared" ref="E518:E536" ca="1" si="20">IF(G517&lt;0,F517,E517)</f>
        <v>4.8</v>
      </c>
      <c r="F518" s="543">
        <f t="shared" ca="1" si="18"/>
        <v>4.35</v>
      </c>
      <c r="G518" s="543">
        <f t="shared" ref="G518:G536" ca="1" si="21">2*F518^2*SIN(F518)*SINH(F518)+F518*($C$507+$C$508)*(SIN(F518)*COSH(F518)-COS(F518)*SINH(F518))-$C$507*$C$508*(COS(F518)*COSH(F518)-1)</f>
        <v>-1991.4200354072088</v>
      </c>
    </row>
    <row r="519" spans="4:7" x14ac:dyDescent="0.25">
      <c r="D519" s="543">
        <f t="shared" ca="1" si="19"/>
        <v>3.9</v>
      </c>
      <c r="E519" s="543">
        <f t="shared" ca="1" si="20"/>
        <v>4.35</v>
      </c>
      <c r="F519" s="543">
        <f t="shared" ca="1" si="18"/>
        <v>4.125</v>
      </c>
      <c r="G519" s="543">
        <f t="shared" ca="1" si="21"/>
        <v>-758.0963966334364</v>
      </c>
    </row>
    <row r="520" spans="4:7" x14ac:dyDescent="0.25">
      <c r="D520" s="543">
        <f t="shared" ca="1" si="19"/>
        <v>3.9</v>
      </c>
      <c r="E520" s="543">
        <f t="shared" ca="1" si="20"/>
        <v>4.125</v>
      </c>
      <c r="F520" s="543">
        <f t="shared" ca="1" si="18"/>
        <v>4.0125</v>
      </c>
      <c r="G520" s="543">
        <f t="shared" ca="1" si="21"/>
        <v>-315.40172329090757</v>
      </c>
    </row>
    <row r="521" spans="4:7" x14ac:dyDescent="0.25">
      <c r="D521" s="543">
        <f t="shared" ca="1" si="19"/>
        <v>3.9</v>
      </c>
      <c r="E521" s="543">
        <f t="shared" ca="1" si="20"/>
        <v>4.0125</v>
      </c>
      <c r="F521" s="543">
        <f t="shared" ca="1" si="18"/>
        <v>3.95625</v>
      </c>
      <c r="G521" s="543">
        <f t="shared" ca="1" si="21"/>
        <v>-131.63793421639105</v>
      </c>
    </row>
    <row r="522" spans="4:7" x14ac:dyDescent="0.25">
      <c r="D522" s="543">
        <f t="shared" ca="1" si="19"/>
        <v>3.9</v>
      </c>
      <c r="E522" s="543">
        <f t="shared" ca="1" si="20"/>
        <v>3.95625</v>
      </c>
      <c r="F522" s="543">
        <f t="shared" ca="1" si="18"/>
        <v>3.9281249999999996</v>
      </c>
      <c r="G522" s="543">
        <f t="shared" ca="1" si="21"/>
        <v>-48.417905323974935</v>
      </c>
    </row>
    <row r="523" spans="4:7" x14ac:dyDescent="0.25">
      <c r="D523" s="543">
        <f t="shared" ca="1" si="19"/>
        <v>3.9</v>
      </c>
      <c r="E523" s="543">
        <f t="shared" ca="1" si="20"/>
        <v>3.9281249999999996</v>
      </c>
      <c r="F523" s="543">
        <f t="shared" ca="1" si="18"/>
        <v>3.9140625</v>
      </c>
      <c r="G523" s="543">
        <f t="shared" ca="1" si="21"/>
        <v>-8.882879406509915</v>
      </c>
    </row>
    <row r="524" spans="4:7" x14ac:dyDescent="0.25">
      <c r="D524" s="543">
        <f t="shared" ca="1" si="19"/>
        <v>3.9</v>
      </c>
      <c r="E524" s="543">
        <f t="shared" ca="1" si="20"/>
        <v>3.9140625</v>
      </c>
      <c r="F524" s="543">
        <f t="shared" ca="1" si="18"/>
        <v>3.90703125</v>
      </c>
      <c r="G524" s="543">
        <f t="shared" ca="1" si="21"/>
        <v>10.377091009420724</v>
      </c>
    </row>
    <row r="525" spans="4:7" x14ac:dyDescent="0.25">
      <c r="D525" s="543">
        <f t="shared" ca="1" si="19"/>
        <v>3.90703125</v>
      </c>
      <c r="E525" s="543">
        <f t="shared" ca="1" si="20"/>
        <v>3.9140625</v>
      </c>
      <c r="F525" s="543">
        <f t="shared" ca="1" si="18"/>
        <v>3.910546875</v>
      </c>
      <c r="G525" s="543">
        <f t="shared" ca="1" si="21"/>
        <v>0.7890690382538992</v>
      </c>
    </row>
    <row r="526" spans="4:7" x14ac:dyDescent="0.25">
      <c r="D526" s="543">
        <f t="shared" ca="1" si="19"/>
        <v>3.910546875</v>
      </c>
      <c r="E526" s="543">
        <f t="shared" ca="1" si="20"/>
        <v>3.9140625</v>
      </c>
      <c r="F526" s="543">
        <f t="shared" ca="1" si="18"/>
        <v>3.9123046875</v>
      </c>
      <c r="G526" s="543">
        <f t="shared" ca="1" si="21"/>
        <v>-4.036389517081318</v>
      </c>
    </row>
    <row r="527" spans="4:7" x14ac:dyDescent="0.25">
      <c r="D527" s="543">
        <f t="shared" ca="1" si="19"/>
        <v>3.910546875</v>
      </c>
      <c r="E527" s="543">
        <f t="shared" ca="1" si="20"/>
        <v>3.9123046875</v>
      </c>
      <c r="F527" s="543">
        <f t="shared" ca="1" si="18"/>
        <v>3.91142578125</v>
      </c>
      <c r="G527" s="543">
        <f t="shared" ca="1" si="21"/>
        <v>-1.6210344313016662</v>
      </c>
    </row>
    <row r="528" spans="4:7" x14ac:dyDescent="0.25">
      <c r="D528" s="543">
        <f t="shared" ca="1" si="19"/>
        <v>3.910546875</v>
      </c>
      <c r="E528" s="543">
        <f t="shared" ca="1" si="20"/>
        <v>3.91142578125</v>
      </c>
      <c r="F528" s="543">
        <f t="shared" ca="1" si="18"/>
        <v>3.9109863281250004</v>
      </c>
      <c r="G528" s="543">
        <f t="shared" ca="1" si="21"/>
        <v>-0.41532663295384964</v>
      </c>
    </row>
    <row r="529" spans="2:9" x14ac:dyDescent="0.25">
      <c r="D529" s="543">
        <f t="shared" ca="1" si="19"/>
        <v>3.910546875</v>
      </c>
      <c r="E529" s="543">
        <f t="shared" ca="1" si="20"/>
        <v>3.9109863281250004</v>
      </c>
      <c r="F529" s="543">
        <f t="shared" ca="1" si="18"/>
        <v>3.9107666015625</v>
      </c>
      <c r="G529" s="543">
        <f t="shared" ca="1" si="21"/>
        <v>0.18703516999380554</v>
      </c>
    </row>
    <row r="530" spans="2:9" x14ac:dyDescent="0.25">
      <c r="D530" s="543">
        <f t="shared" ca="1" si="19"/>
        <v>3.9107666015625</v>
      </c>
      <c r="E530" s="543">
        <f t="shared" ca="1" si="20"/>
        <v>3.9109863281250004</v>
      </c>
      <c r="F530" s="543">
        <f t="shared" ca="1" si="18"/>
        <v>3.91087646484375</v>
      </c>
      <c r="G530" s="543">
        <f t="shared" ca="1" si="21"/>
        <v>-0.114104733575914</v>
      </c>
    </row>
    <row r="531" spans="2:9" x14ac:dyDescent="0.25">
      <c r="D531" s="543">
        <f t="shared" ca="1" si="19"/>
        <v>3.9107666015625</v>
      </c>
      <c r="E531" s="543">
        <f t="shared" ca="1" si="20"/>
        <v>3.91087646484375</v>
      </c>
      <c r="F531" s="543">
        <f t="shared" ca="1" si="18"/>
        <v>3.910821533203125</v>
      </c>
      <c r="G531" s="543">
        <f t="shared" ca="1" si="21"/>
        <v>0.036475466926219724</v>
      </c>
    </row>
    <row r="532" spans="2:9" x14ac:dyDescent="0.25">
      <c r="D532" s="543">
        <f t="shared" ca="1" si="19"/>
        <v>3.910821533203125</v>
      </c>
      <c r="E532" s="543">
        <f t="shared" ca="1" si="20"/>
        <v>3.91087646484375</v>
      </c>
      <c r="F532" s="543">
        <f t="shared" ca="1" si="18"/>
        <v>3.910848999023438</v>
      </c>
      <c r="G532" s="543">
        <f t="shared" ca="1" si="21"/>
        <v>-0.038812071051040675</v>
      </c>
    </row>
    <row r="533" spans="2:9" x14ac:dyDescent="0.25">
      <c r="D533" s="543">
        <f t="shared" ca="1" si="19"/>
        <v>3.910821533203125</v>
      </c>
      <c r="E533" s="543">
        <f t="shared" ca="1" si="20"/>
        <v>3.910848999023438</v>
      </c>
      <c r="F533" s="543">
        <f t="shared" ca="1" si="18"/>
        <v>3.9108352661132812</v>
      </c>
      <c r="G533" s="543">
        <f t="shared" ca="1" si="21"/>
        <v>-0.001167661504894113</v>
      </c>
    </row>
    <row r="534" spans="2:9" x14ac:dyDescent="0.25">
      <c r="D534" s="543">
        <f t="shared" ca="1" si="19"/>
        <v>3.910821533203125</v>
      </c>
      <c r="E534" s="543">
        <f t="shared" ca="1" si="20"/>
        <v>3.9108352661132812</v>
      </c>
      <c r="F534" s="543">
        <f t="shared" ca="1" si="18"/>
        <v>3.910828399658203</v>
      </c>
      <c r="G534" s="543">
        <f t="shared" ca="1" si="21"/>
        <v>0.017654062848805552</v>
      </c>
    </row>
    <row r="535" spans="2:9" x14ac:dyDescent="0.25">
      <c r="D535" s="543">
        <f t="shared" ca="1" si="19"/>
        <v>3.910828399658203</v>
      </c>
      <c r="E535" s="543">
        <f t="shared" ca="1" si="20"/>
        <v>3.9108352661132812</v>
      </c>
      <c r="F535" s="543">
        <f t="shared" ca="1" si="18"/>
        <v>3.910831832885742</v>
      </c>
      <c r="G535" s="543">
        <f t="shared" ca="1" si="21"/>
        <v>0.008243240706633514</v>
      </c>
    </row>
    <row r="536" spans="2:9" ht="15.75" thickBot="1" x14ac:dyDescent="0.3">
      <c r="D536" s="544">
        <f t="shared" ca="1" si="19"/>
        <v>3.910831832885742</v>
      </c>
      <c r="E536" s="544">
        <f t="shared" ca="1" si="20"/>
        <v>3.9108352661132812</v>
      </c>
      <c r="F536" s="544">
        <f t="shared" ca="1" si="18"/>
        <v>3.910833549499512</v>
      </c>
      <c r="G536" s="544">
        <f t="shared" ca="1" si="21"/>
        <v>0.003537799608864134</v>
      </c>
    </row>
    <row r="537" spans="2:9" ht="15.75" thickBot="1" x14ac:dyDescent="0.3"/>
    <row r="538" spans="2:9" ht="15.75" thickBot="1" x14ac:dyDescent="0.3">
      <c r="B538" s="486" t="s">
        <v>1170</v>
      </c>
      <c r="C538" s="538" t="s">
        <v>1190</v>
      </c>
      <c r="D538" s="539"/>
      <c r="E538" s="539"/>
      <c r="F538" s="539"/>
      <c r="G538" s="539"/>
      <c r="H538" s="539"/>
      <c r="I538" s="540"/>
    </row>
    <row r="539" spans="2:9" ht="30" customHeight="1" x14ac:dyDescent="0.25">
      <c r="B539" s="534" t="s">
        <v>1171</v>
      </c>
      <c r="C539" s="537" t="s">
        <v>1172</v>
      </c>
      <c r="D539" s="810" t="s">
        <v>1173</v>
      </c>
      <c r="E539" s="810"/>
      <c r="F539" s="537" t="s">
        <v>1961</v>
      </c>
    </row>
    <row r="540" spans="2:9" ht="45" customHeight="1" x14ac:dyDescent="0.25">
      <c r="B540" s="535" t="s">
        <v>1174</v>
      </c>
      <c r="C540" s="536">
        <v>2.4</v>
      </c>
      <c r="D540" s="809" t="s">
        <v>1188</v>
      </c>
      <c r="E540" s="809"/>
      <c r="F540" s="536" t="str">
        <f ca="1">IF($C$51&gt;=C540,"Ok","Não atende")</f>
        <v>Ok</v>
      </c>
    </row>
    <row r="541" spans="2:9" ht="45" customHeight="1" x14ac:dyDescent="0.25">
      <c r="B541" s="535" t="s">
        <v>1175</v>
      </c>
      <c r="C541" s="536" t="s">
        <v>1176</v>
      </c>
      <c r="D541" s="809" t="s">
        <v>1177</v>
      </c>
      <c r="E541" s="809"/>
      <c r="F541" s="536" t="str">
        <f ca="1">IF($C$51&gt;=4.8,"Ok","Não atende")</f>
        <v>Ok</v>
      </c>
    </row>
    <row r="542" spans="2:9" ht="75" customHeight="1" x14ac:dyDescent="0.25">
      <c r="B542" s="535" t="s">
        <v>1178</v>
      </c>
      <c r="C542" s="536">
        <f>4.8*1.2</f>
        <v>5.76</v>
      </c>
      <c r="D542" s="809" t="s">
        <v>1193</v>
      </c>
      <c r="E542" s="809"/>
      <c r="F542" s="536" t="str">
        <f ca="1">IF($C$51&gt;=C542,"Ok","Não atende")</f>
        <v>Ok</v>
      </c>
    </row>
    <row r="543" spans="2:9" ht="45" customHeight="1" x14ac:dyDescent="0.25">
      <c r="B543" s="535" t="s">
        <v>1179</v>
      </c>
      <c r="C543" s="536" t="s">
        <v>1180</v>
      </c>
      <c r="D543" s="809" t="s">
        <v>1181</v>
      </c>
      <c r="E543" s="809"/>
      <c r="F543" s="536" t="str">
        <f ca="1">IF($C$51&gt;=6,"Ok","Não atende")</f>
        <v>Ok</v>
      </c>
    </row>
    <row r="544" spans="2:9" ht="60" customHeight="1" x14ac:dyDescent="0.25">
      <c r="B544" s="535" t="s">
        <v>1182</v>
      </c>
      <c r="C544" s="536">
        <f>6*1.2</f>
        <v>7.1999999999999993</v>
      </c>
      <c r="D544" s="809" t="s">
        <v>1192</v>
      </c>
      <c r="E544" s="809"/>
      <c r="F544" s="536" t="str">
        <f ca="1">IF($C$51&gt;=C544,"Ok","Não atende")</f>
        <v>Não atende</v>
      </c>
    </row>
    <row r="545" spans="2:9" ht="75" x14ac:dyDescent="0.25">
      <c r="B545" s="535" t="s">
        <v>1183</v>
      </c>
      <c r="C545" s="536">
        <f>1.2*8</f>
        <v>9.6</v>
      </c>
      <c r="D545" s="809" t="s">
        <v>1191</v>
      </c>
      <c r="E545" s="809"/>
      <c r="F545" s="536" t="str">
        <f ca="1">IF($C$51&gt;=C545,"Ok","Não atende")</f>
        <v>Não atende</v>
      </c>
    </row>
    <row r="547" spans="2:9" x14ac:dyDescent="0.25">
      <c r="B547" s="379"/>
    </row>
    <row r="549" spans="2:9" x14ac:dyDescent="0.25">
      <c r="B549" s="533" t="s">
        <v>1189</v>
      </c>
    </row>
    <row r="550" spans="2:9" x14ac:dyDescent="0.25">
      <c r="B550" s="379" t="s">
        <v>1184</v>
      </c>
    </row>
    <row r="551" spans="2:9" x14ac:dyDescent="0.25">
      <c r="B551" s="379" t="s">
        <v>1185</v>
      </c>
    </row>
    <row r="552" spans="2:9" x14ac:dyDescent="0.25">
      <c r="B552" s="379" t="s">
        <v>1186</v>
      </c>
    </row>
    <row r="553" spans="2:9" x14ac:dyDescent="0.25">
      <c r="B553" s="379" t="s">
        <v>1187</v>
      </c>
    </row>
    <row r="554" spans="2:9" x14ac:dyDescent="0.25">
      <c r="B554" s="547" t="s">
        <v>1195</v>
      </c>
    </row>
    <row r="557" spans="2:9" ht="15.75" thickBot="1" x14ac:dyDescent="0.3"/>
    <row r="558" spans="2:9" ht="15" customHeight="1" x14ac:dyDescent="0.25">
      <c r="B558" s="797" t="s">
        <v>1251</v>
      </c>
      <c r="C558" s="798"/>
      <c r="D558" s="798"/>
      <c r="E558" s="798"/>
      <c r="F558" s="798"/>
      <c r="G558" s="798"/>
      <c r="H558" s="798"/>
      <c r="I558" s="799"/>
    </row>
    <row r="559" spans="2:9" x14ac:dyDescent="0.25">
      <c r="B559" s="800"/>
      <c r="C559" s="801"/>
      <c r="D559" s="801"/>
      <c r="E559" s="801"/>
      <c r="F559" s="801"/>
      <c r="G559" s="801"/>
      <c r="H559" s="801"/>
      <c r="I559" s="802"/>
    </row>
    <row r="560" spans="2:9" x14ac:dyDescent="0.25">
      <c r="B560" s="800"/>
      <c r="C560" s="801"/>
      <c r="D560" s="801"/>
      <c r="E560" s="801"/>
      <c r="F560" s="801"/>
      <c r="G560" s="801"/>
      <c r="H560" s="801"/>
      <c r="I560" s="802"/>
    </row>
    <row r="561" spans="2:9" x14ac:dyDescent="0.25">
      <c r="B561" s="800"/>
      <c r="C561" s="801"/>
      <c r="D561" s="801"/>
      <c r="E561" s="801"/>
      <c r="F561" s="801"/>
      <c r="G561" s="801"/>
      <c r="H561" s="801"/>
      <c r="I561" s="802"/>
    </row>
    <row r="562" spans="2:9" x14ac:dyDescent="0.25">
      <c r="B562" s="800"/>
      <c r="C562" s="801"/>
      <c r="D562" s="801"/>
      <c r="E562" s="801"/>
      <c r="F562" s="801"/>
      <c r="G562" s="801"/>
      <c r="H562" s="801"/>
      <c r="I562" s="802"/>
    </row>
    <row r="563" spans="2:9" ht="15.75" thickBot="1" x14ac:dyDescent="0.3">
      <c r="B563" s="803"/>
      <c r="C563" s="804"/>
      <c r="D563" s="804"/>
      <c r="E563" s="804"/>
      <c r="F563" s="804"/>
      <c r="G563" s="804"/>
      <c r="H563" s="804"/>
      <c r="I563" s="805"/>
    </row>
    <row r="566" spans="2:9" x14ac:dyDescent="0.25">
      <c r="B566" s="790" t="s">
        <v>1198</v>
      </c>
      <c r="C566" s="790"/>
      <c r="D566" s="790"/>
      <c r="E566" s="790"/>
      <c r="F566" s="790"/>
      <c r="G566" s="790"/>
      <c r="H566" s="790"/>
    </row>
    <row r="567" spans="2:9" x14ac:dyDescent="0.25">
      <c r="B567" s="547" t="s">
        <v>1196</v>
      </c>
    </row>
    <row r="568" spans="2:9" x14ac:dyDescent="0.25">
      <c r="B568" s="547" t="s">
        <v>1197</v>
      </c>
    </row>
    <row r="570" spans="2:9" x14ac:dyDescent="0.25">
      <c r="B570" s="547" t="s">
        <v>1207</v>
      </c>
      <c r="C570" s="547"/>
    </row>
    <row r="571" spans="2:9" x14ac:dyDescent="0.25">
      <c r="B571" s="547" t="s">
        <v>1208</v>
      </c>
      <c r="C571" s="547"/>
    </row>
    <row r="572" spans="2:9" x14ac:dyDescent="0.25">
      <c r="C572" s="547"/>
    </row>
    <row r="573" spans="2:9" x14ac:dyDescent="0.25">
      <c r="B573" s="547" t="s">
        <v>1209</v>
      </c>
      <c r="C573" s="547"/>
    </row>
    <row r="574" spans="2:9" x14ac:dyDescent="0.25">
      <c r="C574" s="547"/>
    </row>
    <row r="575" spans="2:9" x14ac:dyDescent="0.25">
      <c r="B575" s="547" t="s">
        <v>1210</v>
      </c>
      <c r="C575" s="547"/>
    </row>
    <row r="576" spans="2:9" x14ac:dyDescent="0.25">
      <c r="B576" s="547"/>
      <c r="C576" s="547"/>
    </row>
    <row r="577" spans="2:3" x14ac:dyDescent="0.25">
      <c r="B577" s="557" t="s">
        <v>1211</v>
      </c>
      <c r="C577" s="547"/>
    </row>
    <row r="578" spans="2:3" x14ac:dyDescent="0.25">
      <c r="B578" s="547"/>
      <c r="C578" s="547"/>
    </row>
    <row r="579" spans="2:3" x14ac:dyDescent="0.25">
      <c r="B579" s="547"/>
      <c r="C579" s="547"/>
    </row>
    <row r="580" spans="2:3" x14ac:dyDescent="0.25">
      <c r="B580" t="s">
        <v>1223</v>
      </c>
      <c r="C580" s="547"/>
    </row>
    <row r="581" spans="2:3" x14ac:dyDescent="0.25">
      <c r="B581"/>
      <c r="C581" s="547"/>
    </row>
    <row r="582" spans="2:3" x14ac:dyDescent="0.25">
      <c r="B582" t="s">
        <v>1224</v>
      </c>
      <c r="C582" s="547"/>
    </row>
    <row r="583" spans="2:3" x14ac:dyDescent="0.25">
      <c r="B583" s="547"/>
      <c r="C583" s="547"/>
    </row>
    <row r="584" spans="2:3" x14ac:dyDescent="0.25">
      <c r="B584" t="s">
        <v>1226</v>
      </c>
      <c r="C584" s="547"/>
    </row>
    <row r="586" spans="2:3" x14ac:dyDescent="0.25">
      <c r="B586" s="556" t="s">
        <v>1225</v>
      </c>
    </row>
    <row r="588" spans="2:3" x14ac:dyDescent="0.25">
      <c r="B588" s="556" t="s">
        <v>1227</v>
      </c>
    </row>
    <row r="589" spans="2:3" x14ac:dyDescent="0.25">
      <c r="B589" s="547"/>
      <c r="C589" s="547"/>
    </row>
    <row r="590" spans="2:3" x14ac:dyDescent="0.25">
      <c r="B590" t="s">
        <v>1228</v>
      </c>
      <c r="C590" s="547"/>
    </row>
    <row r="591" spans="2:3" x14ac:dyDescent="0.25">
      <c r="B591" t="s">
        <v>1229</v>
      </c>
      <c r="C591" s="547"/>
    </row>
    <row r="592" spans="2:3" x14ac:dyDescent="0.25">
      <c r="C592" s="547"/>
    </row>
    <row r="593" spans="2:3" x14ac:dyDescent="0.25">
      <c r="B593" s="547" t="s">
        <v>1230</v>
      </c>
      <c r="C593" s="547"/>
    </row>
    <row r="594" spans="2:3" x14ac:dyDescent="0.25">
      <c r="B594" s="547"/>
      <c r="C594" s="547"/>
    </row>
    <row r="595" spans="2:3" x14ac:dyDescent="0.25">
      <c r="B595" s="1" t="s">
        <v>1232</v>
      </c>
      <c r="C595" s="547" t="s">
        <v>1231</v>
      </c>
    </row>
    <row r="596" spans="2:3" x14ac:dyDescent="0.25">
      <c r="C596" s="547"/>
    </row>
    <row r="597" spans="2:3" x14ac:dyDescent="0.25">
      <c r="B597" s="1" t="s">
        <v>1233</v>
      </c>
      <c r="C597" s="547" t="s">
        <v>1234</v>
      </c>
    </row>
    <row r="598" spans="2:3" x14ac:dyDescent="0.25">
      <c r="C598" s="547"/>
    </row>
    <row r="599" spans="2:3" x14ac:dyDescent="0.25">
      <c r="B599" s="560" t="s">
        <v>1249</v>
      </c>
    </row>
    <row r="600" spans="2:3" x14ac:dyDescent="0.25">
      <c r="B600" t="s">
        <v>1250</v>
      </c>
    </row>
    <row r="601" spans="2:3" x14ac:dyDescent="0.25">
      <c r="B601"/>
    </row>
    <row r="602" spans="2:3" x14ac:dyDescent="0.25">
      <c r="B602" s="547" t="s">
        <v>1241</v>
      </c>
    </row>
    <row r="603" spans="2:3" x14ac:dyDescent="0.25">
      <c r="B603" s="547"/>
    </row>
    <row r="604" spans="2:3" x14ac:dyDescent="0.25">
      <c r="B604" s="547" t="s">
        <v>1242</v>
      </c>
    </row>
    <row r="605" spans="2:3" x14ac:dyDescent="0.25">
      <c r="B605" s="547"/>
    </row>
    <row r="606" spans="2:3" x14ac:dyDescent="0.25">
      <c r="B606" s="547" t="s">
        <v>1243</v>
      </c>
    </row>
    <row r="607" spans="2:3" x14ac:dyDescent="0.25">
      <c r="B607" s="547"/>
    </row>
    <row r="608" spans="2:3" x14ac:dyDescent="0.25">
      <c r="B608" s="547" t="s">
        <v>1244</v>
      </c>
    </row>
    <row r="609" spans="2:11" x14ac:dyDescent="0.25">
      <c r="B609" s="547"/>
    </row>
    <row r="610" spans="2:11" x14ac:dyDescent="0.25">
      <c r="B610" s="780" t="s">
        <v>1247</v>
      </c>
      <c r="C610" s="790" t="s">
        <v>1245</v>
      </c>
      <c r="D610" s="790"/>
    </row>
    <row r="611" spans="2:11" x14ac:dyDescent="0.25">
      <c r="B611" s="780"/>
      <c r="C611" s="790" t="s">
        <v>1246</v>
      </c>
      <c r="D611" s="790"/>
    </row>
    <row r="612" spans="2:11" x14ac:dyDescent="0.25">
      <c r="B612" s="547"/>
    </row>
    <row r="613" spans="2:11" x14ac:dyDescent="0.25">
      <c r="B613" s="547" t="s">
        <v>1248</v>
      </c>
    </row>
    <row r="614" spans="2:11" x14ac:dyDescent="0.25">
      <c r="C614" s="547"/>
    </row>
    <row r="615" spans="2:11" ht="15.75" thickBot="1" x14ac:dyDescent="0.3">
      <c r="C615" s="547"/>
    </row>
    <row r="616" spans="2:11" ht="15.75" thickBot="1" x14ac:dyDescent="0.3">
      <c r="B616" s="558" t="s">
        <v>1157</v>
      </c>
      <c r="C616" s="794" t="s">
        <v>1235</v>
      </c>
      <c r="D616" s="795"/>
      <c r="E616" s="795"/>
      <c r="F616" s="795"/>
      <c r="G616" s="795"/>
      <c r="H616" s="795"/>
      <c r="I616" s="795"/>
      <c r="J616" s="795"/>
      <c r="K616" s="796"/>
    </row>
    <row r="617" spans="2:11" x14ac:dyDescent="0.25">
      <c r="C617" s="547"/>
    </row>
    <row r="618" spans="2:11" ht="15.75" thickBot="1" x14ac:dyDescent="0.3">
      <c r="B618" s="547"/>
      <c r="C618" s="547"/>
    </row>
    <row r="619" spans="2:11" ht="30.75" thickBot="1" x14ac:dyDescent="0.3">
      <c r="B619" s="550" t="s">
        <v>1212</v>
      </c>
      <c r="C619" s="550" t="s">
        <v>1213</v>
      </c>
      <c r="D619" s="550" t="s">
        <v>1214</v>
      </c>
    </row>
    <row r="620" spans="2:11" ht="45.75" thickBot="1" x14ac:dyDescent="0.3">
      <c r="B620" s="549" t="s">
        <v>1215</v>
      </c>
      <c r="C620" s="553" t="s">
        <v>1216</v>
      </c>
      <c r="D620" s="553" t="s">
        <v>1217</v>
      </c>
    </row>
    <row r="621" spans="2:11" ht="45.75" thickBot="1" x14ac:dyDescent="0.3">
      <c r="B621" s="550" t="s">
        <v>1218</v>
      </c>
      <c r="C621" s="550" t="s">
        <v>1219</v>
      </c>
      <c r="D621" s="550" t="s">
        <v>1220</v>
      </c>
    </row>
    <row r="623" spans="2:11" ht="15.75" thickBot="1" x14ac:dyDescent="0.3"/>
    <row r="624" spans="2:11" ht="15.75" thickBot="1" x14ac:dyDescent="0.3">
      <c r="B624" s="554" t="s">
        <v>1199</v>
      </c>
      <c r="C624" s="555" t="s">
        <v>1221</v>
      </c>
      <c r="D624" s="554" t="s">
        <v>1222</v>
      </c>
    </row>
    <row r="625" spans="2:10" ht="45.75" thickBot="1" x14ac:dyDescent="0.3">
      <c r="B625" s="550" t="s">
        <v>1200</v>
      </c>
      <c r="C625" s="550" t="s">
        <v>1240</v>
      </c>
      <c r="D625" s="550" t="s">
        <v>1201</v>
      </c>
    </row>
    <row r="626" spans="2:10" ht="60.75" thickBot="1" x14ac:dyDescent="0.3">
      <c r="B626" s="553" t="s">
        <v>1202</v>
      </c>
      <c r="C626" s="553" t="s">
        <v>1239</v>
      </c>
      <c r="D626" s="553" t="s">
        <v>1203</v>
      </c>
    </row>
    <row r="627" spans="2:10" ht="30.75" thickBot="1" x14ac:dyDescent="0.3">
      <c r="B627" s="551" t="s">
        <v>1204</v>
      </c>
      <c r="C627" s="552" t="s">
        <v>1205</v>
      </c>
      <c r="D627" s="551" t="s">
        <v>1206</v>
      </c>
    </row>
    <row r="629" spans="2:10" ht="15.75" thickBot="1" x14ac:dyDescent="0.3"/>
    <row r="630" spans="2:10" ht="15" customHeight="1" x14ac:dyDescent="0.25">
      <c r="B630" s="797" t="s">
        <v>1237</v>
      </c>
      <c r="C630" s="798"/>
      <c r="D630" s="798"/>
      <c r="E630" s="798"/>
      <c r="F630" s="798"/>
      <c r="G630" s="798"/>
      <c r="H630" s="798"/>
      <c r="I630" s="798"/>
      <c r="J630" s="799"/>
    </row>
    <row r="631" spans="2:10" x14ac:dyDescent="0.25">
      <c r="B631" s="800"/>
      <c r="C631" s="801"/>
      <c r="D631" s="801"/>
      <c r="E631" s="801"/>
      <c r="F631" s="801"/>
      <c r="G631" s="801"/>
      <c r="H631" s="801"/>
      <c r="I631" s="801"/>
      <c r="J631" s="802"/>
    </row>
    <row r="632" spans="2:10" x14ac:dyDescent="0.25">
      <c r="B632" s="800"/>
      <c r="C632" s="801"/>
      <c r="D632" s="801"/>
      <c r="E632" s="801"/>
      <c r="F632" s="801"/>
      <c r="G632" s="801"/>
      <c r="H632" s="801"/>
      <c r="I632" s="801"/>
      <c r="J632" s="802"/>
    </row>
    <row r="633" spans="2:10" x14ac:dyDescent="0.25">
      <c r="B633" s="800"/>
      <c r="C633" s="801"/>
      <c r="D633" s="801"/>
      <c r="E633" s="801"/>
      <c r="F633" s="801"/>
      <c r="G633" s="801"/>
      <c r="H633" s="801"/>
      <c r="I633" s="801"/>
      <c r="J633" s="802"/>
    </row>
    <row r="634" spans="2:10" x14ac:dyDescent="0.25">
      <c r="B634" s="800"/>
      <c r="C634" s="801"/>
      <c r="D634" s="801"/>
      <c r="E634" s="801"/>
      <c r="F634" s="801"/>
      <c r="G634" s="801"/>
      <c r="H634" s="801"/>
      <c r="I634" s="801"/>
      <c r="J634" s="802"/>
    </row>
    <row r="635" spans="2:10" x14ac:dyDescent="0.25">
      <c r="B635" s="800"/>
      <c r="C635" s="801"/>
      <c r="D635" s="801"/>
      <c r="E635" s="801"/>
      <c r="F635" s="801"/>
      <c r="G635" s="801"/>
      <c r="H635" s="801"/>
      <c r="I635" s="801"/>
      <c r="J635" s="802"/>
    </row>
    <row r="636" spans="2:10" x14ac:dyDescent="0.25">
      <c r="B636" s="800"/>
      <c r="C636" s="801"/>
      <c r="D636" s="801"/>
      <c r="E636" s="801"/>
      <c r="F636" s="801"/>
      <c r="G636" s="801"/>
      <c r="H636" s="801"/>
      <c r="I636" s="801"/>
      <c r="J636" s="802"/>
    </row>
    <row r="637" spans="2:10" x14ac:dyDescent="0.25">
      <c r="B637" s="800"/>
      <c r="C637" s="801"/>
      <c r="D637" s="801"/>
      <c r="E637" s="801"/>
      <c r="F637" s="801"/>
      <c r="G637" s="801"/>
      <c r="H637" s="801"/>
      <c r="I637" s="801"/>
      <c r="J637" s="802"/>
    </row>
    <row r="638" spans="2:10" x14ac:dyDescent="0.25">
      <c r="B638" s="800"/>
      <c r="C638" s="801"/>
      <c r="D638" s="801"/>
      <c r="E638" s="801"/>
      <c r="F638" s="801"/>
      <c r="G638" s="801"/>
      <c r="H638" s="801"/>
      <c r="I638" s="801"/>
      <c r="J638" s="802"/>
    </row>
    <row r="639" spans="2:10" x14ac:dyDescent="0.25">
      <c r="B639" s="800"/>
      <c r="C639" s="801"/>
      <c r="D639" s="801"/>
      <c r="E639" s="801"/>
      <c r="F639" s="801"/>
      <c r="G639" s="801"/>
      <c r="H639" s="801"/>
      <c r="I639" s="801"/>
      <c r="J639" s="802"/>
    </row>
    <row r="640" spans="2:10" x14ac:dyDescent="0.25">
      <c r="B640" s="800"/>
      <c r="C640" s="801"/>
      <c r="D640" s="801"/>
      <c r="E640" s="801"/>
      <c r="F640" s="801"/>
      <c r="G640" s="801"/>
      <c r="H640" s="801"/>
      <c r="I640" s="801"/>
      <c r="J640" s="802"/>
    </row>
    <row r="641" spans="2:12" x14ac:dyDescent="0.25">
      <c r="B641" s="800"/>
      <c r="C641" s="801"/>
      <c r="D641" s="801"/>
      <c r="E641" s="801"/>
      <c r="F641" s="801"/>
      <c r="G641" s="801"/>
      <c r="H641" s="801"/>
      <c r="I641" s="801"/>
      <c r="J641" s="802"/>
    </row>
    <row r="642" spans="2:12" x14ac:dyDescent="0.25">
      <c r="B642" s="800"/>
      <c r="C642" s="801"/>
      <c r="D642" s="801"/>
      <c r="E642" s="801"/>
      <c r="F642" s="801"/>
      <c r="G642" s="801"/>
      <c r="H642" s="801"/>
      <c r="I642" s="801"/>
      <c r="J642" s="802"/>
    </row>
    <row r="643" spans="2:12" x14ac:dyDescent="0.25">
      <c r="B643" s="800"/>
      <c r="C643" s="801"/>
      <c r="D643" s="801"/>
      <c r="E643" s="801"/>
      <c r="F643" s="801"/>
      <c r="G643" s="801"/>
      <c r="H643" s="801"/>
      <c r="I643" s="801"/>
      <c r="J643" s="802"/>
    </row>
    <row r="644" spans="2:12" ht="15.75" thickBot="1" x14ac:dyDescent="0.3">
      <c r="B644" s="800"/>
      <c r="C644" s="801"/>
      <c r="D644" s="801"/>
      <c r="E644" s="801"/>
      <c r="F644" s="801"/>
      <c r="G644" s="801"/>
      <c r="H644" s="801"/>
      <c r="I644" s="801"/>
      <c r="J644" s="802"/>
    </row>
    <row r="645" spans="2:12" ht="15.75" thickBot="1" x14ac:dyDescent="0.3">
      <c r="B645" s="800"/>
      <c r="C645" s="801"/>
      <c r="D645" s="801"/>
      <c r="E645" s="801"/>
      <c r="F645" s="801"/>
      <c r="G645" s="801"/>
      <c r="H645" s="801"/>
      <c r="I645" s="801"/>
      <c r="J645" s="802"/>
      <c r="K645" s="559" t="s">
        <v>1236</v>
      </c>
      <c r="L645" s="559" t="s">
        <v>1238</v>
      </c>
    </row>
    <row r="646" spans="2:12" x14ac:dyDescent="0.25">
      <c r="B646" s="800"/>
      <c r="C646" s="801"/>
      <c r="D646" s="801"/>
      <c r="E646" s="801"/>
      <c r="F646" s="801"/>
      <c r="G646" s="801"/>
      <c r="H646" s="801"/>
      <c r="I646" s="801"/>
      <c r="J646" s="802"/>
    </row>
    <row r="647" spans="2:12" x14ac:dyDescent="0.25">
      <c r="B647" s="800"/>
      <c r="C647" s="801"/>
      <c r="D647" s="801"/>
      <c r="E647" s="801"/>
      <c r="F647" s="801"/>
      <c r="G647" s="801"/>
      <c r="H647" s="801"/>
      <c r="I647" s="801"/>
      <c r="J647" s="802"/>
    </row>
    <row r="648" spans="2:12" x14ac:dyDescent="0.25">
      <c r="B648" s="800"/>
      <c r="C648" s="801"/>
      <c r="D648" s="801"/>
      <c r="E648" s="801"/>
      <c r="F648" s="801"/>
      <c r="G648" s="801"/>
      <c r="H648" s="801"/>
      <c r="I648" s="801"/>
      <c r="J648" s="802"/>
    </row>
    <row r="649" spans="2:12" x14ac:dyDescent="0.25">
      <c r="B649" s="800"/>
      <c r="C649" s="801"/>
      <c r="D649" s="801"/>
      <c r="E649" s="801"/>
      <c r="F649" s="801"/>
      <c r="G649" s="801"/>
      <c r="H649" s="801"/>
      <c r="I649" s="801"/>
      <c r="J649" s="802"/>
    </row>
    <row r="650" spans="2:12" x14ac:dyDescent="0.25">
      <c r="B650" s="800"/>
      <c r="C650" s="801"/>
      <c r="D650" s="801"/>
      <c r="E650" s="801"/>
      <c r="F650" s="801"/>
      <c r="G650" s="801"/>
      <c r="H650" s="801"/>
      <c r="I650" s="801"/>
      <c r="J650" s="802"/>
    </row>
    <row r="651" spans="2:12" x14ac:dyDescent="0.25">
      <c r="B651" s="800"/>
      <c r="C651" s="801"/>
      <c r="D651" s="801"/>
      <c r="E651" s="801"/>
      <c r="F651" s="801"/>
      <c r="G651" s="801"/>
      <c r="H651" s="801"/>
      <c r="I651" s="801"/>
      <c r="J651" s="802"/>
    </row>
    <row r="652" spans="2:12" x14ac:dyDescent="0.25">
      <c r="B652" s="800"/>
      <c r="C652" s="801"/>
      <c r="D652" s="801"/>
      <c r="E652" s="801"/>
      <c r="F652" s="801"/>
      <c r="G652" s="801"/>
      <c r="H652" s="801"/>
      <c r="I652" s="801"/>
      <c r="J652" s="802"/>
    </row>
    <row r="653" spans="2:12" x14ac:dyDescent="0.25">
      <c r="B653" s="800"/>
      <c r="C653" s="801"/>
      <c r="D653" s="801"/>
      <c r="E653" s="801"/>
      <c r="F653" s="801"/>
      <c r="G653" s="801"/>
      <c r="H653" s="801"/>
      <c r="I653" s="801"/>
      <c r="J653" s="802"/>
    </row>
    <row r="654" spans="2:12" x14ac:dyDescent="0.25">
      <c r="B654" s="800"/>
      <c r="C654" s="801"/>
      <c r="D654" s="801"/>
      <c r="E654" s="801"/>
      <c r="F654" s="801"/>
      <c r="G654" s="801"/>
      <c r="H654" s="801"/>
      <c r="I654" s="801"/>
      <c r="J654" s="802"/>
    </row>
    <row r="655" spans="2:12" x14ac:dyDescent="0.25">
      <c r="B655" s="800"/>
      <c r="C655" s="801"/>
      <c r="D655" s="801"/>
      <c r="E655" s="801"/>
      <c r="F655" s="801"/>
      <c r="G655" s="801"/>
      <c r="H655" s="801"/>
      <c r="I655" s="801"/>
      <c r="J655" s="802"/>
    </row>
    <row r="656" spans="2:12" x14ac:dyDescent="0.25">
      <c r="B656" s="800"/>
      <c r="C656" s="801"/>
      <c r="D656" s="801"/>
      <c r="E656" s="801"/>
      <c r="F656" s="801"/>
      <c r="G656" s="801"/>
      <c r="H656" s="801"/>
      <c r="I656" s="801"/>
      <c r="J656" s="802"/>
    </row>
    <row r="657" spans="2:13" x14ac:dyDescent="0.25">
      <c r="B657" s="800"/>
      <c r="C657" s="801"/>
      <c r="D657" s="801"/>
      <c r="E657" s="801"/>
      <c r="F657" s="801"/>
      <c r="G657" s="801"/>
      <c r="H657" s="801"/>
      <c r="I657" s="801"/>
      <c r="J657" s="802"/>
    </row>
    <row r="658" spans="2:13" x14ac:dyDescent="0.25">
      <c r="B658" s="800"/>
      <c r="C658" s="801"/>
      <c r="D658" s="801"/>
      <c r="E658" s="801"/>
      <c r="F658" s="801"/>
      <c r="G658" s="801"/>
      <c r="H658" s="801"/>
      <c r="I658" s="801"/>
      <c r="J658" s="802"/>
    </row>
    <row r="659" spans="2:13" x14ac:dyDescent="0.25">
      <c r="B659" s="800"/>
      <c r="C659" s="801"/>
      <c r="D659" s="801"/>
      <c r="E659" s="801"/>
      <c r="F659" s="801"/>
      <c r="G659" s="801"/>
      <c r="H659" s="801"/>
      <c r="I659" s="801"/>
      <c r="J659" s="802"/>
    </row>
    <row r="660" spans="2:13" x14ac:dyDescent="0.25">
      <c r="B660" s="800"/>
      <c r="C660" s="801"/>
      <c r="D660" s="801"/>
      <c r="E660" s="801"/>
      <c r="F660" s="801"/>
      <c r="G660" s="801"/>
      <c r="H660" s="801"/>
      <c r="I660" s="801"/>
      <c r="J660" s="802"/>
    </row>
    <row r="661" spans="2:13" x14ac:dyDescent="0.25">
      <c r="B661" s="800"/>
      <c r="C661" s="801"/>
      <c r="D661" s="801"/>
      <c r="E661" s="801"/>
      <c r="F661" s="801"/>
      <c r="G661" s="801"/>
      <c r="H661" s="801"/>
      <c r="I661" s="801"/>
      <c r="J661" s="802"/>
    </row>
    <row r="662" spans="2:13" x14ac:dyDescent="0.25">
      <c r="B662" s="800"/>
      <c r="C662" s="801"/>
      <c r="D662" s="801"/>
      <c r="E662" s="801"/>
      <c r="F662" s="801"/>
      <c r="G662" s="801"/>
      <c r="H662" s="801"/>
      <c r="I662" s="801"/>
      <c r="J662" s="802"/>
    </row>
    <row r="663" spans="2:13" ht="15.75" thickBot="1" x14ac:dyDescent="0.3">
      <c r="B663" s="803"/>
      <c r="C663" s="804"/>
      <c r="D663" s="804"/>
      <c r="E663" s="804"/>
      <c r="F663" s="804"/>
      <c r="G663" s="804"/>
      <c r="H663" s="804"/>
      <c r="I663" s="804"/>
      <c r="J663" s="805"/>
    </row>
    <row r="666" spans="2:13" x14ac:dyDescent="0.25">
      <c r="B666" s="2" t="s">
        <v>1261</v>
      </c>
    </row>
    <row r="667" spans="2:13" x14ac:dyDescent="0.25">
      <c r="B667"/>
    </row>
    <row r="668" spans="2:13" x14ac:dyDescent="0.25">
      <c r="B668" t="s">
        <v>1257</v>
      </c>
    </row>
    <row r="669" spans="2:13" x14ac:dyDescent="0.25">
      <c r="B669"/>
    </row>
    <row r="670" spans="2:13" x14ac:dyDescent="0.25">
      <c r="B670" t="s">
        <v>1254</v>
      </c>
    </row>
    <row r="671" spans="2:13" x14ac:dyDescent="0.25">
      <c r="B671"/>
    </row>
    <row r="672" spans="2:13" x14ac:dyDescent="0.25">
      <c r="B672" s="792" t="s">
        <v>1255</v>
      </c>
      <c r="C672" s="792"/>
      <c r="D672" s="792"/>
      <c r="E672" s="792"/>
      <c r="F672" s="792"/>
      <c r="G672" s="792"/>
      <c r="H672" s="792"/>
      <c r="I672" s="792"/>
      <c r="J672" s="792"/>
      <c r="K672" s="792"/>
      <c r="L672" s="792"/>
      <c r="M672" s="792"/>
    </row>
    <row r="673" spans="2:13" x14ac:dyDescent="0.25">
      <c r="B673" s="792"/>
      <c r="C673" s="792"/>
      <c r="D673" s="792"/>
      <c r="E673" s="792"/>
      <c r="F673" s="792"/>
      <c r="G673" s="792"/>
      <c r="H673" s="792"/>
      <c r="I673" s="792"/>
      <c r="J673" s="792"/>
      <c r="K673" s="792"/>
      <c r="L673" s="792"/>
      <c r="M673" s="792"/>
    </row>
    <row r="674" spans="2:13" x14ac:dyDescent="0.25">
      <c r="B674" s="792"/>
      <c r="C674" s="792"/>
      <c r="D674" s="792"/>
      <c r="E674" s="792"/>
      <c r="F674" s="792"/>
      <c r="G674" s="792"/>
      <c r="H674" s="792"/>
      <c r="I674" s="792"/>
      <c r="J674" s="792"/>
      <c r="K674" s="792"/>
      <c r="L674" s="792"/>
      <c r="M674" s="792"/>
    </row>
    <row r="675" spans="2:13" x14ac:dyDescent="0.25">
      <c r="B675" s="792"/>
      <c r="C675" s="792"/>
      <c r="D675" s="792"/>
      <c r="E675" s="792"/>
      <c r="F675" s="792"/>
      <c r="G675" s="792"/>
      <c r="H675" s="792"/>
      <c r="I675" s="792"/>
      <c r="J675" s="792"/>
      <c r="K675" s="792"/>
      <c r="L675" s="792"/>
      <c r="M675" s="792"/>
    </row>
    <row r="676" spans="2:13" x14ac:dyDescent="0.25">
      <c r="B676" s="548"/>
      <c r="C676" s="548"/>
      <c r="D676" s="548"/>
      <c r="E676" s="548"/>
      <c r="F676" s="548"/>
      <c r="G676" s="548"/>
      <c r="H676" s="548"/>
      <c r="I676" s="548"/>
      <c r="J676" s="548"/>
      <c r="K676" s="548"/>
      <c r="L676" s="548"/>
      <c r="M676" s="548"/>
    </row>
    <row r="677" spans="2:13" x14ac:dyDescent="0.25">
      <c r="B677" s="2" t="s">
        <v>1259</v>
      </c>
    </row>
    <row r="678" spans="2:13" x14ac:dyDescent="0.25">
      <c r="B678" s="792" t="s">
        <v>1256</v>
      </c>
      <c r="C678" s="792"/>
      <c r="D678" s="792"/>
      <c r="E678" s="792"/>
      <c r="F678" s="792"/>
      <c r="G678" s="792"/>
      <c r="H678" s="792"/>
      <c r="I678" s="792"/>
      <c r="J678" s="792"/>
      <c r="K678" s="792"/>
      <c r="L678" s="792"/>
      <c r="M678" s="792"/>
    </row>
    <row r="679" spans="2:13" x14ac:dyDescent="0.25">
      <c r="B679" s="792"/>
      <c r="C679" s="792"/>
      <c r="D679" s="792"/>
      <c r="E679" s="792"/>
      <c r="F679" s="792"/>
      <c r="G679" s="792"/>
      <c r="H679" s="792"/>
      <c r="I679" s="792"/>
      <c r="J679" s="792"/>
      <c r="K679" s="792"/>
      <c r="L679" s="792"/>
      <c r="M679" s="792"/>
    </row>
    <row r="680" spans="2:13" x14ac:dyDescent="0.25">
      <c r="B680" s="792"/>
      <c r="C680" s="792"/>
      <c r="D680" s="792"/>
      <c r="E680" s="792"/>
      <c r="F680" s="792"/>
      <c r="G680" s="792"/>
      <c r="H680" s="792"/>
      <c r="I680" s="792"/>
      <c r="J680" s="792"/>
      <c r="K680" s="792"/>
      <c r="L680" s="792"/>
      <c r="M680" s="792"/>
    </row>
    <row r="681" spans="2:13" x14ac:dyDescent="0.25">
      <c r="B681" s="792"/>
      <c r="C681" s="792"/>
      <c r="D681" s="792"/>
      <c r="E681" s="792"/>
      <c r="F681" s="792"/>
      <c r="G681" s="792"/>
      <c r="H681" s="792"/>
      <c r="I681" s="792"/>
      <c r="J681" s="792"/>
      <c r="K681" s="792"/>
      <c r="L681" s="792"/>
      <c r="M681" s="792"/>
    </row>
    <row r="682" spans="2:13" x14ac:dyDescent="0.25">
      <c r="B682" s="792"/>
      <c r="C682" s="792"/>
      <c r="D682" s="792"/>
      <c r="E682" s="792"/>
      <c r="F682" s="792"/>
      <c r="G682" s="792"/>
      <c r="H682" s="792"/>
      <c r="I682" s="792"/>
      <c r="J682" s="792"/>
      <c r="K682" s="792"/>
      <c r="L682" s="792"/>
      <c r="M682" s="792"/>
    </row>
    <row r="683" spans="2:13" x14ac:dyDescent="0.25">
      <c r="B683"/>
    </row>
    <row r="684" spans="2:13" x14ac:dyDescent="0.25">
      <c r="B684" s="2" t="s">
        <v>1258</v>
      </c>
    </row>
    <row r="685" spans="2:13" ht="15" customHeight="1" x14ac:dyDescent="0.25">
      <c r="B685" s="793" t="s">
        <v>1252</v>
      </c>
      <c r="C685" s="793"/>
      <c r="D685" s="793"/>
      <c r="E685" s="793"/>
      <c r="F685" s="793"/>
      <c r="G685" s="793"/>
      <c r="H685" s="793"/>
      <c r="I685" s="793"/>
      <c r="J685" s="793"/>
      <c r="K685" s="793"/>
      <c r="L685" s="793"/>
      <c r="M685" s="793"/>
    </row>
    <row r="686" spans="2:13" x14ac:dyDescent="0.25">
      <c r="B686" s="793"/>
      <c r="C686" s="793"/>
      <c r="D686" s="793"/>
      <c r="E686" s="793"/>
      <c r="F686" s="793"/>
      <c r="G686" s="793"/>
      <c r="H686" s="793"/>
      <c r="I686" s="793"/>
      <c r="J686" s="793"/>
      <c r="K686" s="793"/>
      <c r="L686" s="793"/>
      <c r="M686" s="793"/>
    </row>
    <row r="687" spans="2:13" x14ac:dyDescent="0.25">
      <c r="B687" s="793"/>
      <c r="C687" s="793"/>
      <c r="D687" s="793"/>
      <c r="E687" s="793"/>
      <c r="F687" s="793"/>
      <c r="G687" s="793"/>
      <c r="H687" s="793"/>
      <c r="I687" s="793"/>
      <c r="J687" s="793"/>
      <c r="K687" s="793"/>
      <c r="L687" s="793"/>
      <c r="M687" s="793"/>
    </row>
    <row r="688" spans="2:13" x14ac:dyDescent="0.25">
      <c r="B688" s="793"/>
      <c r="C688" s="793"/>
      <c r="D688" s="793"/>
      <c r="E688" s="793"/>
      <c r="F688" s="793"/>
      <c r="G688" s="793"/>
      <c r="H688" s="793"/>
      <c r="I688" s="793"/>
      <c r="J688" s="793"/>
      <c r="K688" s="793"/>
      <c r="L688" s="793"/>
      <c r="M688" s="793"/>
    </row>
    <row r="689" spans="2:19" x14ac:dyDescent="0.25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</row>
    <row r="690" spans="2:19" x14ac:dyDescent="0.25">
      <c r="B690"/>
    </row>
    <row r="691" spans="2:19" x14ac:dyDescent="0.25">
      <c r="B691" s="2" t="s">
        <v>1260</v>
      </c>
    </row>
    <row r="692" spans="2:19" x14ac:dyDescent="0.25">
      <c r="B692" s="792" t="s">
        <v>1253</v>
      </c>
      <c r="C692" s="792"/>
      <c r="D692" s="792"/>
      <c r="E692" s="792"/>
      <c r="F692" s="792"/>
      <c r="G692" s="792"/>
      <c r="H692" s="792"/>
      <c r="I692" s="792"/>
      <c r="J692" s="792"/>
      <c r="K692" s="792"/>
      <c r="L692" s="792"/>
      <c r="M692" s="792"/>
    </row>
    <row r="693" spans="2:19" x14ac:dyDescent="0.25">
      <c r="B693" s="792"/>
      <c r="C693" s="792"/>
      <c r="D693" s="792"/>
      <c r="E693" s="792"/>
      <c r="F693" s="792"/>
      <c r="G693" s="792"/>
      <c r="H693" s="792"/>
      <c r="I693" s="792"/>
      <c r="J693" s="792"/>
      <c r="K693" s="792"/>
      <c r="L693" s="792"/>
      <c r="M693" s="792"/>
    </row>
    <row r="694" spans="2:19" x14ac:dyDescent="0.25">
      <c r="B694" s="792"/>
      <c r="C694" s="792"/>
      <c r="D694" s="792"/>
      <c r="E694" s="792"/>
      <c r="F694" s="792"/>
      <c r="G694" s="792"/>
      <c r="H694" s="792"/>
      <c r="I694" s="792"/>
      <c r="J694" s="792"/>
      <c r="K694" s="792"/>
      <c r="L694" s="792"/>
      <c r="M694" s="792"/>
    </row>
    <row r="695" spans="2:19" x14ac:dyDescent="0.25">
      <c r="B695" s="792"/>
      <c r="C695" s="792"/>
      <c r="D695" s="792"/>
      <c r="E695" s="792"/>
      <c r="F695" s="792"/>
      <c r="G695" s="792"/>
      <c r="H695" s="792"/>
      <c r="I695" s="792"/>
      <c r="J695" s="792"/>
      <c r="K695" s="792"/>
      <c r="L695" s="792"/>
      <c r="M695" s="792"/>
    </row>
    <row r="719" ht="15.75" thickBot="1" x14ac:dyDescent="0.3">
      <c r="B719" s="486" t="inlineStr">
        <is>
          <t xml:space="preserve">7.</t>
        </is>
      </c>
      <c r="C719" s="789" t="inlineStr">
        <is>
          <t xml:space="preserve">ACELERAÇÃO DE PICO POR CAMINHADA - PESSOAS ANDANDO (AISC DG11, cap. 4)</t>
        </is>
      </c>
      <c r="D719" s="791"/>
      <c r="E719" s="791"/>
      <c r="F719" s="791"/>
      <c r="G719" s="791"/>
      <c r="H719" s="791"/>
      <c r="I719" s="791"/>
      <c r="J719" s="791"/>
      <c r="K719" s="791"/>
      <c r="L719" s="791"/>
      <c r="M719" s="791"/>
      <c r="N719" s="791"/>
      <c r="O719" s="791"/>
      <c r="P719" s="791"/>
      <c r="Q719" s="791"/>
      <c r="R719" s="791"/>
      <c r="S719" s="791"/>
    </row>
    <row r="720" spans="2:19" x14ac:dyDescent="0.25">
      <c r="B720" s="789" t="s">
        <v>1800</v>
      </c>
      <c r="C720" s="790"/>
      <c r="D720" s="790"/>
      <c r="E720" s="790"/>
      <c r="F720" s="790"/>
      <c r="G720" s="790"/>
      <c r="H720" s="790"/>
      <c r="I720" s="790"/>
      <c r="J720" s="790"/>
      <c r="K720" s="790"/>
      <c r="L720" s="790"/>
      <c r="M720" s="790"/>
      <c r="N720" s="790"/>
      <c r="O720" s="790"/>
      <c r="P720" s="790"/>
      <c r="Q720" s="790"/>
      <c r="R720" s="790"/>
      <c r="S720" s="790"/>
    </row>
    <row r="721" spans="2:19" x14ac:dyDescent="0.25">
      <c r="B721" s="790"/>
      <c r="C721" s="790"/>
      <c r="D721" s="790"/>
      <c r="E721" s="790"/>
      <c r="F721" s="790"/>
      <c r="G721" s="790"/>
      <c r="H721" s="790"/>
      <c r="I721" s="790"/>
      <c r="J721" s="790"/>
      <c r="K721" s="790"/>
      <c r="L721" s="790"/>
      <c r="M721" s="790"/>
      <c r="N721" s="790"/>
      <c r="O721" s="790"/>
      <c r="P721" s="790"/>
      <c r="Q721" s="790"/>
      <c r="R721" s="790"/>
      <c r="S721" s="790"/>
    </row>
    <row r="722" spans="2:19" x14ac:dyDescent="0.25">
      <c r="B722" s="483" t="s">
        <v>1801</v>
      </c>
      <c r="C722" s="490">
        <v>50</v>
      </c>
      <c r="D722" s="1" t="s">
        <v>21</v>
      </c>
      <c r="E722" s="488" t="s">
        <v>1802</v>
      </c>
    </row>
    <row r="723" x14ac:dyDescent="0.25">
      <c r="B723" s="482" t="s">
        <v>1803</v>
      </c>
      <c r="C723" s="501">
        <f>IF($W$48&gt;0,1/SQRT(1/(((C40/((C20*C39*(C14/100))+(C722*(C14/100)*(C39*C5/100))+(C46*(C14/100)*(C39*C5/100))))^0.5)*1/(2*PI())*$C$512)^2+1/$W$48^2),((C40/((C20*C39*(C14/100))+(C722*(C14/100)*(C39*C5/100))+(C46*(C14/100)*(C39*C5/100))))^0.5)*1/(2*PI())*$C$512)</f>
        <v>6.4439468061160285</v>
      </c>
      <c r="D723" s="1" t="s">
        <v>1074</v>
      </c>
      <c r="E723" s="488" t="inlineStr">
        <is>
          <t xml:space="preserve">*Frequência do pano com a carga de uso real (mesma fórmula do item 3, com R e com as vigas de apoio)</t>
        </is>
      </c>
    </row>
    <row r="724" spans="2:19" x14ac:dyDescent="0.25">
      <c r="B724" s="482" t="s">
        <v>1805</v>
      </c>
      <c r="C724" s="1">
        <f>(C4/100)^3/12</f>
        <v>1.041666666666667E-5</v>
      </c>
      <c r="D724" s="1" t="s">
        <v>1806</v>
      </c>
      <c r="E724" s="488" t="s">
        <v>1807</v>
      </c>
    </row>
    <row r="725" spans="2:19" x14ac:dyDescent="0.25">
      <c r="B725" s="482" t="s">
        <v>1808</v>
      </c>
      <c r="C725" s="1">
        <f ca="1">C19/(C5/100)</f>
        <v>1.7755124457412344E-3</v>
      </c>
      <c r="D725" s="1" t="s">
        <v>1806</v>
      </c>
      <c r="E725" s="488" t="s">
        <v>1809</v>
      </c>
    </row>
    <row r="726" spans="2:19" x14ac:dyDescent="0.25">
      <c r="B726" s="483" t="s">
        <v>1810</v>
      </c>
      <c r="C726" s="490">
        <v>2</v>
      </c>
      <c r="D726" s="1" t="s">
        <v>1161</v>
      </c>
      <c r="E726" s="488" t="s">
        <v>1811</v>
      </c>
    </row>
    <row r="727" spans="2:19" x14ac:dyDescent="0.25">
      <c r="B727" s="482" t="s">
        <v>1812</v>
      </c>
      <c r="C727" s="1">
        <f ca="1">MIN(C726*(C724/C725)^0.25*(C14/100),2/3*C38/100)</f>
        <v>5.435540612173073</v>
      </c>
      <c r="D727" s="1" t="s">
        <v>83</v>
      </c>
      <c r="E727" s="488" t="s">
        <v>1813</v>
      </c>
    </row>
    <row r="728" spans="2:19" x14ac:dyDescent="0.25">
      <c r="B728" s="482" t="s">
        <v>1814</v>
      </c>
      <c r="C728" s="1">
        <f ca="1">((C20/(C5/100))+C722+C46)*9.81/1000*C727*(C14/100)</f>
        <v>420.1494362982361</v>
      </c>
      <c r="D728" s="1" t="s">
        <v>96</v>
      </c>
      <c r="E728" s="488" t="s">
        <v>1815</v>
      </c>
    </row>
    <row r="729" spans="2:19" x14ac:dyDescent="0.25">
      <c r="B729" s="483" t="s">
        <v>1303</v>
      </c>
      <c r="C729" s="490">
        <v>0.03</v>
      </c>
      <c r="D729" s="1" t="s">
        <v>1161</v>
      </c>
      <c r="E729" s="488" t="s">
        <v>1816</v>
      </c>
    </row>
    <row r="730" spans="2:19" x14ac:dyDescent="0.25">
      <c r="B730" s="483" t="s">
        <v>1817</v>
      </c>
      <c r="C730" s="490">
        <v>0.28999999999999998</v>
      </c>
      <c r="D730" s="1" t="s">
        <v>96</v>
      </c>
      <c r="E730" s="488" t="s">
        <v>1818</v>
      </c>
    </row>
    <row r="731" spans="2:19" x14ac:dyDescent="0.25">
      <c r="B731" s="482" t="s">
        <v>1819</v>
      </c>
      <c r="C731" s="501">
        <f ca="1">C730*EXP(-0.35*C723)/(C729*C728)*100</f>
        <v>0.241197759404598</v>
      </c>
      <c r="D731" s="1" t="s">
        <v>1820</v>
      </c>
      <c r="E731" s="488" t="s">
        <v>1821</v>
      </c>
    </row>
    <row r="732" spans="2:19" x14ac:dyDescent="0.25">
      <c r="B732" s="483" t="s">
        <v>1822</v>
      </c>
      <c r="C732" s="490">
        <v>0.5</v>
      </c>
      <c r="D732" s="1" t="s">
        <v>1820</v>
      </c>
      <c r="E732" s="488" t="s">
        <v>1823</v>
      </c>
    </row>
    <row r="733" spans="2:19" x14ac:dyDescent="0.25">
      <c r="B733" s="482" t="s">
        <v>1824</v>
      </c>
      <c r="C733" s="1">
        <f ca="1">48*C30/(C14/100)^3/1000</f>
        <v>4.1205507730075617</v>
      </c>
      <c r="D733" s="1" t="s">
        <v>1825</v>
      </c>
      <c r="E733" s="488" t="s">
        <v>1826</v>
      </c>
    </row>
    <row r="734" spans="2:19" x14ac:dyDescent="0.25">
      <c r="B734" s="506" t="s">
        <v>1085</v>
      </c>
      <c r="C734" s="507" t="str">
        <f ca="1">IF(C723&gt;=9,IF(C733&gt;=1,"fn ≥ 9 Hz: Ok (rigidez)","fn ≥ 9 Hz: Não atende (rigidez &lt; 1 kN/mm)"),IF(C731&lt;=C732,"Ok","Não atende - aumentar rigidez, massa ou amortecimento"))</f>
        <v>Ok</v>
      </c>
    </row>
  </sheetData>
  <mergeCells count="29">
    <mergeCell ref="C45:S45"/>
    <mergeCell ref="C2:S2"/>
    <mergeCell ref="C12:S12"/>
    <mergeCell ref="C22:S22"/>
    <mergeCell ref="C28:S28"/>
    <mergeCell ref="C36:S36"/>
    <mergeCell ref="B42:S43"/>
    <mergeCell ref="C503:H503"/>
    <mergeCell ref="C610:D610"/>
    <mergeCell ref="C611:D611"/>
    <mergeCell ref="B610:B611"/>
    <mergeCell ref="B558:I563"/>
    <mergeCell ref="D545:E545"/>
    <mergeCell ref="D539:E539"/>
    <mergeCell ref="B566:H566"/>
    <mergeCell ref="D540:E540"/>
    <mergeCell ref="D541:E541"/>
    <mergeCell ref="D542:E542"/>
    <mergeCell ref="D543:E543"/>
    <mergeCell ref="D544:E544"/>
    <mergeCell ref="D515:G515"/>
    <mergeCell ref="B692:M695"/>
    <mergeCell ref="B672:M675"/>
    <mergeCell ref="B678:M682"/>
    <mergeCell ref="B685:M688"/>
    <mergeCell ref="C616:K616"/>
    <mergeCell ref="B630:J663"/>
    <mergeCell ref="C719:S719"/>
    <mergeCell ref="B720:S7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28"/>
  <sheetViews>
    <sheetView showGridLines="0" workbookViewId="0">
      <selection activeCell="D10" sqref="D10"/>
    </sheetView>
  </sheetViews>
  <sheetFormatPr defaultRowHeight="15" x14ac:dyDescent="0.25"/>
  <cols>
    <col min="1" max="1" width="3" customWidth="1"/>
    <col min="2" max="2" width="16" customWidth="1"/>
    <col min="3" max="4" width="15.42578125" customWidth="1"/>
    <col min="5" max="5" width="8" customWidth="1"/>
    <col min="6" max="6" width="90" customWidth="1"/>
  </cols>
  <sheetData>
    <row r="2" spans="2:11" x14ac:dyDescent="0.25">
      <c r="B2" s="486" t="s">
        <v>1913</v>
      </c>
      <c r="C2" s="791" t="s">
        <v>1914</v>
      </c>
      <c r="D2" s="791"/>
      <c r="E2" s="791"/>
      <c r="F2" s="791"/>
      <c r="G2" s="791"/>
      <c r="H2" s="791"/>
      <c r="I2" s="791"/>
      <c r="J2" s="791"/>
      <c r="K2" s="791"/>
    </row>
    <row r="3" spans="2:11" x14ac:dyDescent="0.25">
      <c r="B3" s="789" t="inlineStr">
        <is>
          <t xml:space="preserve">*A laje vibra junto com as vigas em que se apoia: o deslocamento da viga no ponto de apoio da laje soma-se à flecha da laje e reduz a frequência do conjunto (aba Frequência, linha 51 "fn,sist"). As cargas são as mesmas do item 3 da aba Frequência (peso próprio + g5 + ψ1·q1). Preencha os dados de cada viga ou force o deslocamento calculado externamente em "δ forçado". Enquanto "Considerar" estiver "Não", o deslocamento adotado é zero (apoio indeformável).</t>
        </is>
      </c>
      <c r="C3" s="816"/>
      <c r="D3" s="816"/>
      <c r="E3" s="816"/>
      <c r="F3" s="816"/>
      <c r="G3" s="816"/>
      <c r="H3" s="816"/>
      <c r="I3" s="816"/>
      <c r="J3" s="816"/>
      <c r="K3" s="816"/>
    </row>
    <row r="4" spans="2:11" x14ac:dyDescent="0.25">
      <c r="B4" s="816"/>
      <c r="C4" s="816"/>
      <c r="D4" s="816"/>
      <c r="E4" s="816"/>
      <c r="F4" s="816"/>
      <c r="G4" s="816"/>
      <c r="H4" s="816"/>
      <c r="I4" s="816"/>
      <c r="J4" s="816"/>
      <c r="K4" s="816"/>
    </row>
    <row r="6" spans="2:11" x14ac:dyDescent="0.25">
      <c r="C6" s="482" t="s">
        <v>1916</v>
      </c>
      <c r="D6" s="482" t="s">
        <v>1917</v>
      </c>
      <c r="E6" s="482" t="s">
        <v>1918</v>
      </c>
    </row>
    <row r="7" spans="2:11" x14ac:dyDescent="0.25">
      <c r="B7" s="483" t="s">
        <v>1919</v>
      </c>
      <c r="C7" s="490" t="s">
        <v>1011</v>
      </c>
      <c r="D7" s="490" t="s">
        <v>1318</v>
      </c>
      <c r="E7" s="1" t="s">
        <v>1161</v>
      </c>
      <c r="F7" s="488" t="s">
        <v>1920</v>
      </c>
    </row>
    <row r="8" spans="2:11" x14ac:dyDescent="0.25">
      <c r="B8" s="483" t="s">
        <v>1921</v>
      </c>
      <c r="C8" s="490">
        <v>8</v>
      </c>
      <c r="D8" s="490">
        <v>8</v>
      </c>
      <c r="E8" s="1" t="s">
        <v>83</v>
      </c>
      <c r="F8" s="488" t="s">
        <v>1922</v>
      </c>
    </row>
    <row r="9" spans="2:11" x14ac:dyDescent="0.25">
      <c r="B9" s="483" t="s">
        <v>1314</v>
      </c>
      <c r="C9" s="490">
        <v>40</v>
      </c>
      <c r="D9" s="490">
        <v>40</v>
      </c>
      <c r="E9" s="1" t="s">
        <v>80</v>
      </c>
      <c r="F9" s="488" t="s">
        <v>1923</v>
      </c>
    </row>
    <row r="10" spans="2:11" x14ac:dyDescent="0.25">
      <c r="B10" s="483" t="s">
        <v>3</v>
      </c>
      <c r="C10" s="490">
        <v>60</v>
      </c>
      <c r="D10" s="490">
        <v>60</v>
      </c>
      <c r="E10" s="1" t="s">
        <v>80</v>
      </c>
      <c r="F10" s="488" t="s">
        <v>1924</v>
      </c>
    </row>
    <row r="11" spans="2:11" x14ac:dyDescent="0.25">
      <c r="B11" s="483" t="s">
        <v>214</v>
      </c>
      <c r="C11" s="490">
        <v>50</v>
      </c>
      <c r="D11" s="490">
        <v>50</v>
      </c>
      <c r="E11" s="1" t="s">
        <v>60</v>
      </c>
      <c r="F11" s="488" t="s">
        <v>1925</v>
      </c>
    </row>
    <row r="12" spans="2:11" x14ac:dyDescent="0.25">
      <c r="B12" s="483" t="s">
        <v>1926</v>
      </c>
      <c r="C12" s="490">
        <v>1</v>
      </c>
      <c r="D12" s="490">
        <v>1</v>
      </c>
      <c r="E12" s="1" t="s">
        <v>1161</v>
      </c>
      <c r="F12" s="488" t="s">
        <v>1927</v>
      </c>
    </row>
    <row r="13" spans="2:11" x14ac:dyDescent="0.25">
      <c r="B13" s="482" t="s">
        <v>1032</v>
      </c>
      <c r="C13" s="1">
        <f>Geometria!H1290</f>
        <v>1</v>
      </c>
      <c r="D13" s="1">
        <f>Geometria!H1290</f>
        <v>1</v>
      </c>
      <c r="E13" s="1" t="s">
        <v>1161</v>
      </c>
      <c r="F13" s="488" t="s">
        <v>1928</v>
      </c>
    </row>
    <row r="14" spans="2:11" x14ac:dyDescent="0.25">
      <c r="B14" s="482" t="s">
        <v>1439</v>
      </c>
      <c r="C14" s="1">
        <f>C12*5600*SQRT(C11)*MIN(1,0.8+0.2*C11/80)*C13</f>
        <v>36628.131265463162</v>
      </c>
      <c r="D14" s="1">
        <f>D12*5600*SQRT(D11)*MIN(1,0.8+0.2*D11/80)*D13</f>
        <v>36628.131265463162</v>
      </c>
      <c r="E14" s="1" t="s">
        <v>60</v>
      </c>
      <c r="F14" s="488" t="s">
        <v>1929</v>
      </c>
    </row>
    <row r="15" spans="2:11" x14ac:dyDescent="0.25">
      <c r="B15" s="482" t="s">
        <v>1056</v>
      </c>
      <c r="C15" s="1">
        <f>C9/100*(C10/100)^3/12</f>
        <v>7.2000000000000007E-3</v>
      </c>
      <c r="D15" s="1">
        <f>D9/100*(D10/100)^3/12</f>
        <v>7.2000000000000007E-3</v>
      </c>
      <c r="E15" s="1" t="s">
        <v>1855</v>
      </c>
      <c r="F15" s="488" t="s">
        <v>1930</v>
      </c>
    </row>
    <row r="16" spans="2:11" x14ac:dyDescent="0.25">
      <c r="B16" s="483" t="s">
        <v>1931</v>
      </c>
      <c r="C16" s="490"/>
      <c r="D16" s="490"/>
      <c r="E16" s="1" t="s">
        <v>1855</v>
      </c>
      <c r="F16" s="488" t="s">
        <v>1932</v>
      </c>
    </row>
    <row r="17" spans="2:6" x14ac:dyDescent="0.25">
      <c r="B17" s="482" t="s">
        <v>1933</v>
      </c>
      <c r="C17" s="1">
        <f>IF(ISNUMBER(C16),C16,C15)</f>
        <v>7.2000000000000007E-3</v>
      </c>
      <c r="D17" s="1">
        <f>IF(ISNUMBER(D16),D16,D15)</f>
        <v>7.2000000000000007E-3</v>
      </c>
      <c r="E17" s="1" t="s">
        <v>1855</v>
      </c>
      <c r="F17" s="488" t="s">
        <v>1934</v>
      </c>
    </row>
    <row r="18" spans="2:6" x14ac:dyDescent="0.25">
      <c r="B18" s="482" t="s">
        <v>1935</v>
      </c>
      <c r="C18" s="1">
        <f ca="1">(Frequência!$C$20/(Frequência!$C$5/100)+Frequência!$C$47*Frequência!$C$48+Frequência!$C$46)*9.81/1000</f>
        <v>8.5580559574249513</v>
      </c>
      <c r="D18" s="1">
        <f ca="1">(Frequência!$C$20/(Frequência!$C$5/100)+Frequência!$C$47*Frequência!$C$48+Frequência!$C$46)*9.81/1000</f>
        <v>8.5580559574249513</v>
      </c>
      <c r="E18" s="1" t="s">
        <v>63</v>
      </c>
      <c r="F18" s="488" t="s">
        <v>1936</v>
      </c>
    </row>
    <row r="19" spans="2:6" x14ac:dyDescent="0.25">
      <c r="B19" s="482" t="s">
        <v>1937</v>
      </c>
      <c r="C19" s="1">
        <f>Frequência!$C$14/100</f>
        <v>9.82</v>
      </c>
      <c r="D19" s="1">
        <f>Frequência!$C$14/100</f>
        <v>9.82</v>
      </c>
      <c r="E19" s="1" t="s">
        <v>83</v>
      </c>
      <c r="F19" s="488" t="s">
        <v>1938</v>
      </c>
    </row>
    <row r="20" spans="2:6" x14ac:dyDescent="0.25">
      <c r="B20" s="483" t="s">
        <v>1939</v>
      </c>
      <c r="C20" s="490">
        <v>0</v>
      </c>
      <c r="D20" s="490">
        <v>0</v>
      </c>
      <c r="E20" s="1" t="s">
        <v>83</v>
      </c>
      <c r="F20" s="488" t="s">
        <v>1940</v>
      </c>
    </row>
    <row r="21" spans="2:6" x14ac:dyDescent="0.25">
      <c r="B21" s="482" t="s">
        <v>1941</v>
      </c>
      <c r="C21" s="1">
        <f ca="1">C18*(C19+C20)/2</f>
        <v>42.020054750956511</v>
      </c>
      <c r="D21" s="1">
        <f ca="1">D18*(D19+D20)/2</f>
        <v>42.020054750956511</v>
      </c>
      <c r="E21" s="1" t="s">
        <v>47</v>
      </c>
      <c r="F21" s="488" t="s">
        <v>1942</v>
      </c>
    </row>
    <row r="22" spans="2:6" x14ac:dyDescent="0.25">
      <c r="B22" s="482" t="s">
        <v>1943</v>
      </c>
      <c r="C22" s="1">
        <f>C9/100*C10/100*25</f>
        <v>6</v>
      </c>
      <c r="D22" s="1">
        <f>D9/100*D10/100*25</f>
        <v>6</v>
      </c>
      <c r="E22" s="1" t="s">
        <v>47</v>
      </c>
      <c r="F22" s="488" t="s">
        <v>1944</v>
      </c>
    </row>
    <row r="23" spans="2:6" x14ac:dyDescent="0.25">
      <c r="B23" s="482" t="s">
        <v>1779</v>
      </c>
      <c r="C23" s="1">
        <f ca="1">C21+C22</f>
        <v>48.020054750956511</v>
      </c>
      <c r="D23" s="1">
        <f ca="1">D21+D22</f>
        <v>48.020054750956511</v>
      </c>
      <c r="E23" s="1" t="s">
        <v>47</v>
      </c>
      <c r="F23" s="488" t="s">
        <v>1945</v>
      </c>
    </row>
    <row r="24" spans="2:6" x14ac:dyDescent="0.25">
      <c r="B24" s="483" t="s">
        <v>1946</v>
      </c>
      <c r="C24" s="490">
        <v>0.25</v>
      </c>
      <c r="D24" s="490">
        <v>0.25</v>
      </c>
      <c r="E24" s="1" t="s">
        <v>1161</v>
      </c>
      <c r="F24" s="488" t="s">
        <v>1947</v>
      </c>
    </row>
    <row r="25" spans="2:6" x14ac:dyDescent="0.25">
      <c r="B25" s="482" t="s">
        <v>1948</v>
      </c>
      <c r="C25" s="1">
        <f ca="1">C24*5*C23*C8^4/(384*C14*1000*C17)*1000</f>
        <v>2.427806831642402</v>
      </c>
      <c r="D25" s="1">
        <f ca="1">D24*5*D23*D8^4/(384*D14*1000*D17)*1000</f>
        <v>2.427806831642402</v>
      </c>
      <c r="E25" s="1" t="s">
        <v>187</v>
      </c>
      <c r="F25" s="488" t="s">
        <v>1949</v>
      </c>
    </row>
    <row r="26" spans="2:6" x14ac:dyDescent="0.25">
      <c r="B26" s="483" t="s">
        <v>1950</v>
      </c>
      <c r="C26" s="490">
        <v>3</v>
      </c>
      <c r="D26" s="490">
        <v>3</v>
      </c>
      <c r="E26" s="1" t="s">
        <v>187</v>
      </c>
      <c r="F26" s="488" t="s">
        <v>1951</v>
      </c>
    </row>
    <row r="27" spans="2:6" x14ac:dyDescent="0.25">
      <c r="B27" s="482" t="s">
        <v>1952</v>
      </c>
      <c r="C27" s="501">
        <f>IF(C7="Sim",IF(ISNUMBER(C26),C26,C25),0)</f>
        <v>0</v>
      </c>
      <c r="D27" s="501">
        <f>IF(D7="Sim",IF(ISNUMBER(D26),D26,D25),0)</f>
        <v>3</v>
      </c>
      <c r="E27" s="1" t="s">
        <v>187</v>
      </c>
      <c r="F27" s="488" t="inlineStr">
        <is>
          <t xml:space="preserve">*Valor enviado à aba Frequência (média dos dois lados, linha 51 "fn,sist")</t>
        </is>
      </c>
    </row>
    <row r="28" spans="2:6" x14ac:dyDescent="0.25">
      <c r="B28" s="482" t="s">
        <v>1794</v>
      </c>
      <c r="C28" s="1" t="str">
        <f>IF(C27&gt;0,0.18*SQRT(9.81/(C27/1000)),"-")</f>
        <v>-</v>
      </c>
      <c r="D28" s="1">
        <f>IF(D27&gt;0,0.18*SQRT(9.81/(D27/1000)),"-")</f>
        <v>10.293104487956974</v>
      </c>
      <c r="E28" s="1" t="s">
        <v>1074</v>
      </c>
      <c r="F28" s="488" t="s">
        <v>1954</v>
      </c>
    </row>
  </sheetData>
  <mergeCells count="2">
    <mergeCell ref="C2:K2"/>
    <mergeCell ref="B3:K4"/>
  </mergeCells>
  <dataValidations disablePrompts="1" count="1">
    <dataValidation type="list" allowBlank="1" showInputMessage="1" showErrorMessage="1" sqref="C7:D7" xr:uid="{00000000-0002-0000-0800-000000000000}">
      <formula1>"Sim,Não"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876D-35C8-4E55-9180-C4EFD09918FE}">
  <dimension ref="H1:Q142"/>
  <sheetViews>
    <sheetView showGridLines="0" view="pageBreakPreview" topLeftCell="A35" zoomScaleNormal="85" zoomScaleSheetLayoutView="100" workbookViewId="0">
      <selection activeCell="H1" sqref="H1:I1"/>
    </sheetView>
  </sheetViews>
  <sheetFormatPr defaultRowHeight="15" x14ac:dyDescent="0.25"/>
  <cols>
    <col min="8" max="8" width="9.85546875" customWidth="1"/>
    <col min="12" max="12" width="9.140625" customWidth="1"/>
  </cols>
  <sheetData>
    <row r="1" spans="8:17" x14ac:dyDescent="0.25">
      <c r="H1" s="860" t="s">
        <v>693</v>
      </c>
      <c r="I1" s="861"/>
      <c r="J1" s="866"/>
      <c r="K1" s="867"/>
      <c r="L1" s="867"/>
      <c r="M1" s="867"/>
      <c r="N1" s="867"/>
      <c r="O1" s="867"/>
      <c r="P1" s="867"/>
      <c r="Q1" s="867"/>
    </row>
    <row r="2" spans="8:17" x14ac:dyDescent="0.25">
      <c r="H2" s="862" t="s">
        <v>694</v>
      </c>
      <c r="I2" s="863"/>
      <c r="J2" s="864"/>
      <c r="K2" s="865"/>
      <c r="L2" s="865"/>
      <c r="M2" s="865"/>
      <c r="N2" s="865"/>
      <c r="O2" s="865"/>
      <c r="P2" s="865"/>
      <c r="Q2" s="865"/>
    </row>
    <row r="3" spans="8:17" ht="15.75" thickBot="1" x14ac:dyDescent="0.3"/>
    <row r="4" spans="8:17" x14ac:dyDescent="0.25">
      <c r="H4" s="214" t="s">
        <v>695</v>
      </c>
      <c r="I4" s="7">
        <f>Geometria!H21</f>
        <v>982</v>
      </c>
      <c r="J4" s="235" t="s">
        <v>80</v>
      </c>
      <c r="K4" s="874" t="str">
        <f ca="1">Geometria!L6</f>
        <v>Domínio 3</v>
      </c>
      <c r="L4" s="875"/>
      <c r="M4" s="875"/>
      <c r="N4" s="876"/>
    </row>
    <row r="5" spans="8:17" ht="15.75" thickBot="1" x14ac:dyDescent="0.3">
      <c r="H5" s="214" t="s">
        <v>696</v>
      </c>
      <c r="I5" s="7">
        <f>Geometria!H22</f>
        <v>125</v>
      </c>
      <c r="J5" s="235" t="s">
        <v>80</v>
      </c>
      <c r="K5" s="877"/>
      <c r="L5" s="878"/>
      <c r="M5" s="878"/>
      <c r="N5" s="879"/>
    </row>
    <row r="6" spans="8:17" ht="15.75" thickBot="1" x14ac:dyDescent="0.3">
      <c r="H6" s="214" t="s">
        <v>697</v>
      </c>
      <c r="I6" s="7">
        <f>Geometria!H23</f>
        <v>25</v>
      </c>
      <c r="J6" s="235" t="s">
        <v>80</v>
      </c>
      <c r="L6" s="143"/>
      <c r="M6" s="143"/>
    </row>
    <row r="7" spans="8:17" ht="15" customHeight="1" x14ac:dyDescent="0.25">
      <c r="H7" s="214" t="s">
        <v>698</v>
      </c>
      <c r="I7" s="7">
        <f>Geometria!H33</f>
        <v>5</v>
      </c>
      <c r="J7" s="235" t="s">
        <v>80</v>
      </c>
      <c r="K7" s="826" t="s">
        <v>688</v>
      </c>
      <c r="L7" s="827"/>
      <c r="M7" s="880">
        <f>Geometria!M11</f>
        <v>0</v>
      </c>
      <c r="N7" s="631"/>
    </row>
    <row r="8" spans="8:17" ht="15.75" thickBot="1" x14ac:dyDescent="0.3">
      <c r="H8" s="214" t="s">
        <v>700</v>
      </c>
      <c r="I8" s="7">
        <f>Geometria!H58</f>
        <v>50</v>
      </c>
      <c r="J8" s="235" t="s">
        <v>60</v>
      </c>
      <c r="K8" s="828"/>
      <c r="L8" s="829"/>
      <c r="M8" s="881"/>
      <c r="N8" s="882"/>
    </row>
    <row r="9" spans="8:17" x14ac:dyDescent="0.25">
      <c r="H9" s="214" t="s">
        <v>699</v>
      </c>
      <c r="I9" s="7" t="str">
        <f>IF(Geometria!H9&gt;0,"Sim","Não")</f>
        <v>Não</v>
      </c>
      <c r="J9" s="235"/>
      <c r="K9" s="858" t="s">
        <v>495</v>
      </c>
      <c r="L9" s="859"/>
      <c r="M9" s="883">
        <f ca="1">Geometria!M13</f>
        <v>96.579745340747735</v>
      </c>
      <c r="N9" s="762"/>
    </row>
    <row r="10" spans="8:17" ht="15.75" thickBot="1" x14ac:dyDescent="0.3">
      <c r="H10" s="214" t="s">
        <v>701</v>
      </c>
      <c r="I10" s="7">
        <f>Geometria!H6</f>
        <v>300</v>
      </c>
      <c r="J10" s="235" t="s">
        <v>702</v>
      </c>
      <c r="K10" s="832"/>
      <c r="L10" s="833"/>
      <c r="M10" s="884"/>
      <c r="N10" s="763"/>
    </row>
    <row r="11" spans="8:17" x14ac:dyDescent="0.25">
      <c r="H11" s="214" t="s">
        <v>703</v>
      </c>
      <c r="I11" s="7">
        <f>Geometria!H8</f>
        <v>300</v>
      </c>
      <c r="J11" s="235" t="s">
        <v>702</v>
      </c>
      <c r="K11" s="830" t="s">
        <v>1449</v>
      </c>
      <c r="L11" s="831"/>
      <c r="M11" s="885">
        <f ca="1">Geometria!M15</f>
        <v>136.86824411829372</v>
      </c>
      <c r="N11" s="886"/>
    </row>
    <row r="12" spans="8:17" ht="15.75" thickBot="1" x14ac:dyDescent="0.3">
      <c r="K12" s="832"/>
      <c r="L12" s="833"/>
      <c r="M12" s="884"/>
      <c r="N12" s="763"/>
    </row>
    <row r="13" spans="8:17" ht="15" customHeight="1" x14ac:dyDescent="0.25">
      <c r="K13" s="887" t="str">
        <f ca="1">Geometria!L17</f>
        <v>Cisalhamento Ok</v>
      </c>
      <c r="L13" s="887"/>
      <c r="M13" s="887"/>
      <c r="N13" s="887"/>
    </row>
    <row r="14" spans="8:17" ht="15" customHeight="1" thickBot="1" x14ac:dyDescent="0.3">
      <c r="K14" s="887"/>
      <c r="L14" s="887"/>
      <c r="M14" s="887"/>
      <c r="N14" s="887"/>
    </row>
    <row r="15" spans="8:17" ht="15.75" thickBot="1" x14ac:dyDescent="0.3">
      <c r="K15" s="840" t="s">
        <v>474</v>
      </c>
      <c r="L15" s="841"/>
      <c r="M15" s="841"/>
      <c r="N15" s="842"/>
    </row>
    <row r="16" spans="8:17" x14ac:dyDescent="0.25">
      <c r="K16" s="868">
        <f>Geometria!L20</f>
        <v>0</v>
      </c>
      <c r="L16" s="869"/>
      <c r="M16" s="869"/>
      <c r="N16" s="870"/>
    </row>
    <row r="17" spans="11:14" ht="15.75" thickBot="1" x14ac:dyDescent="0.3">
      <c r="K17" s="871"/>
      <c r="L17" s="872"/>
      <c r="M17" s="872"/>
      <c r="N17" s="873"/>
    </row>
    <row r="18" spans="11:14" ht="15.75" thickBot="1" x14ac:dyDescent="0.3">
      <c r="L18" s="143"/>
      <c r="M18" s="143"/>
    </row>
    <row r="19" spans="11:14" ht="15.75" thickBot="1" x14ac:dyDescent="0.3">
      <c r="K19" s="840" t="s">
        <v>476</v>
      </c>
      <c r="L19" s="841"/>
      <c r="M19" s="841"/>
      <c r="N19" s="842"/>
    </row>
    <row r="20" spans="11:14" x14ac:dyDescent="0.25">
      <c r="K20" s="868" t="str">
        <f>Geometria!L24</f>
        <v>8Ø12,7mm</v>
      </c>
      <c r="L20" s="869"/>
      <c r="M20" s="869"/>
      <c r="N20" s="870"/>
    </row>
    <row r="21" spans="11:14" ht="15.75" thickBot="1" x14ac:dyDescent="0.3">
      <c r="K21" s="871"/>
      <c r="L21" s="872"/>
      <c r="M21" s="872"/>
      <c r="N21" s="873"/>
    </row>
    <row r="22" spans="11:14" ht="15.75" thickBot="1" x14ac:dyDescent="0.3">
      <c r="K22" s="331"/>
      <c r="L22" s="331"/>
      <c r="M22" s="331"/>
      <c r="N22" s="331"/>
    </row>
    <row r="23" spans="11:14" ht="15.75" thickBot="1" x14ac:dyDescent="0.3">
      <c r="K23" s="840" t="s">
        <v>689</v>
      </c>
      <c r="L23" s="841"/>
      <c r="M23" s="841"/>
      <c r="N23" s="842"/>
    </row>
    <row r="24" spans="11:14" x14ac:dyDescent="0.25">
      <c r="K24" s="843">
        <f ca="1">Geometria!L1000</f>
        <v>-1.4113561193636532</v>
      </c>
      <c r="L24" s="844"/>
      <c r="M24" s="844"/>
      <c r="N24" s="845"/>
    </row>
    <row r="25" spans="11:14" ht="15.75" thickBot="1" x14ac:dyDescent="0.3">
      <c r="K25" s="846"/>
      <c r="L25" s="847"/>
      <c r="M25" s="847"/>
      <c r="N25" s="848"/>
    </row>
    <row r="26" spans="11:14" ht="15.75" thickBot="1" x14ac:dyDescent="0.3">
      <c r="K26" s="331"/>
      <c r="L26" s="116"/>
      <c r="M26" s="115"/>
      <c r="N26" s="331"/>
    </row>
    <row r="27" spans="11:14" ht="15.75" thickBot="1" x14ac:dyDescent="0.3">
      <c r="K27" s="840" t="s">
        <v>690</v>
      </c>
      <c r="L27" s="841"/>
      <c r="M27" s="841"/>
      <c r="N27" s="842"/>
    </row>
    <row r="28" spans="11:14" x14ac:dyDescent="0.25">
      <c r="K28" s="843">
        <f ca="1">Geometria!H1000</f>
        <v>0.14922692212103428</v>
      </c>
      <c r="L28" s="844"/>
      <c r="M28" s="844"/>
      <c r="N28" s="845"/>
    </row>
    <row r="29" spans="11:14" ht="15.75" thickBot="1" x14ac:dyDescent="0.3">
      <c r="K29" s="846"/>
      <c r="L29" s="847"/>
      <c r="M29" s="847"/>
      <c r="N29" s="848"/>
    </row>
    <row r="30" spans="11:14" ht="15.75" thickBot="1" x14ac:dyDescent="0.3">
      <c r="K30" s="331"/>
      <c r="L30" s="331"/>
      <c r="M30" s="331"/>
      <c r="N30" s="331"/>
    </row>
    <row r="31" spans="11:14" ht="15.75" thickBot="1" x14ac:dyDescent="0.3">
      <c r="K31" s="840" t="s">
        <v>691</v>
      </c>
      <c r="L31" s="841"/>
      <c r="M31" s="841"/>
      <c r="N31" s="842"/>
    </row>
    <row r="32" spans="11:14" x14ac:dyDescent="0.25">
      <c r="K32" s="834">
        <f>Geometria!L126</f>
        <v>79.054373522458647</v>
      </c>
      <c r="L32" s="835"/>
      <c r="M32" s="835"/>
      <c r="N32" s="836"/>
    </row>
    <row r="33" spans="8:17" ht="15.75" thickBot="1" x14ac:dyDescent="0.3">
      <c r="K33" s="837"/>
      <c r="L33" s="838"/>
      <c r="M33" s="838"/>
      <c r="N33" s="839"/>
    </row>
    <row r="34" spans="8:17" ht="15.75" thickBot="1" x14ac:dyDescent="0.3">
      <c r="K34" s="331"/>
      <c r="L34" s="331"/>
      <c r="M34" s="331"/>
      <c r="N34" s="331"/>
    </row>
    <row r="35" spans="8:17" ht="15.75" thickBot="1" x14ac:dyDescent="0.3">
      <c r="K35" s="840" t="s">
        <v>692</v>
      </c>
      <c r="L35" s="841"/>
      <c r="M35" s="841"/>
      <c r="N35" s="842"/>
    </row>
    <row r="36" spans="8:17" x14ac:dyDescent="0.25">
      <c r="K36" s="834">
        <f>Geometria!L139</f>
        <v>60.060060060060053</v>
      </c>
      <c r="L36" s="835"/>
      <c r="M36" s="835"/>
      <c r="N36" s="836"/>
    </row>
    <row r="37" spans="8:17" ht="15.75" thickBot="1" x14ac:dyDescent="0.3">
      <c r="K37" s="837"/>
      <c r="L37" s="838"/>
      <c r="M37" s="838"/>
      <c r="N37" s="839"/>
    </row>
    <row r="38" spans="8:17" ht="15.75" thickBot="1" x14ac:dyDescent="0.3">
      <c r="K38" s="332"/>
      <c r="L38" s="332"/>
      <c r="M38" s="332"/>
      <c r="N38" s="332"/>
    </row>
    <row r="39" spans="8:17" ht="15.75" thickBot="1" x14ac:dyDescent="0.3">
      <c r="K39" s="849" t="s">
        <v>689</v>
      </c>
      <c r="L39" s="850"/>
      <c r="M39" s="850"/>
      <c r="N39" s="851"/>
    </row>
    <row r="40" spans="8:17" x14ac:dyDescent="0.25">
      <c r="K40" s="852">
        <f ca="1">Geometria!L28</f>
        <v>-1.4113561193636532</v>
      </c>
      <c r="L40" s="853"/>
      <c r="M40" s="853"/>
      <c r="N40" s="854"/>
    </row>
    <row r="41" spans="8:17" ht="15.75" thickBot="1" x14ac:dyDescent="0.3">
      <c r="K41" s="855"/>
      <c r="L41" s="856"/>
      <c r="M41" s="856"/>
      <c r="N41" s="857"/>
    </row>
    <row r="42" spans="8:17" ht="15.75" thickBot="1" x14ac:dyDescent="0.3">
      <c r="K42" s="115"/>
      <c r="L42" s="115"/>
      <c r="M42" s="332"/>
      <c r="N42" s="332"/>
    </row>
    <row r="43" spans="8:17" ht="15.75" thickBot="1" x14ac:dyDescent="0.3">
      <c r="K43" s="849" t="s">
        <v>690</v>
      </c>
      <c r="L43" s="850"/>
      <c r="M43" s="850"/>
      <c r="N43" s="851"/>
    </row>
    <row r="44" spans="8:17" x14ac:dyDescent="0.25">
      <c r="K44" s="852">
        <f ca="1">Geometria!L32</f>
        <v>0.14922692212103428</v>
      </c>
      <c r="L44" s="853"/>
      <c r="M44" s="853"/>
      <c r="N44" s="854"/>
    </row>
    <row r="45" spans="8:17" ht="15.75" thickBot="1" x14ac:dyDescent="0.3">
      <c r="K45" s="855"/>
      <c r="L45" s="856"/>
      <c r="M45" s="856"/>
      <c r="N45" s="857"/>
    </row>
    <row r="46" spans="8:17" x14ac:dyDescent="0.25">
      <c r="K46" s="331"/>
      <c r="L46" s="331"/>
      <c r="M46" s="331"/>
      <c r="N46" s="331"/>
    </row>
    <row r="47" spans="8:17" x14ac:dyDescent="0.25">
      <c r="H47" s="780" t="s">
        <v>709</v>
      </c>
      <c r="I47" s="780"/>
      <c r="J47" s="780"/>
      <c r="K47" s="780"/>
      <c r="L47" s="780"/>
      <c r="M47" s="780"/>
      <c r="N47" s="780"/>
      <c r="O47" s="780"/>
      <c r="P47" s="780"/>
      <c r="Q47" s="780"/>
    </row>
    <row r="48" spans="8:17" x14ac:dyDescent="0.25">
      <c r="H48" s="780"/>
      <c r="I48" s="780"/>
      <c r="J48" s="780"/>
      <c r="K48" s="780"/>
      <c r="L48" s="780"/>
      <c r="M48" s="780"/>
      <c r="N48" s="780"/>
      <c r="O48" s="780"/>
      <c r="P48" s="780"/>
      <c r="Q48" s="780"/>
    </row>
    <row r="49" spans="9:16" x14ac:dyDescent="0.25">
      <c r="K49" s="331"/>
      <c r="L49" s="331"/>
      <c r="M49" s="331"/>
      <c r="N49" s="331"/>
    </row>
    <row r="50" spans="9:16" x14ac:dyDescent="0.25">
      <c r="K50" s="331"/>
      <c r="L50" s="331"/>
      <c r="M50" s="331"/>
      <c r="N50" s="331"/>
    </row>
    <row r="51" spans="9:16" x14ac:dyDescent="0.25">
      <c r="K51" s="331"/>
      <c r="L51" s="331"/>
      <c r="M51" s="331"/>
      <c r="N51" s="331"/>
    </row>
    <row r="52" spans="9:16" x14ac:dyDescent="0.25">
      <c r="K52" s="331"/>
      <c r="L52" s="331"/>
      <c r="M52" s="331"/>
      <c r="N52" s="331"/>
    </row>
    <row r="53" spans="9:16" x14ac:dyDescent="0.25">
      <c r="K53" s="331"/>
      <c r="L53" s="331"/>
      <c r="M53" s="331"/>
      <c r="N53" s="331"/>
    </row>
    <row r="54" spans="9:16" x14ac:dyDescent="0.25">
      <c r="K54" s="331"/>
      <c r="L54" s="331"/>
      <c r="M54" s="331"/>
      <c r="N54" s="331"/>
    </row>
    <row r="55" spans="9:16" x14ac:dyDescent="0.25">
      <c r="K55" s="331"/>
      <c r="L55" s="331"/>
      <c r="M55" s="331"/>
      <c r="N55" s="331"/>
    </row>
    <row r="56" spans="9:16" x14ac:dyDescent="0.25">
      <c r="K56" s="331"/>
      <c r="L56" s="331"/>
      <c r="M56" s="331"/>
      <c r="N56" s="331"/>
    </row>
    <row r="57" spans="9:16" x14ac:dyDescent="0.25">
      <c r="K57" s="331"/>
      <c r="L57" s="331"/>
      <c r="M57" s="331"/>
      <c r="N57" s="331"/>
    </row>
    <row r="58" spans="9:16" x14ac:dyDescent="0.25">
      <c r="K58" s="331"/>
      <c r="L58" s="331"/>
      <c r="M58" s="331"/>
      <c r="N58" s="331"/>
    </row>
    <row r="59" spans="9:16" x14ac:dyDescent="0.25">
      <c r="K59" s="331"/>
      <c r="L59" s="331"/>
      <c r="M59" s="331"/>
      <c r="N59" s="331"/>
    </row>
    <row r="60" spans="9:16" x14ac:dyDescent="0.25">
      <c r="K60" s="331"/>
      <c r="L60" s="331"/>
      <c r="M60" s="331"/>
      <c r="N60" s="331"/>
    </row>
    <row r="62" spans="9:16" x14ac:dyDescent="0.25">
      <c r="I62" s="820" t="s">
        <v>273</v>
      </c>
      <c r="J62" s="820"/>
      <c r="K62" s="820"/>
      <c r="L62" s="820"/>
      <c r="M62" s="820"/>
      <c r="N62" s="820"/>
      <c r="O62" s="820"/>
      <c r="P62" s="820"/>
    </row>
    <row r="63" spans="9:16" x14ac:dyDescent="0.25">
      <c r="I63" s="689" t="s">
        <v>706</v>
      </c>
      <c r="J63" s="689">
        <f>Geometria!$J$137</f>
        <v>0</v>
      </c>
      <c r="K63" s="821">
        <f>Geometria!$K$137</f>
        <v>9.5</v>
      </c>
      <c r="L63" s="821"/>
      <c r="M63" s="821"/>
      <c r="N63" s="824">
        <f>Geometria!$H$21/100</f>
        <v>9.82</v>
      </c>
      <c r="O63" s="824"/>
      <c r="P63" s="824"/>
    </row>
    <row r="64" spans="9:16" x14ac:dyDescent="0.25">
      <c r="I64" s="689"/>
      <c r="J64" s="822"/>
      <c r="K64" s="823"/>
      <c r="L64" s="823"/>
      <c r="M64" s="823"/>
      <c r="N64" s="825"/>
      <c r="O64" s="825"/>
      <c r="P64" s="825"/>
    </row>
    <row r="65" spans="9:16" x14ac:dyDescent="0.25">
      <c r="I65" s="817" t="s">
        <v>707</v>
      </c>
      <c r="J65" s="817"/>
      <c r="K65" s="817"/>
      <c r="L65" s="817"/>
      <c r="M65" s="817"/>
      <c r="N65" s="819">
        <f>K32</f>
        <v>79.054373522458647</v>
      </c>
      <c r="O65" s="819"/>
      <c r="P65" s="819"/>
    </row>
    <row r="66" spans="9:16" x14ac:dyDescent="0.25">
      <c r="I66" s="817"/>
      <c r="J66" s="817"/>
      <c r="K66" s="817"/>
      <c r="L66" s="817"/>
      <c r="M66" s="817"/>
      <c r="N66" s="819"/>
      <c r="O66" s="819"/>
      <c r="P66" s="819"/>
    </row>
    <row r="67" spans="9:16" x14ac:dyDescent="0.25">
      <c r="I67" s="817" t="s">
        <v>708</v>
      </c>
      <c r="J67" s="817"/>
      <c r="K67" s="817"/>
      <c r="L67" s="817"/>
      <c r="M67" s="817"/>
      <c r="N67" s="818">
        <f>Geometria!L104</f>
        <v>500</v>
      </c>
      <c r="O67" s="818"/>
      <c r="P67" s="818"/>
    </row>
    <row r="68" spans="9:16" x14ac:dyDescent="0.25">
      <c r="I68" s="817"/>
      <c r="J68" s="817"/>
      <c r="K68" s="817"/>
      <c r="L68" s="817"/>
      <c r="M68" s="817"/>
      <c r="N68" s="818"/>
      <c r="O68" s="818"/>
      <c r="P68" s="818"/>
    </row>
    <row r="71" spans="9:16" x14ac:dyDescent="0.25">
      <c r="I71" s="820" t="s">
        <v>272</v>
      </c>
      <c r="J71" s="820"/>
      <c r="K71" s="820"/>
      <c r="L71" s="820"/>
      <c r="M71" s="820"/>
      <c r="N71" s="820"/>
      <c r="O71" s="820"/>
      <c r="P71" s="820"/>
    </row>
    <row r="72" spans="9:16" x14ac:dyDescent="0.25">
      <c r="I72" s="689" t="s">
        <v>705</v>
      </c>
      <c r="J72" s="689">
        <f>Geometria!$J$124</f>
        <v>8</v>
      </c>
      <c r="K72" s="821">
        <f>Geometria!$K$124</f>
        <v>12.7</v>
      </c>
      <c r="L72" s="821"/>
      <c r="M72" s="821"/>
      <c r="N72" s="824">
        <f>Geometria!$H$21/100</f>
        <v>9.82</v>
      </c>
      <c r="O72" s="824"/>
      <c r="P72" s="824"/>
    </row>
    <row r="73" spans="9:16" x14ac:dyDescent="0.25">
      <c r="I73" s="689"/>
      <c r="J73" s="689"/>
      <c r="K73" s="821"/>
      <c r="L73" s="821"/>
      <c r="M73" s="821"/>
      <c r="N73" s="824"/>
      <c r="O73" s="824"/>
      <c r="P73" s="824"/>
    </row>
    <row r="74" spans="9:16" x14ac:dyDescent="0.25">
      <c r="I74" s="817" t="s">
        <v>707</v>
      </c>
      <c r="J74" s="817"/>
      <c r="K74" s="817"/>
      <c r="L74" s="817"/>
      <c r="M74" s="817"/>
      <c r="N74" s="819">
        <f>K36</f>
        <v>60.060060060060053</v>
      </c>
      <c r="O74" s="819"/>
      <c r="P74" s="819"/>
    </row>
    <row r="75" spans="9:16" x14ac:dyDescent="0.25">
      <c r="I75" s="817"/>
      <c r="J75" s="817"/>
      <c r="K75" s="817"/>
      <c r="L75" s="817"/>
      <c r="M75" s="817"/>
      <c r="N75" s="819"/>
      <c r="O75" s="819"/>
      <c r="P75" s="819"/>
    </row>
    <row r="76" spans="9:16" x14ac:dyDescent="0.25">
      <c r="I76" s="817" t="s">
        <v>708</v>
      </c>
      <c r="J76" s="817"/>
      <c r="K76" s="817"/>
      <c r="L76" s="817"/>
      <c r="M76" s="817"/>
      <c r="N76" s="818">
        <f>Geometria!I104</f>
        <v>1463</v>
      </c>
      <c r="O76" s="818"/>
      <c r="P76" s="818"/>
    </row>
    <row r="77" spans="9:16" x14ac:dyDescent="0.25">
      <c r="I77" s="817"/>
      <c r="J77" s="817"/>
      <c r="K77" s="817"/>
      <c r="L77" s="817"/>
      <c r="M77" s="817"/>
      <c r="N77" s="818"/>
      <c r="O77" s="818"/>
      <c r="P77" s="818"/>
    </row>
    <row r="85" spans="8:17" x14ac:dyDescent="0.25">
      <c r="K85" s="331"/>
      <c r="L85" s="331"/>
      <c r="M85" s="331"/>
      <c r="N85" s="331"/>
    </row>
    <row r="86" spans="8:17" x14ac:dyDescent="0.25">
      <c r="K86" s="331"/>
      <c r="L86" s="331"/>
      <c r="M86" s="331"/>
      <c r="N86" s="331"/>
    </row>
    <row r="87" spans="8:17" x14ac:dyDescent="0.25">
      <c r="K87" s="331"/>
      <c r="L87" s="331"/>
      <c r="M87" s="331"/>
      <c r="N87" s="331"/>
    </row>
    <row r="88" spans="8:17" x14ac:dyDescent="0.25">
      <c r="K88" s="331"/>
      <c r="L88" s="331"/>
      <c r="M88" s="331"/>
      <c r="N88" s="331"/>
    </row>
    <row r="89" spans="8:17" x14ac:dyDescent="0.25">
      <c r="K89" s="331"/>
      <c r="L89" s="331"/>
      <c r="M89" s="331"/>
      <c r="N89" s="331"/>
    </row>
    <row r="90" spans="8:17" x14ac:dyDescent="0.25">
      <c r="K90" s="331"/>
      <c r="L90" s="331"/>
      <c r="M90" s="331"/>
      <c r="N90" s="331"/>
    </row>
    <row r="91" spans="8:17" x14ac:dyDescent="0.25">
      <c r="K91" s="331"/>
      <c r="L91" s="331"/>
      <c r="M91" s="331"/>
      <c r="N91" s="331"/>
    </row>
    <row r="92" spans="8:17" x14ac:dyDescent="0.25">
      <c r="K92" s="331"/>
      <c r="L92" s="331"/>
      <c r="M92" s="331"/>
      <c r="N92" s="331"/>
    </row>
    <row r="93" spans="8:17" x14ac:dyDescent="0.25">
      <c r="K93" s="331"/>
      <c r="L93" s="331"/>
      <c r="M93" s="331"/>
      <c r="N93" s="331"/>
    </row>
    <row r="94" spans="8:17" x14ac:dyDescent="0.25">
      <c r="H94" s="780" t="s">
        <v>65</v>
      </c>
      <c r="I94" s="780"/>
      <c r="J94" s="780"/>
      <c r="K94" s="780"/>
      <c r="L94" s="780"/>
      <c r="M94" s="780"/>
      <c r="N94" s="780"/>
      <c r="O94" s="780"/>
      <c r="P94" s="780"/>
      <c r="Q94" s="780"/>
    </row>
    <row r="95" spans="8:17" x14ac:dyDescent="0.25">
      <c r="H95" s="780"/>
      <c r="I95" s="780"/>
      <c r="J95" s="780"/>
      <c r="K95" s="780"/>
      <c r="L95" s="780"/>
      <c r="M95" s="780"/>
      <c r="N95" s="780"/>
      <c r="O95" s="780"/>
      <c r="P95" s="780"/>
      <c r="Q95" s="780"/>
    </row>
    <row r="96" spans="8:17" x14ac:dyDescent="0.25">
      <c r="H96" s="330"/>
      <c r="I96" s="330"/>
      <c r="J96" s="330"/>
      <c r="K96" s="330"/>
      <c r="L96" s="330"/>
      <c r="M96" s="330"/>
      <c r="N96" s="330"/>
      <c r="O96" s="330"/>
      <c r="P96" s="330"/>
      <c r="Q96" s="330"/>
    </row>
    <row r="141" spans="8:17" x14ac:dyDescent="0.25">
      <c r="H141" s="780" t="s">
        <v>432</v>
      </c>
      <c r="I141" s="780"/>
      <c r="J141" s="780"/>
      <c r="K141" s="780"/>
      <c r="L141" s="780"/>
      <c r="M141" s="780"/>
      <c r="N141" s="780"/>
      <c r="O141" s="780"/>
      <c r="P141" s="780"/>
      <c r="Q141" s="780"/>
    </row>
    <row r="142" spans="8:17" x14ac:dyDescent="0.25">
      <c r="H142" s="780"/>
      <c r="I142" s="780"/>
      <c r="J142" s="780"/>
      <c r="K142" s="780"/>
      <c r="L142" s="780"/>
      <c r="M142" s="780"/>
      <c r="N142" s="780"/>
      <c r="O142" s="780"/>
      <c r="P142" s="780"/>
      <c r="Q142" s="780"/>
    </row>
  </sheetData>
  <mergeCells count="49">
    <mergeCell ref="K9:L10"/>
    <mergeCell ref="I63:I64"/>
    <mergeCell ref="H1:I1"/>
    <mergeCell ref="H2:I2"/>
    <mergeCell ref="J2:Q2"/>
    <mergeCell ref="J1:Q1"/>
    <mergeCell ref="K31:N31"/>
    <mergeCell ref="K15:N15"/>
    <mergeCell ref="K16:N17"/>
    <mergeCell ref="K19:N19"/>
    <mergeCell ref="K20:N21"/>
    <mergeCell ref="K4:N5"/>
    <mergeCell ref="M7:N8"/>
    <mergeCell ref="M9:N10"/>
    <mergeCell ref="M11:N12"/>
    <mergeCell ref="K13:N14"/>
    <mergeCell ref="K7:L8"/>
    <mergeCell ref="N72:P73"/>
    <mergeCell ref="K11:L12"/>
    <mergeCell ref="H94:Q95"/>
    <mergeCell ref="H141:Q142"/>
    <mergeCell ref="K32:N33"/>
    <mergeCell ref="K35:N35"/>
    <mergeCell ref="K36:N37"/>
    <mergeCell ref="K23:N23"/>
    <mergeCell ref="K24:N25"/>
    <mergeCell ref="K27:N27"/>
    <mergeCell ref="K28:N29"/>
    <mergeCell ref="K39:N39"/>
    <mergeCell ref="K40:N41"/>
    <mergeCell ref="K43:N43"/>
    <mergeCell ref="K44:N45"/>
    <mergeCell ref="I62:P62"/>
    <mergeCell ref="J63:J64"/>
    <mergeCell ref="K63:M64"/>
    <mergeCell ref="N63:P64"/>
    <mergeCell ref="H47:Q48"/>
    <mergeCell ref="I76:M77"/>
    <mergeCell ref="N76:P77"/>
    <mergeCell ref="I74:M75"/>
    <mergeCell ref="N74:P75"/>
    <mergeCell ref="I65:M66"/>
    <mergeCell ref="N65:P66"/>
    <mergeCell ref="I67:M68"/>
    <mergeCell ref="N67:P68"/>
    <mergeCell ref="I71:P71"/>
    <mergeCell ref="I72:I73"/>
    <mergeCell ref="J72:J73"/>
    <mergeCell ref="K72:M73"/>
  </mergeCells>
  <conditionalFormatting sqref="K13">
    <cfRule type="containsText" dxfId="2" priority="3" operator="containsText" text="Reprova no cisalhamento">
      <formula>NOT(ISERROR(SEARCH("Reprova no cisalhamento",K13)))</formula>
    </cfRule>
  </conditionalFormatting>
  <conditionalFormatting sqref="M9:N10">
    <cfRule type="cellIs" dxfId="1" priority="1" operator="lessThan">
      <formula>$M$11</formula>
    </cfRule>
    <cfRule type="cellIs" dxfId="0" priority="2" operator="greaterThan">
      <formula>$M$11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AD47-A5D9-40DF-870B-FB8AF5154B43}">
  <dimension ref="A1:BQ92"/>
  <sheetViews>
    <sheetView topLeftCell="A49" zoomScale="70" zoomScaleNormal="70" workbookViewId="0">
      <selection activeCell="B56" sqref="B56"/>
    </sheetView>
  </sheetViews>
  <sheetFormatPr defaultRowHeight="15" x14ac:dyDescent="0.25"/>
  <cols>
    <col min="2" max="2" width="11.42578125" customWidth="1"/>
    <col min="4" max="4" width="14.140625" customWidth="1"/>
    <col min="5" max="5" width="13.140625" bestFit="1" customWidth="1"/>
    <col min="6" max="6" width="13.140625" customWidth="1"/>
    <col min="12" max="12" width="10.7109375" customWidth="1"/>
    <col min="14" max="14" width="11.7109375" customWidth="1"/>
    <col min="16" max="16" width="11.85546875" customWidth="1"/>
    <col min="22" max="22" width="12.140625" customWidth="1"/>
    <col min="24" max="24" width="11.140625" customWidth="1"/>
    <col min="26" max="26" width="13.28515625" customWidth="1"/>
    <col min="32" max="32" width="10.140625" customWidth="1"/>
    <col min="34" max="34" width="11.28515625" customWidth="1"/>
    <col min="36" max="36" width="12.140625" customWidth="1"/>
    <col min="37" max="37" width="9.140625" customWidth="1"/>
    <col min="44" max="44" width="11.42578125" customWidth="1"/>
    <col min="46" max="46" width="12.28515625" customWidth="1"/>
    <col min="54" max="54" width="12.5703125" customWidth="1"/>
    <col min="56" max="56" width="13.42578125" customWidth="1"/>
    <col min="64" max="64" width="11" customWidth="1"/>
    <col min="66" max="66" width="13.140625" customWidth="1"/>
  </cols>
  <sheetData>
    <row r="1" spans="1:69" ht="15.75" thickBot="1" x14ac:dyDescent="0.3"/>
    <row r="2" spans="1:69" x14ac:dyDescent="0.25">
      <c r="N2" s="888" t="s">
        <v>348</v>
      </c>
      <c r="O2" s="889"/>
    </row>
    <row r="3" spans="1:69" x14ac:dyDescent="0.25">
      <c r="N3" s="890"/>
      <c r="O3" s="891"/>
    </row>
    <row r="4" spans="1:69" ht="15.75" thickBot="1" x14ac:dyDescent="0.3">
      <c r="N4" s="892"/>
      <c r="O4" s="893"/>
    </row>
    <row r="5" spans="1:69" ht="15.75" thickBot="1" x14ac:dyDescent="0.3"/>
    <row r="6" spans="1:69" ht="15.75" thickBot="1" x14ac:dyDescent="0.3">
      <c r="A6" s="764" t="s">
        <v>294</v>
      </c>
      <c r="B6" s="896"/>
      <c r="C6" s="896"/>
      <c r="D6" s="765"/>
      <c r="E6" s="10"/>
      <c r="F6" s="897" t="s">
        <v>295</v>
      </c>
      <c r="G6" s="898"/>
      <c r="H6" s="898"/>
      <c r="I6" s="899"/>
      <c r="J6" s="1"/>
      <c r="K6" s="764" t="s">
        <v>294</v>
      </c>
      <c r="L6" s="896"/>
      <c r="M6" s="896"/>
      <c r="N6" s="765"/>
      <c r="O6" s="10"/>
      <c r="P6" s="897" t="s">
        <v>295</v>
      </c>
      <c r="Q6" s="898"/>
      <c r="R6" s="898"/>
      <c r="S6" s="899"/>
      <c r="T6" s="1"/>
      <c r="U6" s="764" t="s">
        <v>294</v>
      </c>
      <c r="V6" s="896"/>
      <c r="W6" s="896"/>
      <c r="X6" s="765"/>
      <c r="Y6" s="10"/>
      <c r="Z6" s="897" t="s">
        <v>295</v>
      </c>
      <c r="AA6" s="898"/>
      <c r="AB6" s="898"/>
      <c r="AC6" s="899"/>
      <c r="AD6" s="1"/>
      <c r="AE6" s="764" t="s">
        <v>294</v>
      </c>
      <c r="AF6" s="896"/>
      <c r="AG6" s="896"/>
      <c r="AH6" s="765"/>
      <c r="AI6" s="10"/>
      <c r="AJ6" s="897" t="s">
        <v>295</v>
      </c>
      <c r="AK6" s="898"/>
      <c r="AL6" s="898"/>
      <c r="AM6" s="899"/>
      <c r="AN6" s="1"/>
      <c r="AO6" s="764" t="s">
        <v>294</v>
      </c>
      <c r="AP6" s="896"/>
      <c r="AQ6" s="896"/>
      <c r="AR6" s="765"/>
      <c r="AS6" s="10"/>
      <c r="AT6" s="897" t="s">
        <v>295</v>
      </c>
      <c r="AU6" s="898"/>
      <c r="AV6" s="898"/>
      <c r="AW6" s="899"/>
      <c r="AX6" s="1"/>
      <c r="AY6" s="764" t="s">
        <v>294</v>
      </c>
      <c r="AZ6" s="896"/>
      <c r="BA6" s="896"/>
      <c r="BB6" s="765"/>
      <c r="BC6" s="10"/>
      <c r="BD6" s="897" t="s">
        <v>295</v>
      </c>
      <c r="BE6" s="898"/>
      <c r="BF6" s="898"/>
      <c r="BG6" s="899"/>
      <c r="BH6" s="1"/>
      <c r="BI6" s="764" t="s">
        <v>294</v>
      </c>
      <c r="BJ6" s="896"/>
      <c r="BK6" s="896"/>
      <c r="BL6" s="765"/>
      <c r="BM6" s="10"/>
      <c r="BN6" s="897" t="s">
        <v>295</v>
      </c>
      <c r="BO6" s="898"/>
      <c r="BP6" s="898"/>
      <c r="BQ6" s="899"/>
    </row>
    <row r="7" spans="1:69" ht="18" x14ac:dyDescent="0.35">
      <c r="A7" s="11" t="s">
        <v>296</v>
      </c>
      <c r="B7" s="12">
        <f ca="1">Geometria!M158</f>
        <v>1558.8831577089454</v>
      </c>
      <c r="C7" s="13" t="s">
        <v>214</v>
      </c>
      <c r="D7" s="14">
        <f>Geometria!H58</f>
        <v>50</v>
      </c>
      <c r="E7" s="10"/>
      <c r="F7" s="15" t="s">
        <v>297</v>
      </c>
      <c r="G7" s="16" t="s">
        <v>240</v>
      </c>
      <c r="H7" s="16" t="s">
        <v>298</v>
      </c>
      <c r="I7" s="17" t="s">
        <v>299</v>
      </c>
      <c r="J7" s="1"/>
      <c r="K7" s="11" t="s">
        <v>296</v>
      </c>
      <c r="L7" s="12">
        <f ca="1">Geometria!M158</f>
        <v>1558.8831577089454</v>
      </c>
      <c r="M7" s="13" t="s">
        <v>214</v>
      </c>
      <c r="N7" s="14">
        <f>Geometria!H58</f>
        <v>50</v>
      </c>
      <c r="O7" s="10"/>
      <c r="P7" s="15" t="s">
        <v>297</v>
      </c>
      <c r="Q7" s="16" t="s">
        <v>240</v>
      </c>
      <c r="R7" s="16" t="s">
        <v>298</v>
      </c>
      <c r="S7" s="17" t="s">
        <v>299</v>
      </c>
      <c r="T7" s="1"/>
      <c r="U7" s="11" t="s">
        <v>296</v>
      </c>
      <c r="V7" s="12">
        <f ca="1">Geometria!M158</f>
        <v>1558.8831577089454</v>
      </c>
      <c r="W7" s="13" t="s">
        <v>214</v>
      </c>
      <c r="X7" s="14">
        <f>Geometria!H58</f>
        <v>50</v>
      </c>
      <c r="Y7" s="10"/>
      <c r="Z7" s="15" t="s">
        <v>297</v>
      </c>
      <c r="AA7" s="16" t="s">
        <v>240</v>
      </c>
      <c r="AB7" s="16" t="s">
        <v>298</v>
      </c>
      <c r="AC7" s="17" t="s">
        <v>299</v>
      </c>
      <c r="AD7" s="1"/>
      <c r="AE7" s="11" t="s">
        <v>296</v>
      </c>
      <c r="AF7" s="12">
        <f ca="1">Geometria!M158</f>
        <v>1558.8831577089454</v>
      </c>
      <c r="AG7" s="13" t="s">
        <v>214</v>
      </c>
      <c r="AH7" s="14">
        <f>Geometria!H58</f>
        <v>50</v>
      </c>
      <c r="AI7" s="10"/>
      <c r="AJ7" s="15" t="s">
        <v>297</v>
      </c>
      <c r="AK7" s="16" t="s">
        <v>240</v>
      </c>
      <c r="AL7" s="16" t="s">
        <v>298</v>
      </c>
      <c r="AM7" s="17" t="s">
        <v>299</v>
      </c>
      <c r="AN7" s="1"/>
      <c r="AO7" s="11" t="s">
        <v>296</v>
      </c>
      <c r="AP7" s="12">
        <f ca="1">Geometria!M158</f>
        <v>1558.8831577089454</v>
      </c>
      <c r="AQ7" s="13" t="s">
        <v>214</v>
      </c>
      <c r="AR7" s="14">
        <f>Geometria!H58</f>
        <v>50</v>
      </c>
      <c r="AS7" s="10"/>
      <c r="AT7" s="15" t="s">
        <v>297</v>
      </c>
      <c r="AU7" s="16" t="s">
        <v>240</v>
      </c>
      <c r="AV7" s="16" t="s">
        <v>298</v>
      </c>
      <c r="AW7" s="17" t="s">
        <v>299</v>
      </c>
      <c r="AX7" s="1"/>
      <c r="AY7" s="11" t="s">
        <v>296</v>
      </c>
      <c r="AZ7" s="12">
        <f ca="1">Geometria!M158</f>
        <v>1558.8831577089454</v>
      </c>
      <c r="BA7" s="13" t="s">
        <v>214</v>
      </c>
      <c r="BB7" s="14">
        <f>Geometria!H58</f>
        <v>50</v>
      </c>
      <c r="BC7" s="10"/>
      <c r="BD7" s="15" t="s">
        <v>297</v>
      </c>
      <c r="BE7" s="16" t="s">
        <v>240</v>
      </c>
      <c r="BF7" s="16" t="s">
        <v>298</v>
      </c>
      <c r="BG7" s="17" t="s">
        <v>299</v>
      </c>
      <c r="BH7" s="1"/>
      <c r="BI7" s="11" t="s">
        <v>296</v>
      </c>
      <c r="BJ7" s="12">
        <f ca="1">Geometria!M158</f>
        <v>1558.8831577089454</v>
      </c>
      <c r="BK7" s="13" t="s">
        <v>214</v>
      </c>
      <c r="BL7" s="14">
        <f>Geometria!H58</f>
        <v>50</v>
      </c>
      <c r="BM7" s="10"/>
      <c r="BN7" s="15" t="s">
        <v>297</v>
      </c>
      <c r="BO7" s="16" t="s">
        <v>240</v>
      </c>
      <c r="BP7" s="16" t="s">
        <v>298</v>
      </c>
      <c r="BQ7" s="17" t="s">
        <v>299</v>
      </c>
    </row>
    <row r="8" spans="1:69" ht="18" x14ac:dyDescent="0.35">
      <c r="A8" s="3" t="s">
        <v>300</v>
      </c>
      <c r="B8" s="18">
        <f>Geometria!$N$201</f>
        <v>733.77089999999998</v>
      </c>
      <c r="C8" s="7" t="s">
        <v>301</v>
      </c>
      <c r="D8" s="19" t="str">
        <f>Geometria!H62</f>
        <v>CPV-ARI</v>
      </c>
      <c r="E8" s="10"/>
      <c r="F8" s="20" t="s">
        <v>303</v>
      </c>
      <c r="G8" s="21">
        <v>0.25</v>
      </c>
      <c r="H8" s="21">
        <v>2</v>
      </c>
      <c r="I8" s="19">
        <v>1</v>
      </c>
      <c r="J8" s="1"/>
      <c r="K8" s="3" t="s">
        <v>300</v>
      </c>
      <c r="L8" s="18">
        <f>Geometria!$N$202</f>
        <v>733.77089999999998</v>
      </c>
      <c r="M8" s="7" t="s">
        <v>301</v>
      </c>
      <c r="N8" s="19" t="str">
        <f>D8</f>
        <v>CPV-ARI</v>
      </c>
      <c r="O8" s="10"/>
      <c r="P8" s="20" t="s">
        <v>303</v>
      </c>
      <c r="Q8" s="21">
        <v>0.25</v>
      </c>
      <c r="R8" s="21">
        <v>2</v>
      </c>
      <c r="S8" s="19">
        <v>1</v>
      </c>
      <c r="T8" s="1"/>
      <c r="U8" s="3" t="s">
        <v>300</v>
      </c>
      <c r="V8" s="18">
        <f>Geometria!$N$203</f>
        <v>554.06889999999999</v>
      </c>
      <c r="W8" s="7" t="s">
        <v>301</v>
      </c>
      <c r="X8" s="19" t="str">
        <f>N8</f>
        <v>CPV-ARI</v>
      </c>
      <c r="Y8" s="10"/>
      <c r="Z8" s="20" t="s">
        <v>303</v>
      </c>
      <c r="AA8" s="21">
        <v>0.25</v>
      </c>
      <c r="AB8" s="21">
        <v>2</v>
      </c>
      <c r="AC8" s="19">
        <v>1</v>
      </c>
      <c r="AD8" s="1"/>
      <c r="AE8" s="3" t="s">
        <v>300</v>
      </c>
      <c r="AF8" s="18">
        <f>Geometria!$N$204</f>
        <v>340.91224999999997</v>
      </c>
      <c r="AG8" s="7" t="s">
        <v>301</v>
      </c>
      <c r="AH8" s="19" t="str">
        <f>X8</f>
        <v>CPV-ARI</v>
      </c>
      <c r="AI8" s="10"/>
      <c r="AJ8" s="20" t="s">
        <v>303</v>
      </c>
      <c r="AK8" s="21">
        <v>0.25</v>
      </c>
      <c r="AL8" s="21">
        <v>2</v>
      </c>
      <c r="AM8" s="19">
        <v>1</v>
      </c>
      <c r="AN8" s="1"/>
      <c r="AO8" s="3" t="s">
        <v>300</v>
      </c>
      <c r="AP8" s="18">
        <f>Geometria!$N$205</f>
        <v>234.33392499999999</v>
      </c>
      <c r="AQ8" s="7" t="s">
        <v>301</v>
      </c>
      <c r="AR8" s="19" t="str">
        <f>AH8</f>
        <v>CPV-ARI</v>
      </c>
      <c r="AS8" s="10"/>
      <c r="AT8" s="20" t="s">
        <v>303</v>
      </c>
      <c r="AU8" s="21">
        <v>0.25</v>
      </c>
      <c r="AV8" s="21">
        <v>2</v>
      </c>
      <c r="AW8" s="19">
        <v>1</v>
      </c>
      <c r="AX8" s="1"/>
      <c r="AY8" s="3" t="s">
        <v>300</v>
      </c>
      <c r="AZ8" s="18">
        <f>Geometria!$N$206</f>
        <v>127.7556</v>
      </c>
      <c r="BA8" s="7" t="s">
        <v>301</v>
      </c>
      <c r="BB8" s="19" t="str">
        <f>AR8</f>
        <v>CPV-ARI</v>
      </c>
      <c r="BC8" s="10"/>
      <c r="BD8" s="20" t="s">
        <v>303</v>
      </c>
      <c r="BE8" s="21">
        <v>0.25</v>
      </c>
      <c r="BF8" s="21">
        <v>2</v>
      </c>
      <c r="BG8" s="19">
        <v>1</v>
      </c>
      <c r="BH8" s="1"/>
      <c r="BI8" s="3" t="s">
        <v>300</v>
      </c>
      <c r="BJ8" s="18">
        <f>Geometria!$N$207</f>
        <v>127.7556</v>
      </c>
      <c r="BK8" s="7" t="s">
        <v>301</v>
      </c>
      <c r="BL8" s="19" t="str">
        <f>BB8</f>
        <v>CPV-ARI</v>
      </c>
      <c r="BM8" s="10"/>
      <c r="BN8" s="20" t="s">
        <v>303</v>
      </c>
      <c r="BO8" s="21">
        <v>0.25</v>
      </c>
      <c r="BP8" s="21">
        <v>2</v>
      </c>
      <c r="BQ8" s="19">
        <v>1</v>
      </c>
    </row>
    <row r="9" spans="1:69" ht="18" x14ac:dyDescent="0.35">
      <c r="A9" s="22" t="s">
        <v>304</v>
      </c>
      <c r="B9" s="23">
        <f>Geometria!$H$209</f>
        <v>70</v>
      </c>
      <c r="C9" s="7" t="s">
        <v>305</v>
      </c>
      <c r="D9" s="24">
        <f>Geometria!$I$201</f>
        <v>1</v>
      </c>
      <c r="E9" s="1"/>
      <c r="F9" s="20" t="s">
        <v>306</v>
      </c>
      <c r="G9" s="21">
        <v>0.38</v>
      </c>
      <c r="H9" s="21">
        <v>1</v>
      </c>
      <c r="I9" s="19">
        <v>1</v>
      </c>
      <c r="J9" s="1"/>
      <c r="K9" s="22" t="s">
        <v>304</v>
      </c>
      <c r="L9" s="23">
        <f>Geometria!$H$209</f>
        <v>70</v>
      </c>
      <c r="M9" s="7" t="s">
        <v>305</v>
      </c>
      <c r="N9" s="24">
        <v>5</v>
      </c>
      <c r="O9" s="1"/>
      <c r="P9" s="20" t="s">
        <v>306</v>
      </c>
      <c r="Q9" s="21">
        <v>0.38</v>
      </c>
      <c r="R9" s="21">
        <v>1</v>
      </c>
      <c r="S9" s="19">
        <v>1</v>
      </c>
      <c r="T9" s="1"/>
      <c r="U9" s="22" t="s">
        <v>304</v>
      </c>
      <c r="V9" s="23">
        <f>Geometria!$H$209</f>
        <v>70</v>
      </c>
      <c r="W9" s="7" t="s">
        <v>305</v>
      </c>
      <c r="X9" s="24">
        <f>Geometria!$I$203</f>
        <v>15</v>
      </c>
      <c r="Y9" s="1"/>
      <c r="Z9" s="20" t="s">
        <v>306</v>
      </c>
      <c r="AA9" s="21">
        <v>0.38</v>
      </c>
      <c r="AB9" s="21">
        <v>1</v>
      </c>
      <c r="AC9" s="19">
        <v>1</v>
      </c>
      <c r="AD9" s="1"/>
      <c r="AE9" s="22" t="s">
        <v>304</v>
      </c>
      <c r="AF9" s="23">
        <f>Geometria!$H$209</f>
        <v>70</v>
      </c>
      <c r="AG9" s="7" t="s">
        <v>305</v>
      </c>
      <c r="AH9" s="24">
        <f>Geometria!$I$204</f>
        <v>30</v>
      </c>
      <c r="AI9" s="1"/>
      <c r="AJ9" s="20" t="s">
        <v>306</v>
      </c>
      <c r="AK9" s="21">
        <v>0.38</v>
      </c>
      <c r="AL9" s="21">
        <v>1</v>
      </c>
      <c r="AM9" s="19">
        <v>1</v>
      </c>
      <c r="AN9" s="1"/>
      <c r="AO9" s="22" t="s">
        <v>304</v>
      </c>
      <c r="AP9" s="23">
        <f>Geometria!$H$209</f>
        <v>70</v>
      </c>
      <c r="AQ9" s="7" t="s">
        <v>305</v>
      </c>
      <c r="AR9" s="24">
        <f>Geometria!$I$205</f>
        <v>45</v>
      </c>
      <c r="AS9" s="1"/>
      <c r="AT9" s="20" t="s">
        <v>306</v>
      </c>
      <c r="AU9" s="21">
        <v>0.38</v>
      </c>
      <c r="AV9" s="21">
        <v>1</v>
      </c>
      <c r="AW9" s="19">
        <v>1</v>
      </c>
      <c r="AX9" s="1"/>
      <c r="AY9" s="22" t="s">
        <v>304</v>
      </c>
      <c r="AZ9" s="23">
        <f>Geometria!$H$209</f>
        <v>70</v>
      </c>
      <c r="BA9" s="7" t="s">
        <v>305</v>
      </c>
      <c r="BB9" s="24">
        <f>Geometria!$I$206</f>
        <v>60</v>
      </c>
      <c r="BC9" s="1"/>
      <c r="BD9" s="20" t="s">
        <v>306</v>
      </c>
      <c r="BE9" s="21">
        <v>0.38</v>
      </c>
      <c r="BF9" s="21">
        <v>1</v>
      </c>
      <c r="BG9" s="19">
        <v>1</v>
      </c>
      <c r="BH9" s="1"/>
      <c r="BI9" s="22" t="s">
        <v>304</v>
      </c>
      <c r="BJ9" s="23">
        <f>Geometria!$H$209</f>
        <v>70</v>
      </c>
      <c r="BK9" s="7" t="s">
        <v>305</v>
      </c>
      <c r="BL9" s="24">
        <f>Geometria!$I$207</f>
        <v>75</v>
      </c>
      <c r="BM9" s="1"/>
      <c r="BN9" s="20" t="s">
        <v>306</v>
      </c>
      <c r="BO9" s="21">
        <v>0.38</v>
      </c>
      <c r="BP9" s="21">
        <v>1</v>
      </c>
      <c r="BQ9" s="19">
        <v>1</v>
      </c>
    </row>
    <row r="10" spans="1:69" ht="18.75" thickBot="1" x14ac:dyDescent="0.4">
      <c r="A10" s="3" t="s">
        <v>307</v>
      </c>
      <c r="B10" s="25">
        <f>Geometria!$L$209</f>
        <v>20</v>
      </c>
      <c r="C10" s="7" t="s">
        <v>308</v>
      </c>
      <c r="D10" s="24">
        <v>10000</v>
      </c>
      <c r="E10" s="1"/>
      <c r="F10" s="26" t="s">
        <v>302</v>
      </c>
      <c r="G10" s="27">
        <v>0.2</v>
      </c>
      <c r="H10" s="27">
        <v>3</v>
      </c>
      <c r="I10" s="28">
        <v>1</v>
      </c>
      <c r="J10" s="1"/>
      <c r="K10" s="3" t="s">
        <v>307</v>
      </c>
      <c r="L10" s="25">
        <f>Geometria!$L$209</f>
        <v>20</v>
      </c>
      <c r="M10" s="7" t="s">
        <v>308</v>
      </c>
      <c r="N10" s="24">
        <v>10000</v>
      </c>
      <c r="O10" s="1"/>
      <c r="P10" s="26" t="s">
        <v>302</v>
      </c>
      <c r="Q10" s="27">
        <v>0.2</v>
      </c>
      <c r="R10" s="27">
        <v>3</v>
      </c>
      <c r="S10" s="28">
        <v>1</v>
      </c>
      <c r="T10" s="1"/>
      <c r="U10" s="3" t="s">
        <v>307</v>
      </c>
      <c r="V10" s="25">
        <f>Geometria!$L$209</f>
        <v>20</v>
      </c>
      <c r="W10" s="7" t="s">
        <v>308</v>
      </c>
      <c r="X10" s="24">
        <v>10000</v>
      </c>
      <c r="Y10" s="1"/>
      <c r="Z10" s="26" t="s">
        <v>302</v>
      </c>
      <c r="AA10" s="27">
        <v>0.2</v>
      </c>
      <c r="AB10" s="27">
        <v>3</v>
      </c>
      <c r="AC10" s="28">
        <v>1</v>
      </c>
      <c r="AD10" s="1"/>
      <c r="AE10" s="3" t="s">
        <v>307</v>
      </c>
      <c r="AF10" s="25">
        <f>Geometria!$L$209</f>
        <v>20</v>
      </c>
      <c r="AG10" s="7" t="s">
        <v>308</v>
      </c>
      <c r="AH10" s="24">
        <v>10000</v>
      </c>
      <c r="AI10" s="1"/>
      <c r="AJ10" s="26" t="s">
        <v>302</v>
      </c>
      <c r="AK10" s="27">
        <v>0.2</v>
      </c>
      <c r="AL10" s="27">
        <v>3</v>
      </c>
      <c r="AM10" s="28">
        <v>1</v>
      </c>
      <c r="AN10" s="1"/>
      <c r="AO10" s="3" t="s">
        <v>307</v>
      </c>
      <c r="AP10" s="25">
        <f>Geometria!$L$209</f>
        <v>20</v>
      </c>
      <c r="AQ10" s="7" t="s">
        <v>308</v>
      </c>
      <c r="AR10" s="24">
        <v>10000</v>
      </c>
      <c r="AS10" s="1"/>
      <c r="AT10" s="26" t="s">
        <v>302</v>
      </c>
      <c r="AU10" s="27">
        <v>0.2</v>
      </c>
      <c r="AV10" s="27">
        <v>3</v>
      </c>
      <c r="AW10" s="28">
        <v>1</v>
      </c>
      <c r="AX10" s="1"/>
      <c r="AY10" s="3" t="s">
        <v>307</v>
      </c>
      <c r="AZ10" s="25">
        <f>Geometria!$L$209</f>
        <v>20</v>
      </c>
      <c r="BA10" s="7" t="s">
        <v>308</v>
      </c>
      <c r="BB10" s="24">
        <v>10000</v>
      </c>
      <c r="BC10" s="1"/>
      <c r="BD10" s="26" t="s">
        <v>302</v>
      </c>
      <c r="BE10" s="27">
        <v>0.2</v>
      </c>
      <c r="BF10" s="27">
        <v>3</v>
      </c>
      <c r="BG10" s="28">
        <v>1</v>
      </c>
      <c r="BH10" s="1"/>
      <c r="BI10" s="3" t="s">
        <v>307</v>
      </c>
      <c r="BJ10" s="25">
        <f>Geometria!$L$209</f>
        <v>20</v>
      </c>
      <c r="BK10" s="7" t="s">
        <v>308</v>
      </c>
      <c r="BL10" s="24">
        <v>10000</v>
      </c>
      <c r="BM10" s="1"/>
      <c r="BN10" s="26" t="s">
        <v>302</v>
      </c>
      <c r="BO10" s="27">
        <v>0.2</v>
      </c>
      <c r="BP10" s="27">
        <v>3</v>
      </c>
      <c r="BQ10" s="28">
        <v>1</v>
      </c>
    </row>
    <row r="11" spans="1:69" ht="15.75" thickBot="1" x14ac:dyDescent="0.3">
      <c r="A11" s="5" t="s">
        <v>309</v>
      </c>
      <c r="B11" s="29">
        <f>Geometria!$H$210</f>
        <v>4</v>
      </c>
      <c r="C11" s="30"/>
      <c r="D11" s="6"/>
      <c r="E11" s="1"/>
      <c r="F11" s="1"/>
      <c r="G11" s="1"/>
      <c r="H11" s="1"/>
      <c r="I11" s="1"/>
      <c r="J11" s="1"/>
      <c r="K11" s="5" t="s">
        <v>309</v>
      </c>
      <c r="L11" s="29">
        <f>Geometria!$H$210</f>
        <v>4</v>
      </c>
      <c r="M11" s="30"/>
      <c r="N11" s="6"/>
      <c r="O11" s="1"/>
      <c r="P11" s="1"/>
      <c r="Q11" s="1"/>
      <c r="R11" s="1"/>
      <c r="S11" s="1"/>
      <c r="T11" s="1"/>
      <c r="U11" s="5" t="s">
        <v>309</v>
      </c>
      <c r="V11" s="29">
        <f>Geometria!$H$210</f>
        <v>4</v>
      </c>
      <c r="W11" s="30"/>
      <c r="X11" s="6"/>
      <c r="Y11" s="1"/>
      <c r="Z11" s="1"/>
      <c r="AA11" s="1"/>
      <c r="AB11" s="1"/>
      <c r="AC11" s="1"/>
      <c r="AD11" s="1"/>
      <c r="AE11" s="5" t="s">
        <v>309</v>
      </c>
      <c r="AF11" s="29">
        <f>V11</f>
        <v>4</v>
      </c>
      <c r="AG11" s="30"/>
      <c r="AH11" s="6"/>
      <c r="AI11" s="1"/>
      <c r="AJ11" s="1"/>
      <c r="AK11" s="1"/>
      <c r="AL11" s="1"/>
      <c r="AM11" s="1"/>
      <c r="AN11" s="1"/>
      <c r="AO11" s="5" t="s">
        <v>309</v>
      </c>
      <c r="AP11" s="29">
        <f>AF11</f>
        <v>4</v>
      </c>
      <c r="AQ11" s="30"/>
      <c r="AR11" s="6"/>
      <c r="AS11" s="1"/>
      <c r="AT11" s="1"/>
      <c r="AU11" s="1"/>
      <c r="AV11" s="1"/>
      <c r="AW11" s="1"/>
      <c r="AX11" s="1"/>
      <c r="AY11" s="5" t="s">
        <v>309</v>
      </c>
      <c r="AZ11" s="29">
        <f>AP11</f>
        <v>4</v>
      </c>
      <c r="BA11" s="30"/>
      <c r="BB11" s="6"/>
      <c r="BC11" s="1"/>
      <c r="BD11" s="1"/>
      <c r="BE11" s="1"/>
      <c r="BF11" s="1"/>
      <c r="BG11" s="1"/>
      <c r="BH11" s="1"/>
      <c r="BI11" s="5" t="s">
        <v>309</v>
      </c>
      <c r="BJ11" s="29">
        <f>AZ11</f>
        <v>4</v>
      </c>
      <c r="BK11" s="30"/>
      <c r="BL11" s="6"/>
      <c r="BM11" s="1"/>
      <c r="BN11" s="1"/>
      <c r="BO11" s="1"/>
      <c r="BP11" s="1"/>
      <c r="BQ11" s="1"/>
    </row>
    <row r="12" spans="1:69" ht="15.75" thickBot="1" x14ac:dyDescent="0.3">
      <c r="A12" s="766" t="s">
        <v>310</v>
      </c>
      <c r="B12" s="767"/>
      <c r="C12" s="900" t="s">
        <v>311</v>
      </c>
      <c r="D12" s="901"/>
      <c r="E12" s="2"/>
      <c r="F12" s="2"/>
      <c r="G12" s="2"/>
      <c r="H12" s="1"/>
      <c r="I12" s="10"/>
      <c r="J12" s="10"/>
      <c r="K12" s="766" t="s">
        <v>310</v>
      </c>
      <c r="L12" s="767"/>
      <c r="M12" s="900" t="s">
        <v>311</v>
      </c>
      <c r="N12" s="901"/>
      <c r="O12" s="2"/>
      <c r="P12" s="2"/>
      <c r="Q12" s="2"/>
      <c r="R12" s="1"/>
      <c r="S12" s="10"/>
      <c r="T12" s="10"/>
      <c r="U12" s="766" t="s">
        <v>310</v>
      </c>
      <c r="V12" s="767"/>
      <c r="W12" s="900" t="s">
        <v>311</v>
      </c>
      <c r="X12" s="901"/>
      <c r="Y12" s="2"/>
      <c r="Z12" s="2"/>
      <c r="AA12" s="2"/>
      <c r="AB12" s="1"/>
      <c r="AC12" s="10"/>
      <c r="AD12" s="10"/>
      <c r="AE12" s="766" t="s">
        <v>310</v>
      </c>
      <c r="AF12" s="767"/>
      <c r="AG12" s="900" t="s">
        <v>311</v>
      </c>
      <c r="AH12" s="901"/>
      <c r="AI12" s="2"/>
      <c r="AJ12" s="2"/>
      <c r="AK12" s="2"/>
      <c r="AL12" s="1"/>
      <c r="AM12" s="10"/>
      <c r="AN12" s="10"/>
      <c r="AO12" s="766" t="s">
        <v>310</v>
      </c>
      <c r="AP12" s="767"/>
      <c r="AQ12" s="900" t="s">
        <v>311</v>
      </c>
      <c r="AR12" s="901"/>
      <c r="AS12" s="2"/>
      <c r="AT12" s="2"/>
      <c r="AU12" s="2"/>
      <c r="AV12" s="1"/>
      <c r="AW12" s="10"/>
      <c r="AX12" s="10"/>
      <c r="AY12" s="766" t="s">
        <v>310</v>
      </c>
      <c r="AZ12" s="767"/>
      <c r="BA12" s="900" t="s">
        <v>311</v>
      </c>
      <c r="BB12" s="901"/>
      <c r="BC12" s="2"/>
      <c r="BD12" s="2"/>
      <c r="BE12" s="2"/>
      <c r="BF12" s="1"/>
      <c r="BG12" s="10"/>
      <c r="BH12" s="10"/>
      <c r="BI12" s="766" t="s">
        <v>310</v>
      </c>
      <c r="BJ12" s="767"/>
      <c r="BK12" s="900" t="s">
        <v>311</v>
      </c>
      <c r="BL12" s="901"/>
      <c r="BM12" s="2"/>
      <c r="BN12" s="2"/>
      <c r="BO12" s="2"/>
      <c r="BP12" s="1"/>
      <c r="BQ12" s="10"/>
    </row>
    <row r="13" spans="1:69" ht="17.25" thickBot="1" x14ac:dyDescent="0.35">
      <c r="A13" s="894" t="s">
        <v>312</v>
      </c>
      <c r="B13" s="895"/>
      <c r="C13" s="31" t="s">
        <v>313</v>
      </c>
      <c r="D13" s="8">
        <f>D14*0.75</f>
        <v>-3.7327983318170821E-4</v>
      </c>
      <c r="E13" s="1"/>
      <c r="F13" s="10"/>
      <c r="G13" s="10"/>
      <c r="H13" s="1"/>
      <c r="I13" s="10"/>
      <c r="J13" s="10"/>
      <c r="K13" s="894" t="s">
        <v>312</v>
      </c>
      <c r="L13" s="895"/>
      <c r="M13" s="31" t="s">
        <v>313</v>
      </c>
      <c r="N13" s="8">
        <f>N14*0.75</f>
        <v>-3.7327983318170821E-4</v>
      </c>
      <c r="O13" s="1"/>
      <c r="P13" s="10"/>
      <c r="Q13" s="10"/>
      <c r="R13" s="1"/>
      <c r="S13" s="10"/>
      <c r="T13" s="10"/>
      <c r="U13" s="894" t="s">
        <v>312</v>
      </c>
      <c r="V13" s="895"/>
      <c r="W13" s="31" t="s">
        <v>313</v>
      </c>
      <c r="X13" s="8">
        <f>X14*0.75</f>
        <v>-3.7327983318170821E-4</v>
      </c>
      <c r="Y13" s="1"/>
      <c r="Z13" s="10"/>
      <c r="AA13" s="10"/>
      <c r="AB13" s="1"/>
      <c r="AC13" s="10"/>
      <c r="AD13" s="10"/>
      <c r="AE13" s="894" t="s">
        <v>312</v>
      </c>
      <c r="AF13" s="895"/>
      <c r="AG13" s="31" t="s">
        <v>313</v>
      </c>
      <c r="AH13" s="8">
        <f>AH14*0.75</f>
        <v>-3.7327983318170821E-4</v>
      </c>
      <c r="AI13" s="1"/>
      <c r="AJ13" s="10"/>
      <c r="AK13" s="10"/>
      <c r="AL13" s="1"/>
      <c r="AM13" s="10"/>
      <c r="AN13" s="10"/>
      <c r="AO13" s="894" t="s">
        <v>312</v>
      </c>
      <c r="AP13" s="895"/>
      <c r="AQ13" s="31" t="s">
        <v>313</v>
      </c>
      <c r="AR13" s="8">
        <f>AR14*0.75</f>
        <v>-3.7327983318170821E-4</v>
      </c>
      <c r="AS13" s="1"/>
      <c r="AT13" s="10"/>
      <c r="AU13" s="10"/>
      <c r="AV13" s="1"/>
      <c r="AW13" s="10"/>
      <c r="AX13" s="10"/>
      <c r="AY13" s="894" t="s">
        <v>312</v>
      </c>
      <c r="AZ13" s="895"/>
      <c r="BA13" s="31" t="s">
        <v>313</v>
      </c>
      <c r="BB13" s="8">
        <f>BB14*0.75</f>
        <v>-3.7327983318170821E-4</v>
      </c>
      <c r="BC13" s="1"/>
      <c r="BD13" s="10"/>
      <c r="BE13" s="10"/>
      <c r="BF13" s="1"/>
      <c r="BG13" s="10"/>
      <c r="BH13" s="10"/>
      <c r="BI13" s="894" t="s">
        <v>312</v>
      </c>
      <c r="BJ13" s="895"/>
      <c r="BK13" s="31" t="s">
        <v>313</v>
      </c>
      <c r="BL13" s="8">
        <f>BL14*0.75</f>
        <v>-3.7327983318170821E-4</v>
      </c>
      <c r="BM13" s="1"/>
      <c r="BN13" s="10"/>
      <c r="BO13" s="10"/>
      <c r="BP13" s="1"/>
      <c r="BQ13" s="10"/>
    </row>
    <row r="14" spans="1:69" ht="16.5" x14ac:dyDescent="0.3">
      <c r="A14" s="32" t="s">
        <v>314</v>
      </c>
      <c r="B14" s="33">
        <f>VLOOKUP(D8,F8:I10,3,FALSE)</f>
        <v>3</v>
      </c>
      <c r="C14" s="34" t="s">
        <v>315</v>
      </c>
      <c r="D14" s="4">
        <f>(-8.09+(B9/15)-(B9^2/2284)-(B9^3/133765)+(B9^4/7608150))*10^-4</f>
        <v>-4.9770644424227762E-4</v>
      </c>
      <c r="E14" s="1"/>
      <c r="F14" s="10"/>
      <c r="G14" s="10"/>
      <c r="H14" s="1"/>
      <c r="I14" s="10"/>
      <c r="J14" s="10"/>
      <c r="K14" s="32" t="s">
        <v>314</v>
      </c>
      <c r="L14" s="33">
        <f>VLOOKUP(N8,P8:S10,3,FALSE)</f>
        <v>3</v>
      </c>
      <c r="M14" s="34" t="s">
        <v>315</v>
      </c>
      <c r="N14" s="4">
        <f>(-8.09+(L9/15)-(L9^2/2284)-(L9^3/133765)+(L9^4/7608150))*10^-4</f>
        <v>-4.9770644424227762E-4</v>
      </c>
      <c r="O14" s="1"/>
      <c r="P14" s="10"/>
      <c r="Q14" s="10"/>
      <c r="R14" s="1"/>
      <c r="S14" s="10"/>
      <c r="T14" s="10"/>
      <c r="U14" s="32" t="s">
        <v>314</v>
      </c>
      <c r="V14" s="33">
        <f>VLOOKUP(X8,Z8:AC10,3,FALSE)</f>
        <v>3</v>
      </c>
      <c r="W14" s="34" t="s">
        <v>315</v>
      </c>
      <c r="X14" s="4">
        <f>(-8.09+(V9/15)-(V9^2/2284)-(V9^3/133765)+(V9^4/7608150))*10^-4</f>
        <v>-4.9770644424227762E-4</v>
      </c>
      <c r="Y14" s="1"/>
      <c r="Z14" s="10"/>
      <c r="AA14" s="10"/>
      <c r="AB14" s="1"/>
      <c r="AC14" s="10"/>
      <c r="AD14" s="10"/>
      <c r="AE14" s="32" t="s">
        <v>314</v>
      </c>
      <c r="AF14" s="33">
        <f>VLOOKUP(AH8,AJ8:AM10,3,FALSE)</f>
        <v>3</v>
      </c>
      <c r="AG14" s="34" t="s">
        <v>315</v>
      </c>
      <c r="AH14" s="4">
        <f>(-8.09+(AF9/15)-(AF9^2/2284)-(AF9^3/133765)+(AF9^4/7608150))*10^-4</f>
        <v>-4.9770644424227762E-4</v>
      </c>
      <c r="AI14" s="1"/>
      <c r="AJ14" s="10"/>
      <c r="AK14" s="10"/>
      <c r="AL14" s="1"/>
      <c r="AM14" s="10"/>
      <c r="AN14" s="10"/>
      <c r="AO14" s="32" t="s">
        <v>314</v>
      </c>
      <c r="AP14" s="33">
        <f>VLOOKUP(AR8,AT8:AW10,3,FALSE)</f>
        <v>3</v>
      </c>
      <c r="AQ14" s="34" t="s">
        <v>315</v>
      </c>
      <c r="AR14" s="4">
        <f>(-8.09+(AP9/15)-(AP9^2/2284)-(AP9^3/133765)+(AP9^4/7608150))*10^-4</f>
        <v>-4.9770644424227762E-4</v>
      </c>
      <c r="AS14" s="1"/>
      <c r="AT14" s="10"/>
      <c r="AU14" s="10"/>
      <c r="AV14" s="1"/>
      <c r="AW14" s="10"/>
      <c r="AX14" s="10"/>
      <c r="AY14" s="32" t="s">
        <v>314</v>
      </c>
      <c r="AZ14" s="33">
        <f>VLOOKUP(BB8,BD8:BG10,3,FALSE)</f>
        <v>3</v>
      </c>
      <c r="BA14" s="34" t="s">
        <v>315</v>
      </c>
      <c r="BB14" s="4">
        <f>(-8.09+(AZ9/15)-(AZ9^2/2284)-(AZ9^3/133765)+(AZ9^4/7608150))*10^-4</f>
        <v>-4.9770644424227762E-4</v>
      </c>
      <c r="BC14" s="1"/>
      <c r="BD14" s="10"/>
      <c r="BE14" s="10"/>
      <c r="BF14" s="1"/>
      <c r="BG14" s="10"/>
      <c r="BH14" s="10"/>
      <c r="BI14" s="32" t="s">
        <v>314</v>
      </c>
      <c r="BJ14" s="33">
        <f>VLOOKUP(BL8,BN8:BQ10,3,FALSE)</f>
        <v>3</v>
      </c>
      <c r="BK14" s="34" t="s">
        <v>315</v>
      </c>
      <c r="BL14" s="4">
        <f>(-8.09+(BJ9/15)-(BJ9^2/2284)-(BJ9^3/133765)+(BJ9^4/7608150))*10^-4</f>
        <v>-4.9770644424227762E-4</v>
      </c>
      <c r="BM14" s="1"/>
      <c r="BN14" s="10"/>
      <c r="BO14" s="10"/>
      <c r="BP14" s="1"/>
      <c r="BQ14" s="10"/>
    </row>
    <row r="15" spans="1:69" ht="18" x14ac:dyDescent="0.35">
      <c r="A15" s="3" t="s">
        <v>316</v>
      </c>
      <c r="B15" s="4">
        <f>B14*(B10+10)*D9/30</f>
        <v>3</v>
      </c>
      <c r="C15" s="34" t="s">
        <v>317</v>
      </c>
      <c r="D15" s="4">
        <f>D14*1.25</f>
        <v>-6.2213305530284702E-4</v>
      </c>
      <c r="E15" s="1"/>
      <c r="F15" s="10"/>
      <c r="G15" s="10"/>
      <c r="H15" s="1"/>
      <c r="I15" s="10"/>
      <c r="J15" s="10"/>
      <c r="K15" s="3" t="s">
        <v>316</v>
      </c>
      <c r="L15" s="4">
        <f>L14*(L10+10)*N9/30</f>
        <v>15</v>
      </c>
      <c r="M15" s="34" t="s">
        <v>317</v>
      </c>
      <c r="N15" s="4">
        <f>N14*1.25</f>
        <v>-6.2213305530284702E-4</v>
      </c>
      <c r="O15" s="1"/>
      <c r="P15" s="10"/>
      <c r="Q15" s="10"/>
      <c r="R15" s="1"/>
      <c r="S15" s="10"/>
      <c r="T15" s="10"/>
      <c r="U15" s="3" t="s">
        <v>316</v>
      </c>
      <c r="V15" s="4">
        <f>V14*(V10+10)*X9/30</f>
        <v>45</v>
      </c>
      <c r="W15" s="34" t="s">
        <v>317</v>
      </c>
      <c r="X15" s="4">
        <f>X14*1.25</f>
        <v>-6.2213305530284702E-4</v>
      </c>
      <c r="Y15" s="1"/>
      <c r="Z15" s="10"/>
      <c r="AA15" s="10"/>
      <c r="AB15" s="1"/>
      <c r="AC15" s="10"/>
      <c r="AD15" s="10"/>
      <c r="AE15" s="3" t="s">
        <v>316</v>
      </c>
      <c r="AF15" s="4">
        <f>AF14*(AF10+10)*AH9/30</f>
        <v>90</v>
      </c>
      <c r="AG15" s="34" t="s">
        <v>317</v>
      </c>
      <c r="AH15" s="4">
        <f>AH14*1.25</f>
        <v>-6.2213305530284702E-4</v>
      </c>
      <c r="AI15" s="1"/>
      <c r="AJ15" s="10"/>
      <c r="AK15" s="10"/>
      <c r="AL15" s="1"/>
      <c r="AM15" s="10"/>
      <c r="AN15" s="10"/>
      <c r="AO15" s="3" t="s">
        <v>316</v>
      </c>
      <c r="AP15" s="4">
        <f>AP14*(AP10+10)*AR9/30</f>
        <v>135</v>
      </c>
      <c r="AQ15" s="34" t="s">
        <v>317</v>
      </c>
      <c r="AR15" s="4">
        <f>AR14*1.25</f>
        <v>-6.2213305530284702E-4</v>
      </c>
      <c r="AS15" s="1"/>
      <c r="AT15" s="10"/>
      <c r="AU15" s="10"/>
      <c r="AV15" s="1"/>
      <c r="AW15" s="10"/>
      <c r="AX15" s="10"/>
      <c r="AY15" s="3" t="s">
        <v>316</v>
      </c>
      <c r="AZ15" s="4">
        <f>AZ14*(AZ10+10)*BB9/30</f>
        <v>180</v>
      </c>
      <c r="BA15" s="34" t="s">
        <v>317</v>
      </c>
      <c r="BB15" s="4">
        <f>BB14*1.25</f>
        <v>-6.2213305530284702E-4</v>
      </c>
      <c r="BC15" s="1"/>
      <c r="BD15" s="10"/>
      <c r="BE15" s="10"/>
      <c r="BF15" s="1"/>
      <c r="BG15" s="10"/>
      <c r="BH15" s="10"/>
      <c r="BI15" s="3" t="s">
        <v>316</v>
      </c>
      <c r="BJ15" s="4">
        <f>BJ14*(BJ10+10)*BL9/30</f>
        <v>225</v>
      </c>
      <c r="BK15" s="34" t="s">
        <v>317</v>
      </c>
      <c r="BL15" s="4">
        <f>BL14*1.25</f>
        <v>-6.2213305530284702E-4</v>
      </c>
      <c r="BM15" s="1"/>
      <c r="BN15" s="10"/>
      <c r="BO15" s="10"/>
      <c r="BP15" s="1"/>
      <c r="BQ15" s="10"/>
    </row>
    <row r="16" spans="1:69" ht="16.5" x14ac:dyDescent="0.3">
      <c r="A16" s="3" t="s">
        <v>318</v>
      </c>
      <c r="B16" s="4">
        <f>B14*(B10+10)*D10/30</f>
        <v>30000</v>
      </c>
      <c r="C16" s="34" t="s">
        <v>319</v>
      </c>
      <c r="D16" s="4">
        <f>IF(B11&lt;5,D13,IF(B11&lt;10,D14,D15))</f>
        <v>-3.7327983318170821E-4</v>
      </c>
      <c r="E16" s="1"/>
      <c r="F16" s="10"/>
      <c r="G16" s="10"/>
      <c r="H16" s="1"/>
      <c r="I16" s="10"/>
      <c r="J16" s="10"/>
      <c r="K16" s="3" t="s">
        <v>318</v>
      </c>
      <c r="L16" s="4">
        <f>L14*(L10+10)*N10/30</f>
        <v>30000</v>
      </c>
      <c r="M16" s="34" t="s">
        <v>319</v>
      </c>
      <c r="N16" s="4">
        <f>IF(L11&lt;5,N13,IF(L11&lt;10,N14,N15))</f>
        <v>-3.7327983318170821E-4</v>
      </c>
      <c r="O16" s="1"/>
      <c r="P16" s="10"/>
      <c r="Q16" s="10"/>
      <c r="R16" s="1"/>
      <c r="S16" s="10"/>
      <c r="T16" s="10"/>
      <c r="U16" s="3" t="s">
        <v>318</v>
      </c>
      <c r="V16" s="4">
        <f>V14*(V10+10)*X10/30</f>
        <v>30000</v>
      </c>
      <c r="W16" s="34" t="s">
        <v>319</v>
      </c>
      <c r="X16" s="4">
        <f>IF(V11&lt;5,X13,IF(V11&lt;10,X14,X15))</f>
        <v>-3.7327983318170821E-4</v>
      </c>
      <c r="Y16" s="1"/>
      <c r="Z16" s="10"/>
      <c r="AA16" s="10"/>
      <c r="AB16" s="1"/>
      <c r="AC16" s="10"/>
      <c r="AD16" s="10"/>
      <c r="AE16" s="3" t="s">
        <v>318</v>
      </c>
      <c r="AF16" s="4">
        <f>AF14*(AF10+10)*AH10/30</f>
        <v>30000</v>
      </c>
      <c r="AG16" s="34" t="s">
        <v>319</v>
      </c>
      <c r="AH16" s="4">
        <f>IF(AF11&lt;5,AH13,IF(AF11&lt;10,AH14,AH15))</f>
        <v>-3.7327983318170821E-4</v>
      </c>
      <c r="AI16" s="1"/>
      <c r="AJ16" s="10"/>
      <c r="AK16" s="10"/>
      <c r="AL16" s="1"/>
      <c r="AM16" s="10"/>
      <c r="AN16" s="10"/>
      <c r="AO16" s="3" t="s">
        <v>318</v>
      </c>
      <c r="AP16" s="4">
        <f>AP14*(AP10+10)*AR10/30</f>
        <v>30000</v>
      </c>
      <c r="AQ16" s="34" t="s">
        <v>319</v>
      </c>
      <c r="AR16" s="4">
        <f>IF(AP11&lt;5,AR13,IF(AP11&lt;10,AR14,AR15))</f>
        <v>-3.7327983318170821E-4</v>
      </c>
      <c r="AS16" s="1"/>
      <c r="AT16" s="10"/>
      <c r="AU16" s="10"/>
      <c r="AV16" s="1"/>
      <c r="AW16" s="10"/>
      <c r="AX16" s="10"/>
      <c r="AY16" s="3" t="s">
        <v>318</v>
      </c>
      <c r="AZ16" s="4">
        <f>AZ14*(AZ10+10)*BB10/30</f>
        <v>30000</v>
      </c>
      <c r="BA16" s="34" t="s">
        <v>319</v>
      </c>
      <c r="BB16" s="4">
        <f>IF(AZ11&lt;5,BB13,IF(AZ11&lt;10,BB14,BB15))</f>
        <v>-3.7327983318170821E-4</v>
      </c>
      <c r="BC16" s="1"/>
      <c r="BD16" s="10"/>
      <c r="BE16" s="10"/>
      <c r="BF16" s="1"/>
      <c r="BG16" s="10"/>
      <c r="BH16" s="10"/>
      <c r="BI16" s="3" t="s">
        <v>318</v>
      </c>
      <c r="BJ16" s="4">
        <f>BJ14*(BJ10+10)*BL10/30</f>
        <v>30000</v>
      </c>
      <c r="BK16" s="34" t="s">
        <v>319</v>
      </c>
      <c r="BL16" s="4">
        <f>IF(BJ11&lt;5,BL13,IF(BJ11&lt;10,BL14,BL15))</f>
        <v>-3.7327983318170821E-4</v>
      </c>
      <c r="BM16" s="1"/>
      <c r="BN16" s="10"/>
      <c r="BO16" s="10"/>
      <c r="BP16" s="1"/>
      <c r="BQ16" s="10"/>
    </row>
    <row r="17" spans="1:69" ht="16.5" x14ac:dyDescent="0.3">
      <c r="A17" s="3" t="s">
        <v>240</v>
      </c>
      <c r="B17" s="9">
        <f>VLOOKUP(D8,F8:I10,2,FALSE)</f>
        <v>0.2</v>
      </c>
      <c r="C17" s="34" t="s">
        <v>320</v>
      </c>
      <c r="D17" s="4">
        <f ca="1">(33+2*B29)/(20.8+3*B29)</f>
        <v>1.1538367683993018</v>
      </c>
      <c r="E17" s="1"/>
      <c r="F17" s="10"/>
      <c r="G17" s="10"/>
      <c r="H17" s="1"/>
      <c r="I17" s="10"/>
      <c r="J17" s="10"/>
      <c r="K17" s="3" t="s">
        <v>240</v>
      </c>
      <c r="L17" s="9">
        <f>VLOOKUP(N8,P8:S10,2,FALSE)</f>
        <v>0.2</v>
      </c>
      <c r="M17" s="34" t="s">
        <v>320</v>
      </c>
      <c r="N17" s="4">
        <f ca="1">(33+2*L29)/(20.8+3*L29)</f>
        <v>1.1538367683993018</v>
      </c>
      <c r="O17" s="1"/>
      <c r="P17" s="10"/>
      <c r="Q17" s="10"/>
      <c r="R17" s="1"/>
      <c r="S17" s="10"/>
      <c r="T17" s="10"/>
      <c r="U17" s="3" t="s">
        <v>240</v>
      </c>
      <c r="V17" s="9">
        <f>VLOOKUP(X8,Z8:AC10,2,FALSE)</f>
        <v>0.2</v>
      </c>
      <c r="W17" s="34" t="s">
        <v>320</v>
      </c>
      <c r="X17" s="4">
        <f ca="1">(33+2*V29)/(20.8+3*V29)</f>
        <v>1.0893506520760361</v>
      </c>
      <c r="Y17" s="1"/>
      <c r="Z17" s="10"/>
      <c r="AA17" s="10"/>
      <c r="AB17" s="1"/>
      <c r="AC17" s="10"/>
      <c r="AD17" s="10"/>
      <c r="AE17" s="3" t="s">
        <v>240</v>
      </c>
      <c r="AF17" s="9">
        <f>VLOOKUP(AH8,AJ8:AM10,2,FALSE)</f>
        <v>0.2</v>
      </c>
      <c r="AG17" s="34" t="s">
        <v>320</v>
      </c>
      <c r="AH17" s="4">
        <f ca="1">(33+2*AF29)/(20.8+3*AF29)</f>
        <v>0.98258633748514523</v>
      </c>
      <c r="AI17" s="1"/>
      <c r="AJ17" s="10"/>
      <c r="AK17" s="10"/>
      <c r="AL17" s="1"/>
      <c r="AM17" s="10"/>
      <c r="AN17" s="10"/>
      <c r="AO17" s="3" t="s">
        <v>240</v>
      </c>
      <c r="AP17" s="9">
        <f>VLOOKUP(AR8,AT8:AW10,2,FALSE)</f>
        <v>0.2</v>
      </c>
      <c r="AQ17" s="34" t="s">
        <v>320</v>
      </c>
      <c r="AR17" s="4">
        <f ca="1">(33+2*AP29)/(20.8+3*AP29)</f>
        <v>0.90994132467894884</v>
      </c>
      <c r="AS17" s="1"/>
      <c r="AT17" s="10"/>
      <c r="AU17" s="10"/>
      <c r="AV17" s="1"/>
      <c r="AW17" s="10"/>
      <c r="AX17" s="10"/>
      <c r="AY17" s="3" t="s">
        <v>240</v>
      </c>
      <c r="AZ17" s="9">
        <f>VLOOKUP(BB8,BD8:BG10,2,FALSE)</f>
        <v>0.2</v>
      </c>
      <c r="BA17" s="34" t="s">
        <v>320</v>
      </c>
      <c r="BB17" s="4">
        <f ca="1">(33+2*AZ29)/(20.8+3*AZ29)</f>
        <v>0.81743097307378454</v>
      </c>
      <c r="BC17" s="1"/>
      <c r="BD17" s="10"/>
      <c r="BE17" s="10"/>
      <c r="BF17" s="1"/>
      <c r="BG17" s="10"/>
      <c r="BH17" s="10"/>
      <c r="BI17" s="3" t="s">
        <v>240</v>
      </c>
      <c r="BJ17" s="9">
        <f>VLOOKUP(BL8,BN8:BQ10,2,FALSE)</f>
        <v>0.2</v>
      </c>
      <c r="BK17" s="34" t="s">
        <v>320</v>
      </c>
      <c r="BL17" s="4">
        <f ca="1">(33+2*BJ29)/(20.8+3*BJ29)</f>
        <v>0.81743097307378454</v>
      </c>
      <c r="BM17" s="1"/>
      <c r="BN17" s="10"/>
      <c r="BO17" s="10"/>
      <c r="BP17" s="1"/>
      <c r="BQ17" s="10"/>
    </row>
    <row r="18" spans="1:69" ht="18" x14ac:dyDescent="0.35">
      <c r="A18" s="3" t="s">
        <v>321</v>
      </c>
      <c r="B18" s="35">
        <f>EXP(B17*(1-(28/B15)^(1/2)))</f>
        <v>0.66298024033229241</v>
      </c>
      <c r="C18" s="34" t="s">
        <v>322</v>
      </c>
      <c r="D18" s="4">
        <f ca="1">D17*D16</f>
        <v>-4.3070399642701268E-4</v>
      </c>
      <c r="E18" s="1"/>
      <c r="F18" s="10"/>
      <c r="G18" s="10"/>
      <c r="H18" s="1"/>
      <c r="I18" s="10"/>
      <c r="J18" s="10"/>
      <c r="K18" s="3" t="s">
        <v>321</v>
      </c>
      <c r="L18" s="35">
        <f>EXP(L17*(1-(28/L15)^(1/2)))</f>
        <v>0.92936658114797221</v>
      </c>
      <c r="M18" s="34" t="s">
        <v>322</v>
      </c>
      <c r="N18" s="4">
        <f ca="1">N17*N16</f>
        <v>-4.3070399642701268E-4</v>
      </c>
      <c r="O18" s="1"/>
      <c r="P18" s="10"/>
      <c r="Q18" s="10"/>
      <c r="R18" s="1"/>
      <c r="S18" s="10"/>
      <c r="T18" s="10"/>
      <c r="U18" s="3" t="s">
        <v>321</v>
      </c>
      <c r="V18" s="35">
        <f>EXP(V17*(1-(28/V15)^(1/2)))</f>
        <v>1.0431425841237678</v>
      </c>
      <c r="W18" s="34" t="s">
        <v>322</v>
      </c>
      <c r="X18" s="4">
        <f ca="1">X17*X16</f>
        <v>-4.0663262968332781E-4</v>
      </c>
      <c r="Y18" s="1"/>
      <c r="Z18" s="10"/>
      <c r="AA18" s="10"/>
      <c r="AB18" s="1"/>
      <c r="AC18" s="10"/>
      <c r="AD18" s="10"/>
      <c r="AE18" s="3" t="s">
        <v>321</v>
      </c>
      <c r="AF18" s="35">
        <f>EXP(AF17*(1-(28/AF15)^(1/2)))</f>
        <v>1.0924745251720891</v>
      </c>
      <c r="AG18" s="34" t="s">
        <v>322</v>
      </c>
      <c r="AH18" s="4">
        <f ca="1">AH17*AH16</f>
        <v>-3.6677966414308067E-4</v>
      </c>
      <c r="AI18" s="1"/>
      <c r="AJ18" s="10"/>
      <c r="AK18" s="10"/>
      <c r="AL18" s="1"/>
      <c r="AM18" s="10"/>
      <c r="AN18" s="10"/>
      <c r="AO18" s="3" t="s">
        <v>321</v>
      </c>
      <c r="AP18" s="35">
        <f>EXP(AP17*(1-(28/AP15)^(1/2)))</f>
        <v>1.1150686730462234</v>
      </c>
      <c r="AQ18" s="34" t="s">
        <v>322</v>
      </c>
      <c r="AR18" s="4">
        <f ca="1">AR17*AR16</f>
        <v>-3.3966274588130059E-4</v>
      </c>
      <c r="AS18" s="1"/>
      <c r="AT18" s="10"/>
      <c r="AU18" s="10"/>
      <c r="AV18" s="1"/>
      <c r="AW18" s="10"/>
      <c r="AX18" s="10"/>
      <c r="AY18" s="3" t="s">
        <v>321</v>
      </c>
      <c r="AZ18" s="35">
        <f>EXP(AZ17*(1-(28/AZ15)^(1/2)))</f>
        <v>1.128759154737226</v>
      </c>
      <c r="BA18" s="34" t="s">
        <v>322</v>
      </c>
      <c r="BB18" s="4">
        <f ca="1">BB17*BB16</f>
        <v>-3.0513049726654373E-4</v>
      </c>
      <c r="BC18" s="1"/>
      <c r="BD18" s="10"/>
      <c r="BE18" s="10"/>
      <c r="BF18" s="1"/>
      <c r="BG18" s="10"/>
      <c r="BH18" s="10"/>
      <c r="BI18" s="3" t="s">
        <v>321</v>
      </c>
      <c r="BJ18" s="35">
        <f>EXP(BJ17*(1-(28/BJ15)^(1/2)))</f>
        <v>1.1381983661356261</v>
      </c>
      <c r="BK18" s="34" t="s">
        <v>322</v>
      </c>
      <c r="BL18" s="4">
        <f ca="1">BL17*BL16</f>
        <v>-3.0513049726654373E-4</v>
      </c>
      <c r="BM18" s="1"/>
      <c r="BN18" s="10"/>
      <c r="BO18" s="10"/>
      <c r="BP18" s="1"/>
      <c r="BQ18" s="10"/>
    </row>
    <row r="19" spans="1:69" ht="18" x14ac:dyDescent="0.35">
      <c r="A19" s="3" t="s">
        <v>323</v>
      </c>
      <c r="B19" s="35">
        <f>EXP(B17*(1-(0)^(1/2)))</f>
        <v>1.2214027581601699</v>
      </c>
      <c r="C19" s="34" t="s">
        <v>314</v>
      </c>
      <c r="D19" s="4">
        <f>VLOOKUP(D8,F8:I10,4,FALSE)</f>
        <v>1</v>
      </c>
      <c r="E19" s="1"/>
      <c r="F19" s="10"/>
      <c r="G19" s="10"/>
      <c r="H19" s="1"/>
      <c r="I19" s="10"/>
      <c r="J19" s="10"/>
      <c r="K19" s="3" t="s">
        <v>323</v>
      </c>
      <c r="L19" s="35">
        <f>EXP(L17*(1-(0)^(1/2)))</f>
        <v>1.2214027581601699</v>
      </c>
      <c r="M19" s="34" t="s">
        <v>314</v>
      </c>
      <c r="N19" s="4">
        <f>VLOOKUP(N8,P8:S10,4,FALSE)</f>
        <v>1</v>
      </c>
      <c r="O19" s="1"/>
      <c r="P19" s="10"/>
      <c r="Q19" s="10"/>
      <c r="R19" s="1"/>
      <c r="S19" s="10"/>
      <c r="T19" s="10"/>
      <c r="U19" s="3" t="s">
        <v>323</v>
      </c>
      <c r="V19" s="35">
        <f>EXP(V17*(1-(0)^(1/2)))</f>
        <v>1.2214027581601699</v>
      </c>
      <c r="W19" s="34" t="s">
        <v>314</v>
      </c>
      <c r="X19" s="4">
        <f>VLOOKUP(X8,Z8:AC10,4,FALSE)</f>
        <v>1</v>
      </c>
      <c r="Y19" s="1"/>
      <c r="Z19" s="10"/>
      <c r="AA19" s="10"/>
      <c r="AB19" s="1"/>
      <c r="AC19" s="10"/>
      <c r="AD19" s="10"/>
      <c r="AE19" s="3" t="s">
        <v>323</v>
      </c>
      <c r="AF19" s="35">
        <f>EXP(AF17*(1-(0)^(1/2)))</f>
        <v>1.2214027581601699</v>
      </c>
      <c r="AG19" s="34" t="s">
        <v>314</v>
      </c>
      <c r="AH19" s="4">
        <f>VLOOKUP(AH8,AJ8:AM10,4,FALSE)</f>
        <v>1</v>
      </c>
      <c r="AI19" s="1"/>
      <c r="AJ19" s="10"/>
      <c r="AK19" s="10"/>
      <c r="AL19" s="1"/>
      <c r="AM19" s="10"/>
      <c r="AN19" s="10"/>
      <c r="AO19" s="3" t="s">
        <v>323</v>
      </c>
      <c r="AP19" s="35">
        <f>EXP(AP17*(1-(0)^(1/2)))</f>
        <v>1.2214027581601699</v>
      </c>
      <c r="AQ19" s="34" t="s">
        <v>314</v>
      </c>
      <c r="AR19" s="4">
        <f>VLOOKUP(AR8,AT8:AW10,4,FALSE)</f>
        <v>1</v>
      </c>
      <c r="AS19" s="1"/>
      <c r="AT19" s="10"/>
      <c r="AU19" s="10"/>
      <c r="AV19" s="1"/>
      <c r="AW19" s="10"/>
      <c r="AX19" s="10"/>
      <c r="AY19" s="3" t="s">
        <v>323</v>
      </c>
      <c r="AZ19" s="35">
        <f>EXP(AZ17*(1-(0)^(1/2)))</f>
        <v>1.2214027581601699</v>
      </c>
      <c r="BA19" s="34" t="s">
        <v>314</v>
      </c>
      <c r="BB19" s="4">
        <f>VLOOKUP(BB8,BD8:BG10,4,FALSE)</f>
        <v>1</v>
      </c>
      <c r="BC19" s="1"/>
      <c r="BD19" s="10"/>
      <c r="BE19" s="10"/>
      <c r="BF19" s="1"/>
      <c r="BG19" s="10"/>
      <c r="BH19" s="10"/>
      <c r="BI19" s="3" t="s">
        <v>323</v>
      </c>
      <c r="BJ19" s="35">
        <f>EXP(BJ17*(1-(0)^(1/2)))</f>
        <v>1.2214027581601699</v>
      </c>
      <c r="BK19" s="34" t="s">
        <v>314</v>
      </c>
      <c r="BL19" s="4">
        <f>VLOOKUP(BL8,BN8:BQ10,4,FALSE)</f>
        <v>1</v>
      </c>
      <c r="BM19" s="1"/>
      <c r="BN19" s="10"/>
      <c r="BO19" s="10"/>
      <c r="BP19" s="1"/>
      <c r="BQ19" s="10"/>
    </row>
    <row r="20" spans="1:69" ht="18" x14ac:dyDescent="0.35">
      <c r="A20" s="22" t="s">
        <v>324</v>
      </c>
      <c r="B20" s="35">
        <f>0.8*(1-B18/B19)</f>
        <v>0.36575815084553676</v>
      </c>
      <c r="C20" s="3" t="s">
        <v>316</v>
      </c>
      <c r="D20" s="4">
        <f>D19*(B10+10)*D9/30</f>
        <v>1</v>
      </c>
      <c r="E20" s="1"/>
      <c r="F20" s="10"/>
      <c r="G20" s="10"/>
      <c r="H20" s="1"/>
      <c r="I20" s="10"/>
      <c r="J20" s="10"/>
      <c r="K20" s="22" t="s">
        <v>324</v>
      </c>
      <c r="L20" s="35">
        <f>0.8*(1-L18/L19)</f>
        <v>0.19127919930496909</v>
      </c>
      <c r="M20" s="3" t="s">
        <v>316</v>
      </c>
      <c r="N20" s="4">
        <f>N19*(L10+10)*N9/30</f>
        <v>5</v>
      </c>
      <c r="O20" s="1"/>
      <c r="P20" s="10"/>
      <c r="Q20" s="10"/>
      <c r="R20" s="1"/>
      <c r="S20" s="10"/>
      <c r="T20" s="10"/>
      <c r="U20" s="22" t="s">
        <v>324</v>
      </c>
      <c r="V20" s="35">
        <f>0.8*(1-V18/V19)</f>
        <v>0.11675766922610845</v>
      </c>
      <c r="W20" s="3" t="s">
        <v>316</v>
      </c>
      <c r="X20" s="4">
        <f>X19*(V10+10)*X9/30</f>
        <v>15</v>
      </c>
      <c r="Y20" s="1"/>
      <c r="Z20" s="10"/>
      <c r="AA20" s="10"/>
      <c r="AB20" s="1"/>
      <c r="AC20" s="10"/>
      <c r="AD20" s="10"/>
      <c r="AE20" s="22" t="s">
        <v>324</v>
      </c>
      <c r="AF20" s="35">
        <f>0.8*(1-AF18/AF19)</f>
        <v>8.4446007429875902E-2</v>
      </c>
      <c r="AG20" s="3" t="s">
        <v>316</v>
      </c>
      <c r="AH20" s="4">
        <f>AH19*(AF10+10)*AH9/30</f>
        <v>30</v>
      </c>
      <c r="AI20" s="1"/>
      <c r="AJ20" s="10"/>
      <c r="AK20" s="10"/>
      <c r="AL20" s="1"/>
      <c r="AM20" s="10"/>
      <c r="AN20" s="10"/>
      <c r="AO20" s="22" t="s">
        <v>324</v>
      </c>
      <c r="AP20" s="35">
        <f>0.8*(1-AP18/AP19)</f>
        <v>6.9647188466559665E-2</v>
      </c>
      <c r="AQ20" s="3" t="s">
        <v>316</v>
      </c>
      <c r="AR20" s="4">
        <f>AR19*(AP10+10)*AR9/30</f>
        <v>45</v>
      </c>
      <c r="AS20" s="1"/>
      <c r="AT20" s="10"/>
      <c r="AU20" s="10"/>
      <c r="AV20" s="1"/>
      <c r="AW20" s="10"/>
      <c r="AX20" s="10"/>
      <c r="AY20" s="22" t="s">
        <v>324</v>
      </c>
      <c r="AZ20" s="35">
        <f>0.8*(1-AZ18/AZ19)</f>
        <v>6.0680133758659771E-2</v>
      </c>
      <c r="BA20" s="3" t="s">
        <v>316</v>
      </c>
      <c r="BB20" s="4">
        <f>BB19*(AZ10+10)*BB9/30</f>
        <v>60</v>
      </c>
      <c r="BC20" s="1"/>
      <c r="BD20" s="10"/>
      <c r="BE20" s="10"/>
      <c r="BF20" s="1"/>
      <c r="BG20" s="10"/>
      <c r="BH20" s="10"/>
      <c r="BI20" s="22" t="s">
        <v>324</v>
      </c>
      <c r="BJ20" s="35">
        <f>0.8*(1-BJ18/BJ19)</f>
        <v>5.4497595633320288E-2</v>
      </c>
      <c r="BK20" s="3" t="s">
        <v>316</v>
      </c>
      <c r="BL20" s="4">
        <f>BL19*(BJ10+10)*BL9/30</f>
        <v>75</v>
      </c>
      <c r="BM20" s="1"/>
      <c r="BN20" s="10"/>
      <c r="BO20" s="10"/>
      <c r="BP20" s="1"/>
      <c r="BQ20" s="10"/>
    </row>
    <row r="21" spans="1:69" ht="18" x14ac:dyDescent="0.35">
      <c r="A21" s="22" t="s">
        <v>325</v>
      </c>
      <c r="B21" s="35">
        <f>1.4*(1-B18/B19)</f>
        <v>0.64007676397968916</v>
      </c>
      <c r="C21" s="3" t="s">
        <v>318</v>
      </c>
      <c r="D21" s="4">
        <f>D19*(B10+10)*D10/30</f>
        <v>10000</v>
      </c>
      <c r="E21" s="1"/>
      <c r="F21" s="10"/>
      <c r="G21" s="10"/>
      <c r="H21" s="1"/>
      <c r="I21" s="10"/>
      <c r="J21" s="10"/>
      <c r="K21" s="22" t="s">
        <v>325</v>
      </c>
      <c r="L21" s="35">
        <f>1.4*(1-L18/L19)</f>
        <v>0.33473859878369588</v>
      </c>
      <c r="M21" s="3" t="s">
        <v>318</v>
      </c>
      <c r="N21" s="4">
        <f>N19*(L10+10)*N10/30</f>
        <v>10000</v>
      </c>
      <c r="O21" s="1"/>
      <c r="P21" s="10"/>
      <c r="Q21" s="10"/>
      <c r="R21" s="1"/>
      <c r="S21" s="10"/>
      <c r="T21" s="10"/>
      <c r="U21" s="22" t="s">
        <v>325</v>
      </c>
      <c r="V21" s="35">
        <f>1.4*(1-V18/V19)</f>
        <v>0.20432592114568976</v>
      </c>
      <c r="W21" s="3" t="s">
        <v>318</v>
      </c>
      <c r="X21" s="4">
        <f>X19*(V10+10)*X10/30</f>
        <v>10000</v>
      </c>
      <c r="Y21" s="1"/>
      <c r="Z21" s="10"/>
      <c r="AA21" s="10"/>
      <c r="AB21" s="1"/>
      <c r="AC21" s="10"/>
      <c r="AD21" s="10"/>
      <c r="AE21" s="22" t="s">
        <v>325</v>
      </c>
      <c r="AF21" s="35">
        <f>1.4*(1-AF18/AF19)</f>
        <v>0.14778051300228279</v>
      </c>
      <c r="AG21" s="3" t="s">
        <v>318</v>
      </c>
      <c r="AH21" s="4">
        <f>AH19*(AF10+10)*AH10/30</f>
        <v>10000</v>
      </c>
      <c r="AI21" s="1"/>
      <c r="AJ21" s="10"/>
      <c r="AK21" s="10"/>
      <c r="AL21" s="1"/>
      <c r="AM21" s="10"/>
      <c r="AN21" s="10"/>
      <c r="AO21" s="22" t="s">
        <v>325</v>
      </c>
      <c r="AP21" s="35">
        <f>1.4*(1-AP18/AP19)</f>
        <v>0.1218825798164794</v>
      </c>
      <c r="AQ21" s="3" t="s">
        <v>318</v>
      </c>
      <c r="AR21" s="4">
        <f>AR19*(AP10+10)*AR10/30</f>
        <v>10000</v>
      </c>
      <c r="AS21" s="1"/>
      <c r="AT21" s="10"/>
      <c r="AU21" s="10"/>
      <c r="AV21" s="1"/>
      <c r="AW21" s="10"/>
      <c r="AX21" s="10"/>
      <c r="AY21" s="22" t="s">
        <v>325</v>
      </c>
      <c r="AZ21" s="35">
        <f>1.4*(1-AZ18/AZ19)</f>
        <v>0.1061902340776546</v>
      </c>
      <c r="BA21" s="3" t="s">
        <v>318</v>
      </c>
      <c r="BB21" s="4">
        <f>BB19*(AZ10+10)*BB10/30</f>
        <v>10000</v>
      </c>
      <c r="BC21" s="1"/>
      <c r="BD21" s="10"/>
      <c r="BE21" s="10"/>
      <c r="BF21" s="1"/>
      <c r="BG21" s="10"/>
      <c r="BH21" s="10"/>
      <c r="BI21" s="22" t="s">
        <v>325</v>
      </c>
      <c r="BJ21" s="35">
        <f>1.4*(1-BJ18/BJ19)</f>
        <v>9.5370792358310488E-2</v>
      </c>
      <c r="BK21" s="3" t="s">
        <v>318</v>
      </c>
      <c r="BL21" s="4">
        <f>BL19*(BJ10+10)*BL10/30</f>
        <v>10000</v>
      </c>
      <c r="BM21" s="1"/>
      <c r="BN21" s="10"/>
      <c r="BO21" s="10"/>
      <c r="BP21" s="1"/>
      <c r="BQ21" s="10"/>
    </row>
    <row r="22" spans="1:69" ht="18.75" thickBot="1" x14ac:dyDescent="0.4">
      <c r="A22" s="36" t="s">
        <v>326</v>
      </c>
      <c r="B22" s="37">
        <f>IF(D7&lt;=45,B20,B21)</f>
        <v>0.64007676397968916</v>
      </c>
      <c r="C22" s="22" t="s">
        <v>327</v>
      </c>
      <c r="D22" s="38">
        <f ca="1">B29/100</f>
        <v>6.1581469424369095E-2</v>
      </c>
      <c r="E22" s="1"/>
      <c r="F22" s="10"/>
      <c r="G22" s="10"/>
      <c r="H22" s="1"/>
      <c r="I22" s="10"/>
      <c r="J22" s="10"/>
      <c r="K22" s="36" t="s">
        <v>326</v>
      </c>
      <c r="L22" s="37">
        <f>IF(N7&lt;=45,L20,L21)</f>
        <v>0.33473859878369588</v>
      </c>
      <c r="M22" s="22" t="s">
        <v>327</v>
      </c>
      <c r="N22" s="38">
        <f ca="1">L29/100</f>
        <v>6.1581469424369095E-2</v>
      </c>
      <c r="O22" s="1"/>
      <c r="P22" s="10"/>
      <c r="Q22" s="10"/>
      <c r="R22" s="1"/>
      <c r="S22" s="10"/>
      <c r="T22" s="10"/>
      <c r="U22" s="36" t="s">
        <v>326</v>
      </c>
      <c r="V22" s="37">
        <f>IF(X7&lt;=45,V20,V21)</f>
        <v>0.20432592114568976</v>
      </c>
      <c r="W22" s="22" t="s">
        <v>327</v>
      </c>
      <c r="X22" s="38">
        <f ca="1">V29/100</f>
        <v>8.1554280059468756E-2</v>
      </c>
      <c r="Y22" s="1"/>
      <c r="Z22" s="10"/>
      <c r="AA22" s="10"/>
      <c r="AB22" s="1"/>
      <c r="AC22" s="10"/>
      <c r="AD22" s="10"/>
      <c r="AE22" s="36" t="s">
        <v>326</v>
      </c>
      <c r="AF22" s="37">
        <f>IF(AH7&lt;=45,AF20,AF21)</f>
        <v>0.14778051300228279</v>
      </c>
      <c r="AG22" s="22" t="s">
        <v>327</v>
      </c>
      <c r="AH22" s="38">
        <f ca="1">AF29/100</f>
        <v>0.13254639644906216</v>
      </c>
      <c r="AI22" s="1"/>
      <c r="AJ22" s="10"/>
      <c r="AK22" s="10"/>
      <c r="AL22" s="1"/>
      <c r="AM22" s="10"/>
      <c r="AN22" s="10"/>
      <c r="AO22" s="36" t="s">
        <v>326</v>
      </c>
      <c r="AP22" s="37">
        <f>IF(AR7&lt;=45,AP20,AP21)</f>
        <v>0.1218825798164794</v>
      </c>
      <c r="AQ22" s="22" t="s">
        <v>327</v>
      </c>
      <c r="AR22" s="38">
        <f ca="1">AP29/100</f>
        <v>0.19283033919583684</v>
      </c>
      <c r="AS22" s="1"/>
      <c r="AT22" s="10"/>
      <c r="AU22" s="10"/>
      <c r="AV22" s="1"/>
      <c r="AW22" s="10"/>
      <c r="AX22" s="10"/>
      <c r="AY22" s="36" t="s">
        <v>326</v>
      </c>
      <c r="AZ22" s="37">
        <f>IF(BB7&lt;=45,AZ20,AZ21)</f>
        <v>0.1061902340776546</v>
      </c>
      <c r="BA22" s="22" t="s">
        <v>327</v>
      </c>
      <c r="BB22" s="38">
        <f ca="1">AZ29/100</f>
        <v>0.35369635650289916</v>
      </c>
      <c r="BC22" s="1"/>
      <c r="BD22" s="10"/>
      <c r="BE22" s="10"/>
      <c r="BF22" s="1"/>
      <c r="BG22" s="10"/>
      <c r="BH22" s="10"/>
      <c r="BI22" s="36" t="s">
        <v>326</v>
      </c>
      <c r="BJ22" s="37">
        <f>IF(BL7&lt;=45,BJ20,BJ21)</f>
        <v>9.5370792358310488E-2</v>
      </c>
      <c r="BK22" s="22" t="s">
        <v>327</v>
      </c>
      <c r="BL22" s="38">
        <f ca="1">BJ29/100</f>
        <v>0.35369635650289916</v>
      </c>
      <c r="BM22" s="1"/>
      <c r="BN22" s="10"/>
      <c r="BO22" s="10"/>
      <c r="BP22" s="1"/>
      <c r="BQ22" s="10"/>
    </row>
    <row r="23" spans="1:69" ht="15.75" thickBot="1" x14ac:dyDescent="0.3">
      <c r="A23" s="894" t="s">
        <v>328</v>
      </c>
      <c r="B23" s="895"/>
      <c r="C23" s="3" t="s">
        <v>109</v>
      </c>
      <c r="D23" s="4">
        <v>40</v>
      </c>
      <c r="E23" s="1"/>
      <c r="F23" s="10"/>
      <c r="G23" s="10"/>
      <c r="H23" s="1"/>
      <c r="I23" s="1"/>
      <c r="J23" s="1"/>
      <c r="K23" s="894" t="s">
        <v>328</v>
      </c>
      <c r="L23" s="895"/>
      <c r="M23" s="3" t="s">
        <v>109</v>
      </c>
      <c r="N23" s="4">
        <v>40</v>
      </c>
      <c r="O23" s="1"/>
      <c r="P23" s="10"/>
      <c r="Q23" s="10"/>
      <c r="R23" s="1"/>
      <c r="S23" s="1"/>
      <c r="T23" s="1"/>
      <c r="U23" s="894" t="s">
        <v>328</v>
      </c>
      <c r="V23" s="895"/>
      <c r="W23" s="3" t="s">
        <v>109</v>
      </c>
      <c r="X23" s="4">
        <v>40</v>
      </c>
      <c r="Y23" s="1"/>
      <c r="Z23" s="10"/>
      <c r="AA23" s="10"/>
      <c r="AB23" s="1"/>
      <c r="AC23" s="1"/>
      <c r="AD23" s="1"/>
      <c r="AE23" s="894" t="s">
        <v>328</v>
      </c>
      <c r="AF23" s="895"/>
      <c r="AG23" s="3" t="s">
        <v>109</v>
      </c>
      <c r="AH23" s="4">
        <v>40</v>
      </c>
      <c r="AI23" s="1"/>
      <c r="AJ23" s="10"/>
      <c r="AK23" s="10"/>
      <c r="AL23" s="1"/>
      <c r="AM23" s="1"/>
      <c r="AN23" s="1"/>
      <c r="AO23" s="894" t="s">
        <v>328</v>
      </c>
      <c r="AP23" s="895"/>
      <c r="AQ23" s="3" t="s">
        <v>109</v>
      </c>
      <c r="AR23" s="4">
        <v>40</v>
      </c>
      <c r="AS23" s="1"/>
      <c r="AT23" s="10"/>
      <c r="AU23" s="10"/>
      <c r="AV23" s="1"/>
      <c r="AW23" s="1"/>
      <c r="AX23" s="1"/>
      <c r="AY23" s="894" t="s">
        <v>328</v>
      </c>
      <c r="AZ23" s="895"/>
      <c r="BA23" s="3" t="s">
        <v>109</v>
      </c>
      <c r="BB23" s="4">
        <v>40</v>
      </c>
      <c r="BC23" s="1"/>
      <c r="BD23" s="10"/>
      <c r="BE23" s="10"/>
      <c r="BF23" s="1"/>
      <c r="BG23" s="1"/>
      <c r="BH23" s="1"/>
      <c r="BI23" s="894" t="s">
        <v>328</v>
      </c>
      <c r="BJ23" s="895"/>
      <c r="BK23" s="3" t="s">
        <v>109</v>
      </c>
      <c r="BL23" s="4">
        <v>40</v>
      </c>
      <c r="BM23" s="1"/>
      <c r="BN23" s="10"/>
      <c r="BO23" s="10"/>
      <c r="BP23" s="1"/>
      <c r="BQ23" s="1"/>
    </row>
    <row r="24" spans="1:69" ht="18" x14ac:dyDescent="0.35">
      <c r="A24" s="39" t="s">
        <v>329</v>
      </c>
      <c r="B24" s="33">
        <f>B25*0.75</f>
        <v>1.5</v>
      </c>
      <c r="C24" s="3" t="s">
        <v>110</v>
      </c>
      <c r="D24" s="4">
        <f ca="1">116*D22^3-282*D22^2+220*D22-4.8</f>
        <v>7.7055909987418785</v>
      </c>
      <c r="E24" s="10"/>
      <c r="F24" s="10"/>
      <c r="G24" s="10"/>
      <c r="H24" s="10"/>
      <c r="I24" s="10"/>
      <c r="J24" s="10"/>
      <c r="K24" s="39" t="s">
        <v>329</v>
      </c>
      <c r="L24" s="33">
        <f>L25*0.75</f>
        <v>1.5</v>
      </c>
      <c r="M24" s="3" t="s">
        <v>110</v>
      </c>
      <c r="N24" s="4">
        <f ca="1">116*N22^3-282*N22^2+220*N22-4.8</f>
        <v>7.7055909987418785</v>
      </c>
      <c r="O24" s="10"/>
      <c r="P24" s="10"/>
      <c r="Q24" s="10"/>
      <c r="R24" s="10"/>
      <c r="S24" s="10"/>
      <c r="T24" s="10"/>
      <c r="U24" s="39" t="s">
        <v>329</v>
      </c>
      <c r="V24" s="33">
        <f>V25*0.75</f>
        <v>1.5</v>
      </c>
      <c r="W24" s="3" t="s">
        <v>110</v>
      </c>
      <c r="X24" s="4">
        <f ca="1">116*X22^3-282*X22^2+220*X22-4.8</f>
        <v>11.329252628608497</v>
      </c>
      <c r="Y24" s="10"/>
      <c r="Z24" s="10"/>
      <c r="AA24" s="10"/>
      <c r="AB24" s="10"/>
      <c r="AC24" s="10"/>
      <c r="AD24" s="10"/>
      <c r="AE24" s="39" t="s">
        <v>329</v>
      </c>
      <c r="AF24" s="33">
        <f>AF25*0.75</f>
        <v>1.5</v>
      </c>
      <c r="AG24" s="3" t="s">
        <v>110</v>
      </c>
      <c r="AH24" s="4">
        <f ca="1">116*AH22^3-282*AH22^2+220*AH22-4.8</f>
        <v>19.676000029468121</v>
      </c>
      <c r="AI24" s="10"/>
      <c r="AJ24" s="10"/>
      <c r="AK24" s="10"/>
      <c r="AL24" s="10"/>
      <c r="AM24" s="10"/>
      <c r="AN24" s="10"/>
      <c r="AO24" s="39" t="s">
        <v>329</v>
      </c>
      <c r="AP24" s="33">
        <f>AP25*0.75</f>
        <v>1.5</v>
      </c>
      <c r="AQ24" s="3" t="s">
        <v>110</v>
      </c>
      <c r="AR24" s="4">
        <f ca="1">116*AR22^3-282*AR22^2+220*AR22-4.8</f>
        <v>27.968649714401149</v>
      </c>
      <c r="AS24" s="10"/>
      <c r="AT24" s="10"/>
      <c r="AU24" s="10"/>
      <c r="AV24" s="10"/>
      <c r="AW24" s="10"/>
      <c r="AX24" s="10"/>
      <c r="AY24" s="39" t="s">
        <v>329</v>
      </c>
      <c r="AZ24" s="33">
        <f>AZ25*0.75</f>
        <v>1.5</v>
      </c>
      <c r="BA24" s="3" t="s">
        <v>110</v>
      </c>
      <c r="BB24" s="4">
        <f ca="1">116*BB22^3-282*BB22^2+220*BB22-4.8</f>
        <v>42.867430372257417</v>
      </c>
      <c r="BC24" s="10"/>
      <c r="BD24" s="10"/>
      <c r="BE24" s="10"/>
      <c r="BF24" s="10"/>
      <c r="BG24" s="10"/>
      <c r="BH24" s="10"/>
      <c r="BI24" s="39" t="s">
        <v>329</v>
      </c>
      <c r="BJ24" s="33">
        <f>BJ25*0.75</f>
        <v>1.5</v>
      </c>
      <c r="BK24" s="3" t="s">
        <v>110</v>
      </c>
      <c r="BL24" s="4">
        <f ca="1">116*BL22^3-282*BL22^2+220*BL22-4.8</f>
        <v>42.867430372257417</v>
      </c>
      <c r="BM24" s="10"/>
      <c r="BN24" s="10"/>
      <c r="BO24" s="10"/>
      <c r="BP24" s="10"/>
      <c r="BQ24" s="10"/>
    </row>
    <row r="25" spans="1:69" ht="18" x14ac:dyDescent="0.35">
      <c r="A25" s="22" t="s">
        <v>330</v>
      </c>
      <c r="B25" s="4">
        <f>4.45-0.035*B9</f>
        <v>2</v>
      </c>
      <c r="C25" s="3" t="s">
        <v>111</v>
      </c>
      <c r="D25" s="4">
        <f ca="1">2.5*D22^3-8.8*D22+40.7</f>
        <v>40.158666904098823</v>
      </c>
      <c r="E25" s="10"/>
      <c r="F25" s="10"/>
      <c r="G25" s="10"/>
      <c r="H25" s="10"/>
      <c r="I25" s="10"/>
      <c r="J25" s="10"/>
      <c r="K25" s="22" t="s">
        <v>330</v>
      </c>
      <c r="L25" s="4">
        <f>4.45-0.035*L9</f>
        <v>2</v>
      </c>
      <c r="M25" s="3" t="s">
        <v>111</v>
      </c>
      <c r="N25" s="4">
        <f ca="1">2.5*N22^3-8.8*N22+40.7</f>
        <v>40.158666904098823</v>
      </c>
      <c r="O25" s="10"/>
      <c r="P25" s="10"/>
      <c r="Q25" s="10"/>
      <c r="R25" s="10"/>
      <c r="S25" s="10"/>
      <c r="T25" s="10"/>
      <c r="U25" s="22" t="s">
        <v>330</v>
      </c>
      <c r="V25" s="4">
        <f>4.45-0.035*V9</f>
        <v>2</v>
      </c>
      <c r="W25" s="3" t="s">
        <v>111</v>
      </c>
      <c r="X25" s="4">
        <f ca="1">2.5*X22^3-8.8*X22+40.7</f>
        <v>39.983678399778455</v>
      </c>
      <c r="Y25" s="10"/>
      <c r="Z25" s="10"/>
      <c r="AA25" s="10"/>
      <c r="AB25" s="10"/>
      <c r="AC25" s="10"/>
      <c r="AD25" s="10"/>
      <c r="AE25" s="22" t="s">
        <v>330</v>
      </c>
      <c r="AF25" s="4">
        <f>4.45-0.035*AF9</f>
        <v>2</v>
      </c>
      <c r="AG25" s="3" t="s">
        <v>111</v>
      </c>
      <c r="AH25" s="4">
        <f ca="1">2.5*AH22^3-8.8*AH22+40.7</f>
        <v>39.539413330307625</v>
      </c>
      <c r="AI25" s="10"/>
      <c r="AJ25" s="10"/>
      <c r="AK25" s="10"/>
      <c r="AL25" s="10"/>
      <c r="AM25" s="10"/>
      <c r="AN25" s="10"/>
      <c r="AO25" s="22" t="s">
        <v>330</v>
      </c>
      <c r="AP25" s="4">
        <f>4.45-0.035*AP9</f>
        <v>2</v>
      </c>
      <c r="AQ25" s="3" t="s">
        <v>111</v>
      </c>
      <c r="AR25" s="4">
        <f ca="1">2.5*AR22^3-8.8*AR22+40.7</f>
        <v>39.021018301515703</v>
      </c>
      <c r="AS25" s="10"/>
      <c r="AT25" s="10"/>
      <c r="AU25" s="10"/>
      <c r="AV25" s="10"/>
      <c r="AW25" s="10"/>
      <c r="AX25" s="10"/>
      <c r="AY25" s="22" t="s">
        <v>330</v>
      </c>
      <c r="AZ25" s="4">
        <f>4.45-0.035*AZ9</f>
        <v>2</v>
      </c>
      <c r="BA25" s="3" t="s">
        <v>111</v>
      </c>
      <c r="BB25" s="4">
        <f ca="1">2.5*BB22^3-8.8*BB22+40.7</f>
        <v>37.698091582080217</v>
      </c>
      <c r="BC25" s="10"/>
      <c r="BD25" s="10"/>
      <c r="BE25" s="10"/>
      <c r="BF25" s="10"/>
      <c r="BG25" s="10"/>
      <c r="BH25" s="10"/>
      <c r="BI25" s="22" t="s">
        <v>330</v>
      </c>
      <c r="BJ25" s="4">
        <f>4.45-0.035*BJ9</f>
        <v>2</v>
      </c>
      <c r="BK25" s="3" t="s">
        <v>111</v>
      </c>
      <c r="BL25" s="4">
        <f ca="1">2.5*BL22^3-8.8*BL22+40.7</f>
        <v>37.698091582080217</v>
      </c>
      <c r="BM25" s="10"/>
      <c r="BN25" s="10"/>
      <c r="BO25" s="10"/>
      <c r="BP25" s="10"/>
      <c r="BQ25" s="10"/>
    </row>
    <row r="26" spans="1:69" ht="18" x14ac:dyDescent="0.35">
      <c r="A26" s="22" t="s">
        <v>331</v>
      </c>
      <c r="B26" s="4">
        <f>B25*1.25</f>
        <v>2.5</v>
      </c>
      <c r="C26" s="3" t="s">
        <v>112</v>
      </c>
      <c r="D26" s="4">
        <f ca="1">-75*D22^3+585*D22^2+496*D22-6.8</f>
        <v>25.945376048720743</v>
      </c>
      <c r="E26" s="10"/>
      <c r="F26" s="10"/>
      <c r="G26" s="10"/>
      <c r="H26" s="10"/>
      <c r="I26" s="10"/>
      <c r="J26" s="10"/>
      <c r="K26" s="22" t="s">
        <v>331</v>
      </c>
      <c r="L26" s="4">
        <f>L25*1.25</f>
        <v>2.5</v>
      </c>
      <c r="M26" s="3" t="s">
        <v>112</v>
      </c>
      <c r="N26" s="4">
        <f ca="1">-75*N22^3+585*N22^2+496*N22-6.8</f>
        <v>25.945376048720743</v>
      </c>
      <c r="O26" s="10"/>
      <c r="P26" s="10"/>
      <c r="Q26" s="10"/>
      <c r="R26" s="10"/>
      <c r="S26" s="10"/>
      <c r="T26" s="10"/>
      <c r="U26" s="22" t="s">
        <v>331</v>
      </c>
      <c r="V26" s="4">
        <f>V25*1.25</f>
        <v>2.5</v>
      </c>
      <c r="W26" s="3" t="s">
        <v>112</v>
      </c>
      <c r="X26" s="4">
        <f ca="1">-75*X22^3+585*X22^2+496*X22-6.8</f>
        <v>37.501134829113838</v>
      </c>
      <c r="Y26" s="10"/>
      <c r="Z26" s="10"/>
      <c r="AA26" s="10"/>
      <c r="AB26" s="10"/>
      <c r="AC26" s="10"/>
      <c r="AD26" s="10"/>
      <c r="AE26" s="22" t="s">
        <v>331</v>
      </c>
      <c r="AF26" s="4">
        <f>AF25*1.25</f>
        <v>2.5</v>
      </c>
      <c r="AG26" s="3" t="s">
        <v>112</v>
      </c>
      <c r="AH26" s="4">
        <f ca="1">-75*AH22^3+585*AH22^2+496*AH22-6.8</f>
        <v>69.045964185758493</v>
      </c>
      <c r="AI26" s="10"/>
      <c r="AJ26" s="10"/>
      <c r="AK26" s="10"/>
      <c r="AL26" s="10"/>
      <c r="AM26" s="10"/>
      <c r="AN26" s="10"/>
      <c r="AO26" s="22" t="s">
        <v>331</v>
      </c>
      <c r="AP26" s="4">
        <f>AP25*1.25</f>
        <v>2.5</v>
      </c>
      <c r="AQ26" s="3" t="s">
        <v>112</v>
      </c>
      <c r="AR26" s="4">
        <f ca="1">-75*AR22^3+585*AR22^2+496*AR22-6.8</f>
        <v>110.0584603808763</v>
      </c>
      <c r="AS26" s="10"/>
      <c r="AT26" s="10"/>
      <c r="AU26" s="10"/>
      <c r="AV26" s="10"/>
      <c r="AW26" s="10"/>
      <c r="AX26" s="10"/>
      <c r="AY26" s="22" t="s">
        <v>331</v>
      </c>
      <c r="AZ26" s="4">
        <f>AZ25*1.25</f>
        <v>2.5</v>
      </c>
      <c r="BA26" s="3" t="s">
        <v>112</v>
      </c>
      <c r="BB26" s="4">
        <f ca="1">-75*BB22^3+585*BB22^2+496*BB22-6.8</f>
        <v>238.49895811927036</v>
      </c>
      <c r="BC26" s="10"/>
      <c r="BD26" s="10"/>
      <c r="BE26" s="10"/>
      <c r="BF26" s="10"/>
      <c r="BG26" s="10"/>
      <c r="BH26" s="10"/>
      <c r="BI26" s="22" t="s">
        <v>331</v>
      </c>
      <c r="BJ26" s="4">
        <f>BJ25*1.25</f>
        <v>2.5</v>
      </c>
      <c r="BK26" s="3" t="s">
        <v>112</v>
      </c>
      <c r="BL26" s="4">
        <f ca="1">-75*BL22^3+585*BL22^2+496*BL22-6.8</f>
        <v>238.49895811927036</v>
      </c>
      <c r="BM26" s="10"/>
      <c r="BN26" s="10"/>
      <c r="BO26" s="10"/>
      <c r="BP26" s="10"/>
      <c r="BQ26" s="10"/>
    </row>
    <row r="27" spans="1:69" ht="18" x14ac:dyDescent="0.35">
      <c r="A27" s="22" t="s">
        <v>332</v>
      </c>
      <c r="B27" s="4">
        <f>IF(B11&lt;5,B24,IF(B11&lt;10,B25,B26))</f>
        <v>1.5</v>
      </c>
      <c r="C27" s="3" t="s">
        <v>333</v>
      </c>
      <c r="D27" s="4">
        <f ca="1">-169*D22^4+88*D22^3+584*D22^2-39*D22+0.8</f>
        <v>0.6311332223346271</v>
      </c>
      <c r="E27" s="10"/>
      <c r="F27" s="10"/>
      <c r="G27" s="10"/>
      <c r="H27" s="10"/>
      <c r="I27" s="10"/>
      <c r="J27" s="10"/>
      <c r="K27" s="22" t="s">
        <v>332</v>
      </c>
      <c r="L27" s="4">
        <f>IF(L11&lt;5,L24,IF(L11&lt;10,L25,L26))</f>
        <v>1.5</v>
      </c>
      <c r="M27" s="3" t="s">
        <v>333</v>
      </c>
      <c r="N27" s="4">
        <f ca="1">-169*N22^4+88*N22^3+584*N22^2-39*N22+0.8</f>
        <v>0.6311332223346271</v>
      </c>
      <c r="O27" s="10"/>
      <c r="P27" s="10"/>
      <c r="Q27" s="10"/>
      <c r="R27" s="10"/>
      <c r="S27" s="10"/>
      <c r="T27" s="10"/>
      <c r="U27" s="22" t="s">
        <v>332</v>
      </c>
      <c r="V27" s="4">
        <f>IF(V11&lt;5,V24,IF(V11&lt;10,V25,V26))</f>
        <v>1.5</v>
      </c>
      <c r="W27" s="3" t="s">
        <v>333</v>
      </c>
      <c r="X27" s="4">
        <f ca="1">-169*X22^4+88*X22^3+584*X22^2-39*X22+0.8</f>
        <v>1.5438832126636031</v>
      </c>
      <c r="Y27" s="10"/>
      <c r="Z27" s="10"/>
      <c r="AA27" s="10"/>
      <c r="AB27" s="10"/>
      <c r="AC27" s="10"/>
      <c r="AD27" s="10"/>
      <c r="AE27" s="22" t="s">
        <v>332</v>
      </c>
      <c r="AF27" s="4">
        <f>IF(AF11&lt;5,AF24,IF(AF11&lt;10,AF25,AF26))</f>
        <v>1.5</v>
      </c>
      <c r="AG27" s="3" t="s">
        <v>333</v>
      </c>
      <c r="AH27" s="4">
        <f ca="1">-169*AH22^4+88*AH22^3+584*AH22^2-39*AH22+0.8</f>
        <v>6.0434806001288575</v>
      </c>
      <c r="AI27" s="10"/>
      <c r="AJ27" s="10"/>
      <c r="AK27" s="10"/>
      <c r="AL27" s="10"/>
      <c r="AM27" s="10"/>
      <c r="AN27" s="10"/>
      <c r="AO27" s="22" t="s">
        <v>332</v>
      </c>
      <c r="AP27" s="4">
        <f>IF(AP11&lt;5,AP24,IF(AP11&lt;10,AP25,AP26))</f>
        <v>1.5</v>
      </c>
      <c r="AQ27" s="3" t="s">
        <v>333</v>
      </c>
      <c r="AR27" s="4">
        <f ca="1">-169*AR22^4+88*AR22^3+584*AR22^2-39*AR22+0.8</f>
        <v>15.392112006474466</v>
      </c>
      <c r="AS27" s="10"/>
      <c r="AT27" s="10"/>
      <c r="AU27" s="10"/>
      <c r="AV27" s="10"/>
      <c r="AW27" s="10"/>
      <c r="AX27" s="10"/>
      <c r="AY27" s="22" t="s">
        <v>332</v>
      </c>
      <c r="AZ27" s="4">
        <f>IF(AZ11&lt;5,AZ24,IF(AZ11&lt;10,AZ25,AZ26))</f>
        <v>1.5</v>
      </c>
      <c r="BA27" s="3" t="s">
        <v>333</v>
      </c>
      <c r="BB27" s="4">
        <f ca="1">-169*BB22^4+88*BB22^3+584*BB22^2-39*BB22+0.8</f>
        <v>61.3138002010393</v>
      </c>
      <c r="BC27" s="10"/>
      <c r="BD27" s="10"/>
      <c r="BE27" s="10"/>
      <c r="BF27" s="10"/>
      <c r="BG27" s="10"/>
      <c r="BH27" s="10"/>
      <c r="BI27" s="22" t="s">
        <v>332</v>
      </c>
      <c r="BJ27" s="4">
        <f>IF(BJ11&lt;5,BJ24,IF(BJ11&lt;10,BJ25,BJ26))</f>
        <v>1.5</v>
      </c>
      <c r="BK27" s="3" t="s">
        <v>333</v>
      </c>
      <c r="BL27" s="4">
        <f ca="1">-169*BL22^4+88*BL22^3+584*BL22^2-39*BL22+0.8</f>
        <v>61.3138002010393</v>
      </c>
      <c r="BM27" s="10"/>
      <c r="BN27" s="10"/>
      <c r="BO27" s="10"/>
      <c r="BP27" s="10"/>
      <c r="BQ27" s="10"/>
    </row>
    <row r="28" spans="1:69" ht="18" x14ac:dyDescent="0.35">
      <c r="A28" s="34" t="s">
        <v>334</v>
      </c>
      <c r="B28" s="38">
        <f>1+EXP(-7.8+0.1*B9)</f>
        <v>1.4493289641172216</v>
      </c>
      <c r="C28" s="22" t="s">
        <v>335</v>
      </c>
      <c r="D28" s="4">
        <f ca="1">((D20/100)^3+D23*(D20/100)^2+D24*(D20/100))/((D20/100)^3+D25*(D20/100)^2+D26*(D20/100)+D27)</f>
        <v>9.0606484682144633E-2</v>
      </c>
      <c r="E28" s="10"/>
      <c r="F28" s="10"/>
      <c r="G28" s="10"/>
      <c r="H28" s="10"/>
      <c r="I28" s="10"/>
      <c r="J28" s="10"/>
      <c r="K28" s="34" t="s">
        <v>334</v>
      </c>
      <c r="L28" s="38">
        <f>1+EXP(-7.8+0.1*L9)</f>
        <v>1.4493289641172216</v>
      </c>
      <c r="M28" s="22" t="s">
        <v>335</v>
      </c>
      <c r="N28" s="4">
        <f ca="1">((N20/100)^3+N23*(N20/100)^2+N24*(N20/100))/((N20/100)^3+N25*(N20/100)^2+N26*(N20/100)+N27)</f>
        <v>0.2392423883873197</v>
      </c>
      <c r="O28" s="10"/>
      <c r="P28" s="10"/>
      <c r="Q28" s="10"/>
      <c r="R28" s="10"/>
      <c r="S28" s="10"/>
      <c r="T28" s="10"/>
      <c r="U28" s="34" t="s">
        <v>334</v>
      </c>
      <c r="V28" s="38">
        <f>1+EXP(-7.8+0.1*V9)</f>
        <v>1.4493289641172216</v>
      </c>
      <c r="W28" s="22" t="s">
        <v>335</v>
      </c>
      <c r="X28" s="4">
        <f ca="1">((X20/100)^3+X23*(X20/100)^2+X24*(X20/100))/((X20/100)^3+X25*(X20/100)^2+X26*(X20/100)+X27)</f>
        <v>0.32244092673139657</v>
      </c>
      <c r="Y28" s="10"/>
      <c r="Z28" s="10"/>
      <c r="AA28" s="10"/>
      <c r="AB28" s="10"/>
      <c r="AC28" s="10"/>
      <c r="AD28" s="10"/>
      <c r="AE28" s="34" t="s">
        <v>334</v>
      </c>
      <c r="AF28" s="38">
        <f>1+EXP(-7.8+0.1*AF9)</f>
        <v>1.4493289641172216</v>
      </c>
      <c r="AG28" s="22" t="s">
        <v>335</v>
      </c>
      <c r="AH28" s="4">
        <f ca="1">((AH20/100)^3+AH23*(AH20/100)^2+AH24*(AH20/100))/((AH20/100)^3+AH25*(AH20/100)^2+AH26*(AH20/100)+AH27)</f>
        <v>0.31407103669323394</v>
      </c>
      <c r="AI28" s="10"/>
      <c r="AJ28" s="10"/>
      <c r="AK28" s="10"/>
      <c r="AL28" s="10"/>
      <c r="AM28" s="10"/>
      <c r="AN28" s="10"/>
      <c r="AO28" s="34" t="s">
        <v>334</v>
      </c>
      <c r="AP28" s="38">
        <f>1+EXP(-7.8+0.1*AP9)</f>
        <v>1.4493289641172216</v>
      </c>
      <c r="AQ28" s="22" t="s">
        <v>335</v>
      </c>
      <c r="AR28" s="4">
        <f ca="1">((AR20/100)^3+AR23*(AR20/100)^2+AR24*(AR20/100))/((AR20/100)^3+AR25*(AR20/100)^2+AR26*(AR20/100)+AR27)</f>
        <v>0.28496292429398351</v>
      </c>
      <c r="AS28" s="10"/>
      <c r="AT28" s="10"/>
      <c r="AU28" s="10"/>
      <c r="AV28" s="10"/>
      <c r="AW28" s="10"/>
      <c r="AX28" s="10"/>
      <c r="AY28" s="34" t="s">
        <v>334</v>
      </c>
      <c r="AZ28" s="38">
        <f>1+EXP(-7.8+0.1*AZ9)</f>
        <v>1.4493289641172216</v>
      </c>
      <c r="BA28" s="22" t="s">
        <v>335</v>
      </c>
      <c r="BB28" s="4">
        <f ca="1">((BB20/100)^3+BB23*(BB20/100)^2+BB24*(BB20/100))/((BB20/100)^3+BB25*(BB20/100)^2+BB26*(BB20/100)+BB27)</f>
        <v>0.18485961505073509</v>
      </c>
      <c r="BC28" s="10"/>
      <c r="BD28" s="10"/>
      <c r="BE28" s="10"/>
      <c r="BF28" s="10"/>
      <c r="BG28" s="10"/>
      <c r="BH28" s="10"/>
      <c r="BI28" s="34" t="s">
        <v>334</v>
      </c>
      <c r="BJ28" s="38">
        <f>1+EXP(-7.8+0.1*BJ9)</f>
        <v>1.4493289641172216</v>
      </c>
      <c r="BK28" s="22" t="s">
        <v>335</v>
      </c>
      <c r="BL28" s="4">
        <f ca="1">((BL20/100)^3+BL23*(BL20/100)^2+BL24*(BL20/100))/((BL20/100)^3+BL25*(BL20/100)^2+BL26*(BL20/100)+BL27)</f>
        <v>0.21034865454822757</v>
      </c>
      <c r="BM28" s="10"/>
      <c r="BN28" s="10"/>
      <c r="BO28" s="10"/>
      <c r="BP28" s="10"/>
      <c r="BQ28" s="10"/>
    </row>
    <row r="29" spans="1:69" ht="18.75" thickBot="1" x14ac:dyDescent="0.4">
      <c r="A29" s="22" t="s">
        <v>327</v>
      </c>
      <c r="B29" s="38">
        <f ca="1">B28*2*B7/(B8)</f>
        <v>6.1581469424369093</v>
      </c>
      <c r="C29" s="36" t="s">
        <v>336</v>
      </c>
      <c r="D29" s="40">
        <f ca="1">((D21/100)^3+D23*(D21/100)^2+D24*(D21/100))/((D21/100)^3+D25*(D21/100)^2+D26*(D21/100)+D27)</f>
        <v>0.99757062896882087</v>
      </c>
      <c r="E29" s="10"/>
      <c r="F29" s="10"/>
      <c r="G29" s="10"/>
      <c r="H29" s="10"/>
      <c r="I29" s="10"/>
      <c r="J29" s="10"/>
      <c r="K29" s="22" t="s">
        <v>327</v>
      </c>
      <c r="L29" s="38">
        <f ca="1">L28*2*L7/(L8)</f>
        <v>6.1581469424369093</v>
      </c>
      <c r="M29" s="36" t="s">
        <v>336</v>
      </c>
      <c r="N29" s="40">
        <f ca="1">((N21/100)^3+N23*(N21/100)^2+N24*(N21/100))/((N21/100)^3+N25*(N21/100)^2+N26*(N21/100)+N27)</f>
        <v>0.99757062896882087</v>
      </c>
      <c r="O29" s="10"/>
      <c r="P29" s="10"/>
      <c r="Q29" s="10"/>
      <c r="R29" s="10"/>
      <c r="S29" s="10"/>
      <c r="T29" s="10"/>
      <c r="U29" s="22" t="s">
        <v>327</v>
      </c>
      <c r="V29" s="38">
        <f ca="1">V28*2*V7/(V8)</f>
        <v>8.1554280059468756</v>
      </c>
      <c r="W29" s="36" t="s">
        <v>336</v>
      </c>
      <c r="X29" s="40">
        <f ca="1">((X21/100)^3+X23*(X21/100)^2+X24*(X21/100))/((X21/100)^3+X25*(X21/100)^2+X26*(X21/100)+X27)</f>
        <v>0.99825054408494451</v>
      </c>
      <c r="Y29" s="10"/>
      <c r="Z29" s="10"/>
      <c r="AA29" s="10"/>
      <c r="AB29" s="10"/>
      <c r="AC29" s="10"/>
      <c r="AD29" s="10"/>
      <c r="AE29" s="22" t="s">
        <v>327</v>
      </c>
      <c r="AF29" s="38">
        <f ca="1">AF28*2*AF7/(AF8)</f>
        <v>13.254639644906216</v>
      </c>
      <c r="AG29" s="36" t="s">
        <v>336</v>
      </c>
      <c r="AH29" s="40">
        <f ca="1">((AH21/100)^3+AH23*(AH21/100)^2+AH24*(AH21/100))/((AH21/100)^3+AH25*(AH21/100)^2+AH26*(AH21/100)+AH27)</f>
        <v>0.99975955783239934</v>
      </c>
      <c r="AI29" s="10"/>
      <c r="AJ29" s="10"/>
      <c r="AK29" s="10"/>
      <c r="AL29" s="10"/>
      <c r="AM29" s="10"/>
      <c r="AN29" s="10"/>
      <c r="AO29" s="22" t="s">
        <v>327</v>
      </c>
      <c r="AP29" s="38">
        <f ca="1">AP28*2*AP7/(AP8)</f>
        <v>19.283033919583684</v>
      </c>
      <c r="AQ29" s="36" t="s">
        <v>336</v>
      </c>
      <c r="AR29" s="40">
        <f ca="1">((AR21/100)^3+AR23*(AR21/100)^2+AR24*(AR21/100))/((AR21/100)^3+AR25*(AR21/100)^2+AR26*(AR21/100)+AR27)</f>
        <v>1.0011171914806813</v>
      </c>
      <c r="AS29" s="10"/>
      <c r="AT29" s="10"/>
      <c r="AU29" s="10"/>
      <c r="AV29" s="10"/>
      <c r="AW29" s="10"/>
      <c r="AX29" s="10"/>
      <c r="AY29" s="22" t="s">
        <v>327</v>
      </c>
      <c r="AZ29" s="38">
        <f ca="1">AZ28*2*AZ7/(AZ8)</f>
        <v>35.369635650289915</v>
      </c>
      <c r="BA29" s="36" t="s">
        <v>336</v>
      </c>
      <c r="BB29" s="40">
        <f ca="1">((BB21/100)^3+BB23*(BB21/100)^2+BB24*(BB21/100))/((BB21/100)^3+BB25*(BB21/100)^2+BB26*(BB21/100)+BB27)</f>
        <v>1.0024231827295385</v>
      </c>
      <c r="BC29" s="10"/>
      <c r="BD29" s="10"/>
      <c r="BE29" s="10"/>
      <c r="BF29" s="10"/>
      <c r="BG29" s="10"/>
      <c r="BH29" s="10"/>
      <c r="BI29" s="22" t="s">
        <v>327</v>
      </c>
      <c r="BJ29" s="38">
        <f ca="1">BJ28*2*BJ7/(BJ8)</f>
        <v>35.369635650289915</v>
      </c>
      <c r="BK29" s="36" t="s">
        <v>336</v>
      </c>
      <c r="BL29" s="40">
        <f ca="1">((BL21/100)^3+BL23*(BL21/100)^2+BL24*(BL21/100))/((BL21/100)^3+BL25*(BL21/100)^2+BL26*(BL21/100)+BL27)</f>
        <v>1.0024231827295385</v>
      </c>
      <c r="BM29" s="10"/>
      <c r="BN29" s="10"/>
      <c r="BO29" s="10"/>
      <c r="BP29" s="10"/>
      <c r="BQ29" s="10"/>
    </row>
    <row r="30" spans="1:69" ht="18.75" thickBot="1" x14ac:dyDescent="0.4">
      <c r="A30" s="22" t="s">
        <v>337</v>
      </c>
      <c r="B30" s="41">
        <f ca="1">(42+B29)/(20+B29)</f>
        <v>1.8410381686597586</v>
      </c>
      <c r="C30" s="42" t="s">
        <v>338</v>
      </c>
      <c r="D30" s="43">
        <f ca="1">D18*(D29-D28)</f>
        <v>-3.9063308156027723E-4</v>
      </c>
      <c r="E30" s="10"/>
      <c r="F30" s="10"/>
      <c r="G30" s="10"/>
      <c r="H30" s="10"/>
      <c r="I30" s="10"/>
      <c r="J30" s="10"/>
      <c r="K30" s="22" t="s">
        <v>337</v>
      </c>
      <c r="L30" s="41">
        <f ca="1">(42+L29)/(20+L29)</f>
        <v>1.8410381686597586</v>
      </c>
      <c r="M30" s="42" t="s">
        <v>338</v>
      </c>
      <c r="N30" s="43">
        <f ca="1">N18*(N29-N28)</f>
        <v>-3.2661500382191771E-4</v>
      </c>
      <c r="O30" s="10"/>
      <c r="P30" s="10"/>
      <c r="Q30" s="10"/>
      <c r="R30" s="10"/>
      <c r="S30" s="10"/>
      <c r="T30" s="10"/>
      <c r="U30" s="22" t="s">
        <v>337</v>
      </c>
      <c r="V30" s="41">
        <f ca="1">(42+V29)/(20+V29)</f>
        <v>1.781376862584126</v>
      </c>
      <c r="W30" s="42" t="s">
        <v>338</v>
      </c>
      <c r="X30" s="43">
        <f ca="1">X18*(X29-X28)</f>
        <v>-2.7480624186975675E-4</v>
      </c>
      <c r="Y30" s="10"/>
      <c r="Z30" s="10"/>
      <c r="AA30" s="10"/>
      <c r="AB30" s="10"/>
      <c r="AC30" s="10"/>
      <c r="AD30" s="10"/>
      <c r="AE30" s="22" t="s">
        <v>337</v>
      </c>
      <c r="AF30" s="41">
        <f ca="1">(42+AF29)/(20+AF29)</f>
        <v>1.6615618221973381</v>
      </c>
      <c r="AG30" s="42" t="s">
        <v>338</v>
      </c>
      <c r="AH30" s="43">
        <f ca="1">AH18*(AH29-AH28)</f>
        <v>-2.5149660549018878E-4</v>
      </c>
      <c r="AI30" s="10"/>
      <c r="AJ30" s="10"/>
      <c r="AK30" s="10"/>
      <c r="AL30" s="10"/>
      <c r="AM30" s="10"/>
      <c r="AN30" s="10"/>
      <c r="AO30" s="22" t="s">
        <v>337</v>
      </c>
      <c r="AP30" s="41">
        <f ca="1">(42+AP29)/(20+AP29)</f>
        <v>1.5600382100078167</v>
      </c>
      <c r="AQ30" s="42" t="s">
        <v>338</v>
      </c>
      <c r="AR30" s="43">
        <f ca="1">AR18*(AR29-AR28)</f>
        <v>-2.432509248672444E-4</v>
      </c>
      <c r="AS30" s="10"/>
      <c r="AT30" s="10"/>
      <c r="AU30" s="10"/>
      <c r="AV30" s="10"/>
      <c r="AW30" s="10"/>
      <c r="AX30" s="10"/>
      <c r="AY30" s="22" t="s">
        <v>337</v>
      </c>
      <c r="AZ30" s="41">
        <f ca="1">(42+AZ29)/(20+AZ29)</f>
        <v>1.3973296869596579</v>
      </c>
      <c r="BA30" s="42" t="s">
        <v>338</v>
      </c>
      <c r="BB30" s="43">
        <f ca="1">BB18*(BB29-BB28)</f>
        <v>-2.4946357795284282E-4</v>
      </c>
      <c r="BC30" s="10"/>
      <c r="BD30" s="10"/>
      <c r="BE30" s="10"/>
      <c r="BF30" s="10"/>
      <c r="BG30" s="10"/>
      <c r="BH30" s="10"/>
      <c r="BI30" s="22" t="s">
        <v>337</v>
      </c>
      <c r="BJ30" s="41">
        <f ca="1">(42+BJ29)/(20+BJ29)</f>
        <v>1.3973296869596579</v>
      </c>
      <c r="BK30" s="42" t="s">
        <v>338</v>
      </c>
      <c r="BL30" s="43">
        <f ca="1">BL18*(BL29-BL28)</f>
        <v>-2.4168609465612638E-4</v>
      </c>
      <c r="BM30" s="10"/>
      <c r="BN30" s="10"/>
      <c r="BO30" s="10"/>
      <c r="BP30" s="10"/>
      <c r="BQ30" s="10"/>
    </row>
    <row r="31" spans="1:69" ht="18" x14ac:dyDescent="0.35">
      <c r="A31" s="22" t="s">
        <v>339</v>
      </c>
      <c r="B31" s="38">
        <f ca="1">B27*B30</f>
        <v>2.7615572529896379</v>
      </c>
      <c r="C31" s="10"/>
      <c r="D31" s="10"/>
      <c r="E31" s="10"/>
      <c r="F31" s="10"/>
      <c r="G31" s="10"/>
      <c r="H31" s="10"/>
      <c r="I31" s="10"/>
      <c r="J31" s="10"/>
      <c r="K31" s="22" t="s">
        <v>339</v>
      </c>
      <c r="L31" s="38">
        <f ca="1">L27*L30</f>
        <v>2.7615572529896379</v>
      </c>
      <c r="M31" s="10"/>
      <c r="N31" s="10"/>
      <c r="O31" s="10"/>
      <c r="P31" s="10"/>
      <c r="Q31" s="10"/>
      <c r="R31" s="10"/>
      <c r="S31" s="10"/>
      <c r="T31" s="10"/>
      <c r="U31" s="22" t="s">
        <v>339</v>
      </c>
      <c r="V31" s="38">
        <f ca="1">V27*V30</f>
        <v>2.6720652938761891</v>
      </c>
      <c r="W31" s="10"/>
      <c r="X31" s="10"/>
      <c r="Y31" s="10"/>
      <c r="Z31" s="10"/>
      <c r="AA31" s="10"/>
      <c r="AB31" s="10"/>
      <c r="AC31" s="10"/>
      <c r="AD31" s="10"/>
      <c r="AE31" s="22" t="s">
        <v>339</v>
      </c>
      <c r="AF31" s="38">
        <f ca="1">AF27*AF30</f>
        <v>2.4923427332960069</v>
      </c>
      <c r="AG31" s="10"/>
      <c r="AH31" s="10"/>
      <c r="AI31" s="10"/>
      <c r="AJ31" s="10"/>
      <c r="AK31" s="10"/>
      <c r="AL31" s="10"/>
      <c r="AM31" s="10"/>
      <c r="AN31" s="10"/>
      <c r="AO31" s="22" t="s">
        <v>339</v>
      </c>
      <c r="AP31" s="38">
        <f ca="1">AP27*AP30</f>
        <v>2.340057315011725</v>
      </c>
      <c r="AQ31" s="10"/>
      <c r="AR31" s="10"/>
      <c r="AS31" s="10"/>
      <c r="AT31" s="10"/>
      <c r="AU31" s="10"/>
      <c r="AV31" s="10"/>
      <c r="AW31" s="10"/>
      <c r="AX31" s="10"/>
      <c r="AY31" s="22" t="s">
        <v>339</v>
      </c>
      <c r="AZ31" s="38">
        <f ca="1">AZ27*AZ30</f>
        <v>2.0959945304394867</v>
      </c>
      <c r="BA31" s="10"/>
      <c r="BB31" s="10"/>
      <c r="BC31" s="10"/>
      <c r="BD31" s="10"/>
      <c r="BE31" s="10"/>
      <c r="BF31" s="10"/>
      <c r="BG31" s="10"/>
      <c r="BH31" s="10"/>
      <c r="BI31" s="22" t="s">
        <v>339</v>
      </c>
      <c r="BJ31" s="38">
        <f ca="1">BJ27*BJ30</f>
        <v>2.0959945304394867</v>
      </c>
      <c r="BK31" s="10"/>
      <c r="BL31" s="10"/>
      <c r="BM31" s="10"/>
      <c r="BN31" s="10"/>
      <c r="BO31" s="10"/>
      <c r="BP31" s="10"/>
      <c r="BQ31" s="10"/>
    </row>
    <row r="32" spans="1:69" ht="18" x14ac:dyDescent="0.35">
      <c r="A32" s="22" t="s">
        <v>340</v>
      </c>
      <c r="B32" s="38">
        <f ca="1">0.45*B27*B30</f>
        <v>1.2427007638453371</v>
      </c>
      <c r="C32" s="10"/>
      <c r="D32" s="10"/>
      <c r="E32" s="10"/>
      <c r="F32" s="10"/>
      <c r="G32" s="10"/>
      <c r="H32" s="10"/>
      <c r="I32" s="10"/>
      <c r="J32" s="10"/>
      <c r="K32" s="22" t="s">
        <v>340</v>
      </c>
      <c r="L32" s="38">
        <f ca="1">0.45*L27*L30</f>
        <v>1.2427007638453371</v>
      </c>
      <c r="M32" s="10"/>
      <c r="N32" s="10"/>
      <c r="O32" s="10"/>
      <c r="P32" s="10"/>
      <c r="Q32" s="10"/>
      <c r="R32" s="10"/>
      <c r="S32" s="10"/>
      <c r="T32" s="10"/>
      <c r="U32" s="22" t="s">
        <v>340</v>
      </c>
      <c r="V32" s="38">
        <f ca="1">0.45*V27*V30</f>
        <v>1.2024293822442851</v>
      </c>
      <c r="W32" s="10"/>
      <c r="X32" s="10"/>
      <c r="Y32" s="10"/>
      <c r="Z32" s="10"/>
      <c r="AA32" s="10"/>
      <c r="AB32" s="10"/>
      <c r="AC32" s="10"/>
      <c r="AD32" s="10"/>
      <c r="AE32" s="22" t="s">
        <v>340</v>
      </c>
      <c r="AF32" s="38">
        <f ca="1">0.45*AF27*AF30</f>
        <v>1.1215542299832033</v>
      </c>
      <c r="AG32" s="10"/>
      <c r="AH32" s="10"/>
      <c r="AI32" s="10"/>
      <c r="AJ32" s="10"/>
      <c r="AK32" s="10"/>
      <c r="AL32" s="10"/>
      <c r="AM32" s="10"/>
      <c r="AN32" s="10"/>
      <c r="AO32" s="22" t="s">
        <v>340</v>
      </c>
      <c r="AP32" s="38">
        <f ca="1">0.45*AP27*AP30</f>
        <v>1.0530257917552763</v>
      </c>
      <c r="AQ32" s="10"/>
      <c r="AR32" s="10"/>
      <c r="AS32" s="10"/>
      <c r="AT32" s="10"/>
      <c r="AU32" s="10"/>
      <c r="AV32" s="10"/>
      <c r="AW32" s="10"/>
      <c r="AX32" s="10"/>
      <c r="AY32" s="22" t="s">
        <v>340</v>
      </c>
      <c r="AZ32" s="38">
        <f ca="1">0.45*AZ27*AZ30</f>
        <v>0.94319753869776912</v>
      </c>
      <c r="BA32" s="10"/>
      <c r="BB32" s="10"/>
      <c r="BC32" s="10"/>
      <c r="BD32" s="10"/>
      <c r="BE32" s="10"/>
      <c r="BF32" s="10"/>
      <c r="BG32" s="10"/>
      <c r="BH32" s="10"/>
      <c r="BI32" s="22" t="s">
        <v>340</v>
      </c>
      <c r="BJ32" s="38">
        <f ca="1">0.45*BJ27*BJ30</f>
        <v>0.94319753869776912</v>
      </c>
      <c r="BK32" s="10"/>
      <c r="BL32" s="10"/>
      <c r="BM32" s="10"/>
      <c r="BN32" s="10"/>
      <c r="BO32" s="10"/>
      <c r="BP32" s="10"/>
      <c r="BQ32" s="10"/>
    </row>
    <row r="33" spans="1:69" ht="18.75" thickBot="1" x14ac:dyDescent="0.4">
      <c r="A33" s="36" t="s">
        <v>341</v>
      </c>
      <c r="B33" s="44">
        <f ca="1">IF(D7&lt;50,B31,B32)</f>
        <v>1.2427007638453371</v>
      </c>
      <c r="C33" s="10"/>
      <c r="D33" s="10"/>
      <c r="E33" s="10"/>
      <c r="F33" s="10"/>
      <c r="G33" s="10"/>
      <c r="H33" s="10"/>
      <c r="I33" s="10"/>
      <c r="J33" s="10"/>
      <c r="K33" s="36" t="s">
        <v>341</v>
      </c>
      <c r="L33" s="44">
        <f ca="1">IF(N7&lt;50,L31,L32)</f>
        <v>1.2427007638453371</v>
      </c>
      <c r="M33" s="10"/>
      <c r="N33" s="10"/>
      <c r="O33" s="10"/>
      <c r="P33" s="10"/>
      <c r="Q33" s="10"/>
      <c r="R33" s="10"/>
      <c r="S33" s="10"/>
      <c r="T33" s="10"/>
      <c r="U33" s="36" t="s">
        <v>341</v>
      </c>
      <c r="V33" s="44">
        <f ca="1">IF(X7&lt;50,V31,V32)</f>
        <v>1.2024293822442851</v>
      </c>
      <c r="W33" s="10"/>
      <c r="X33" s="10"/>
      <c r="Y33" s="10"/>
      <c r="Z33" s="10"/>
      <c r="AA33" s="10"/>
      <c r="AB33" s="10"/>
      <c r="AC33" s="10"/>
      <c r="AD33" s="10"/>
      <c r="AE33" s="36" t="s">
        <v>341</v>
      </c>
      <c r="AF33" s="44">
        <f ca="1">IF(AH7&lt;50,AF31,AF32)</f>
        <v>1.1215542299832033</v>
      </c>
      <c r="AG33" s="10"/>
      <c r="AH33" s="10"/>
      <c r="AI33" s="10"/>
      <c r="AJ33" s="10"/>
      <c r="AK33" s="10"/>
      <c r="AL33" s="10"/>
      <c r="AM33" s="10"/>
      <c r="AN33" s="10"/>
      <c r="AO33" s="36" t="s">
        <v>341</v>
      </c>
      <c r="AP33" s="44">
        <f ca="1">IF(AR7&lt;50,AP31,AP32)</f>
        <v>1.0530257917552763</v>
      </c>
      <c r="AQ33" s="10"/>
      <c r="AR33" s="10"/>
      <c r="AS33" s="10"/>
      <c r="AT33" s="10"/>
      <c r="AU33" s="10"/>
      <c r="AV33" s="10"/>
      <c r="AW33" s="10"/>
      <c r="AX33" s="10"/>
      <c r="AY33" s="36" t="s">
        <v>341</v>
      </c>
      <c r="AZ33" s="44">
        <f ca="1">IF(BB7&lt;50,AZ31,AZ32)</f>
        <v>0.94319753869776912</v>
      </c>
      <c r="BA33" s="10"/>
      <c r="BB33" s="10"/>
      <c r="BC33" s="10"/>
      <c r="BD33" s="10"/>
      <c r="BE33" s="10"/>
      <c r="BF33" s="10"/>
      <c r="BG33" s="10"/>
      <c r="BH33" s="10"/>
      <c r="BI33" s="36" t="s">
        <v>341</v>
      </c>
      <c r="BJ33" s="44">
        <f ca="1">IF(BL7&lt;50,BJ31,BJ32)</f>
        <v>0.94319753869776912</v>
      </c>
      <c r="BK33" s="10"/>
      <c r="BL33" s="10"/>
      <c r="BM33" s="10"/>
      <c r="BN33" s="10"/>
      <c r="BO33" s="10"/>
      <c r="BP33" s="10"/>
      <c r="BQ33" s="10"/>
    </row>
    <row r="34" spans="1:69" ht="15.75" thickBot="1" x14ac:dyDescent="0.3">
      <c r="A34" s="894" t="s">
        <v>342</v>
      </c>
      <c r="B34" s="895"/>
      <c r="C34" s="10"/>
      <c r="D34" s="10"/>
      <c r="E34" s="10"/>
      <c r="F34" s="10"/>
      <c r="G34" s="10"/>
      <c r="H34" s="10"/>
      <c r="I34" s="10"/>
      <c r="J34" s="10"/>
      <c r="K34" s="894" t="s">
        <v>342</v>
      </c>
      <c r="L34" s="895"/>
      <c r="M34" s="10"/>
      <c r="N34" s="10"/>
      <c r="O34" s="10"/>
      <c r="P34" s="10"/>
      <c r="Q34" s="10"/>
      <c r="R34" s="10"/>
      <c r="S34" s="10"/>
      <c r="T34" s="10"/>
      <c r="U34" s="894" t="s">
        <v>342</v>
      </c>
      <c r="V34" s="895"/>
      <c r="W34" s="10"/>
      <c r="X34" s="10"/>
      <c r="Y34" s="10"/>
      <c r="Z34" s="10"/>
      <c r="AA34" s="10"/>
      <c r="AB34" s="10"/>
      <c r="AC34" s="10"/>
      <c r="AD34" s="10"/>
      <c r="AE34" s="894" t="s">
        <v>342</v>
      </c>
      <c r="AF34" s="895"/>
      <c r="AG34" s="10"/>
      <c r="AH34" s="10"/>
      <c r="AI34" s="10"/>
      <c r="AJ34" s="10"/>
      <c r="AK34" s="10"/>
      <c r="AL34" s="10"/>
      <c r="AM34" s="10"/>
      <c r="AN34" s="10"/>
      <c r="AO34" s="894" t="s">
        <v>342</v>
      </c>
      <c r="AP34" s="895"/>
      <c r="AQ34" s="10"/>
      <c r="AR34" s="10"/>
      <c r="AS34" s="10"/>
      <c r="AT34" s="10"/>
      <c r="AU34" s="10"/>
      <c r="AV34" s="10"/>
      <c r="AW34" s="10"/>
      <c r="AX34" s="10"/>
      <c r="AY34" s="894" t="s">
        <v>342</v>
      </c>
      <c r="AZ34" s="895"/>
      <c r="BA34" s="10"/>
      <c r="BB34" s="10"/>
      <c r="BC34" s="10"/>
      <c r="BD34" s="10"/>
      <c r="BE34" s="10"/>
      <c r="BF34" s="10"/>
      <c r="BG34" s="10"/>
      <c r="BH34" s="10"/>
      <c r="BI34" s="894" t="s">
        <v>342</v>
      </c>
      <c r="BJ34" s="895"/>
      <c r="BK34" s="10"/>
      <c r="BL34" s="10"/>
      <c r="BM34" s="10"/>
      <c r="BN34" s="10"/>
      <c r="BO34" s="10"/>
      <c r="BP34" s="10"/>
      <c r="BQ34" s="10"/>
    </row>
    <row r="35" spans="1:69" ht="18" x14ac:dyDescent="0.35">
      <c r="A35" s="39" t="s">
        <v>343</v>
      </c>
      <c r="B35" s="33">
        <v>0.4</v>
      </c>
      <c r="C35" s="10"/>
      <c r="D35" s="10"/>
      <c r="E35" s="10"/>
      <c r="F35" s="10"/>
      <c r="G35" s="10"/>
      <c r="H35" s="10"/>
      <c r="I35" s="10"/>
      <c r="J35" s="10"/>
      <c r="K35" s="39" t="s">
        <v>343</v>
      </c>
      <c r="L35" s="33">
        <v>0.4</v>
      </c>
      <c r="M35" s="10"/>
      <c r="N35" s="10"/>
      <c r="O35" s="10"/>
      <c r="P35" s="10"/>
      <c r="Q35" s="10"/>
      <c r="R35" s="10"/>
      <c r="S35" s="10"/>
      <c r="T35" s="10"/>
      <c r="U35" s="39" t="s">
        <v>343</v>
      </c>
      <c r="V35" s="33">
        <v>0.4</v>
      </c>
      <c r="W35" s="10"/>
      <c r="X35" s="10"/>
      <c r="Y35" s="10"/>
      <c r="Z35" s="10"/>
      <c r="AA35" s="10"/>
      <c r="AB35" s="10"/>
      <c r="AC35" s="10"/>
      <c r="AD35" s="10"/>
      <c r="AE35" s="39" t="s">
        <v>343</v>
      </c>
      <c r="AF35" s="33">
        <v>0.4</v>
      </c>
      <c r="AG35" s="10"/>
      <c r="AH35" s="10"/>
      <c r="AI35" s="10"/>
      <c r="AJ35" s="10"/>
      <c r="AK35" s="10"/>
      <c r="AL35" s="10"/>
      <c r="AM35" s="10"/>
      <c r="AN35" s="10"/>
      <c r="AO35" s="39" t="s">
        <v>343</v>
      </c>
      <c r="AP35" s="33">
        <v>0.4</v>
      </c>
      <c r="AQ35" s="10"/>
      <c r="AR35" s="10"/>
      <c r="AS35" s="10"/>
      <c r="AT35" s="10"/>
      <c r="AU35" s="10"/>
      <c r="AV35" s="10"/>
      <c r="AW35" s="10"/>
      <c r="AX35" s="10"/>
      <c r="AY35" s="39" t="s">
        <v>343</v>
      </c>
      <c r="AZ35" s="33">
        <v>0.4</v>
      </c>
      <c r="BA35" s="10"/>
      <c r="BB35" s="10"/>
      <c r="BC35" s="10"/>
      <c r="BD35" s="10"/>
      <c r="BE35" s="10"/>
      <c r="BF35" s="10"/>
      <c r="BG35" s="10"/>
      <c r="BH35" s="10"/>
      <c r="BI35" s="39" t="s">
        <v>343</v>
      </c>
      <c r="BJ35" s="33">
        <v>0.4</v>
      </c>
      <c r="BK35" s="10"/>
      <c r="BL35" s="10"/>
      <c r="BM35" s="10"/>
      <c r="BN35" s="10"/>
      <c r="BO35" s="10"/>
      <c r="BP35" s="10"/>
      <c r="BQ35" s="10"/>
    </row>
    <row r="36" spans="1:69" ht="18" x14ac:dyDescent="0.35">
      <c r="A36" s="22" t="s">
        <v>344</v>
      </c>
      <c r="B36" s="41">
        <f>(B16-B15+20)/(B16-B15+70)</f>
        <v>0.99833704726111683</v>
      </c>
      <c r="C36" s="10"/>
      <c r="D36" s="10"/>
      <c r="E36" s="10"/>
      <c r="F36" s="10"/>
      <c r="G36" s="10"/>
      <c r="H36" s="10"/>
      <c r="I36" s="10"/>
      <c r="J36" s="10"/>
      <c r="K36" s="22" t="s">
        <v>344</v>
      </c>
      <c r="L36" s="41">
        <f>(L16-L15+20)/(L16-L15+70)</f>
        <v>0.99833638329728835</v>
      </c>
      <c r="M36" s="10"/>
      <c r="N36" s="10"/>
      <c r="O36" s="10"/>
      <c r="P36" s="10"/>
      <c r="Q36" s="10"/>
      <c r="R36" s="10"/>
      <c r="S36" s="10"/>
      <c r="T36" s="10"/>
      <c r="U36" s="22" t="s">
        <v>344</v>
      </c>
      <c r="V36" s="41">
        <f>(V16-V15+20)/(V16-V15+70)</f>
        <v>0.99833472106577847</v>
      </c>
      <c r="W36" s="10"/>
      <c r="X36" s="10"/>
      <c r="Y36" s="10"/>
      <c r="Z36" s="10"/>
      <c r="AA36" s="10"/>
      <c r="AB36" s="10"/>
      <c r="AC36" s="10"/>
      <c r="AD36" s="10"/>
      <c r="AE36" s="22" t="s">
        <v>344</v>
      </c>
      <c r="AF36" s="41">
        <f>(AF16-AF15+20)/(AF16-AF15+70)</f>
        <v>0.99833222148098733</v>
      </c>
      <c r="AG36" s="10"/>
      <c r="AH36" s="10"/>
      <c r="AI36" s="10"/>
      <c r="AJ36" s="10"/>
      <c r="AK36" s="10"/>
      <c r="AL36" s="10"/>
      <c r="AM36" s="10"/>
      <c r="AN36" s="10"/>
      <c r="AO36" s="22" t="s">
        <v>344</v>
      </c>
      <c r="AP36" s="41">
        <f>(AP16-AP15+20)/(AP16-AP15+70)</f>
        <v>0.99832971438115914</v>
      </c>
      <c r="AQ36" s="10"/>
      <c r="AR36" s="10"/>
      <c r="AS36" s="10"/>
      <c r="AT36" s="10"/>
      <c r="AU36" s="10"/>
      <c r="AV36" s="10"/>
      <c r="AW36" s="10"/>
      <c r="AX36" s="10"/>
      <c r="AY36" s="22" t="s">
        <v>344</v>
      </c>
      <c r="AZ36" s="41">
        <f>(AZ16-AZ15+20)/(AZ16-AZ15+70)</f>
        <v>0.99832719973235196</v>
      </c>
      <c r="BA36" s="10"/>
      <c r="BB36" s="10"/>
      <c r="BC36" s="10"/>
      <c r="BD36" s="10"/>
      <c r="BE36" s="10"/>
      <c r="BF36" s="10"/>
      <c r="BG36" s="10"/>
      <c r="BH36" s="10"/>
      <c r="BI36" s="22" t="s">
        <v>344</v>
      </c>
      <c r="BJ36" s="41">
        <f>(BJ16-BJ15+20)/(BJ16-BJ15+70)</f>
        <v>0.99832467750041887</v>
      </c>
      <c r="BK36" s="10"/>
      <c r="BL36" s="10"/>
      <c r="BM36" s="10"/>
      <c r="BN36" s="10"/>
      <c r="BO36" s="10"/>
      <c r="BP36" s="10"/>
      <c r="BQ36" s="10"/>
    </row>
    <row r="37" spans="1:69" ht="18" x14ac:dyDescent="0.35">
      <c r="A37" s="22" t="s">
        <v>327</v>
      </c>
      <c r="B37" s="38">
        <f ca="1">IF(B29/100&lt;0.05,0.05,IF(B29/100&gt;1.6,1.6,B29/100))</f>
        <v>6.1581469424369095E-2</v>
      </c>
      <c r="C37" s="10"/>
      <c r="D37" s="10"/>
      <c r="E37" s="10"/>
      <c r="F37" s="10"/>
      <c r="G37" s="10"/>
      <c r="H37" s="10"/>
      <c r="I37" s="10"/>
      <c r="J37" s="10"/>
      <c r="K37" s="22" t="s">
        <v>327</v>
      </c>
      <c r="L37" s="38">
        <f ca="1">IF(L29/100&lt;0.05,0.05,IF(L29/100&gt;1.6,1.6,L29/100))</f>
        <v>6.1581469424369095E-2</v>
      </c>
      <c r="M37" s="10"/>
      <c r="N37" s="10"/>
      <c r="O37" s="10"/>
      <c r="P37" s="10"/>
      <c r="Q37" s="10"/>
      <c r="R37" s="10"/>
      <c r="S37" s="10"/>
      <c r="T37" s="10"/>
      <c r="U37" s="22" t="s">
        <v>327</v>
      </c>
      <c r="V37" s="38">
        <f ca="1">IF(V29/100&lt;0.05,0.05,IF(V29/100&gt;1.6,1.6,V29/100))</f>
        <v>8.1554280059468756E-2</v>
      </c>
      <c r="W37" s="10"/>
      <c r="X37" s="10"/>
      <c r="Y37" s="10"/>
      <c r="Z37" s="10"/>
      <c r="AA37" s="10"/>
      <c r="AB37" s="10"/>
      <c r="AC37" s="10"/>
      <c r="AD37" s="10"/>
      <c r="AE37" s="22" t="s">
        <v>327</v>
      </c>
      <c r="AF37" s="38">
        <f ca="1">IF(AF29/100&lt;0.05,0.05,IF(AF29/100&gt;1.6,1.6,AF29/100))</f>
        <v>0.13254639644906216</v>
      </c>
      <c r="AG37" s="10"/>
      <c r="AH37" s="10"/>
      <c r="AI37" s="10"/>
      <c r="AJ37" s="10"/>
      <c r="AK37" s="10"/>
      <c r="AL37" s="10"/>
      <c r="AM37" s="10"/>
      <c r="AN37" s="10"/>
      <c r="AO37" s="22" t="s">
        <v>327</v>
      </c>
      <c r="AP37" s="38">
        <f ca="1">IF(AP29/100&lt;0.05,0.05,IF(AP29/100&gt;1.6,1.6,AP29/100))</f>
        <v>0.19283033919583684</v>
      </c>
      <c r="AQ37" s="10"/>
      <c r="AR37" s="10"/>
      <c r="AS37" s="10"/>
      <c r="AT37" s="10"/>
      <c r="AU37" s="10"/>
      <c r="AV37" s="10"/>
      <c r="AW37" s="10"/>
      <c r="AX37" s="10"/>
      <c r="AY37" s="22" t="s">
        <v>327</v>
      </c>
      <c r="AZ37" s="38">
        <f ca="1">IF(AZ29/100&lt;0.05,0.05,IF(AZ29/100&gt;1.6,1.6,AZ29/100))</f>
        <v>0.35369635650289916</v>
      </c>
      <c r="BA37" s="10"/>
      <c r="BB37" s="10"/>
      <c r="BC37" s="10"/>
      <c r="BD37" s="10"/>
      <c r="BE37" s="10"/>
      <c r="BF37" s="10"/>
      <c r="BG37" s="10"/>
      <c r="BH37" s="10"/>
      <c r="BI37" s="22" t="s">
        <v>327</v>
      </c>
      <c r="BJ37" s="38">
        <f ca="1">IF(BJ29/100&lt;0.05,0.05,IF(BJ29/100&gt;1.6,1.6,BJ29/100))</f>
        <v>0.35369635650289916</v>
      </c>
      <c r="BK37" s="10"/>
      <c r="BL37" s="10"/>
      <c r="BM37" s="10"/>
      <c r="BN37" s="10"/>
      <c r="BO37" s="10"/>
      <c r="BP37" s="10"/>
      <c r="BQ37" s="10"/>
    </row>
    <row r="38" spans="1:69" x14ac:dyDescent="0.25">
      <c r="A38" s="3" t="s">
        <v>109</v>
      </c>
      <c r="B38" s="9">
        <f ca="1">42*(B37)^3-350*(B37)^2+588*(B37)+113</f>
        <v>147.89241536832537</v>
      </c>
      <c r="C38" s="10"/>
      <c r="D38" s="10"/>
      <c r="E38" s="10"/>
      <c r="F38" s="10"/>
      <c r="G38" s="10"/>
      <c r="H38" s="10"/>
      <c r="I38" s="10"/>
      <c r="J38" s="10"/>
      <c r="K38" s="3" t="s">
        <v>109</v>
      </c>
      <c r="L38" s="9">
        <f ca="1">42*(L37)^3-350*(L37)^2+588*(L37)+113</f>
        <v>147.89241536832537</v>
      </c>
      <c r="M38" s="10"/>
      <c r="N38" s="10"/>
      <c r="O38" s="10"/>
      <c r="P38" s="10"/>
      <c r="Q38" s="10"/>
      <c r="R38" s="10"/>
      <c r="S38" s="10"/>
      <c r="T38" s="10"/>
      <c r="U38" s="3" t="s">
        <v>109</v>
      </c>
      <c r="V38" s="9">
        <f ca="1">42*(V37)^3-350*(V37)^2+588*(V37)+113</f>
        <v>158.64881334663113</v>
      </c>
      <c r="W38" s="10"/>
      <c r="X38" s="10"/>
      <c r="Y38" s="10"/>
      <c r="Z38" s="10"/>
      <c r="AA38" s="10"/>
      <c r="AB38" s="10"/>
      <c r="AC38" s="10"/>
      <c r="AD38" s="10"/>
      <c r="AE38" s="3" t="s">
        <v>109</v>
      </c>
      <c r="AF38" s="9">
        <f ca="1">42*(AF37)^3-350*(AF37)^2+588*(AF37)+113</f>
        <v>184.88609278817475</v>
      </c>
      <c r="AG38" s="10"/>
      <c r="AH38" s="10"/>
      <c r="AI38" s="10"/>
      <c r="AJ38" s="10"/>
      <c r="AK38" s="10"/>
      <c r="AL38" s="10"/>
      <c r="AM38" s="10"/>
      <c r="AN38" s="10"/>
      <c r="AO38" s="3" t="s">
        <v>109</v>
      </c>
      <c r="AP38" s="9">
        <f ca="1">42*(AP37)^3-350*(AP37)^2+588*(AP37)+113</f>
        <v>213.67114535929483</v>
      </c>
      <c r="AQ38" s="10"/>
      <c r="AR38" s="10"/>
      <c r="AS38" s="10"/>
      <c r="AT38" s="10"/>
      <c r="AU38" s="10"/>
      <c r="AV38" s="10"/>
      <c r="AW38" s="10"/>
      <c r="AX38" s="10"/>
      <c r="AY38" s="3" t="s">
        <v>109</v>
      </c>
      <c r="AZ38" s="9">
        <f ca="1">42*(AZ37)^3-350*(AZ37)^2+588*(AZ37)+113</f>
        <v>279.04647613684187</v>
      </c>
      <c r="BA38" s="10"/>
      <c r="BB38" s="10"/>
      <c r="BC38" s="10"/>
      <c r="BD38" s="10"/>
      <c r="BE38" s="10"/>
      <c r="BF38" s="10"/>
      <c r="BG38" s="10"/>
      <c r="BH38" s="10"/>
      <c r="BI38" s="3" t="s">
        <v>109</v>
      </c>
      <c r="BJ38" s="9">
        <f ca="1">42*(BJ37)^3-350*(BJ37)^2+588*(BJ37)+113</f>
        <v>279.04647613684187</v>
      </c>
      <c r="BK38" s="10"/>
      <c r="BL38" s="10"/>
      <c r="BM38" s="10"/>
      <c r="BN38" s="10"/>
      <c r="BO38" s="10"/>
      <c r="BP38" s="10"/>
      <c r="BQ38" s="10"/>
    </row>
    <row r="39" spans="1:69" x14ac:dyDescent="0.25">
      <c r="A39" s="3" t="s">
        <v>110</v>
      </c>
      <c r="B39" s="9">
        <f ca="1">768*(B37)^3-3060*(B37)^2+3234*(B37)-23</f>
        <v>164.72945746864841</v>
      </c>
      <c r="C39" s="10"/>
      <c r="D39" s="10"/>
      <c r="E39" s="10"/>
      <c r="F39" s="10"/>
      <c r="G39" s="10"/>
      <c r="H39" s="10"/>
      <c r="I39" s="10"/>
      <c r="J39" s="10"/>
      <c r="K39" s="3" t="s">
        <v>110</v>
      </c>
      <c r="L39" s="9">
        <f ca="1">768*(L37)^3-3060*(L37)^2+3234*(L37)-23</f>
        <v>164.72945746864841</v>
      </c>
      <c r="M39" s="10"/>
      <c r="N39" s="10"/>
      <c r="O39" s="10"/>
      <c r="P39" s="10"/>
      <c r="Q39" s="10"/>
      <c r="R39" s="10"/>
      <c r="S39" s="10"/>
      <c r="T39" s="10"/>
      <c r="U39" s="3" t="s">
        <v>110</v>
      </c>
      <c r="V39" s="9">
        <f ca="1">768*(V37)^3-3060*(V37)^2+3234*(V37)-23</f>
        <v>220.81075684201241</v>
      </c>
      <c r="W39" s="10"/>
      <c r="X39" s="10"/>
      <c r="Y39" s="10"/>
      <c r="Z39" s="10"/>
      <c r="AA39" s="10"/>
      <c r="AB39" s="10"/>
      <c r="AC39" s="10"/>
      <c r="AD39" s="10"/>
      <c r="AE39" s="3" t="s">
        <v>110</v>
      </c>
      <c r="AF39" s="9">
        <f ca="1">768*(AF37)^3-3060*(AF37)^2+3234*(AF37)-23</f>
        <v>353.68369302371099</v>
      </c>
      <c r="AG39" s="10"/>
      <c r="AH39" s="10"/>
      <c r="AI39" s="10"/>
      <c r="AJ39" s="10"/>
      <c r="AK39" s="10"/>
      <c r="AL39" s="10"/>
      <c r="AM39" s="10"/>
      <c r="AN39" s="10"/>
      <c r="AO39" s="3" t="s">
        <v>110</v>
      </c>
      <c r="AP39" s="9">
        <f ca="1">768*(AP37)^3-3060*(AP37)^2+3234*(AP37)-23</f>
        <v>492.33833342740979</v>
      </c>
      <c r="AQ39" s="10"/>
      <c r="AR39" s="10"/>
      <c r="AS39" s="10"/>
      <c r="AT39" s="10"/>
      <c r="AU39" s="10"/>
      <c r="AV39" s="10"/>
      <c r="AW39" s="10"/>
      <c r="AX39" s="10"/>
      <c r="AY39" s="3" t="s">
        <v>110</v>
      </c>
      <c r="AZ39" s="9">
        <f ca="1">768*(AZ37)^3-3060*(AZ37)^2+3234*(AZ37)-23</f>
        <v>772.02692869461168</v>
      </c>
      <c r="BA39" s="10"/>
      <c r="BB39" s="10"/>
      <c r="BC39" s="10"/>
      <c r="BD39" s="10"/>
      <c r="BE39" s="10"/>
      <c r="BF39" s="10"/>
      <c r="BG39" s="10"/>
      <c r="BH39" s="10"/>
      <c r="BI39" s="3" t="s">
        <v>110</v>
      </c>
      <c r="BJ39" s="9">
        <f ca="1">768*(BJ37)^3-3060*(BJ37)^2+3234*(BJ37)-23</f>
        <v>772.02692869461168</v>
      </c>
      <c r="BK39" s="10"/>
      <c r="BL39" s="10"/>
      <c r="BM39" s="10"/>
      <c r="BN39" s="10"/>
      <c r="BO39" s="10"/>
      <c r="BP39" s="10"/>
      <c r="BQ39" s="10"/>
    </row>
    <row r="40" spans="1:69" x14ac:dyDescent="0.25">
      <c r="A40" s="3" t="s">
        <v>111</v>
      </c>
      <c r="B40" s="9">
        <f ca="1">-200*(B37)^3+13*(B37)^2+1090*(B37)+183</f>
        <v>250.12639447579485</v>
      </c>
      <c r="C40" s="10"/>
      <c r="D40" s="10"/>
      <c r="E40" s="10"/>
      <c r="F40" s="10"/>
      <c r="G40" s="10"/>
      <c r="H40" s="10"/>
      <c r="I40" s="10"/>
      <c r="J40" s="10"/>
      <c r="K40" s="3" t="s">
        <v>111</v>
      </c>
      <c r="L40" s="9">
        <f ca="1">-200*(L37)^3+13*(L37)^2+1090*(L37)+183</f>
        <v>250.12639447579485</v>
      </c>
      <c r="M40" s="10"/>
      <c r="N40" s="10"/>
      <c r="O40" s="10"/>
      <c r="P40" s="10"/>
      <c r="Q40" s="10"/>
      <c r="R40" s="10"/>
      <c r="S40" s="10"/>
      <c r="T40" s="10"/>
      <c r="U40" s="3" t="s">
        <v>111</v>
      </c>
      <c r="V40" s="9">
        <f ca="1">-200*(V37)^3+13*(V37)^2+1090*(V37)+183</f>
        <v>271.87214442842691</v>
      </c>
      <c r="W40" s="10"/>
      <c r="X40" s="10"/>
      <c r="Y40" s="10"/>
      <c r="Z40" s="10"/>
      <c r="AA40" s="10"/>
      <c r="AB40" s="10"/>
      <c r="AC40" s="10"/>
      <c r="AD40" s="10"/>
      <c r="AE40" s="3" t="s">
        <v>111</v>
      </c>
      <c r="AF40" s="9">
        <f ca="1">-200*(AF37)^3+13*(AF37)^2+1090*(AF37)+183</f>
        <v>327.23823371847953</v>
      </c>
      <c r="AG40" s="10"/>
      <c r="AH40" s="10"/>
      <c r="AI40" s="10"/>
      <c r="AJ40" s="10"/>
      <c r="AK40" s="10"/>
      <c r="AL40" s="10"/>
      <c r="AM40" s="10"/>
      <c r="AN40" s="10"/>
      <c r="AO40" s="3" t="s">
        <v>111</v>
      </c>
      <c r="AP40" s="9">
        <f ca="1">-200*(AP37)^3+13*(AP37)^2+1090*(AP37)+183</f>
        <v>392.23443282462392</v>
      </c>
      <c r="AQ40" s="10"/>
      <c r="AR40" s="10"/>
      <c r="AS40" s="10"/>
      <c r="AT40" s="10"/>
      <c r="AU40" s="10"/>
      <c r="AV40" s="10"/>
      <c r="AW40" s="10"/>
      <c r="AX40" s="10"/>
      <c r="AY40" s="3" t="s">
        <v>111</v>
      </c>
      <c r="AZ40" s="9">
        <f ca="1">-200*(AZ37)^3+13*(AZ37)^2+1090*(AZ37)+183</f>
        <v>561.3057815075465</v>
      </c>
      <c r="BA40" s="10"/>
      <c r="BB40" s="10"/>
      <c r="BC40" s="10"/>
      <c r="BD40" s="10"/>
      <c r="BE40" s="10"/>
      <c r="BF40" s="10"/>
      <c r="BG40" s="10"/>
      <c r="BH40" s="10"/>
      <c r="BI40" s="3" t="s">
        <v>111</v>
      </c>
      <c r="BJ40" s="9">
        <f ca="1">-200*(BJ37)^3+13*(BJ37)^2+1090*(BJ37)+183</f>
        <v>561.3057815075465</v>
      </c>
      <c r="BK40" s="10"/>
      <c r="BL40" s="10"/>
      <c r="BM40" s="10"/>
      <c r="BN40" s="10"/>
      <c r="BO40" s="10"/>
      <c r="BP40" s="10"/>
      <c r="BQ40" s="10"/>
    </row>
    <row r="41" spans="1:69" x14ac:dyDescent="0.25">
      <c r="A41" s="3" t="s">
        <v>112</v>
      </c>
      <c r="B41" s="9">
        <f ca="1">7579*(B37)^3-31916*(B37)^2+35343*(B37)+1931</f>
        <v>3988.2095034050931</v>
      </c>
      <c r="C41" s="10"/>
      <c r="D41" s="10"/>
      <c r="E41" s="10"/>
      <c r="F41" s="10"/>
      <c r="G41" s="10"/>
      <c r="H41" s="10"/>
      <c r="I41" s="10"/>
      <c r="J41" s="10"/>
      <c r="K41" s="3" t="s">
        <v>112</v>
      </c>
      <c r="L41" s="9">
        <f ca="1">7579*(L37)^3-31916*(L37)^2+35343*(L37)+1931</f>
        <v>3988.2095034050931</v>
      </c>
      <c r="M41" s="10"/>
      <c r="N41" s="10"/>
      <c r="O41" s="10"/>
      <c r="P41" s="10"/>
      <c r="Q41" s="10"/>
      <c r="R41" s="10"/>
      <c r="S41" s="10"/>
      <c r="T41" s="10"/>
      <c r="U41" s="3" t="s">
        <v>112</v>
      </c>
      <c r="V41" s="9">
        <f ca="1">7579*(V37)^3-31916*(V37)^2+35343*(V37)+1931</f>
        <v>4605.2074380565573</v>
      </c>
      <c r="W41" s="10"/>
      <c r="X41" s="10"/>
      <c r="Y41" s="10"/>
      <c r="Z41" s="10"/>
      <c r="AA41" s="10"/>
      <c r="AB41" s="10"/>
      <c r="AC41" s="10"/>
      <c r="AD41" s="10"/>
      <c r="AE41" s="3" t="s">
        <v>112</v>
      </c>
      <c r="AF41" s="9">
        <f ca="1">7579*(AF37)^3-31916*(AF37)^2+35343*(AF37)+1931</f>
        <v>6072.5183572331371</v>
      </c>
      <c r="AG41" s="10"/>
      <c r="AH41" s="10"/>
      <c r="AI41" s="10"/>
      <c r="AJ41" s="10"/>
      <c r="AK41" s="10"/>
      <c r="AL41" s="10"/>
      <c r="AM41" s="10"/>
      <c r="AN41" s="10"/>
      <c r="AO41" s="3" t="s">
        <v>112</v>
      </c>
      <c r="AP41" s="9">
        <f ca="1">7579*(AP37)^3-31916*(AP37)^2+35343*(AP37)+1931</f>
        <v>7613.7951230429317</v>
      </c>
      <c r="AQ41" s="10"/>
      <c r="AR41" s="10"/>
      <c r="AS41" s="10"/>
      <c r="AT41" s="10"/>
      <c r="AU41" s="10"/>
      <c r="AV41" s="10"/>
      <c r="AW41" s="10"/>
      <c r="AX41" s="10"/>
      <c r="AY41" s="3" t="s">
        <v>112</v>
      </c>
      <c r="AZ41" s="9">
        <f ca="1">7579*(AZ37)^3-31916*(AZ37)^2+35343*(AZ37)+1931</f>
        <v>10774.317352758262</v>
      </c>
      <c r="BA41" s="10"/>
      <c r="BB41" s="10"/>
      <c r="BC41" s="10"/>
      <c r="BD41" s="10"/>
      <c r="BE41" s="10"/>
      <c r="BF41" s="10"/>
      <c r="BG41" s="10"/>
      <c r="BH41" s="10"/>
      <c r="BI41" s="3" t="s">
        <v>112</v>
      </c>
      <c r="BJ41" s="9">
        <f ca="1">7579*(BJ37)^3-31916*(BJ37)^2+35343*(BJ37)+1931</f>
        <v>10774.317352758262</v>
      </c>
      <c r="BK41" s="10"/>
      <c r="BL41" s="10"/>
      <c r="BM41" s="10"/>
      <c r="BN41" s="10"/>
      <c r="BO41" s="10"/>
      <c r="BP41" s="10"/>
      <c r="BQ41" s="10"/>
    </row>
    <row r="42" spans="1:69" ht="18" x14ac:dyDescent="0.35">
      <c r="A42" s="22" t="s">
        <v>345</v>
      </c>
      <c r="B42" s="45">
        <f ca="1">(B15^2+B38*B15+B39)/(B15^2+B40*B15+B41)</f>
        <v>0.13004637602368821</v>
      </c>
      <c r="C42" s="10"/>
      <c r="D42" s="10"/>
      <c r="E42" s="10"/>
      <c r="F42" s="10"/>
      <c r="G42" s="10"/>
      <c r="H42" s="10"/>
      <c r="I42" s="10"/>
      <c r="J42" s="10"/>
      <c r="K42" s="22" t="s">
        <v>345</v>
      </c>
      <c r="L42" s="45">
        <f ca="1">(L15^2+L38*L15+L39)/(L15^2+L40*L15+L41)</f>
        <v>0.32744270794799468</v>
      </c>
      <c r="M42" s="10"/>
      <c r="N42" s="10"/>
      <c r="O42" s="10"/>
      <c r="P42" s="10"/>
      <c r="Q42" s="10"/>
      <c r="R42" s="10"/>
      <c r="S42" s="10"/>
      <c r="T42" s="10"/>
      <c r="U42" s="22" t="s">
        <v>345</v>
      </c>
      <c r="V42" s="45">
        <f ca="1">(V15^2+V38*V15+V39)/(V15^2+V40*V15+V41)</f>
        <v>0.49749690018145626</v>
      </c>
      <c r="W42" s="10"/>
      <c r="X42" s="10"/>
      <c r="Y42" s="10"/>
      <c r="Z42" s="10"/>
      <c r="AA42" s="10"/>
      <c r="AB42" s="10"/>
      <c r="AC42" s="10"/>
      <c r="AD42" s="10"/>
      <c r="AE42" s="22" t="s">
        <v>345</v>
      </c>
      <c r="AF42" s="45">
        <f ca="1">(AF15^2+AF38*AF15+AF39)/(AF15^2+AF40*AF15+AF41)</f>
        <v>0.5752213323539096</v>
      </c>
      <c r="AG42" s="10"/>
      <c r="AH42" s="10"/>
      <c r="AI42" s="10"/>
      <c r="AJ42" s="10"/>
      <c r="AK42" s="10"/>
      <c r="AL42" s="10"/>
      <c r="AM42" s="10"/>
      <c r="AN42" s="10"/>
      <c r="AO42" s="22" t="s">
        <v>345</v>
      </c>
      <c r="AP42" s="45">
        <f ca="1">(AP15^2+AP38*AP15+AP39)/(AP15^2+AP40*AP15+AP41)</f>
        <v>0.60366385580901982</v>
      </c>
      <c r="AQ42" s="10"/>
      <c r="AR42" s="10"/>
      <c r="AS42" s="10"/>
      <c r="AT42" s="10"/>
      <c r="AU42" s="10"/>
      <c r="AV42" s="10"/>
      <c r="AW42" s="10"/>
      <c r="AX42" s="10"/>
      <c r="AY42" s="22" t="s">
        <v>345</v>
      </c>
      <c r="AZ42" s="45">
        <f ca="1">(AZ15^2+AZ38*AZ15+AZ39)/(AZ15^2+AZ40*AZ15+AZ41)</f>
        <v>0.57832857573208829</v>
      </c>
      <c r="BA42" s="10"/>
      <c r="BB42" s="10"/>
      <c r="BC42" s="10"/>
      <c r="BD42" s="10"/>
      <c r="BE42" s="10"/>
      <c r="BF42" s="10"/>
      <c r="BG42" s="10"/>
      <c r="BH42" s="10"/>
      <c r="BI42" s="22" t="s">
        <v>345</v>
      </c>
      <c r="BJ42" s="45">
        <f ca="1">(BJ15^2+BJ38*BJ15+BJ39)/(BJ15^2+BJ40*BJ15+BJ41)</f>
        <v>0.6083466733325199</v>
      </c>
      <c r="BK42" s="10"/>
      <c r="BL42" s="10"/>
      <c r="BM42" s="10"/>
      <c r="BN42" s="10"/>
      <c r="BO42" s="10"/>
      <c r="BP42" s="10"/>
      <c r="BQ42" s="10"/>
    </row>
    <row r="43" spans="1:69" ht="18.75" thickBot="1" x14ac:dyDescent="0.4">
      <c r="A43" s="46" t="s">
        <v>346</v>
      </c>
      <c r="B43" s="47">
        <f ca="1">(B16^2+B38*B16+B39)/(B16^2+B40*B16+B41)</f>
        <v>0.99661618013553366</v>
      </c>
      <c r="C43" s="10"/>
      <c r="D43" s="10"/>
      <c r="E43" s="10"/>
      <c r="F43" s="10"/>
      <c r="G43" s="10"/>
      <c r="H43" s="10"/>
      <c r="I43" s="10"/>
      <c r="J43" s="10"/>
      <c r="K43" s="46" t="s">
        <v>346</v>
      </c>
      <c r="L43" s="47">
        <f ca="1">(L16^2+L38*L16+L39)/(L16^2+L40*L16+L41)</f>
        <v>0.99661618013553366</v>
      </c>
      <c r="M43" s="10"/>
      <c r="N43" s="10"/>
      <c r="O43" s="10"/>
      <c r="P43" s="10"/>
      <c r="Q43" s="10"/>
      <c r="R43" s="10"/>
      <c r="S43" s="10"/>
      <c r="T43" s="10"/>
      <c r="U43" s="46" t="s">
        <v>346</v>
      </c>
      <c r="V43" s="47">
        <f ca="1">(V16^2+V38*V16+V39)/(V16^2+V40*V16+V41)</f>
        <v>0.99625497550300834</v>
      </c>
      <c r="W43" s="10"/>
      <c r="X43" s="10"/>
      <c r="Y43" s="10"/>
      <c r="Z43" s="10"/>
      <c r="AA43" s="10"/>
      <c r="AB43" s="10"/>
      <c r="AC43" s="10"/>
      <c r="AD43" s="10"/>
      <c r="AE43" s="46" t="s">
        <v>346</v>
      </c>
      <c r="AF43" s="47">
        <f ca="1">(AF16^2+AF38*AF16+AF39)/(AF16^2+AF40*AF16+AF41)</f>
        <v>0.99529987477701132</v>
      </c>
      <c r="AG43" s="10"/>
      <c r="AH43" s="10"/>
      <c r="AI43" s="10"/>
      <c r="AJ43" s="10"/>
      <c r="AK43" s="10"/>
      <c r="AL43" s="10"/>
      <c r="AM43" s="10"/>
      <c r="AN43" s="10"/>
      <c r="AO43" s="46" t="s">
        <v>346</v>
      </c>
      <c r="AP43" s="47">
        <f ca="1">(AP16^2+AP38*AP16+AP39)/(AP16^2+AP40*AP16+AP41)</f>
        <v>0.99411694534423189</v>
      </c>
      <c r="AQ43" s="10"/>
      <c r="AR43" s="10"/>
      <c r="AS43" s="10"/>
      <c r="AT43" s="10"/>
      <c r="AU43" s="10"/>
      <c r="AV43" s="10"/>
      <c r="AW43" s="10"/>
      <c r="AX43" s="10"/>
      <c r="AY43" s="46" t="s">
        <v>346</v>
      </c>
      <c r="AZ43" s="47">
        <f ca="1">(AZ16^2+AZ38*AZ16+AZ39)/(AZ16^2+AZ40*AZ16+AZ41)</f>
        <v>0.99075335994484826</v>
      </c>
      <c r="BA43" s="10"/>
      <c r="BB43" s="10"/>
      <c r="BC43" s="10"/>
      <c r="BD43" s="10"/>
      <c r="BE43" s="10"/>
      <c r="BF43" s="10"/>
      <c r="BG43" s="10"/>
      <c r="BH43" s="10"/>
      <c r="BI43" s="46" t="s">
        <v>346</v>
      </c>
      <c r="BJ43" s="47">
        <f ca="1">(BJ16^2+BJ38*BJ16+BJ39)/(BJ16^2+BJ40*BJ16+BJ41)</f>
        <v>0.99075335994484826</v>
      </c>
      <c r="BK43" s="10"/>
      <c r="BL43" s="10"/>
      <c r="BM43" s="10"/>
      <c r="BN43" s="10"/>
      <c r="BO43" s="10"/>
      <c r="BP43" s="10"/>
      <c r="BQ43" s="10"/>
    </row>
    <row r="44" spans="1:69" ht="18.75" thickBot="1" x14ac:dyDescent="0.4">
      <c r="A44" s="42" t="s">
        <v>347</v>
      </c>
      <c r="B44" s="48">
        <f ca="1">B22+B33*(B43-B42)+B35*B36</f>
        <v>2.1162985403792307</v>
      </c>
      <c r="C44" s="10"/>
      <c r="D44" s="10"/>
      <c r="E44" s="10"/>
      <c r="F44" s="10"/>
      <c r="G44" s="10"/>
      <c r="H44" s="10"/>
      <c r="I44" s="10"/>
      <c r="J44" s="10"/>
      <c r="K44" s="42" t="s">
        <v>347</v>
      </c>
      <c r="L44" s="48">
        <f ca="1">L22+L33*(L43-L42)+L35*L36</f>
        <v>1.5656555371351024</v>
      </c>
      <c r="M44" s="10"/>
      <c r="N44" s="10"/>
      <c r="O44" s="10"/>
      <c r="P44" s="10"/>
      <c r="Q44" s="10"/>
      <c r="R44" s="10"/>
      <c r="S44" s="10"/>
      <c r="T44" s="10"/>
      <c r="U44" s="42" t="s">
        <v>347</v>
      </c>
      <c r="V44" s="48">
        <f ca="1">V22+V33*(V43-V42)+V35*V36</f>
        <v>1.2033811739702436</v>
      </c>
      <c r="W44" s="10"/>
      <c r="X44" s="10"/>
      <c r="Y44" s="10"/>
      <c r="Z44" s="10"/>
      <c r="AA44" s="10"/>
      <c r="AB44" s="10"/>
      <c r="AC44" s="10"/>
      <c r="AD44" s="10"/>
      <c r="AE44" s="42" t="s">
        <v>347</v>
      </c>
      <c r="AF44" s="48">
        <f ca="1">AF22+AF33*(AF43-AF42)+AF35*AF36</f>
        <v>1.0182542677744861</v>
      </c>
      <c r="AG44" s="10"/>
      <c r="AH44" s="10"/>
      <c r="AI44" s="10"/>
      <c r="AJ44" s="10"/>
      <c r="AK44" s="10"/>
      <c r="AL44" s="10"/>
      <c r="AM44" s="10"/>
      <c r="AN44" s="10"/>
      <c r="AO44" s="42" t="s">
        <v>347</v>
      </c>
      <c r="AP44" s="48">
        <f ca="1">AP22+AP33*(AP43-AP42)+AP35*AP36</f>
        <v>0.93237163932005362</v>
      </c>
      <c r="AQ44" s="10"/>
      <c r="AR44" s="10"/>
      <c r="AS44" s="10"/>
      <c r="AT44" s="10"/>
      <c r="AU44" s="10"/>
      <c r="AV44" s="10"/>
      <c r="AW44" s="10"/>
      <c r="AX44" s="10"/>
      <c r="AY44" s="42" t="s">
        <v>347</v>
      </c>
      <c r="AZ44" s="48">
        <f ca="1">AZ22+AZ33*(AZ43-AZ42)+AZ35*AZ36</f>
        <v>0.89451915533802917</v>
      </c>
      <c r="BA44" s="10"/>
      <c r="BB44" s="10"/>
      <c r="BC44" s="10"/>
      <c r="BD44" s="10"/>
      <c r="BE44" s="10"/>
      <c r="BF44" s="10"/>
      <c r="BG44" s="10"/>
      <c r="BH44" s="10"/>
      <c r="BI44" s="42" t="s">
        <v>347</v>
      </c>
      <c r="BJ44" s="48">
        <f ca="1">BJ22+BJ33*(BJ43-BJ42)+BJ35*BJ36</f>
        <v>0.85538570895279531</v>
      </c>
      <c r="BK44" s="10"/>
      <c r="BL44" s="10"/>
      <c r="BM44" s="10"/>
      <c r="BN44" s="10"/>
      <c r="BO44" s="10"/>
      <c r="BP44" s="10"/>
      <c r="BQ44" s="10"/>
    </row>
    <row r="48" spans="1:69" ht="15.75" thickBot="1" x14ac:dyDescent="0.3"/>
    <row r="49" spans="1:39" x14ac:dyDescent="0.25">
      <c r="N49" s="888" t="s">
        <v>349</v>
      </c>
      <c r="O49" s="889"/>
    </row>
    <row r="50" spans="1:39" x14ac:dyDescent="0.25">
      <c r="N50" s="890"/>
      <c r="O50" s="891"/>
    </row>
    <row r="51" spans="1:39" ht="15.75" thickBot="1" x14ac:dyDescent="0.3">
      <c r="N51" s="892"/>
      <c r="O51" s="893"/>
    </row>
    <row r="53" spans="1:39" ht="15.75" thickBot="1" x14ac:dyDescent="0.3"/>
    <row r="54" spans="1:39" ht="15.75" thickBot="1" x14ac:dyDescent="0.3">
      <c r="A54" s="764" t="s">
        <v>294</v>
      </c>
      <c r="B54" s="896"/>
      <c r="C54" s="896"/>
      <c r="D54" s="765"/>
      <c r="E54" s="10"/>
      <c r="F54" s="897" t="s">
        <v>295</v>
      </c>
      <c r="G54" s="898"/>
      <c r="H54" s="898"/>
      <c r="I54" s="899"/>
      <c r="J54" s="1"/>
      <c r="K54" s="764" t="s">
        <v>294</v>
      </c>
      <c r="L54" s="896"/>
      <c r="M54" s="896"/>
      <c r="N54" s="765"/>
      <c r="O54" s="10"/>
      <c r="P54" s="897" t="s">
        <v>295</v>
      </c>
      <c r="Q54" s="898"/>
      <c r="R54" s="898"/>
      <c r="S54" s="899"/>
      <c r="T54" s="1"/>
      <c r="U54" s="764" t="s">
        <v>294</v>
      </c>
      <c r="V54" s="896"/>
      <c r="W54" s="896"/>
      <c r="X54" s="765"/>
      <c r="Y54" s="10"/>
      <c r="Z54" s="897" t="s">
        <v>295</v>
      </c>
      <c r="AA54" s="898"/>
      <c r="AB54" s="898"/>
      <c r="AC54" s="899"/>
      <c r="AD54" s="1"/>
      <c r="AE54" s="764" t="s">
        <v>294</v>
      </c>
      <c r="AF54" s="896"/>
      <c r="AG54" s="896"/>
      <c r="AH54" s="765"/>
      <c r="AI54" s="10"/>
      <c r="AJ54" s="897" t="s">
        <v>295</v>
      </c>
      <c r="AK54" s="898"/>
      <c r="AL54" s="898"/>
      <c r="AM54" s="899"/>
    </row>
    <row r="55" spans="1:39" ht="18" x14ac:dyDescent="0.35">
      <c r="A55" s="11" t="s">
        <v>296</v>
      </c>
      <c r="B55" s="12">
        <f>Geometria!$H$22*Geometria!$H$33</f>
        <v>625</v>
      </c>
      <c r="C55" s="13" t="s">
        <v>214</v>
      </c>
      <c r="D55" s="14">
        <f>Geometria!H59</f>
        <v>30</v>
      </c>
      <c r="E55" s="10"/>
      <c r="F55" s="15" t="s">
        <v>297</v>
      </c>
      <c r="G55" s="16" t="s">
        <v>240</v>
      </c>
      <c r="H55" s="16" t="s">
        <v>298</v>
      </c>
      <c r="I55" s="17" t="s">
        <v>299</v>
      </c>
      <c r="J55" s="1"/>
      <c r="K55" s="11" t="s">
        <v>296</v>
      </c>
      <c r="L55" s="12">
        <f>Geometria!$H$22*Geometria!$H$33</f>
        <v>625</v>
      </c>
      <c r="M55" s="13" t="s">
        <v>214</v>
      </c>
      <c r="N55" s="14">
        <f>Geometria!H59</f>
        <v>30</v>
      </c>
      <c r="O55" s="10"/>
      <c r="P55" s="15" t="s">
        <v>297</v>
      </c>
      <c r="Q55" s="16" t="s">
        <v>240</v>
      </c>
      <c r="R55" s="16" t="s">
        <v>298</v>
      </c>
      <c r="S55" s="17" t="s">
        <v>299</v>
      </c>
      <c r="T55" s="1"/>
      <c r="U55" s="11" t="s">
        <v>296</v>
      </c>
      <c r="V55" s="12">
        <f>Geometria!$H$22*Geometria!$H$33</f>
        <v>625</v>
      </c>
      <c r="W55" s="13" t="s">
        <v>214</v>
      </c>
      <c r="X55" s="14">
        <f>Geometria!H59</f>
        <v>30</v>
      </c>
      <c r="Y55" s="10"/>
      <c r="Z55" s="15" t="s">
        <v>297</v>
      </c>
      <c r="AA55" s="16" t="s">
        <v>240</v>
      </c>
      <c r="AB55" s="16" t="s">
        <v>298</v>
      </c>
      <c r="AC55" s="17" t="s">
        <v>299</v>
      </c>
      <c r="AD55" s="1"/>
      <c r="AE55" s="11" t="s">
        <v>296</v>
      </c>
      <c r="AF55" s="12">
        <f>Geometria!$H$22*Geometria!$H$33</f>
        <v>625</v>
      </c>
      <c r="AG55" s="13" t="s">
        <v>214</v>
      </c>
      <c r="AH55" s="14">
        <f>Geometria!H59</f>
        <v>30</v>
      </c>
      <c r="AI55" s="10"/>
      <c r="AJ55" s="15" t="s">
        <v>297</v>
      </c>
      <c r="AK55" s="16" t="s">
        <v>240</v>
      </c>
      <c r="AL55" s="16" t="s">
        <v>298</v>
      </c>
      <c r="AM55" s="17" t="s">
        <v>299</v>
      </c>
    </row>
    <row r="56" spans="1:39" ht="18" x14ac:dyDescent="0.35">
      <c r="A56" s="3" t="s">
        <v>300</v>
      </c>
      <c r="B56" s="18">
        <f>Geometria!$H$22</f>
        <v>125</v>
      </c>
      <c r="C56" s="7" t="s">
        <v>301</v>
      </c>
      <c r="D56" s="19" t="str">
        <f>Geometria!H63</f>
        <v>CPI E CPII</v>
      </c>
      <c r="E56" s="10"/>
      <c r="F56" s="20" t="s">
        <v>303</v>
      </c>
      <c r="G56" s="21">
        <v>0.25</v>
      </c>
      <c r="H56" s="21">
        <v>2</v>
      </c>
      <c r="I56" s="19">
        <v>1</v>
      </c>
      <c r="J56" s="1"/>
      <c r="K56" s="3" t="s">
        <v>300</v>
      </c>
      <c r="L56" s="18">
        <f>B56</f>
        <v>125</v>
      </c>
      <c r="M56" s="7" t="s">
        <v>301</v>
      </c>
      <c r="N56" s="19" t="str">
        <f>D56</f>
        <v>CPI E CPII</v>
      </c>
      <c r="O56" s="10"/>
      <c r="P56" s="20" t="s">
        <v>303</v>
      </c>
      <c r="Q56" s="21">
        <v>0.25</v>
      </c>
      <c r="R56" s="21">
        <v>2</v>
      </c>
      <c r="S56" s="19">
        <v>1</v>
      </c>
      <c r="T56" s="1"/>
      <c r="U56" s="3" t="s">
        <v>300</v>
      </c>
      <c r="V56" s="18">
        <f>L56</f>
        <v>125</v>
      </c>
      <c r="W56" s="7" t="s">
        <v>301</v>
      </c>
      <c r="X56" s="19" t="str">
        <f>N56</f>
        <v>CPI E CPII</v>
      </c>
      <c r="Y56" s="10"/>
      <c r="Z56" s="20" t="s">
        <v>303</v>
      </c>
      <c r="AA56" s="21">
        <v>0.25</v>
      </c>
      <c r="AB56" s="21">
        <v>2</v>
      </c>
      <c r="AC56" s="19">
        <v>1</v>
      </c>
      <c r="AD56" s="1"/>
      <c r="AE56" s="3" t="s">
        <v>300</v>
      </c>
      <c r="AF56" s="18">
        <f>V56</f>
        <v>125</v>
      </c>
      <c r="AG56" s="7" t="s">
        <v>301</v>
      </c>
      <c r="AH56" s="19" t="str">
        <f>X56</f>
        <v>CPI E CPII</v>
      </c>
      <c r="AI56" s="10"/>
      <c r="AJ56" s="20" t="s">
        <v>303</v>
      </c>
      <c r="AK56" s="21">
        <v>0.25</v>
      </c>
      <c r="AL56" s="21">
        <v>2</v>
      </c>
      <c r="AM56" s="19">
        <v>1</v>
      </c>
    </row>
    <row r="57" spans="1:39" ht="18" x14ac:dyDescent="0.35">
      <c r="A57" s="22" t="s">
        <v>304</v>
      </c>
      <c r="B57" s="23">
        <f>Geometria!$H$209</f>
        <v>70</v>
      </c>
      <c r="C57" s="7" t="s">
        <v>305</v>
      </c>
      <c r="D57" s="24">
        <f>Geometria!$K$204</f>
        <v>1</v>
      </c>
      <c r="E57" s="1"/>
      <c r="F57" s="20" t="s">
        <v>306</v>
      </c>
      <c r="G57" s="21">
        <v>0.38</v>
      </c>
      <c r="H57" s="21">
        <v>1</v>
      </c>
      <c r="I57" s="19">
        <v>1</v>
      </c>
      <c r="J57" s="1"/>
      <c r="K57" s="22" t="s">
        <v>304</v>
      </c>
      <c r="L57" s="23">
        <f>Geometria!$H$209</f>
        <v>70</v>
      </c>
      <c r="M57" s="7" t="s">
        <v>305</v>
      </c>
      <c r="N57" s="24">
        <f>Geometria!$K$205</f>
        <v>15</v>
      </c>
      <c r="O57" s="1"/>
      <c r="P57" s="20" t="s">
        <v>306</v>
      </c>
      <c r="Q57" s="21">
        <v>0.38</v>
      </c>
      <c r="R57" s="21">
        <v>1</v>
      </c>
      <c r="S57" s="19">
        <v>1</v>
      </c>
      <c r="T57" s="1"/>
      <c r="U57" s="22" t="s">
        <v>304</v>
      </c>
      <c r="V57" s="23">
        <f>Geometria!$H$209</f>
        <v>70</v>
      </c>
      <c r="W57" s="7" t="s">
        <v>305</v>
      </c>
      <c r="X57" s="24">
        <f>Geometria!$K$206</f>
        <v>30</v>
      </c>
      <c r="Y57" s="1"/>
      <c r="Z57" s="20" t="s">
        <v>306</v>
      </c>
      <c r="AA57" s="21">
        <v>0.38</v>
      </c>
      <c r="AB57" s="21">
        <v>1</v>
      </c>
      <c r="AC57" s="19">
        <v>1</v>
      </c>
      <c r="AD57" s="1"/>
      <c r="AE57" s="22" t="s">
        <v>304</v>
      </c>
      <c r="AF57" s="23">
        <f>Geometria!$H$209</f>
        <v>70</v>
      </c>
      <c r="AG57" s="7" t="s">
        <v>305</v>
      </c>
      <c r="AH57" s="24">
        <f>Geometria!$K$207</f>
        <v>45</v>
      </c>
      <c r="AI57" s="1"/>
      <c r="AJ57" s="20" t="s">
        <v>306</v>
      </c>
      <c r="AK57" s="21">
        <v>0.38</v>
      </c>
      <c r="AL57" s="21">
        <v>1</v>
      </c>
      <c r="AM57" s="19">
        <v>1</v>
      </c>
    </row>
    <row r="58" spans="1:39" ht="18.75" thickBot="1" x14ac:dyDescent="0.4">
      <c r="A58" s="3" t="s">
        <v>307</v>
      </c>
      <c r="B58" s="25">
        <f>Geometria!$L$209</f>
        <v>20</v>
      </c>
      <c r="C58" s="7" t="s">
        <v>308</v>
      </c>
      <c r="D58" s="24">
        <v>10000</v>
      </c>
      <c r="E58" s="1"/>
      <c r="F58" s="26" t="s">
        <v>302</v>
      </c>
      <c r="G58" s="27">
        <v>0.2</v>
      </c>
      <c r="H58" s="27">
        <v>3</v>
      </c>
      <c r="I58" s="28">
        <v>1</v>
      </c>
      <c r="J58" s="1"/>
      <c r="K58" s="3" t="s">
        <v>307</v>
      </c>
      <c r="L58" s="25">
        <f>Geometria!$L$209</f>
        <v>20</v>
      </c>
      <c r="M58" s="7" t="s">
        <v>308</v>
      </c>
      <c r="N58" s="24">
        <v>10000</v>
      </c>
      <c r="O58" s="1"/>
      <c r="P58" s="26" t="s">
        <v>302</v>
      </c>
      <c r="Q58" s="27">
        <v>0.2</v>
      </c>
      <c r="R58" s="27">
        <v>3</v>
      </c>
      <c r="S58" s="28">
        <v>1</v>
      </c>
      <c r="T58" s="1"/>
      <c r="U58" s="3" t="s">
        <v>307</v>
      </c>
      <c r="V58" s="25">
        <f>Geometria!$L$209</f>
        <v>20</v>
      </c>
      <c r="W58" s="7" t="s">
        <v>308</v>
      </c>
      <c r="X58" s="24">
        <v>10000</v>
      </c>
      <c r="Y58" s="1"/>
      <c r="Z58" s="26" t="s">
        <v>302</v>
      </c>
      <c r="AA58" s="27">
        <v>0.2</v>
      </c>
      <c r="AB58" s="27">
        <v>3</v>
      </c>
      <c r="AC58" s="28">
        <v>1</v>
      </c>
      <c r="AD58" s="1"/>
      <c r="AE58" s="3" t="s">
        <v>307</v>
      </c>
      <c r="AF58" s="25">
        <f>Geometria!$L$209</f>
        <v>20</v>
      </c>
      <c r="AG58" s="7" t="s">
        <v>308</v>
      </c>
      <c r="AH58" s="24">
        <v>10000</v>
      </c>
      <c r="AI58" s="1"/>
      <c r="AJ58" s="26" t="s">
        <v>302</v>
      </c>
      <c r="AK58" s="27">
        <v>0.2</v>
      </c>
      <c r="AL58" s="27">
        <v>3</v>
      </c>
      <c r="AM58" s="28">
        <v>1</v>
      </c>
    </row>
    <row r="59" spans="1:39" ht="15.75" thickBot="1" x14ac:dyDescent="0.3">
      <c r="A59" s="5" t="s">
        <v>309</v>
      </c>
      <c r="B59" s="29">
        <f>Geometria!$L$210</f>
        <v>12</v>
      </c>
      <c r="C59" s="30"/>
      <c r="D59" s="6"/>
      <c r="E59" s="1"/>
      <c r="F59" s="1"/>
      <c r="G59" s="1"/>
      <c r="H59" s="1"/>
      <c r="I59" s="1"/>
      <c r="J59" s="1"/>
      <c r="K59" s="5" t="s">
        <v>309</v>
      </c>
      <c r="L59" s="29">
        <f>Geometria!$L$210</f>
        <v>12</v>
      </c>
      <c r="M59" s="30"/>
      <c r="N59" s="6"/>
      <c r="O59" s="1"/>
      <c r="P59" s="1"/>
      <c r="Q59" s="1"/>
      <c r="R59" s="1"/>
      <c r="S59" s="1"/>
      <c r="T59" s="1"/>
      <c r="U59" s="5" t="s">
        <v>309</v>
      </c>
      <c r="V59" s="29">
        <f>Geometria!$L$210</f>
        <v>12</v>
      </c>
      <c r="W59" s="30"/>
      <c r="X59" s="6"/>
      <c r="Y59" s="1"/>
      <c r="Z59" s="1"/>
      <c r="AA59" s="1"/>
      <c r="AB59" s="1"/>
      <c r="AC59" s="1"/>
      <c r="AD59" s="1"/>
      <c r="AE59" s="5" t="s">
        <v>309</v>
      </c>
      <c r="AF59" s="29">
        <f>Geometria!$L$210</f>
        <v>12</v>
      </c>
      <c r="AG59" s="30"/>
      <c r="AH59" s="6"/>
      <c r="AI59" s="1"/>
      <c r="AJ59" s="1"/>
      <c r="AK59" s="1"/>
      <c r="AL59" s="1"/>
      <c r="AM59" s="1"/>
    </row>
    <row r="60" spans="1:39" ht="15.75" thickBot="1" x14ac:dyDescent="0.3">
      <c r="A60" s="766" t="s">
        <v>310</v>
      </c>
      <c r="B60" s="767"/>
      <c r="C60" s="900" t="s">
        <v>311</v>
      </c>
      <c r="D60" s="901"/>
      <c r="E60" s="2"/>
      <c r="F60" s="2"/>
      <c r="G60" s="2"/>
      <c r="H60" s="1"/>
      <c r="I60" s="10"/>
      <c r="J60" s="10"/>
      <c r="K60" s="766" t="s">
        <v>310</v>
      </c>
      <c r="L60" s="767"/>
      <c r="M60" s="900" t="s">
        <v>311</v>
      </c>
      <c r="N60" s="901"/>
      <c r="O60" s="2"/>
      <c r="P60" s="2"/>
      <c r="Q60" s="2"/>
      <c r="R60" s="1"/>
      <c r="S60" s="10"/>
      <c r="T60" s="10"/>
      <c r="U60" s="766" t="s">
        <v>310</v>
      </c>
      <c r="V60" s="767"/>
      <c r="W60" s="900" t="s">
        <v>311</v>
      </c>
      <c r="X60" s="901"/>
      <c r="Y60" s="2"/>
      <c r="Z60" s="2"/>
      <c r="AA60" s="2"/>
      <c r="AB60" s="1"/>
      <c r="AC60" s="10"/>
      <c r="AD60" s="10"/>
      <c r="AE60" s="766" t="s">
        <v>310</v>
      </c>
      <c r="AF60" s="767"/>
      <c r="AG60" s="900" t="s">
        <v>311</v>
      </c>
      <c r="AH60" s="901"/>
      <c r="AI60" s="2"/>
      <c r="AJ60" s="2"/>
      <c r="AK60" s="2"/>
      <c r="AL60" s="1"/>
      <c r="AM60" s="10"/>
    </row>
    <row r="61" spans="1:39" ht="17.25" thickBot="1" x14ac:dyDescent="0.35">
      <c r="A61" s="894" t="s">
        <v>312</v>
      </c>
      <c r="B61" s="895"/>
      <c r="C61" s="31" t="s">
        <v>313</v>
      </c>
      <c r="D61" s="8">
        <f>D62*0.75</f>
        <v>-3.7327983318170821E-4</v>
      </c>
      <c r="E61" s="1"/>
      <c r="F61" s="10"/>
      <c r="G61" s="10"/>
      <c r="H61" s="1"/>
      <c r="I61" s="10"/>
      <c r="J61" s="10"/>
      <c r="K61" s="894" t="s">
        <v>312</v>
      </c>
      <c r="L61" s="895"/>
      <c r="M61" s="31" t="s">
        <v>313</v>
      </c>
      <c r="N61" s="8">
        <f>N62*0.75</f>
        <v>-3.7327983318170821E-4</v>
      </c>
      <c r="O61" s="1"/>
      <c r="P61" s="10"/>
      <c r="Q61" s="10"/>
      <c r="R61" s="1"/>
      <c r="S61" s="10"/>
      <c r="T61" s="10"/>
      <c r="U61" s="894" t="s">
        <v>312</v>
      </c>
      <c r="V61" s="895"/>
      <c r="W61" s="31" t="s">
        <v>313</v>
      </c>
      <c r="X61" s="8">
        <f>X62*0.75</f>
        <v>-3.7327983318170821E-4</v>
      </c>
      <c r="Y61" s="1"/>
      <c r="Z61" s="10"/>
      <c r="AA61" s="10"/>
      <c r="AB61" s="1"/>
      <c r="AC61" s="10"/>
      <c r="AD61" s="10"/>
      <c r="AE61" s="894" t="s">
        <v>312</v>
      </c>
      <c r="AF61" s="895"/>
      <c r="AG61" s="31" t="s">
        <v>313</v>
      </c>
      <c r="AH61" s="8">
        <f>AH62*0.75</f>
        <v>-3.7327983318170821E-4</v>
      </c>
      <c r="AI61" s="1"/>
      <c r="AJ61" s="10"/>
      <c r="AK61" s="10"/>
      <c r="AL61" s="1"/>
      <c r="AM61" s="10"/>
    </row>
    <row r="62" spans="1:39" ht="16.5" x14ac:dyDescent="0.3">
      <c r="A62" s="32" t="s">
        <v>314</v>
      </c>
      <c r="B62" s="33">
        <f>VLOOKUP(D56,F56:I58,3,FALSE)</f>
        <v>2</v>
      </c>
      <c r="C62" s="34" t="s">
        <v>315</v>
      </c>
      <c r="D62" s="4">
        <f>(-8.09+(B57/15)-(B57^2/2284)-(B57^3/133765)+(B57^4/7608150))*10^-4</f>
        <v>-4.9770644424227762E-4</v>
      </c>
      <c r="E62" s="1"/>
      <c r="F62" s="10"/>
      <c r="G62" s="10"/>
      <c r="H62" s="1"/>
      <c r="I62" s="10"/>
      <c r="J62" s="10"/>
      <c r="K62" s="32" t="s">
        <v>314</v>
      </c>
      <c r="L62" s="33">
        <f>VLOOKUP(N56,P56:S58,3,FALSE)</f>
        <v>2</v>
      </c>
      <c r="M62" s="34" t="s">
        <v>315</v>
      </c>
      <c r="N62" s="4">
        <f>(-8.09+(L57/15)-(L57^2/2284)-(L57^3/133765)+(L57^4/7608150))*10^-4</f>
        <v>-4.9770644424227762E-4</v>
      </c>
      <c r="O62" s="1"/>
      <c r="P62" s="10"/>
      <c r="Q62" s="10"/>
      <c r="R62" s="1"/>
      <c r="S62" s="10"/>
      <c r="T62" s="10"/>
      <c r="U62" s="32" t="s">
        <v>314</v>
      </c>
      <c r="V62" s="33">
        <f>VLOOKUP(X56,Z56:AC58,3,FALSE)</f>
        <v>2</v>
      </c>
      <c r="W62" s="34" t="s">
        <v>315</v>
      </c>
      <c r="X62" s="4">
        <f>(-8.09+(V57/15)-(V57^2/2284)-(V57^3/133765)+(V57^4/7608150))*10^-4</f>
        <v>-4.9770644424227762E-4</v>
      </c>
      <c r="Y62" s="1"/>
      <c r="Z62" s="10"/>
      <c r="AA62" s="10"/>
      <c r="AB62" s="1"/>
      <c r="AC62" s="10"/>
      <c r="AD62" s="10"/>
      <c r="AE62" s="32" t="s">
        <v>314</v>
      </c>
      <c r="AF62" s="33">
        <f>VLOOKUP(AH56,AJ56:AM58,3,FALSE)</f>
        <v>2</v>
      </c>
      <c r="AG62" s="34" t="s">
        <v>315</v>
      </c>
      <c r="AH62" s="4">
        <f>(-8.09+(AF57/15)-(AF57^2/2284)-(AF57^3/133765)+(AF57^4/7608150))*10^-4</f>
        <v>-4.9770644424227762E-4</v>
      </c>
      <c r="AI62" s="1"/>
      <c r="AJ62" s="10"/>
      <c r="AK62" s="10"/>
      <c r="AL62" s="1"/>
      <c r="AM62" s="10"/>
    </row>
    <row r="63" spans="1:39" ht="18" x14ac:dyDescent="0.35">
      <c r="A63" s="3" t="s">
        <v>316</v>
      </c>
      <c r="B63" s="4">
        <f>B62*(B58+10)*D57/30</f>
        <v>2</v>
      </c>
      <c r="C63" s="34" t="s">
        <v>317</v>
      </c>
      <c r="D63" s="4">
        <f>D62*1.25</f>
        <v>-6.2213305530284702E-4</v>
      </c>
      <c r="E63" s="1"/>
      <c r="F63" s="10"/>
      <c r="G63" s="10"/>
      <c r="H63" s="1"/>
      <c r="I63" s="10"/>
      <c r="J63" s="10"/>
      <c r="K63" s="3" t="s">
        <v>316</v>
      </c>
      <c r="L63" s="4">
        <f>L62*(L58+10)*N57/30</f>
        <v>30</v>
      </c>
      <c r="M63" s="34" t="s">
        <v>317</v>
      </c>
      <c r="N63" s="4">
        <f>N62*1.25</f>
        <v>-6.2213305530284702E-4</v>
      </c>
      <c r="O63" s="1"/>
      <c r="P63" s="10"/>
      <c r="Q63" s="10"/>
      <c r="R63" s="1"/>
      <c r="S63" s="10"/>
      <c r="T63" s="10"/>
      <c r="U63" s="3" t="s">
        <v>316</v>
      </c>
      <c r="V63" s="4">
        <f>V62*(V58+10)*X57/30</f>
        <v>60</v>
      </c>
      <c r="W63" s="34" t="s">
        <v>317</v>
      </c>
      <c r="X63" s="4">
        <f>X62*1.25</f>
        <v>-6.2213305530284702E-4</v>
      </c>
      <c r="Y63" s="1"/>
      <c r="Z63" s="10"/>
      <c r="AA63" s="10"/>
      <c r="AB63" s="1"/>
      <c r="AC63" s="10"/>
      <c r="AD63" s="10"/>
      <c r="AE63" s="3" t="s">
        <v>316</v>
      </c>
      <c r="AF63" s="4">
        <f>AF62*(AF58+10)*AH57/30</f>
        <v>90</v>
      </c>
      <c r="AG63" s="34" t="s">
        <v>317</v>
      </c>
      <c r="AH63" s="4">
        <f>AH62*1.25</f>
        <v>-6.2213305530284702E-4</v>
      </c>
      <c r="AI63" s="1"/>
      <c r="AJ63" s="10"/>
      <c r="AK63" s="10"/>
      <c r="AL63" s="1"/>
      <c r="AM63" s="10"/>
    </row>
    <row r="64" spans="1:39" ht="16.5" x14ac:dyDescent="0.3">
      <c r="A64" s="3" t="s">
        <v>318</v>
      </c>
      <c r="B64" s="4">
        <f>B62*(B58+10)*D58/30</f>
        <v>20000</v>
      </c>
      <c r="C64" s="34" t="s">
        <v>319</v>
      </c>
      <c r="D64" s="4">
        <f>IF(B59&lt;5,D61,IF(B59&lt;10,D62,D63))</f>
        <v>-6.2213305530284702E-4</v>
      </c>
      <c r="E64" s="1"/>
      <c r="F64" s="10"/>
      <c r="G64" s="10"/>
      <c r="H64" s="1"/>
      <c r="I64" s="10"/>
      <c r="J64" s="10"/>
      <c r="K64" s="3" t="s">
        <v>318</v>
      </c>
      <c r="L64" s="4">
        <f>L62*(L58+10)*N58/30</f>
        <v>20000</v>
      </c>
      <c r="M64" s="34" t="s">
        <v>319</v>
      </c>
      <c r="N64" s="4">
        <f>IF(L59&lt;5,N61,IF(L59&lt;10,N62,N63))</f>
        <v>-6.2213305530284702E-4</v>
      </c>
      <c r="O64" s="1"/>
      <c r="P64" s="10"/>
      <c r="Q64" s="10"/>
      <c r="R64" s="1"/>
      <c r="S64" s="10"/>
      <c r="T64" s="10"/>
      <c r="U64" s="3" t="s">
        <v>318</v>
      </c>
      <c r="V64" s="4">
        <f>V62*(V58+10)*X58/30</f>
        <v>20000</v>
      </c>
      <c r="W64" s="34" t="s">
        <v>319</v>
      </c>
      <c r="X64" s="4">
        <f>IF(V59&lt;5,X61,IF(V59&lt;10,X62,X63))</f>
        <v>-6.2213305530284702E-4</v>
      </c>
      <c r="Y64" s="1"/>
      <c r="Z64" s="10"/>
      <c r="AA64" s="10"/>
      <c r="AB64" s="1"/>
      <c r="AC64" s="10"/>
      <c r="AD64" s="10"/>
      <c r="AE64" s="3" t="s">
        <v>318</v>
      </c>
      <c r="AF64" s="4">
        <f>AF62*(AF58+10)*AH58/30</f>
        <v>20000</v>
      </c>
      <c r="AG64" s="34" t="s">
        <v>319</v>
      </c>
      <c r="AH64" s="4">
        <f>IF(AF59&lt;5,AH61,IF(AF59&lt;10,AH62,AH63))</f>
        <v>-6.2213305530284702E-4</v>
      </c>
      <c r="AI64" s="1"/>
      <c r="AJ64" s="10"/>
      <c r="AK64" s="10"/>
      <c r="AL64" s="1"/>
      <c r="AM64" s="10"/>
    </row>
    <row r="65" spans="1:39" ht="16.5" x14ac:dyDescent="0.3">
      <c r="A65" s="3" t="s">
        <v>240</v>
      </c>
      <c r="B65" s="9">
        <f>VLOOKUP(D56,F56:I58,2,FALSE)</f>
        <v>0.25</v>
      </c>
      <c r="C65" s="34" t="s">
        <v>320</v>
      </c>
      <c r="D65" s="4">
        <f>(33+2*B77)/(20.8+3*B77)</f>
        <v>0.96432336158151044</v>
      </c>
      <c r="E65" s="1"/>
      <c r="F65" s="10"/>
      <c r="G65" s="10"/>
      <c r="H65" s="1"/>
      <c r="I65" s="10"/>
      <c r="J65" s="10"/>
      <c r="K65" s="3" t="s">
        <v>240</v>
      </c>
      <c r="L65" s="9">
        <f>VLOOKUP(N56,P56:S58,2,FALSE)</f>
        <v>0.25</v>
      </c>
      <c r="M65" s="34" t="s">
        <v>320</v>
      </c>
      <c r="N65" s="4">
        <f>(33+2*L77)/(20.8+3*L77)</f>
        <v>0.96432336158151044</v>
      </c>
      <c r="O65" s="1"/>
      <c r="P65" s="10"/>
      <c r="Q65" s="10"/>
      <c r="R65" s="1"/>
      <c r="S65" s="10"/>
      <c r="T65" s="10"/>
      <c r="U65" s="3" t="s">
        <v>240</v>
      </c>
      <c r="V65" s="9">
        <f>VLOOKUP(X56,Z56:AC58,2,FALSE)</f>
        <v>0.25</v>
      </c>
      <c r="W65" s="34" t="s">
        <v>320</v>
      </c>
      <c r="X65" s="4">
        <f>(33+2*V77)/(20.8+3*V77)</f>
        <v>0.96432336158151044</v>
      </c>
      <c r="Y65" s="1"/>
      <c r="Z65" s="10"/>
      <c r="AA65" s="10"/>
      <c r="AB65" s="1"/>
      <c r="AC65" s="10"/>
      <c r="AD65" s="10"/>
      <c r="AE65" s="3" t="s">
        <v>240</v>
      </c>
      <c r="AF65" s="9">
        <f>VLOOKUP(AH56,AJ56:AM58,2,FALSE)</f>
        <v>0.25</v>
      </c>
      <c r="AG65" s="34" t="s">
        <v>320</v>
      </c>
      <c r="AH65" s="4">
        <f>(33+2*AF77)/(20.8+3*AF77)</f>
        <v>0.96432336158151044</v>
      </c>
      <c r="AI65" s="1"/>
      <c r="AJ65" s="10"/>
      <c r="AK65" s="10"/>
      <c r="AL65" s="1"/>
      <c r="AM65" s="10"/>
    </row>
    <row r="66" spans="1:39" ht="18" x14ac:dyDescent="0.35">
      <c r="A66" s="3" t="s">
        <v>321</v>
      </c>
      <c r="B66" s="35">
        <f>EXP(B65*(1-(28/B63)^(1/2)))</f>
        <v>0.50388140472091447</v>
      </c>
      <c r="C66" s="34" t="s">
        <v>322</v>
      </c>
      <c r="D66" s="4">
        <f>D65*D64</f>
        <v>-5.9993743924061723E-4</v>
      </c>
      <c r="E66" s="1"/>
      <c r="F66" s="10"/>
      <c r="G66" s="10"/>
      <c r="H66" s="1"/>
      <c r="I66" s="10"/>
      <c r="J66" s="10"/>
      <c r="K66" s="3" t="s">
        <v>321</v>
      </c>
      <c r="L66" s="35">
        <f>EXP(L65*(1-(28/L63)^(1/2)))</f>
        <v>1.0085130861974019</v>
      </c>
      <c r="M66" s="34" t="s">
        <v>322</v>
      </c>
      <c r="N66" s="4">
        <f>N65*N64</f>
        <v>-5.9993743924061723E-4</v>
      </c>
      <c r="O66" s="1"/>
      <c r="P66" s="10"/>
      <c r="Q66" s="10"/>
      <c r="R66" s="1"/>
      <c r="S66" s="10"/>
      <c r="T66" s="10"/>
      <c r="U66" s="3" t="s">
        <v>321</v>
      </c>
      <c r="V66" s="35">
        <f>EXP(V65*(1-(28/V63)^(1/2)))</f>
        <v>1.0824397132913168</v>
      </c>
      <c r="W66" s="34" t="s">
        <v>322</v>
      </c>
      <c r="X66" s="4">
        <f>X65*X64</f>
        <v>-5.9993743924061723E-4</v>
      </c>
      <c r="Y66" s="1"/>
      <c r="Z66" s="10"/>
      <c r="AA66" s="10"/>
      <c r="AB66" s="1"/>
      <c r="AC66" s="10"/>
      <c r="AD66" s="10"/>
      <c r="AE66" s="3" t="s">
        <v>321</v>
      </c>
      <c r="AF66" s="35">
        <f>EXP(AF65*(1-(28/AF63)^(1/2)))</f>
        <v>1.1168996332990913</v>
      </c>
      <c r="AG66" s="34" t="s">
        <v>322</v>
      </c>
      <c r="AH66" s="4">
        <f>AH65*AH64</f>
        <v>-5.9993743924061723E-4</v>
      </c>
      <c r="AI66" s="1"/>
      <c r="AJ66" s="10"/>
      <c r="AK66" s="10"/>
      <c r="AL66" s="1"/>
      <c r="AM66" s="10"/>
    </row>
    <row r="67" spans="1:39" ht="18" x14ac:dyDescent="0.35">
      <c r="A67" s="3" t="s">
        <v>323</v>
      </c>
      <c r="B67" s="35">
        <f>EXP(B65*(1-(0)^(1/2)))</f>
        <v>1.2840254166877414</v>
      </c>
      <c r="C67" s="34" t="s">
        <v>314</v>
      </c>
      <c r="D67" s="4">
        <f>VLOOKUP(D56,F56:I58,4,FALSE)</f>
        <v>1</v>
      </c>
      <c r="E67" s="1"/>
      <c r="F67" s="10"/>
      <c r="G67" s="10"/>
      <c r="H67" s="1"/>
      <c r="I67" s="10"/>
      <c r="J67" s="10"/>
      <c r="K67" s="3" t="s">
        <v>323</v>
      </c>
      <c r="L67" s="35">
        <f>EXP(L65*(1-(0)^(1/2)))</f>
        <v>1.2840254166877414</v>
      </c>
      <c r="M67" s="34" t="s">
        <v>314</v>
      </c>
      <c r="N67" s="4">
        <f>VLOOKUP(N56,P56:S58,4,FALSE)</f>
        <v>1</v>
      </c>
      <c r="O67" s="1"/>
      <c r="P67" s="10"/>
      <c r="Q67" s="10"/>
      <c r="R67" s="1"/>
      <c r="S67" s="10"/>
      <c r="T67" s="10"/>
      <c r="U67" s="3" t="s">
        <v>323</v>
      </c>
      <c r="V67" s="35">
        <f>EXP(V65*(1-(0)^(1/2)))</f>
        <v>1.2840254166877414</v>
      </c>
      <c r="W67" s="34" t="s">
        <v>314</v>
      </c>
      <c r="X67" s="4">
        <f>VLOOKUP(X56,Z56:AC58,4,FALSE)</f>
        <v>1</v>
      </c>
      <c r="Y67" s="1"/>
      <c r="Z67" s="10"/>
      <c r="AA67" s="10"/>
      <c r="AB67" s="1"/>
      <c r="AC67" s="10"/>
      <c r="AD67" s="10"/>
      <c r="AE67" s="3" t="s">
        <v>323</v>
      </c>
      <c r="AF67" s="35">
        <f>EXP(AF65*(1-(0)^(1/2)))</f>
        <v>1.2840254166877414</v>
      </c>
      <c r="AG67" s="34" t="s">
        <v>314</v>
      </c>
      <c r="AH67" s="4">
        <f>VLOOKUP(AH56,AJ56:AM58,4,FALSE)</f>
        <v>1</v>
      </c>
      <c r="AI67" s="1"/>
      <c r="AJ67" s="10"/>
      <c r="AK67" s="10"/>
      <c r="AL67" s="1"/>
      <c r="AM67" s="10"/>
    </row>
    <row r="68" spans="1:39" ht="18" x14ac:dyDescent="0.35">
      <c r="A68" s="22" t="s">
        <v>324</v>
      </c>
      <c r="B68" s="35">
        <f>0.8*(1-B66/B67)</f>
        <v>0.48606141394258584</v>
      </c>
      <c r="C68" s="3" t="s">
        <v>316</v>
      </c>
      <c r="D68" s="4">
        <f>D67*(B58+10)*D57/30</f>
        <v>1</v>
      </c>
      <c r="E68" s="1"/>
      <c r="F68" s="10"/>
      <c r="G68" s="10"/>
      <c r="H68" s="1"/>
      <c r="I68" s="10"/>
      <c r="J68" s="10"/>
      <c r="K68" s="22" t="s">
        <v>324</v>
      </c>
      <c r="L68" s="35">
        <f>0.8*(1-L66/L67)</f>
        <v>0.17165537498536329</v>
      </c>
      <c r="M68" s="3" t="s">
        <v>316</v>
      </c>
      <c r="N68" s="4">
        <f>N67*(L58+10)*N57/30</f>
        <v>15</v>
      </c>
      <c r="O68" s="1"/>
      <c r="P68" s="10"/>
      <c r="Q68" s="10"/>
      <c r="R68" s="1"/>
      <c r="S68" s="10"/>
      <c r="T68" s="10"/>
      <c r="U68" s="22" t="s">
        <v>324</v>
      </c>
      <c r="V68" s="35">
        <f>0.8*(1-V66/V67)</f>
        <v>0.12559608292890836</v>
      </c>
      <c r="W68" s="3" t="s">
        <v>316</v>
      </c>
      <c r="X68" s="4">
        <f>X67*(V58+10)*X57/30</f>
        <v>30</v>
      </c>
      <c r="Y68" s="1"/>
      <c r="Z68" s="10"/>
      <c r="AA68" s="10"/>
      <c r="AB68" s="1"/>
      <c r="AC68" s="10"/>
      <c r="AD68" s="10"/>
      <c r="AE68" s="22" t="s">
        <v>324</v>
      </c>
      <c r="AF68" s="35">
        <f>0.8*(1-AF66/AF67)</f>
        <v>0.10412615277960216</v>
      </c>
      <c r="AG68" s="3" t="s">
        <v>316</v>
      </c>
      <c r="AH68" s="4">
        <f>AH67*(AF58+10)*AH57/30</f>
        <v>45</v>
      </c>
      <c r="AI68" s="1"/>
      <c r="AJ68" s="10"/>
      <c r="AK68" s="10"/>
      <c r="AL68" s="1"/>
      <c r="AM68" s="10"/>
    </row>
    <row r="69" spans="1:39" ht="18" x14ac:dyDescent="0.35">
      <c r="A69" s="22" t="s">
        <v>325</v>
      </c>
      <c r="B69" s="35">
        <f>1.4*(1-B66/B67)</f>
        <v>0.85060747439952522</v>
      </c>
      <c r="C69" s="3" t="s">
        <v>318</v>
      </c>
      <c r="D69" s="4">
        <f>D67*(B58+10)*D58/30</f>
        <v>10000</v>
      </c>
      <c r="E69" s="1"/>
      <c r="F69" s="10"/>
      <c r="G69" s="10"/>
      <c r="H69" s="1"/>
      <c r="I69" s="10"/>
      <c r="J69" s="10"/>
      <c r="K69" s="22" t="s">
        <v>325</v>
      </c>
      <c r="L69" s="35">
        <f>1.4*(1-L66/L67)</f>
        <v>0.3003969062243857</v>
      </c>
      <c r="M69" s="3" t="s">
        <v>318</v>
      </c>
      <c r="N69" s="4">
        <f>N67*(L58+10)*N58/30</f>
        <v>10000</v>
      </c>
      <c r="O69" s="1"/>
      <c r="P69" s="10"/>
      <c r="Q69" s="10"/>
      <c r="R69" s="1"/>
      <c r="S69" s="10"/>
      <c r="T69" s="10"/>
      <c r="U69" s="22" t="s">
        <v>325</v>
      </c>
      <c r="V69" s="35">
        <f>1.4*(1-V66/V67)</f>
        <v>0.21979314512558962</v>
      </c>
      <c r="W69" s="3" t="s">
        <v>318</v>
      </c>
      <c r="X69" s="4">
        <f>X67*(V58+10)*X58/30</f>
        <v>10000</v>
      </c>
      <c r="Y69" s="1"/>
      <c r="Z69" s="10"/>
      <c r="AA69" s="10"/>
      <c r="AB69" s="1"/>
      <c r="AC69" s="10"/>
      <c r="AD69" s="10"/>
      <c r="AE69" s="22" t="s">
        <v>325</v>
      </c>
      <c r="AF69" s="35">
        <f>1.4*(1-AF66/AF67)</f>
        <v>0.18222076736430376</v>
      </c>
      <c r="AG69" s="3" t="s">
        <v>318</v>
      </c>
      <c r="AH69" s="4">
        <f>AH67*(AF58+10)*AH58/30</f>
        <v>10000</v>
      </c>
      <c r="AI69" s="1"/>
      <c r="AJ69" s="10"/>
      <c r="AK69" s="10"/>
      <c r="AL69" s="1"/>
      <c r="AM69" s="10"/>
    </row>
    <row r="70" spans="1:39" ht="18.75" thickBot="1" x14ac:dyDescent="0.4">
      <c r="A70" s="36" t="s">
        <v>326</v>
      </c>
      <c r="B70" s="37">
        <f>IF(D55&lt;=45,B68,B69)</f>
        <v>0.48606141394258584</v>
      </c>
      <c r="C70" s="22" t="s">
        <v>327</v>
      </c>
      <c r="D70" s="38">
        <f>B77/100</f>
        <v>0.14493289641172216</v>
      </c>
      <c r="E70" s="1"/>
      <c r="F70" s="10"/>
      <c r="G70" s="10"/>
      <c r="H70" s="1"/>
      <c r="I70" s="10"/>
      <c r="J70" s="10"/>
      <c r="K70" s="36" t="s">
        <v>326</v>
      </c>
      <c r="L70" s="37">
        <f>IF(N55&lt;=45,L68,L69)</f>
        <v>0.17165537498536329</v>
      </c>
      <c r="M70" s="22" t="s">
        <v>327</v>
      </c>
      <c r="N70" s="38">
        <f>L77/100</f>
        <v>0.14493289641172216</v>
      </c>
      <c r="O70" s="1"/>
      <c r="P70" s="10"/>
      <c r="Q70" s="10"/>
      <c r="R70" s="1"/>
      <c r="S70" s="10"/>
      <c r="T70" s="10"/>
      <c r="U70" s="36" t="s">
        <v>326</v>
      </c>
      <c r="V70" s="37">
        <f>IF(X55&lt;=45,V68,V69)</f>
        <v>0.12559608292890836</v>
      </c>
      <c r="W70" s="22" t="s">
        <v>327</v>
      </c>
      <c r="X70" s="38">
        <f>V77/100</f>
        <v>0.14493289641172216</v>
      </c>
      <c r="Y70" s="1"/>
      <c r="Z70" s="10"/>
      <c r="AA70" s="10"/>
      <c r="AB70" s="1"/>
      <c r="AC70" s="10"/>
      <c r="AD70" s="10"/>
      <c r="AE70" s="36" t="s">
        <v>326</v>
      </c>
      <c r="AF70" s="37">
        <f>IF(AH55&lt;=45,AF68,AF69)</f>
        <v>0.10412615277960216</v>
      </c>
      <c r="AG70" s="22" t="s">
        <v>327</v>
      </c>
      <c r="AH70" s="38">
        <f>AF77/100</f>
        <v>0.14493289641172216</v>
      </c>
      <c r="AI70" s="1"/>
      <c r="AJ70" s="10"/>
      <c r="AK70" s="10"/>
      <c r="AL70" s="1"/>
      <c r="AM70" s="10"/>
    </row>
    <row r="71" spans="1:39" ht="15.75" thickBot="1" x14ac:dyDescent="0.3">
      <c r="A71" s="894" t="s">
        <v>328</v>
      </c>
      <c r="B71" s="895"/>
      <c r="C71" s="3" t="s">
        <v>109</v>
      </c>
      <c r="D71" s="4">
        <v>40</v>
      </c>
      <c r="E71" s="1"/>
      <c r="F71" s="10"/>
      <c r="G71" s="10"/>
      <c r="H71" s="1"/>
      <c r="I71" s="1"/>
      <c r="J71" s="1"/>
      <c r="K71" s="894" t="s">
        <v>328</v>
      </c>
      <c r="L71" s="895"/>
      <c r="M71" s="3" t="s">
        <v>109</v>
      </c>
      <c r="N71" s="4">
        <v>40</v>
      </c>
      <c r="O71" s="1"/>
      <c r="P71" s="10"/>
      <c r="Q71" s="10"/>
      <c r="R71" s="1"/>
      <c r="S71" s="1"/>
      <c r="T71" s="1"/>
      <c r="U71" s="894" t="s">
        <v>328</v>
      </c>
      <c r="V71" s="895"/>
      <c r="W71" s="3" t="s">
        <v>109</v>
      </c>
      <c r="X71" s="4">
        <v>40</v>
      </c>
      <c r="Y71" s="1"/>
      <c r="Z71" s="10"/>
      <c r="AA71" s="10"/>
      <c r="AB71" s="1"/>
      <c r="AC71" s="1"/>
      <c r="AD71" s="1"/>
      <c r="AE71" s="894" t="s">
        <v>328</v>
      </c>
      <c r="AF71" s="895"/>
      <c r="AG71" s="3" t="s">
        <v>109</v>
      </c>
      <c r="AH71" s="4">
        <v>40</v>
      </c>
      <c r="AI71" s="1"/>
      <c r="AJ71" s="10"/>
      <c r="AK71" s="10"/>
      <c r="AL71" s="1"/>
      <c r="AM71" s="1"/>
    </row>
    <row r="72" spans="1:39" ht="18" x14ac:dyDescent="0.35">
      <c r="A72" s="39" t="s">
        <v>329</v>
      </c>
      <c r="B72" s="33">
        <f>B73*0.75</f>
        <v>1.5</v>
      </c>
      <c r="C72" s="3" t="s">
        <v>110</v>
      </c>
      <c r="D72" s="4">
        <f>116*D70^3-282*D70^2+220*D70-4.8</f>
        <v>21.514823422569322</v>
      </c>
      <c r="E72" s="10"/>
      <c r="F72" s="10"/>
      <c r="G72" s="10"/>
      <c r="H72" s="10"/>
      <c r="I72" s="10"/>
      <c r="J72" s="10"/>
      <c r="K72" s="39" t="s">
        <v>329</v>
      </c>
      <c r="L72" s="33">
        <f>L73*0.75</f>
        <v>1.5</v>
      </c>
      <c r="M72" s="3" t="s">
        <v>110</v>
      </c>
      <c r="N72" s="4">
        <f>116*N70^3-282*N70^2+220*N70-4.8</f>
        <v>21.514823422569322</v>
      </c>
      <c r="O72" s="10"/>
      <c r="P72" s="10"/>
      <c r="Q72" s="10"/>
      <c r="R72" s="10"/>
      <c r="S72" s="10"/>
      <c r="T72" s="10"/>
      <c r="U72" s="39" t="s">
        <v>329</v>
      </c>
      <c r="V72" s="33">
        <f>V73*0.75</f>
        <v>1.5</v>
      </c>
      <c r="W72" s="3" t="s">
        <v>110</v>
      </c>
      <c r="X72" s="4">
        <f>116*X70^3-282*X70^2+220*X70-4.8</f>
        <v>21.514823422569322</v>
      </c>
      <c r="Y72" s="10"/>
      <c r="Z72" s="10"/>
      <c r="AA72" s="10"/>
      <c r="AB72" s="10"/>
      <c r="AC72" s="10"/>
      <c r="AD72" s="10"/>
      <c r="AE72" s="39" t="s">
        <v>329</v>
      </c>
      <c r="AF72" s="33">
        <f>AF73*0.75</f>
        <v>1.5</v>
      </c>
      <c r="AG72" s="3" t="s">
        <v>110</v>
      </c>
      <c r="AH72" s="4">
        <f>116*AH70^3-282*AH70^2+220*AH70-4.8</f>
        <v>21.514823422569322</v>
      </c>
      <c r="AI72" s="10"/>
      <c r="AJ72" s="10"/>
      <c r="AK72" s="10"/>
      <c r="AL72" s="10"/>
      <c r="AM72" s="10"/>
    </row>
    <row r="73" spans="1:39" ht="18" x14ac:dyDescent="0.35">
      <c r="A73" s="22" t="s">
        <v>330</v>
      </c>
      <c r="B73" s="4">
        <f>4.45-0.035*B57</f>
        <v>2</v>
      </c>
      <c r="C73" s="3" t="s">
        <v>111</v>
      </c>
      <c r="D73" s="4">
        <f>2.5*D70^3-8.8*D70+40.7</f>
        <v>39.43220149757591</v>
      </c>
      <c r="E73" s="10"/>
      <c r="F73" s="10"/>
      <c r="G73" s="10"/>
      <c r="H73" s="10"/>
      <c r="I73" s="10"/>
      <c r="J73" s="10"/>
      <c r="K73" s="22" t="s">
        <v>330</v>
      </c>
      <c r="L73" s="4">
        <f>4.45-0.035*L57</f>
        <v>2</v>
      </c>
      <c r="M73" s="3" t="s">
        <v>111</v>
      </c>
      <c r="N73" s="4">
        <f>2.5*N70^3-8.8*N70+40.7</f>
        <v>39.43220149757591</v>
      </c>
      <c r="O73" s="10"/>
      <c r="P73" s="10"/>
      <c r="Q73" s="10"/>
      <c r="R73" s="10"/>
      <c r="S73" s="10"/>
      <c r="T73" s="10"/>
      <c r="U73" s="22" t="s">
        <v>330</v>
      </c>
      <c r="V73" s="4">
        <f>4.45-0.035*V57</f>
        <v>2</v>
      </c>
      <c r="W73" s="3" t="s">
        <v>111</v>
      </c>
      <c r="X73" s="4">
        <f>2.5*X70^3-8.8*X70+40.7</f>
        <v>39.43220149757591</v>
      </c>
      <c r="Y73" s="10"/>
      <c r="Z73" s="10"/>
      <c r="AA73" s="10"/>
      <c r="AB73" s="10"/>
      <c r="AC73" s="10"/>
      <c r="AD73" s="10"/>
      <c r="AE73" s="22" t="s">
        <v>330</v>
      </c>
      <c r="AF73" s="4">
        <f>4.45-0.035*AF57</f>
        <v>2</v>
      </c>
      <c r="AG73" s="3" t="s">
        <v>111</v>
      </c>
      <c r="AH73" s="4">
        <f>2.5*AH70^3-8.8*AH70+40.7</f>
        <v>39.43220149757591</v>
      </c>
      <c r="AI73" s="10"/>
      <c r="AJ73" s="10"/>
      <c r="AK73" s="10"/>
      <c r="AL73" s="10"/>
      <c r="AM73" s="10"/>
    </row>
    <row r="74" spans="1:39" ht="18" x14ac:dyDescent="0.35">
      <c r="A74" s="22" t="s">
        <v>331</v>
      </c>
      <c r="B74" s="4">
        <f>B73*1.25</f>
        <v>2.5</v>
      </c>
      <c r="C74" s="3" t="s">
        <v>112</v>
      </c>
      <c r="D74" s="4">
        <f>-75*D70^3+585*D70^2+496*D70-6.8</f>
        <v>77.146630550682545</v>
      </c>
      <c r="E74" s="10"/>
      <c r="F74" s="10"/>
      <c r="G74" s="10"/>
      <c r="H74" s="10"/>
      <c r="I74" s="10"/>
      <c r="J74" s="10"/>
      <c r="K74" s="22" t="s">
        <v>331</v>
      </c>
      <c r="L74" s="4">
        <f>L73*1.25</f>
        <v>2.5</v>
      </c>
      <c r="M74" s="3" t="s">
        <v>112</v>
      </c>
      <c r="N74" s="4">
        <f>-75*N70^3+585*N70^2+496*N70-6.8</f>
        <v>77.146630550682545</v>
      </c>
      <c r="O74" s="10"/>
      <c r="P74" s="10"/>
      <c r="Q74" s="10"/>
      <c r="R74" s="10"/>
      <c r="S74" s="10"/>
      <c r="T74" s="10"/>
      <c r="U74" s="22" t="s">
        <v>331</v>
      </c>
      <c r="V74" s="4">
        <f>V73*1.25</f>
        <v>2.5</v>
      </c>
      <c r="W74" s="3" t="s">
        <v>112</v>
      </c>
      <c r="X74" s="4">
        <f>-75*X70^3+585*X70^2+496*X70-6.8</f>
        <v>77.146630550682545</v>
      </c>
      <c r="Y74" s="10"/>
      <c r="Z74" s="10"/>
      <c r="AA74" s="10"/>
      <c r="AB74" s="10"/>
      <c r="AC74" s="10"/>
      <c r="AD74" s="10"/>
      <c r="AE74" s="22" t="s">
        <v>331</v>
      </c>
      <c r="AF74" s="4">
        <f>AF73*1.25</f>
        <v>2.5</v>
      </c>
      <c r="AG74" s="3" t="s">
        <v>112</v>
      </c>
      <c r="AH74" s="4">
        <f>-75*AH70^3+585*AH70^2+496*AH70-6.8</f>
        <v>77.146630550682545</v>
      </c>
      <c r="AI74" s="10"/>
      <c r="AJ74" s="10"/>
      <c r="AK74" s="10"/>
      <c r="AL74" s="10"/>
      <c r="AM74" s="10"/>
    </row>
    <row r="75" spans="1:39" ht="18" x14ac:dyDescent="0.35">
      <c r="A75" s="22" t="s">
        <v>332</v>
      </c>
      <c r="B75" s="4">
        <f>IF(B59&lt;5,B72,IF(B59&lt;10,B73,B74))</f>
        <v>2.5</v>
      </c>
      <c r="C75" s="3" t="s">
        <v>333</v>
      </c>
      <c r="D75" s="4">
        <f>-169*D70^4+88*D70^3+584*D70^2-39*D70+0.8</f>
        <v>7.6081933532991961</v>
      </c>
      <c r="E75" s="10"/>
      <c r="F75" s="10"/>
      <c r="G75" s="10"/>
      <c r="H75" s="10"/>
      <c r="I75" s="10"/>
      <c r="J75" s="10"/>
      <c r="K75" s="22" t="s">
        <v>332</v>
      </c>
      <c r="L75" s="4">
        <f>IF(L59&lt;5,L72,IF(L59&lt;10,L73,L74))</f>
        <v>2.5</v>
      </c>
      <c r="M75" s="3" t="s">
        <v>333</v>
      </c>
      <c r="N75" s="4">
        <f>-169*N70^4+88*N70^3+584*N70^2-39*N70+0.8</f>
        <v>7.6081933532991961</v>
      </c>
      <c r="O75" s="10"/>
      <c r="P75" s="10"/>
      <c r="Q75" s="10"/>
      <c r="R75" s="10"/>
      <c r="S75" s="10"/>
      <c r="T75" s="10"/>
      <c r="U75" s="22" t="s">
        <v>332</v>
      </c>
      <c r="V75" s="4">
        <f>IF(V59&lt;5,V72,IF(V59&lt;10,V73,V74))</f>
        <v>2.5</v>
      </c>
      <c r="W75" s="3" t="s">
        <v>333</v>
      </c>
      <c r="X75" s="4">
        <f>-169*X70^4+88*X70^3+584*X70^2-39*X70+0.8</f>
        <v>7.6081933532991961</v>
      </c>
      <c r="Y75" s="10"/>
      <c r="Z75" s="10"/>
      <c r="AA75" s="10"/>
      <c r="AB75" s="10"/>
      <c r="AC75" s="10"/>
      <c r="AD75" s="10"/>
      <c r="AE75" s="22" t="s">
        <v>332</v>
      </c>
      <c r="AF75" s="4">
        <f>IF(AF59&lt;5,AF72,IF(AF59&lt;10,AF73,AF74))</f>
        <v>2.5</v>
      </c>
      <c r="AG75" s="3" t="s">
        <v>333</v>
      </c>
      <c r="AH75" s="4">
        <f>-169*AH70^4+88*AH70^3+584*AH70^2-39*AH70+0.8</f>
        <v>7.6081933532991961</v>
      </c>
      <c r="AI75" s="10"/>
      <c r="AJ75" s="10"/>
      <c r="AK75" s="10"/>
      <c r="AL75" s="10"/>
      <c r="AM75" s="10"/>
    </row>
    <row r="76" spans="1:39" ht="18" x14ac:dyDescent="0.35">
      <c r="A76" s="34" t="s">
        <v>334</v>
      </c>
      <c r="B76" s="38">
        <f>1+EXP(-7.8+0.1*B57)</f>
        <v>1.4493289641172216</v>
      </c>
      <c r="C76" s="22" t="s">
        <v>335</v>
      </c>
      <c r="D76" s="4">
        <f>((D68/100)^3+D71*(D68/100)^2+D72*(D68/100))/((D68/100)^3+D73*(D68/100)^2+D74*(D68/100)+D75)</f>
        <v>2.6140218143630777E-2</v>
      </c>
      <c r="E76" s="10"/>
      <c r="F76" s="10"/>
      <c r="G76" s="10"/>
      <c r="H76" s="10"/>
      <c r="I76" s="10"/>
      <c r="J76" s="10"/>
      <c r="K76" s="34" t="s">
        <v>334</v>
      </c>
      <c r="L76" s="38">
        <f>1+EXP(-7.8+0.1*L57)</f>
        <v>1.4493289641172216</v>
      </c>
      <c r="M76" s="22" t="s">
        <v>335</v>
      </c>
      <c r="N76" s="4">
        <f>((N68/100)^3+N71*(N68/100)^2+N72*(N68/100))/((N68/100)^3+N73*(N68/100)^2+N74*(N68/100)+N75)</f>
        <v>0.20580151723704784</v>
      </c>
      <c r="O76" s="10"/>
      <c r="P76" s="10"/>
      <c r="Q76" s="10"/>
      <c r="R76" s="10"/>
      <c r="S76" s="10"/>
      <c r="T76" s="10"/>
      <c r="U76" s="34" t="s">
        <v>334</v>
      </c>
      <c r="V76" s="38">
        <f>1+EXP(-7.8+0.1*V57)</f>
        <v>1.4493289641172216</v>
      </c>
      <c r="W76" s="22" t="s">
        <v>335</v>
      </c>
      <c r="X76" s="4">
        <f>((X68/100)^3+X71*(X68/100)^2+X72*(X68/100))/((X68/100)^3+X73*(X68/100)^2+X74*(X68/100)+X75)</f>
        <v>0.29367930961808164</v>
      </c>
      <c r="Y76" s="10"/>
      <c r="Z76" s="10"/>
      <c r="AA76" s="10"/>
      <c r="AB76" s="10"/>
      <c r="AC76" s="10"/>
      <c r="AD76" s="10"/>
      <c r="AE76" s="34" t="s">
        <v>334</v>
      </c>
      <c r="AF76" s="38">
        <f>1+EXP(-7.8+0.1*AF57)</f>
        <v>1.4493289641172216</v>
      </c>
      <c r="AG76" s="22" t="s">
        <v>335</v>
      </c>
      <c r="AH76" s="4">
        <f>((AH68/100)^3+AH71*(AH68/100)^2+AH72*(AH68/100))/((AH68/100)^3+AH73*(AH68/100)^2+AH74*(AH68/100)+AH75)</f>
        <v>0.35461668716031441</v>
      </c>
      <c r="AI76" s="10"/>
      <c r="AJ76" s="10"/>
      <c r="AK76" s="10"/>
      <c r="AL76" s="10"/>
      <c r="AM76" s="10"/>
    </row>
    <row r="77" spans="1:39" ht="18.75" thickBot="1" x14ac:dyDescent="0.4">
      <c r="A77" s="22" t="s">
        <v>327</v>
      </c>
      <c r="B77" s="38">
        <f>B76*2*B55/(B56)</f>
        <v>14.493289641172217</v>
      </c>
      <c r="C77" s="36" t="s">
        <v>336</v>
      </c>
      <c r="D77" s="40">
        <f>((D69/100)^3+D71*(D69/100)^2+D72*(D69/100))/((D69/100)^3+D73*(D69/100)^2+D74*(D69/100)+D75)</f>
        <v>1.0000764570128986</v>
      </c>
      <c r="E77" s="10"/>
      <c r="F77" s="10"/>
      <c r="G77" s="10"/>
      <c r="H77" s="10"/>
      <c r="I77" s="10"/>
      <c r="J77" s="10"/>
      <c r="K77" s="22" t="s">
        <v>327</v>
      </c>
      <c r="L77" s="38">
        <f>L76*2*L55/(L56)</f>
        <v>14.493289641172217</v>
      </c>
      <c r="M77" s="36" t="s">
        <v>336</v>
      </c>
      <c r="N77" s="40">
        <f>((N69/100)^3+N71*(N69/100)^2+N72*(N69/100))/((N69/100)^3+N73*(N69/100)^2+N74*(N69/100)+N75)</f>
        <v>1.0000764570128986</v>
      </c>
      <c r="O77" s="10"/>
      <c r="P77" s="10"/>
      <c r="Q77" s="10"/>
      <c r="R77" s="10"/>
      <c r="S77" s="10"/>
      <c r="T77" s="10"/>
      <c r="U77" s="22" t="s">
        <v>327</v>
      </c>
      <c r="V77" s="38">
        <f>V76*2*V55/(V56)</f>
        <v>14.493289641172217</v>
      </c>
      <c r="W77" s="36" t="s">
        <v>336</v>
      </c>
      <c r="X77" s="40">
        <f>((X69/100)^3+X71*(X69/100)^2+X72*(X69/100))/((X69/100)^3+X73*(X69/100)^2+X74*(X69/100)+X75)</f>
        <v>1.0000764570128986</v>
      </c>
      <c r="Y77" s="10"/>
      <c r="Z77" s="10"/>
      <c r="AA77" s="10"/>
      <c r="AB77" s="10"/>
      <c r="AC77" s="10"/>
      <c r="AD77" s="10"/>
      <c r="AE77" s="22" t="s">
        <v>327</v>
      </c>
      <c r="AF77" s="38">
        <f>AF76*2*AF55/(AF56)</f>
        <v>14.493289641172217</v>
      </c>
      <c r="AG77" s="36" t="s">
        <v>336</v>
      </c>
      <c r="AH77" s="40">
        <f>((AH69/100)^3+AH71*(AH69/100)^2+AH72*(AH69/100))/((AH69/100)^3+AH73*(AH69/100)^2+AH74*(AH69/100)+AH75)</f>
        <v>1.0000764570128986</v>
      </c>
      <c r="AI77" s="10"/>
      <c r="AJ77" s="10"/>
      <c r="AK77" s="10"/>
      <c r="AL77" s="10"/>
      <c r="AM77" s="10"/>
    </row>
    <row r="78" spans="1:39" ht="18.75" thickBot="1" x14ac:dyDescent="0.4">
      <c r="A78" s="22" t="s">
        <v>337</v>
      </c>
      <c r="B78" s="41">
        <f>(42+B77)/(20+B77)</f>
        <v>1.6378052145464301</v>
      </c>
      <c r="C78" s="42" t="s">
        <v>338</v>
      </c>
      <c r="D78" s="43">
        <f>D66*(D77-D76)</f>
        <v>-5.8430081313086662E-4</v>
      </c>
      <c r="E78" s="10"/>
      <c r="F78" s="10"/>
      <c r="G78" s="10"/>
      <c r="H78" s="10"/>
      <c r="I78" s="10"/>
      <c r="J78" s="10"/>
      <c r="K78" s="22" t="s">
        <v>337</v>
      </c>
      <c r="L78" s="41">
        <f>(42+L77)/(20+L77)</f>
        <v>1.6378052145464301</v>
      </c>
      <c r="M78" s="42" t="s">
        <v>338</v>
      </c>
      <c r="N78" s="43">
        <f>N66*(N77-N76)</f>
        <v>-4.7651527342211936E-4</v>
      </c>
      <c r="O78" s="10"/>
      <c r="P78" s="10"/>
      <c r="Q78" s="10"/>
      <c r="R78" s="10"/>
      <c r="S78" s="10"/>
      <c r="T78" s="10"/>
      <c r="U78" s="22" t="s">
        <v>337</v>
      </c>
      <c r="V78" s="41">
        <f>(42+V77)/(20+V77)</f>
        <v>1.6378052145464301</v>
      </c>
      <c r="W78" s="42" t="s">
        <v>338</v>
      </c>
      <c r="X78" s="43">
        <f>X66*(X77-X76)</f>
        <v>-4.2379409569492335E-4</v>
      </c>
      <c r="Y78" s="10"/>
      <c r="Z78" s="10"/>
      <c r="AA78" s="10"/>
      <c r="AB78" s="10"/>
      <c r="AC78" s="10"/>
      <c r="AD78" s="10"/>
      <c r="AE78" s="22" t="s">
        <v>337</v>
      </c>
      <c r="AF78" s="41">
        <f>(42+AF77)/(20+AF77)</f>
        <v>1.6378052145464301</v>
      </c>
      <c r="AG78" s="42" t="s">
        <v>338</v>
      </c>
      <c r="AH78" s="43">
        <f>AH66*(AH77-AH76)</f>
        <v>-3.8723548145819746E-4</v>
      </c>
      <c r="AI78" s="10"/>
      <c r="AJ78" s="10"/>
      <c r="AK78" s="10"/>
      <c r="AL78" s="10"/>
      <c r="AM78" s="10"/>
    </row>
    <row r="79" spans="1:39" ht="18" x14ac:dyDescent="0.35">
      <c r="A79" s="22" t="s">
        <v>339</v>
      </c>
      <c r="B79" s="38">
        <f>B75*B78</f>
        <v>4.0945130363660756</v>
      </c>
      <c r="C79" s="10"/>
      <c r="D79" s="10"/>
      <c r="E79" s="10"/>
      <c r="F79" s="10"/>
      <c r="G79" s="10"/>
      <c r="H79" s="10"/>
      <c r="I79" s="10"/>
      <c r="J79" s="10"/>
      <c r="K79" s="22" t="s">
        <v>339</v>
      </c>
      <c r="L79" s="38">
        <f>L75*L78</f>
        <v>4.0945130363660756</v>
      </c>
      <c r="M79" s="10"/>
      <c r="N79" s="10"/>
      <c r="O79" s="10"/>
      <c r="P79" s="10"/>
      <c r="Q79" s="10"/>
      <c r="R79" s="10"/>
      <c r="S79" s="10"/>
      <c r="T79" s="10"/>
      <c r="U79" s="22" t="s">
        <v>339</v>
      </c>
      <c r="V79" s="38">
        <f>V75*V78</f>
        <v>4.0945130363660756</v>
      </c>
      <c r="W79" s="10"/>
      <c r="X79" s="10"/>
      <c r="Y79" s="10"/>
      <c r="Z79" s="10"/>
      <c r="AA79" s="10"/>
      <c r="AB79" s="10"/>
      <c r="AC79" s="10"/>
      <c r="AD79" s="10"/>
      <c r="AE79" s="22" t="s">
        <v>339</v>
      </c>
      <c r="AF79" s="38">
        <f>AF75*AF78</f>
        <v>4.0945130363660756</v>
      </c>
      <c r="AG79" s="10"/>
      <c r="AH79" s="10"/>
      <c r="AI79" s="10"/>
      <c r="AJ79" s="10"/>
      <c r="AK79" s="10"/>
      <c r="AL79" s="10"/>
      <c r="AM79" s="10"/>
    </row>
    <row r="80" spans="1:39" ht="18" x14ac:dyDescent="0.35">
      <c r="A80" s="22" t="s">
        <v>340</v>
      </c>
      <c r="B80" s="38">
        <f>0.45*B75*B78</f>
        <v>1.842530866364734</v>
      </c>
      <c r="C80" s="10"/>
      <c r="D80" s="10"/>
      <c r="E80" s="10"/>
      <c r="F80" s="10"/>
      <c r="G80" s="10"/>
      <c r="H80" s="10"/>
      <c r="I80" s="10"/>
      <c r="J80" s="10"/>
      <c r="K80" s="22" t="s">
        <v>340</v>
      </c>
      <c r="L80" s="38">
        <f>0.45*L75*L78</f>
        <v>1.842530866364734</v>
      </c>
      <c r="M80" s="10"/>
      <c r="N80" s="10"/>
      <c r="O80" s="10"/>
      <c r="P80" s="10"/>
      <c r="Q80" s="10"/>
      <c r="R80" s="10"/>
      <c r="S80" s="10"/>
      <c r="T80" s="10"/>
      <c r="U80" s="22" t="s">
        <v>340</v>
      </c>
      <c r="V80" s="38">
        <f>0.45*V75*V78</f>
        <v>1.842530866364734</v>
      </c>
      <c r="W80" s="10"/>
      <c r="X80" s="10"/>
      <c r="Y80" s="10"/>
      <c r="Z80" s="10"/>
      <c r="AA80" s="10"/>
      <c r="AB80" s="10"/>
      <c r="AC80" s="10"/>
      <c r="AD80" s="10"/>
      <c r="AE80" s="22" t="s">
        <v>340</v>
      </c>
      <c r="AF80" s="38">
        <f>0.45*AF75*AF78</f>
        <v>1.842530866364734</v>
      </c>
      <c r="AG80" s="10"/>
      <c r="AH80" s="10"/>
      <c r="AI80" s="10"/>
      <c r="AJ80" s="10"/>
      <c r="AK80" s="10"/>
      <c r="AL80" s="10"/>
      <c r="AM80" s="10"/>
    </row>
    <row r="81" spans="1:39" ht="18.75" thickBot="1" x14ac:dyDescent="0.4">
      <c r="A81" s="36" t="s">
        <v>341</v>
      </c>
      <c r="B81" s="44">
        <f>IF(D55&lt;50,B79,B80)</f>
        <v>4.0945130363660756</v>
      </c>
      <c r="C81" s="10"/>
      <c r="D81" s="10"/>
      <c r="E81" s="10"/>
      <c r="F81" s="10"/>
      <c r="G81" s="10"/>
      <c r="H81" s="10"/>
      <c r="I81" s="10"/>
      <c r="J81" s="10"/>
      <c r="K81" s="36" t="s">
        <v>341</v>
      </c>
      <c r="L81" s="44">
        <f>IF(N55&lt;50,L79,L80)</f>
        <v>4.0945130363660756</v>
      </c>
      <c r="M81" s="10"/>
      <c r="N81" s="10"/>
      <c r="O81" s="10"/>
      <c r="P81" s="10"/>
      <c r="Q81" s="10"/>
      <c r="R81" s="10"/>
      <c r="S81" s="10"/>
      <c r="T81" s="10"/>
      <c r="U81" s="36" t="s">
        <v>341</v>
      </c>
      <c r="V81" s="44">
        <f>IF(X55&lt;50,V79,V80)</f>
        <v>4.0945130363660756</v>
      </c>
      <c r="W81" s="10"/>
      <c r="X81" s="10"/>
      <c r="Y81" s="10"/>
      <c r="Z81" s="10"/>
      <c r="AA81" s="10"/>
      <c r="AB81" s="10"/>
      <c r="AC81" s="10"/>
      <c r="AD81" s="10"/>
      <c r="AE81" s="36" t="s">
        <v>341</v>
      </c>
      <c r="AF81" s="44">
        <f>IF(AH55&lt;50,AF79,AF80)</f>
        <v>4.0945130363660756</v>
      </c>
      <c r="AG81" s="10"/>
      <c r="AH81" s="10"/>
      <c r="AI81" s="10"/>
      <c r="AJ81" s="10"/>
      <c r="AK81" s="10"/>
      <c r="AL81" s="10"/>
      <c r="AM81" s="10"/>
    </row>
    <row r="82" spans="1:39" ht="15.75" thickBot="1" x14ac:dyDescent="0.3">
      <c r="A82" s="894" t="s">
        <v>342</v>
      </c>
      <c r="B82" s="895"/>
      <c r="C82" s="10"/>
      <c r="D82" s="10"/>
      <c r="E82" s="10"/>
      <c r="F82" s="10"/>
      <c r="G82" s="10"/>
      <c r="H82" s="10"/>
      <c r="I82" s="10"/>
      <c r="J82" s="10"/>
      <c r="K82" s="894" t="s">
        <v>342</v>
      </c>
      <c r="L82" s="895"/>
      <c r="M82" s="10"/>
      <c r="N82" s="10"/>
      <c r="O82" s="10"/>
      <c r="P82" s="10"/>
      <c r="Q82" s="10"/>
      <c r="R82" s="10"/>
      <c r="S82" s="10"/>
      <c r="T82" s="10"/>
      <c r="U82" s="894" t="s">
        <v>342</v>
      </c>
      <c r="V82" s="895"/>
      <c r="W82" s="10"/>
      <c r="X82" s="10"/>
      <c r="Y82" s="10"/>
      <c r="Z82" s="10"/>
      <c r="AA82" s="10"/>
      <c r="AB82" s="10"/>
      <c r="AC82" s="10"/>
      <c r="AD82" s="10"/>
      <c r="AE82" s="894" t="s">
        <v>342</v>
      </c>
      <c r="AF82" s="895"/>
      <c r="AG82" s="10"/>
      <c r="AH82" s="10"/>
      <c r="AI82" s="10"/>
      <c r="AJ82" s="10"/>
      <c r="AK82" s="10"/>
      <c r="AL82" s="10"/>
      <c r="AM82" s="10"/>
    </row>
    <row r="83" spans="1:39" ht="18" x14ac:dyDescent="0.35">
      <c r="A83" s="39" t="s">
        <v>343</v>
      </c>
      <c r="B83" s="33">
        <v>0.4</v>
      </c>
      <c r="C83" s="10"/>
      <c r="D83" s="10"/>
      <c r="E83" s="10"/>
      <c r="F83" s="10"/>
      <c r="G83" s="10"/>
      <c r="H83" s="10"/>
      <c r="I83" s="10"/>
      <c r="J83" s="10"/>
      <c r="K83" s="39" t="s">
        <v>343</v>
      </c>
      <c r="L83" s="33">
        <v>0.4</v>
      </c>
      <c r="M83" s="10"/>
      <c r="N83" s="10"/>
      <c r="O83" s="10"/>
      <c r="P83" s="10"/>
      <c r="Q83" s="10"/>
      <c r="R83" s="10"/>
      <c r="S83" s="10"/>
      <c r="T83" s="10"/>
      <c r="U83" s="39" t="s">
        <v>343</v>
      </c>
      <c r="V83" s="33">
        <v>0.4</v>
      </c>
      <c r="W83" s="10"/>
      <c r="X83" s="10"/>
      <c r="Y83" s="10"/>
      <c r="Z83" s="10"/>
      <c r="AA83" s="10"/>
      <c r="AB83" s="10"/>
      <c r="AC83" s="10"/>
      <c r="AD83" s="10"/>
      <c r="AE83" s="39" t="s">
        <v>343</v>
      </c>
      <c r="AF83" s="33">
        <v>0.4</v>
      </c>
      <c r="AG83" s="10"/>
      <c r="AH83" s="10"/>
      <c r="AI83" s="10"/>
      <c r="AJ83" s="10"/>
      <c r="AK83" s="10"/>
      <c r="AL83" s="10"/>
      <c r="AM83" s="10"/>
    </row>
    <row r="84" spans="1:39" ht="18" x14ac:dyDescent="0.35">
      <c r="A84" s="22" t="s">
        <v>344</v>
      </c>
      <c r="B84" s="41">
        <f>(B64-B63+20)/(B64-B63+70)</f>
        <v>0.99750847119792707</v>
      </c>
      <c r="C84" s="10"/>
      <c r="D84" s="10"/>
      <c r="E84" s="10"/>
      <c r="F84" s="10"/>
      <c r="G84" s="10"/>
      <c r="H84" s="10"/>
      <c r="I84" s="10"/>
      <c r="J84" s="10"/>
      <c r="K84" s="22" t="s">
        <v>344</v>
      </c>
      <c r="L84" s="41">
        <f>(L64-L63+20)/(L64-L63+70)</f>
        <v>0.99750499001996007</v>
      </c>
      <c r="M84" s="10"/>
      <c r="N84" s="10"/>
      <c r="O84" s="10"/>
      <c r="P84" s="10"/>
      <c r="Q84" s="10"/>
      <c r="R84" s="10"/>
      <c r="S84" s="10"/>
      <c r="T84" s="10"/>
      <c r="U84" s="22" t="s">
        <v>344</v>
      </c>
      <c r="V84" s="41">
        <f>(V64-V63+20)/(V64-V63+70)</f>
        <v>0.99750124937531237</v>
      </c>
      <c r="W84" s="10"/>
      <c r="X84" s="10"/>
      <c r="Y84" s="10"/>
      <c r="Z84" s="10"/>
      <c r="AA84" s="10"/>
      <c r="AB84" s="10"/>
      <c r="AC84" s="10"/>
      <c r="AD84" s="10"/>
      <c r="AE84" s="22" t="s">
        <v>344</v>
      </c>
      <c r="AF84" s="41">
        <f>(AF64-AF63+20)/(AF64-AF63+70)</f>
        <v>0.9974974974974975</v>
      </c>
      <c r="AG84" s="10"/>
      <c r="AH84" s="10"/>
      <c r="AI84" s="10"/>
      <c r="AJ84" s="10"/>
      <c r="AK84" s="10"/>
      <c r="AL84" s="10"/>
      <c r="AM84" s="10"/>
    </row>
    <row r="85" spans="1:39" ht="18" x14ac:dyDescent="0.35">
      <c r="A85" s="22" t="s">
        <v>327</v>
      </c>
      <c r="B85" s="38">
        <f>IF(B77/100&lt;0.05,0.05,IF(B77/100&gt;1.6,1.6,B77/100))</f>
        <v>0.14493289641172216</v>
      </c>
      <c r="C85" s="10"/>
      <c r="D85" s="10"/>
      <c r="E85" s="10"/>
      <c r="F85" s="10"/>
      <c r="G85" s="10"/>
      <c r="H85" s="10"/>
      <c r="I85" s="10"/>
      <c r="J85" s="10"/>
      <c r="K85" s="22" t="s">
        <v>327</v>
      </c>
      <c r="L85" s="38">
        <f>IF(L77/100&lt;0.05,0.05,IF(L77/100&gt;1.6,1.6,L77/100))</f>
        <v>0.14493289641172216</v>
      </c>
      <c r="M85" s="10"/>
      <c r="N85" s="10"/>
      <c r="O85" s="10"/>
      <c r="P85" s="10"/>
      <c r="Q85" s="10"/>
      <c r="R85" s="10"/>
      <c r="S85" s="10"/>
      <c r="T85" s="10"/>
      <c r="U85" s="22" t="s">
        <v>327</v>
      </c>
      <c r="V85" s="38">
        <f>IF(V77/100&lt;0.05,0.05,IF(V77/100&gt;1.6,1.6,V77/100))</f>
        <v>0.14493289641172216</v>
      </c>
      <c r="W85" s="10"/>
      <c r="X85" s="10"/>
      <c r="Y85" s="10"/>
      <c r="Z85" s="10"/>
      <c r="AA85" s="10"/>
      <c r="AB85" s="10"/>
      <c r="AC85" s="10"/>
      <c r="AD85" s="10"/>
      <c r="AE85" s="22" t="s">
        <v>327</v>
      </c>
      <c r="AF85" s="38">
        <f>IF(AF77/100&lt;0.05,0.05,IF(AF77/100&gt;1.6,1.6,AF77/100))</f>
        <v>0.14493289641172216</v>
      </c>
      <c r="AG85" s="10"/>
      <c r="AH85" s="10"/>
      <c r="AI85" s="10"/>
      <c r="AJ85" s="10"/>
      <c r="AK85" s="10"/>
      <c r="AL85" s="10"/>
      <c r="AM85" s="10"/>
    </row>
    <row r="86" spans="1:39" x14ac:dyDescent="0.25">
      <c r="A86" s="3" t="s">
        <v>109</v>
      </c>
      <c r="B86" s="9">
        <f>42*(B85)^3-350*(B85)^2+588*(B85)+113</f>
        <v>190.99646709307504</v>
      </c>
      <c r="C86" s="10"/>
      <c r="D86" s="10"/>
      <c r="E86" s="10"/>
      <c r="F86" s="10"/>
      <c r="G86" s="10"/>
      <c r="H86" s="10"/>
      <c r="I86" s="10"/>
      <c r="J86" s="10"/>
      <c r="K86" s="3" t="s">
        <v>109</v>
      </c>
      <c r="L86" s="9">
        <f>42*(L85)^3-350*(L85)^2+588*(L85)+113</f>
        <v>190.99646709307504</v>
      </c>
      <c r="M86" s="10"/>
      <c r="N86" s="10"/>
      <c r="O86" s="10"/>
      <c r="P86" s="10"/>
      <c r="Q86" s="10"/>
      <c r="R86" s="10"/>
      <c r="S86" s="10"/>
      <c r="T86" s="10"/>
      <c r="U86" s="3" t="s">
        <v>109</v>
      </c>
      <c r="V86" s="9">
        <f>42*(V85)^3-350*(V85)^2+588*(V85)+113</f>
        <v>190.99646709307504</v>
      </c>
      <c r="W86" s="10"/>
      <c r="X86" s="10"/>
      <c r="Y86" s="10"/>
      <c r="Z86" s="10"/>
      <c r="AA86" s="10"/>
      <c r="AB86" s="10"/>
      <c r="AC86" s="10"/>
      <c r="AD86" s="10"/>
      <c r="AE86" s="3" t="s">
        <v>109</v>
      </c>
      <c r="AF86" s="9">
        <f>42*(AF85)^3-350*(AF85)^2+588*(AF85)+113</f>
        <v>190.99646709307504</v>
      </c>
      <c r="AG86" s="10"/>
      <c r="AH86" s="10"/>
      <c r="AI86" s="10"/>
      <c r="AJ86" s="10"/>
      <c r="AK86" s="10"/>
      <c r="AL86" s="10"/>
      <c r="AM86" s="10"/>
    </row>
    <row r="87" spans="1:39" x14ac:dyDescent="0.25">
      <c r="A87" s="3" t="s">
        <v>110</v>
      </c>
      <c r="B87" s="9">
        <f>768*(B85)^3-3060*(B85)^2+3234*(B85)-23</f>
        <v>383.77411583981109</v>
      </c>
      <c r="C87" s="10"/>
      <c r="D87" s="10"/>
      <c r="E87" s="10"/>
      <c r="F87" s="10"/>
      <c r="G87" s="10"/>
      <c r="H87" s="10"/>
      <c r="I87" s="10"/>
      <c r="J87" s="10"/>
      <c r="K87" s="3" t="s">
        <v>110</v>
      </c>
      <c r="L87" s="9">
        <f>768*(L85)^3-3060*(L85)^2+3234*(L85)-23</f>
        <v>383.77411583981109</v>
      </c>
      <c r="M87" s="10"/>
      <c r="N87" s="10"/>
      <c r="O87" s="10"/>
      <c r="P87" s="10"/>
      <c r="Q87" s="10"/>
      <c r="R87" s="10"/>
      <c r="S87" s="10"/>
      <c r="T87" s="10"/>
      <c r="U87" s="3" t="s">
        <v>110</v>
      </c>
      <c r="V87" s="9">
        <f>768*(V85)^3-3060*(V85)^2+3234*(V85)-23</f>
        <v>383.77411583981109</v>
      </c>
      <c r="W87" s="10"/>
      <c r="X87" s="10"/>
      <c r="Y87" s="10"/>
      <c r="Z87" s="10"/>
      <c r="AA87" s="10"/>
      <c r="AB87" s="10"/>
      <c r="AC87" s="10"/>
      <c r="AD87" s="10"/>
      <c r="AE87" s="3" t="s">
        <v>110</v>
      </c>
      <c r="AF87" s="9">
        <f>768*(AF85)^3-3060*(AF85)^2+3234*(AF85)-23</f>
        <v>383.77411583981109</v>
      </c>
      <c r="AG87" s="10"/>
      <c r="AH87" s="10"/>
      <c r="AI87" s="10"/>
      <c r="AJ87" s="10"/>
      <c r="AK87" s="10"/>
      <c r="AL87" s="10"/>
      <c r="AM87" s="10"/>
    </row>
    <row r="88" spans="1:39" x14ac:dyDescent="0.25">
      <c r="A88" s="3" t="s">
        <v>111</v>
      </c>
      <c r="B88" s="9">
        <f>-200*(B85)^3+13*(B85)^2+1090*(B85)+183</f>
        <v>340.64105028686197</v>
      </c>
      <c r="C88" s="10"/>
      <c r="D88" s="10"/>
      <c r="E88" s="10"/>
      <c r="F88" s="10"/>
      <c r="G88" s="10"/>
      <c r="H88" s="10"/>
      <c r="I88" s="10"/>
      <c r="J88" s="10"/>
      <c r="K88" s="3" t="s">
        <v>111</v>
      </c>
      <c r="L88" s="9">
        <f>-200*(L85)^3+13*(L85)^2+1090*(L85)+183</f>
        <v>340.64105028686197</v>
      </c>
      <c r="M88" s="10"/>
      <c r="N88" s="10"/>
      <c r="O88" s="10"/>
      <c r="P88" s="10"/>
      <c r="Q88" s="10"/>
      <c r="R88" s="10"/>
      <c r="S88" s="10"/>
      <c r="T88" s="10"/>
      <c r="U88" s="3" t="s">
        <v>111</v>
      </c>
      <c r="V88" s="9">
        <f>-200*(V85)^3+13*(V85)^2+1090*(V85)+183</f>
        <v>340.64105028686197</v>
      </c>
      <c r="W88" s="10"/>
      <c r="X88" s="10"/>
      <c r="Y88" s="10"/>
      <c r="Z88" s="10"/>
      <c r="AA88" s="10"/>
      <c r="AB88" s="10"/>
      <c r="AC88" s="10"/>
      <c r="AD88" s="10"/>
      <c r="AE88" s="3" t="s">
        <v>111</v>
      </c>
      <c r="AF88" s="9">
        <f>-200*(AF85)^3+13*(AF85)^2+1090*(AF85)+183</f>
        <v>340.64105028686197</v>
      </c>
      <c r="AG88" s="10"/>
      <c r="AH88" s="10"/>
      <c r="AI88" s="10"/>
      <c r="AJ88" s="10"/>
      <c r="AK88" s="10"/>
      <c r="AL88" s="10"/>
      <c r="AM88" s="10"/>
    </row>
    <row r="89" spans="1:39" x14ac:dyDescent="0.25">
      <c r="A89" s="3" t="s">
        <v>112</v>
      </c>
      <c r="B89" s="9">
        <f>7579*(B85)^3-31916*(B85)^2+35343*(B85)+1931</f>
        <v>6406.0238659757752</v>
      </c>
      <c r="C89" s="10"/>
      <c r="D89" s="10"/>
      <c r="E89" s="10"/>
      <c r="F89" s="10"/>
      <c r="G89" s="10"/>
      <c r="H89" s="10"/>
      <c r="I89" s="10"/>
      <c r="J89" s="10"/>
      <c r="K89" s="3" t="s">
        <v>112</v>
      </c>
      <c r="L89" s="9">
        <f>7579*(L85)^3-31916*(L85)^2+35343*(L85)+1931</f>
        <v>6406.0238659757752</v>
      </c>
      <c r="M89" s="10"/>
      <c r="N89" s="10"/>
      <c r="O89" s="10"/>
      <c r="P89" s="10"/>
      <c r="Q89" s="10"/>
      <c r="R89" s="10"/>
      <c r="S89" s="10"/>
      <c r="T89" s="10"/>
      <c r="U89" s="3" t="s">
        <v>112</v>
      </c>
      <c r="V89" s="9">
        <f>7579*(V85)^3-31916*(V85)^2+35343*(V85)+1931</f>
        <v>6406.0238659757752</v>
      </c>
      <c r="W89" s="10"/>
      <c r="X89" s="10"/>
      <c r="Y89" s="10"/>
      <c r="Z89" s="10"/>
      <c r="AA89" s="10"/>
      <c r="AB89" s="10"/>
      <c r="AC89" s="10"/>
      <c r="AD89" s="10"/>
      <c r="AE89" s="3" t="s">
        <v>112</v>
      </c>
      <c r="AF89" s="9">
        <f>7579*(AF85)^3-31916*(AF85)^2+35343*(AF85)+1931</f>
        <v>6406.0238659757752</v>
      </c>
      <c r="AG89" s="10"/>
      <c r="AH89" s="10"/>
      <c r="AI89" s="10"/>
      <c r="AJ89" s="10"/>
      <c r="AK89" s="10"/>
      <c r="AL89" s="10"/>
      <c r="AM89" s="10"/>
    </row>
    <row r="90" spans="1:39" ht="18" x14ac:dyDescent="0.35">
      <c r="A90" s="22" t="s">
        <v>345</v>
      </c>
      <c r="B90" s="45">
        <f>(B63^2+B86*B63+B87)/(B63^2+B88*B63+B89)</f>
        <v>0.10855081612005467</v>
      </c>
      <c r="C90" s="10"/>
      <c r="D90" s="10"/>
      <c r="E90" s="10"/>
      <c r="F90" s="10"/>
      <c r="G90" s="10"/>
      <c r="H90" s="10"/>
      <c r="I90" s="10"/>
      <c r="J90" s="10"/>
      <c r="K90" s="22" t="s">
        <v>345</v>
      </c>
      <c r="L90" s="45">
        <f>(L63^2+L86*L63+L87)/(L63^2+L88*L63+L89)</f>
        <v>0.40020347656699951</v>
      </c>
      <c r="M90" s="10"/>
      <c r="N90" s="10"/>
      <c r="O90" s="10"/>
      <c r="P90" s="10"/>
      <c r="Q90" s="10"/>
      <c r="R90" s="10"/>
      <c r="S90" s="10"/>
      <c r="T90" s="10"/>
      <c r="U90" s="22" t="s">
        <v>345</v>
      </c>
      <c r="V90" s="45">
        <f>(V63^2+V86*V63+V87)/(V63^2+V88*V63+V89)</f>
        <v>0.50726958219659757</v>
      </c>
      <c r="W90" s="10"/>
      <c r="X90" s="10"/>
      <c r="Y90" s="10"/>
      <c r="Z90" s="10"/>
      <c r="AA90" s="10"/>
      <c r="AB90" s="10"/>
      <c r="AC90" s="10"/>
      <c r="AD90" s="10"/>
      <c r="AE90" s="22" t="s">
        <v>345</v>
      </c>
      <c r="AF90" s="45">
        <f>(AF63^2+AF86*AF63+AF87)/(AF63^2+AF88*AF63+AF89)</f>
        <v>0.56845310945171557</v>
      </c>
      <c r="AG90" s="10"/>
      <c r="AH90" s="10"/>
      <c r="AI90" s="10"/>
      <c r="AJ90" s="10"/>
      <c r="AK90" s="10"/>
      <c r="AL90" s="10"/>
      <c r="AM90" s="10"/>
    </row>
    <row r="91" spans="1:39" ht="18.75" thickBot="1" x14ac:dyDescent="0.4">
      <c r="A91" s="46" t="s">
        <v>346</v>
      </c>
      <c r="B91" s="47">
        <f>(B64^2+B86*B64+B87)/(B64^2+B88*B64+B89)</f>
        <v>0.99262838697294986</v>
      </c>
      <c r="C91" s="10"/>
      <c r="D91" s="10"/>
      <c r="E91" s="10"/>
      <c r="F91" s="10"/>
      <c r="G91" s="10"/>
      <c r="H91" s="10"/>
      <c r="I91" s="10"/>
      <c r="J91" s="10"/>
      <c r="K91" s="46" t="s">
        <v>346</v>
      </c>
      <c r="L91" s="47">
        <f>(L64^2+L86*L64+L87)/(L64^2+L88*L64+L89)</f>
        <v>0.99262838697294986</v>
      </c>
      <c r="M91" s="10"/>
      <c r="N91" s="10"/>
      <c r="O91" s="10"/>
      <c r="P91" s="10"/>
      <c r="Q91" s="10"/>
      <c r="R91" s="10"/>
      <c r="S91" s="10"/>
      <c r="T91" s="10"/>
      <c r="U91" s="46" t="s">
        <v>346</v>
      </c>
      <c r="V91" s="47">
        <f>(V64^2+V86*V64+V87)/(V64^2+V88*V64+V89)</f>
        <v>0.99262838697294986</v>
      </c>
      <c r="W91" s="10"/>
      <c r="X91" s="10"/>
      <c r="Y91" s="10"/>
      <c r="Z91" s="10"/>
      <c r="AA91" s="10"/>
      <c r="AB91" s="10"/>
      <c r="AC91" s="10"/>
      <c r="AD91" s="10"/>
      <c r="AE91" s="46" t="s">
        <v>346</v>
      </c>
      <c r="AF91" s="47">
        <f>(AF64^2+AF86*AF64+AF87)/(AF64^2+AF88*AF64+AF89)</f>
        <v>0.99262838697294986</v>
      </c>
      <c r="AG91" s="10"/>
      <c r="AH91" s="10"/>
      <c r="AI91" s="10"/>
      <c r="AJ91" s="10"/>
      <c r="AK91" s="10"/>
      <c r="AL91" s="10"/>
      <c r="AM91" s="10"/>
    </row>
    <row r="92" spans="1:39" ht="18.75" thickBot="1" x14ac:dyDescent="0.4">
      <c r="A92" s="42" t="s">
        <v>347</v>
      </c>
      <c r="B92" s="48">
        <f>B70+B81*(B91-B90)+B83*B84</f>
        <v>4.5049319414377891</v>
      </c>
      <c r="C92" s="10"/>
      <c r="D92" s="10"/>
      <c r="E92" s="10"/>
      <c r="F92" s="10"/>
      <c r="G92" s="10"/>
      <c r="H92" s="10"/>
      <c r="I92" s="10"/>
      <c r="J92" s="10"/>
      <c r="K92" s="42" t="s">
        <v>347</v>
      </c>
      <c r="L92" s="48">
        <f>L70+L81*(L91-L90)+L83*L84</f>
        <v>2.9963488897185151</v>
      </c>
      <c r="M92" s="10"/>
      <c r="N92" s="10"/>
      <c r="O92" s="10"/>
      <c r="P92" s="10"/>
      <c r="Q92" s="10"/>
      <c r="R92" s="10"/>
      <c r="S92" s="10"/>
      <c r="T92" s="10"/>
      <c r="U92" s="42" t="s">
        <v>347</v>
      </c>
      <c r="V92" s="48">
        <f>V70+V81*(V91-V90)+V83*V84</f>
        <v>2.5119045361508645</v>
      </c>
      <c r="W92" s="10"/>
      <c r="X92" s="10"/>
      <c r="Y92" s="10"/>
      <c r="Z92" s="10"/>
      <c r="AA92" s="10"/>
      <c r="AB92" s="10"/>
      <c r="AC92" s="10"/>
      <c r="AD92" s="10"/>
      <c r="AE92" s="42" t="s">
        <v>347</v>
      </c>
      <c r="AF92" s="48">
        <f>AF70+AF81*(AF91-AF90)+AF83*AF84</f>
        <v>2.2399163552934933</v>
      </c>
      <c r="AG92" s="10"/>
      <c r="AH92" s="10"/>
      <c r="AI92" s="10"/>
      <c r="AJ92" s="10"/>
      <c r="AK92" s="10"/>
      <c r="AL92" s="10"/>
      <c r="AM92" s="10"/>
    </row>
  </sheetData>
  <mergeCells count="79">
    <mergeCell ref="AO6:AR6"/>
    <mergeCell ref="A12:B12"/>
    <mergeCell ref="C12:D12"/>
    <mergeCell ref="A13:B13"/>
    <mergeCell ref="A23:B23"/>
    <mergeCell ref="Z6:AC6"/>
    <mergeCell ref="U12:V12"/>
    <mergeCell ref="W12:X12"/>
    <mergeCell ref="U13:V13"/>
    <mergeCell ref="U23:V23"/>
    <mergeCell ref="AE6:AH6"/>
    <mergeCell ref="AJ6:AM6"/>
    <mergeCell ref="AE12:AF12"/>
    <mergeCell ref="AG12:AH12"/>
    <mergeCell ref="AE13:AF13"/>
    <mergeCell ref="AO12:AP12"/>
    <mergeCell ref="AQ12:AR12"/>
    <mergeCell ref="AO13:AP13"/>
    <mergeCell ref="AY34:AZ34"/>
    <mergeCell ref="AO23:AP23"/>
    <mergeCell ref="AO34:AP34"/>
    <mergeCell ref="BN6:BQ6"/>
    <mergeCell ref="BI12:BJ12"/>
    <mergeCell ref="BK12:BL12"/>
    <mergeCell ref="BI13:BJ13"/>
    <mergeCell ref="AT6:AW6"/>
    <mergeCell ref="BI23:BJ23"/>
    <mergeCell ref="BI34:BJ34"/>
    <mergeCell ref="AY6:BB6"/>
    <mergeCell ref="BD6:BG6"/>
    <mergeCell ref="AY12:AZ12"/>
    <mergeCell ref="BA12:BB12"/>
    <mergeCell ref="AY13:AZ13"/>
    <mergeCell ref="AY23:AZ23"/>
    <mergeCell ref="BI6:BL6"/>
    <mergeCell ref="AJ54:AM54"/>
    <mergeCell ref="K12:L12"/>
    <mergeCell ref="M12:N12"/>
    <mergeCell ref="K13:L13"/>
    <mergeCell ref="K23:L23"/>
    <mergeCell ref="K34:L34"/>
    <mergeCell ref="K54:N54"/>
    <mergeCell ref="AE34:AF34"/>
    <mergeCell ref="U34:V34"/>
    <mergeCell ref="AE23:AF23"/>
    <mergeCell ref="AG60:AH60"/>
    <mergeCell ref="P54:S54"/>
    <mergeCell ref="U54:X54"/>
    <mergeCell ref="Z54:AC54"/>
    <mergeCell ref="AE54:AH54"/>
    <mergeCell ref="AE61:AF61"/>
    <mergeCell ref="A60:B60"/>
    <mergeCell ref="C60:D60"/>
    <mergeCell ref="K60:L60"/>
    <mergeCell ref="M60:N60"/>
    <mergeCell ref="U60:V60"/>
    <mergeCell ref="W60:X60"/>
    <mergeCell ref="AE60:AF60"/>
    <mergeCell ref="AE71:AF71"/>
    <mergeCell ref="A82:B82"/>
    <mergeCell ref="K82:L82"/>
    <mergeCell ref="U82:V82"/>
    <mergeCell ref="AE82:AF82"/>
    <mergeCell ref="N2:O4"/>
    <mergeCell ref="N49:O51"/>
    <mergeCell ref="A71:B71"/>
    <mergeCell ref="K71:L71"/>
    <mergeCell ref="U71:V71"/>
    <mergeCell ref="A61:B61"/>
    <mergeCell ref="K61:L61"/>
    <mergeCell ref="U61:V61"/>
    <mergeCell ref="A54:D54"/>
    <mergeCell ref="F54:I54"/>
    <mergeCell ref="A34:B34"/>
    <mergeCell ref="U6:X6"/>
    <mergeCell ref="K6:N6"/>
    <mergeCell ref="P6:S6"/>
    <mergeCell ref="A6:D6"/>
    <mergeCell ref="F6:I6"/>
  </mergeCells>
  <dataValidations disablePrompts="1" count="1">
    <dataValidation type="list" allowBlank="1" showInputMessage="1" showErrorMessage="1" sqref="D8 N8 X8 AH8 AR8 BB8 BL8 AH56 X56 N56 D56" xr:uid="{8F6BD4BC-225B-44D2-8A03-352752559F06}">
      <formula1>$F$8:$F$10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A7BD-0FBF-4CAF-9CB7-5FF90267B677}">
  <dimension ref="B2:AC246"/>
  <sheetViews>
    <sheetView zoomScale="85" zoomScaleNormal="85" workbookViewId="0">
      <selection activeCell="C19" sqref="C19"/>
    </sheetView>
  </sheetViews>
  <sheetFormatPr defaultRowHeight="15" x14ac:dyDescent="0.25"/>
  <cols>
    <col min="4" max="5" width="10.7109375" customWidth="1"/>
    <col min="6" max="6" width="10.7109375" bestFit="1" customWidth="1"/>
    <col min="15" max="16" width="10.7109375" customWidth="1"/>
    <col min="17" max="17" width="10.7109375" bestFit="1" customWidth="1"/>
    <col min="26" max="27" width="10.7109375" customWidth="1"/>
    <col min="28" max="28" width="10.7109375" bestFit="1" customWidth="1"/>
  </cols>
  <sheetData>
    <row r="2" spans="2:29" x14ac:dyDescent="0.25">
      <c r="B2" t="s">
        <v>3</v>
      </c>
      <c r="C2">
        <v>30</v>
      </c>
      <c r="D2" t="s">
        <v>477</v>
      </c>
      <c r="F2" t="s">
        <v>478</v>
      </c>
      <c r="M2" t="s">
        <v>3</v>
      </c>
      <c r="N2">
        <v>25</v>
      </c>
      <c r="O2" t="s">
        <v>477</v>
      </c>
      <c r="Q2" t="s">
        <v>478</v>
      </c>
      <c r="X2" t="s">
        <v>3</v>
      </c>
      <c r="Y2">
        <v>20</v>
      </c>
      <c r="Z2" t="s">
        <v>477</v>
      </c>
      <c r="AB2" t="s">
        <v>478</v>
      </c>
    </row>
    <row r="3" spans="2:29" x14ac:dyDescent="0.25">
      <c r="B3" s="74">
        <v>0</v>
      </c>
      <c r="C3" s="74">
        <v>0</v>
      </c>
      <c r="F3" s="74">
        <v>0</v>
      </c>
      <c r="G3" s="74">
        <v>0</v>
      </c>
      <c r="M3" s="399">
        <v>0</v>
      </c>
      <c r="N3" s="399">
        <v>0</v>
      </c>
      <c r="Q3" s="74">
        <v>0</v>
      </c>
      <c r="R3" s="74">
        <v>0</v>
      </c>
      <c r="X3" s="399">
        <f>'Seções '!J3</f>
        <v>0</v>
      </c>
      <c r="Y3" s="399">
        <f>'Seções '!K3</f>
        <v>0</v>
      </c>
      <c r="AB3" s="400">
        <v>0</v>
      </c>
      <c r="AC3" s="400">
        <v>0</v>
      </c>
    </row>
    <row r="4" spans="2:29" x14ac:dyDescent="0.25">
      <c r="B4" s="395">
        <v>0.89</v>
      </c>
      <c r="C4" s="395">
        <v>0</v>
      </c>
      <c r="F4" s="79"/>
      <c r="G4" s="79"/>
      <c r="M4" s="399">
        <v>0.95</v>
      </c>
      <c r="N4" s="399">
        <v>0</v>
      </c>
      <c r="Q4" s="79"/>
      <c r="R4" s="79"/>
      <c r="X4" s="399">
        <f>'Seções '!J4</f>
        <v>0.95</v>
      </c>
      <c r="Y4" s="399">
        <f>'Seções '!K4</f>
        <v>0</v>
      </c>
      <c r="AB4" s="400"/>
      <c r="AC4" s="400">
        <v>0</v>
      </c>
    </row>
    <row r="5" spans="2:29" x14ac:dyDescent="0.25">
      <c r="B5" s="395">
        <v>0.13</v>
      </c>
      <c r="C5" s="395">
        <v>0.76</v>
      </c>
      <c r="F5" s="401"/>
      <c r="G5" s="401"/>
      <c r="M5" s="399">
        <v>0.19</v>
      </c>
      <c r="N5" s="399">
        <v>0.76</v>
      </c>
      <c r="Q5" s="401"/>
      <c r="R5" s="401"/>
      <c r="X5" s="399">
        <f>'Seções '!J5</f>
        <v>0.19</v>
      </c>
      <c r="Y5" s="399">
        <f>'Seções '!K5</f>
        <v>0.76</v>
      </c>
      <c r="AB5" s="400"/>
      <c r="AC5" s="400"/>
    </row>
    <row r="6" spans="2:29" x14ac:dyDescent="0.25">
      <c r="B6" s="395">
        <v>3.01</v>
      </c>
      <c r="C6" s="395">
        <v>5.7</v>
      </c>
      <c r="F6" s="401">
        <f t="shared" ref="F6:G9" si="0">B6</f>
        <v>3.01</v>
      </c>
      <c r="G6" s="401">
        <f t="shared" si="0"/>
        <v>5.7</v>
      </c>
      <c r="M6" s="399">
        <v>0</v>
      </c>
      <c r="N6" s="399">
        <v>2.2000000000000002</v>
      </c>
      <c r="Q6" s="401">
        <f>M6</f>
        <v>0</v>
      </c>
      <c r="R6" s="401">
        <f t="shared" ref="Q6:R10" si="1">N6</f>
        <v>2.2000000000000002</v>
      </c>
      <c r="X6" s="399">
        <f>'Seções '!J6</f>
        <v>0</v>
      </c>
      <c r="Y6" s="399">
        <f>'Seções '!K6</f>
        <v>2.2000000000000002</v>
      </c>
      <c r="AB6" s="400">
        <v>0</v>
      </c>
      <c r="AC6" s="400">
        <v>2.2000000000000002</v>
      </c>
    </row>
    <row r="7" spans="2:29" x14ac:dyDescent="0.25">
      <c r="B7" s="395">
        <v>3.01</v>
      </c>
      <c r="C7" s="395">
        <v>23.1</v>
      </c>
      <c r="F7" s="401">
        <f t="shared" si="0"/>
        <v>3.01</v>
      </c>
      <c r="G7" s="401">
        <f t="shared" si="0"/>
        <v>23.1</v>
      </c>
      <c r="M7" s="399">
        <v>3</v>
      </c>
      <c r="N7" s="399">
        <v>5</v>
      </c>
      <c r="Q7" s="401">
        <f t="shared" si="1"/>
        <v>3</v>
      </c>
      <c r="R7" s="401">
        <f t="shared" si="1"/>
        <v>5</v>
      </c>
      <c r="X7" s="399">
        <f>'Seções '!J7</f>
        <v>3</v>
      </c>
      <c r="Y7" s="399">
        <f>'Seções '!K7</f>
        <v>5</v>
      </c>
      <c r="AB7" s="400">
        <v>3</v>
      </c>
      <c r="AC7" s="400">
        <v>5</v>
      </c>
    </row>
    <row r="8" spans="2:29" x14ac:dyDescent="0.25">
      <c r="B8" s="395">
        <v>1.65</v>
      </c>
      <c r="C8" s="395">
        <v>25.7</v>
      </c>
      <c r="F8" s="401">
        <f t="shared" si="0"/>
        <v>1.65</v>
      </c>
      <c r="G8" s="401">
        <f t="shared" si="0"/>
        <v>25.7</v>
      </c>
      <c r="M8" s="399">
        <f>M7</f>
        <v>3</v>
      </c>
      <c r="N8" s="399">
        <v>19</v>
      </c>
      <c r="Q8" s="401">
        <f t="shared" si="1"/>
        <v>3</v>
      </c>
      <c r="R8" s="401">
        <f t="shared" si="1"/>
        <v>19</v>
      </c>
      <c r="X8" s="399">
        <f>'Seções '!J8</f>
        <v>3</v>
      </c>
      <c r="Y8" s="399">
        <f>'Seções '!K8</f>
        <v>14</v>
      </c>
      <c r="AB8" s="400">
        <v>3</v>
      </c>
      <c r="AC8" s="400">
        <v>14</v>
      </c>
    </row>
    <row r="9" spans="2:29" x14ac:dyDescent="0.25">
      <c r="B9" s="395">
        <v>1.65</v>
      </c>
      <c r="C9" s="395">
        <v>30</v>
      </c>
      <c r="F9" s="401">
        <f t="shared" si="0"/>
        <v>1.65</v>
      </c>
      <c r="G9" s="401">
        <f t="shared" si="0"/>
        <v>30</v>
      </c>
      <c r="M9" s="399">
        <v>1.65</v>
      </c>
      <c r="N9" s="399">
        <v>21.5</v>
      </c>
      <c r="Q9" s="401">
        <f t="shared" si="1"/>
        <v>1.65</v>
      </c>
      <c r="R9" s="401">
        <f t="shared" si="1"/>
        <v>21.5</v>
      </c>
      <c r="X9" s="399">
        <f>'Seções '!J9</f>
        <v>1.65</v>
      </c>
      <c r="Y9" s="399">
        <f>'Seções '!K9</f>
        <v>16.5</v>
      </c>
      <c r="AB9" s="400">
        <v>1.65</v>
      </c>
      <c r="AC9" s="400">
        <v>16.5</v>
      </c>
    </row>
    <row r="10" spans="2:29" x14ac:dyDescent="0.25">
      <c r="B10" s="216">
        <f>(((B14-B9)-((B14-B8)*Geometria!H67))/2)+B8</f>
        <v>15.30831482731231</v>
      </c>
      <c r="C10" s="216">
        <f>C9</f>
        <v>30</v>
      </c>
      <c r="D10" s="780" t="s">
        <v>756</v>
      </c>
      <c r="F10" s="401">
        <v>0</v>
      </c>
      <c r="G10" s="401">
        <f>C14</f>
        <v>30</v>
      </c>
      <c r="M10" s="399">
        <f>M9</f>
        <v>1.65</v>
      </c>
      <c r="N10" s="399">
        <v>25</v>
      </c>
      <c r="Q10" s="401">
        <f t="shared" si="1"/>
        <v>1.65</v>
      </c>
      <c r="R10" s="401">
        <f t="shared" si="1"/>
        <v>25</v>
      </c>
      <c r="X10" s="399">
        <f>'Seções '!J10</f>
        <v>1.65</v>
      </c>
      <c r="Y10" s="399">
        <f>'Seções '!K10</f>
        <v>20</v>
      </c>
      <c r="AB10" s="400">
        <v>1.65</v>
      </c>
      <c r="AC10" s="400">
        <v>20</v>
      </c>
    </row>
    <row r="11" spans="2:29" x14ac:dyDescent="0.25">
      <c r="B11" s="216">
        <f>B10</f>
        <v>15.30831482731231</v>
      </c>
      <c r="C11" s="216">
        <f>C12</f>
        <v>35</v>
      </c>
      <c r="D11" s="780"/>
      <c r="F11" s="401">
        <v>0</v>
      </c>
      <c r="G11" s="401">
        <f>G10</f>
        <v>30</v>
      </c>
      <c r="M11">
        <f>(((M15-M10)-((M15-M9)*Geometria!H67))/2)+M9</f>
        <v>15.309441843966107</v>
      </c>
      <c r="N11">
        <f>N10</f>
        <v>25</v>
      </c>
      <c r="O11" s="780" t="s">
        <v>756</v>
      </c>
      <c r="Q11" s="401">
        <v>0</v>
      </c>
      <c r="R11" s="401">
        <f>R10</f>
        <v>25</v>
      </c>
      <c r="X11">
        <f>M11</f>
        <v>15.309441843966107</v>
      </c>
      <c r="Y11">
        <f>Y10</f>
        <v>20</v>
      </c>
      <c r="Z11" s="780" t="s">
        <v>756</v>
      </c>
      <c r="AB11" s="401">
        <v>0</v>
      </c>
      <c r="AC11" s="400">
        <f>AC10</f>
        <v>20</v>
      </c>
    </row>
    <row r="12" spans="2:29" x14ac:dyDescent="0.25">
      <c r="B12" s="216">
        <f>((B14-B9)*Geometria!H67)+B11</f>
        <v>109.18168517268769</v>
      </c>
      <c r="C12" s="216">
        <f>C14+Geometria!H33</f>
        <v>35</v>
      </c>
      <c r="D12" s="780"/>
      <c r="F12" s="401">
        <v>0</v>
      </c>
      <c r="G12" s="401">
        <f>G6</f>
        <v>5.7</v>
      </c>
      <c r="M12">
        <f>M11</f>
        <v>15.309441843966107</v>
      </c>
      <c r="N12">
        <f>N11+Geometria!H33</f>
        <v>30</v>
      </c>
      <c r="O12" s="780"/>
      <c r="Q12" s="401">
        <v>0</v>
      </c>
      <c r="R12" s="401">
        <f>R6</f>
        <v>2.2000000000000002</v>
      </c>
      <c r="X12">
        <f>X11</f>
        <v>15.309441843966107</v>
      </c>
      <c r="Y12">
        <f>Y11+Geometria!H33</f>
        <v>25</v>
      </c>
      <c r="Z12" s="780"/>
      <c r="AB12" s="402">
        <f>AB11</f>
        <v>0</v>
      </c>
      <c r="AC12" s="400">
        <v>20</v>
      </c>
    </row>
    <row r="13" spans="2:29" x14ac:dyDescent="0.25">
      <c r="B13" s="216">
        <f>B12</f>
        <v>109.18168517268769</v>
      </c>
      <c r="C13" s="216">
        <f>C14</f>
        <v>30</v>
      </c>
      <c r="D13" s="780"/>
      <c r="E13" s="216"/>
      <c r="F13" s="401">
        <f>F6</f>
        <v>3.01</v>
      </c>
      <c r="G13" s="401">
        <f>G12</f>
        <v>5.7</v>
      </c>
      <c r="M13">
        <f>((M15-M10)*Geometria!H67)+M12</f>
        <v>109.19055815603389</v>
      </c>
      <c r="N13">
        <f>N12</f>
        <v>30</v>
      </c>
      <c r="O13" s="780"/>
      <c r="Q13" s="79"/>
      <c r="R13" s="79"/>
      <c r="X13">
        <f>M13</f>
        <v>109.19055815603389</v>
      </c>
      <c r="Y13">
        <f>Y12</f>
        <v>25</v>
      </c>
      <c r="Z13" s="780"/>
      <c r="AB13" s="400">
        <f>AB6</f>
        <v>0</v>
      </c>
      <c r="AC13" s="400">
        <f>AC6</f>
        <v>2.2000000000000002</v>
      </c>
    </row>
    <row r="14" spans="2:29" x14ac:dyDescent="0.25">
      <c r="B14" s="395">
        <f>B15</f>
        <v>122.84</v>
      </c>
      <c r="C14" s="395">
        <v>30</v>
      </c>
      <c r="D14" s="216"/>
      <c r="E14" s="216"/>
      <c r="F14" s="79"/>
      <c r="G14" s="79"/>
      <c r="M14">
        <f>M13</f>
        <v>109.19055815603389</v>
      </c>
      <c r="N14">
        <f>N15</f>
        <v>25</v>
      </c>
      <c r="O14" s="780"/>
      <c r="Q14" s="79"/>
      <c r="R14" s="79"/>
      <c r="X14">
        <f>X13</f>
        <v>109.19055815603389</v>
      </c>
      <c r="Y14">
        <f>Y11</f>
        <v>20</v>
      </c>
      <c r="Z14" s="780"/>
      <c r="AB14" s="399"/>
      <c r="AC14" s="399"/>
    </row>
    <row r="15" spans="2:29" x14ac:dyDescent="0.25">
      <c r="B15" s="395">
        <v>122.84</v>
      </c>
      <c r="C15" s="395">
        <v>25.7</v>
      </c>
      <c r="D15" s="216"/>
      <c r="E15" s="216"/>
      <c r="F15" s="79"/>
      <c r="G15" s="79"/>
      <c r="M15" s="400">
        <v>122.85</v>
      </c>
      <c r="N15" s="400">
        <f>N10</f>
        <v>25</v>
      </c>
      <c r="Q15" s="79"/>
      <c r="R15" s="79"/>
      <c r="X15" s="399">
        <f>'Seções '!J11</f>
        <v>122.85</v>
      </c>
      <c r="Y15" s="399">
        <f>'Seções '!K11</f>
        <v>20</v>
      </c>
      <c r="AB15" s="399"/>
      <c r="AC15" s="399"/>
    </row>
    <row r="16" spans="2:29" x14ac:dyDescent="0.25">
      <c r="B16" s="395">
        <v>121.51</v>
      </c>
      <c r="C16" s="395">
        <v>23.2</v>
      </c>
      <c r="D16" s="216"/>
      <c r="F16" s="79"/>
      <c r="G16" s="79"/>
      <c r="M16" s="400">
        <f>M15</f>
        <v>122.85</v>
      </c>
      <c r="N16" s="400">
        <f>N9</f>
        <v>21.5</v>
      </c>
      <c r="Q16" s="79"/>
      <c r="R16" s="79"/>
      <c r="X16" s="399">
        <f>'Seções '!J12</f>
        <v>122.85</v>
      </c>
      <c r="Y16" s="399">
        <f>'Seções '!K12</f>
        <v>16.5</v>
      </c>
      <c r="AB16" s="399"/>
      <c r="AC16" s="399"/>
    </row>
    <row r="17" spans="2:29" x14ac:dyDescent="0.25">
      <c r="B17" s="395">
        <v>121.51</v>
      </c>
      <c r="C17" s="395">
        <v>5.7</v>
      </c>
      <c r="F17" s="79"/>
      <c r="G17" s="79"/>
      <c r="M17" s="400">
        <v>121.5</v>
      </c>
      <c r="N17" s="400">
        <f>N8</f>
        <v>19</v>
      </c>
      <c r="Q17" s="79"/>
      <c r="R17" s="79"/>
      <c r="X17" s="399">
        <f>'Seções '!J13</f>
        <v>121.5</v>
      </c>
      <c r="Y17" s="399">
        <f>'Seções '!K13</f>
        <v>14</v>
      </c>
      <c r="AB17" s="399"/>
      <c r="AC17" s="399"/>
    </row>
    <row r="18" spans="2:29" x14ac:dyDescent="0.25">
      <c r="B18" s="395">
        <v>124.5</v>
      </c>
      <c r="C18" s="395">
        <v>2.2000000000000002</v>
      </c>
      <c r="F18" s="79"/>
      <c r="G18" s="79"/>
      <c r="M18" s="400">
        <f>M17</f>
        <v>121.5</v>
      </c>
      <c r="N18" s="400">
        <f>N7</f>
        <v>5</v>
      </c>
      <c r="Q18" s="79"/>
      <c r="R18" s="79"/>
      <c r="X18" s="399">
        <f>'Seções '!J14</f>
        <v>121.5</v>
      </c>
      <c r="Y18" s="399">
        <f>'Seções '!K14</f>
        <v>5</v>
      </c>
      <c r="AB18" s="399"/>
      <c r="AC18" s="399"/>
    </row>
    <row r="19" spans="2:29" x14ac:dyDescent="0.25">
      <c r="B19" s="395">
        <v>124.37</v>
      </c>
      <c r="C19" s="395">
        <v>0.76</v>
      </c>
      <c r="F19" s="79"/>
      <c r="G19" s="79"/>
      <c r="M19" s="400">
        <v>124.5</v>
      </c>
      <c r="N19" s="400">
        <f>N6</f>
        <v>2.2000000000000002</v>
      </c>
      <c r="Q19" s="79"/>
      <c r="R19" s="79"/>
      <c r="X19" s="399">
        <f>'Seções '!J15</f>
        <v>124.5</v>
      </c>
      <c r="Y19" s="399">
        <f>'Seções '!K15</f>
        <v>2.2000000000000002</v>
      </c>
      <c r="AB19" s="399"/>
      <c r="AC19" s="399"/>
    </row>
    <row r="20" spans="2:29" x14ac:dyDescent="0.25">
      <c r="B20" s="395">
        <v>123.61</v>
      </c>
      <c r="C20" s="395">
        <v>0</v>
      </c>
      <c r="F20" s="79"/>
      <c r="G20" s="79"/>
      <c r="M20" s="400">
        <v>124.31</v>
      </c>
      <c r="N20" s="400">
        <f>N5</f>
        <v>0.76</v>
      </c>
      <c r="Q20" s="79"/>
      <c r="R20" s="79"/>
      <c r="X20" s="399">
        <f>'Seções '!J16</f>
        <v>124.31</v>
      </c>
      <c r="Y20" s="399">
        <f>'Seções '!K16</f>
        <v>0.76</v>
      </c>
      <c r="AB20" s="399"/>
      <c r="AC20" s="399"/>
    </row>
    <row r="21" spans="2:29" x14ac:dyDescent="0.25">
      <c r="B21" s="395">
        <v>111.1</v>
      </c>
      <c r="C21" s="395">
        <v>0</v>
      </c>
      <c r="F21" s="79"/>
      <c r="G21" s="79"/>
      <c r="M21" s="400">
        <v>123.55</v>
      </c>
      <c r="N21" s="400">
        <f>N4</f>
        <v>0</v>
      </c>
      <c r="Q21" s="79"/>
      <c r="R21" s="79"/>
      <c r="X21" s="399">
        <f>'Seções '!J17</f>
        <v>123.55</v>
      </c>
      <c r="Y21" s="399">
        <f>'Seções '!K17</f>
        <v>0</v>
      </c>
      <c r="AB21" s="399"/>
      <c r="AC21" s="399"/>
    </row>
    <row r="22" spans="2:29" x14ac:dyDescent="0.25">
      <c r="B22" s="395">
        <v>111.1</v>
      </c>
      <c r="C22" s="395">
        <v>3.5</v>
      </c>
      <c r="F22" s="79"/>
      <c r="G22" s="79"/>
      <c r="M22" s="400">
        <v>111.05</v>
      </c>
      <c r="N22" s="400">
        <v>0</v>
      </c>
      <c r="Q22" s="79"/>
      <c r="R22" s="79"/>
      <c r="X22" s="399">
        <f>'Seções '!J18</f>
        <v>111.05</v>
      </c>
      <c r="Y22" s="399">
        <f>'Seções '!K18</f>
        <v>0</v>
      </c>
      <c r="AB22" s="399"/>
      <c r="AC22" s="399"/>
    </row>
    <row r="23" spans="2:29" x14ac:dyDescent="0.25">
      <c r="B23" s="395">
        <v>113.26</v>
      </c>
      <c r="C23" s="395">
        <v>3.5</v>
      </c>
      <c r="M23" s="400">
        <f>M22</f>
        <v>111.05</v>
      </c>
      <c r="N23" s="400">
        <f>3</f>
        <v>3</v>
      </c>
      <c r="X23" s="399">
        <f>'Seções '!J19</f>
        <v>111.05</v>
      </c>
      <c r="Y23" s="399">
        <f>'Seções '!K19</f>
        <v>3</v>
      </c>
    </row>
    <row r="24" spans="2:29" x14ac:dyDescent="0.25">
      <c r="B24" s="395">
        <v>117.26</v>
      </c>
      <c r="C24" s="395">
        <v>7.5</v>
      </c>
      <c r="M24" s="400">
        <v>114.1</v>
      </c>
      <c r="N24" s="400">
        <f>N23</f>
        <v>3</v>
      </c>
      <c r="X24" s="399">
        <f>'Seções '!J20</f>
        <v>114.1</v>
      </c>
      <c r="Y24" s="399">
        <f>'Seções '!K20</f>
        <v>3</v>
      </c>
    </row>
    <row r="25" spans="2:29" x14ac:dyDescent="0.25">
      <c r="B25" s="395">
        <v>117.26</v>
      </c>
      <c r="C25" s="395">
        <v>20.23</v>
      </c>
      <c r="M25" s="400">
        <v>117.25</v>
      </c>
      <c r="N25" s="400">
        <v>5.8</v>
      </c>
      <c r="X25" s="399">
        <f>'Seções '!J21</f>
        <v>117.25</v>
      </c>
      <c r="Y25" s="399">
        <f>'Seções '!K21</f>
        <v>5.8</v>
      </c>
    </row>
    <row r="26" spans="2:29" x14ac:dyDescent="0.25">
      <c r="B26" s="395">
        <v>117.17</v>
      </c>
      <c r="C26" s="395">
        <v>21.28</v>
      </c>
      <c r="M26" s="400">
        <v>117.25</v>
      </c>
      <c r="N26" s="400">
        <v>15.75</v>
      </c>
      <c r="X26" s="399">
        <f>'Seções '!J22</f>
        <v>117.25</v>
      </c>
      <c r="Y26" s="399">
        <f>'Seções '!K22</f>
        <v>10.75</v>
      </c>
    </row>
    <row r="27" spans="2:29" x14ac:dyDescent="0.25">
      <c r="B27" s="395">
        <v>116.91</v>
      </c>
      <c r="C27" s="395">
        <v>22.26</v>
      </c>
      <c r="M27" s="400">
        <v>117.18</v>
      </c>
      <c r="N27" s="400">
        <v>16.66</v>
      </c>
      <c r="X27" s="399">
        <f>'Seções '!J23</f>
        <v>117.18</v>
      </c>
      <c r="Y27" s="399">
        <f>'Seções '!K23</f>
        <v>11.66</v>
      </c>
    </row>
    <row r="28" spans="2:29" x14ac:dyDescent="0.25">
      <c r="B28" s="395">
        <v>116.5</v>
      </c>
      <c r="C28" s="395">
        <v>23.21</v>
      </c>
      <c r="M28" s="400">
        <v>116.92</v>
      </c>
      <c r="N28" s="400">
        <v>17.760000000000002</v>
      </c>
      <c r="X28" s="399">
        <f>'Seções '!J24</f>
        <v>116.92</v>
      </c>
      <c r="Y28" s="399">
        <f>'Seções '!K24</f>
        <v>12.760000000000002</v>
      </c>
    </row>
    <row r="29" spans="2:29" x14ac:dyDescent="0.25">
      <c r="B29" s="395">
        <v>115.94</v>
      </c>
      <c r="C29" s="395">
        <v>24.06</v>
      </c>
      <c r="M29" s="400">
        <v>116.43</v>
      </c>
      <c r="N29" s="400">
        <v>18.84</v>
      </c>
      <c r="X29" s="399">
        <f>'Seções '!J25</f>
        <v>116.43</v>
      </c>
      <c r="Y29" s="399">
        <f>'Seções '!K25</f>
        <v>13.84</v>
      </c>
    </row>
    <row r="30" spans="2:29" x14ac:dyDescent="0.25">
      <c r="B30" s="395">
        <v>115.25</v>
      </c>
      <c r="C30" s="395">
        <v>24.82</v>
      </c>
      <c r="M30" s="400">
        <v>115.87</v>
      </c>
      <c r="N30" s="400">
        <v>19.66</v>
      </c>
      <c r="X30" s="399">
        <f>'Seções '!J26</f>
        <v>115.87</v>
      </c>
      <c r="Y30" s="399">
        <f>'Seções '!K26</f>
        <v>14.66</v>
      </c>
    </row>
    <row r="31" spans="2:29" x14ac:dyDescent="0.25">
      <c r="B31" s="395">
        <v>114.42</v>
      </c>
      <c r="C31" s="395">
        <v>25.46</v>
      </c>
      <c r="M31" s="400">
        <v>115.23</v>
      </c>
      <c r="N31" s="400">
        <v>20.350000000000001</v>
      </c>
      <c r="X31" s="399">
        <f>'Seções '!J27</f>
        <v>115.23</v>
      </c>
      <c r="Y31" s="399">
        <f>'Seções '!K27</f>
        <v>15.350000000000001</v>
      </c>
    </row>
    <row r="32" spans="2:29" x14ac:dyDescent="0.25">
      <c r="B32" s="395">
        <v>113.5</v>
      </c>
      <c r="C32" s="395">
        <v>25.96</v>
      </c>
      <c r="M32" s="400">
        <v>114.55</v>
      </c>
      <c r="N32" s="400">
        <v>20.89</v>
      </c>
      <c r="X32" s="399">
        <f>'Seções '!J28</f>
        <v>114.55</v>
      </c>
      <c r="Y32" s="399">
        <f>'Seções '!K28</f>
        <v>15.89</v>
      </c>
    </row>
    <row r="33" spans="2:25" x14ac:dyDescent="0.25">
      <c r="B33" s="395">
        <v>112.54</v>
      </c>
      <c r="C33" s="395">
        <v>26.28</v>
      </c>
      <c r="M33" s="400">
        <v>113.9</v>
      </c>
      <c r="N33" s="400">
        <v>21.29</v>
      </c>
      <c r="X33" s="399">
        <f>'Seções '!J29</f>
        <v>113.9</v>
      </c>
      <c r="Y33" s="399">
        <f>'Seções '!K29</f>
        <v>16.29</v>
      </c>
    </row>
    <row r="34" spans="2:25" x14ac:dyDescent="0.25">
      <c r="B34" s="395">
        <v>111.54</v>
      </c>
      <c r="C34" s="395">
        <v>26.45</v>
      </c>
      <c r="M34" s="400">
        <v>113.18</v>
      </c>
      <c r="N34" s="400">
        <v>21.61</v>
      </c>
      <c r="X34" s="399">
        <f>'Seções '!J30</f>
        <v>113.18</v>
      </c>
      <c r="Y34" s="399">
        <f>'Seções '!K30</f>
        <v>16.61</v>
      </c>
    </row>
    <row r="35" spans="2:25" x14ac:dyDescent="0.25">
      <c r="B35" s="395">
        <v>110.47</v>
      </c>
      <c r="C35" s="395">
        <v>26.45</v>
      </c>
      <c r="M35" s="400">
        <v>112.59</v>
      </c>
      <c r="N35" s="400">
        <v>21.79</v>
      </c>
      <c r="X35" s="399">
        <f>'Seções '!J31</f>
        <v>112.59</v>
      </c>
      <c r="Y35" s="399">
        <f>'Seções '!K31</f>
        <v>16.79</v>
      </c>
    </row>
    <row r="36" spans="2:25" x14ac:dyDescent="0.25">
      <c r="B36" s="395">
        <v>109.47</v>
      </c>
      <c r="C36" s="395">
        <v>26.28</v>
      </c>
      <c r="M36" s="400">
        <v>111.97</v>
      </c>
      <c r="N36" s="400">
        <v>21.92</v>
      </c>
      <c r="X36" s="399">
        <f>'Seções '!J32</f>
        <v>111.97</v>
      </c>
      <c r="Y36" s="399">
        <f>'Seções '!K32</f>
        <v>16.920000000000002</v>
      </c>
    </row>
    <row r="37" spans="2:25" x14ac:dyDescent="0.25">
      <c r="B37" s="395">
        <v>108.51</v>
      </c>
      <c r="C37" s="395">
        <v>25.96</v>
      </c>
      <c r="M37" s="400">
        <v>111.3</v>
      </c>
      <c r="N37" s="400">
        <v>21.99</v>
      </c>
      <c r="X37" s="399">
        <f>'Seções '!J33</f>
        <v>111.3</v>
      </c>
      <c r="Y37" s="399">
        <f>'Seções '!K33</f>
        <v>16.989999999999998</v>
      </c>
    </row>
    <row r="38" spans="2:25" x14ac:dyDescent="0.25">
      <c r="B38" s="395">
        <v>107.59</v>
      </c>
      <c r="C38" s="395">
        <v>25.46</v>
      </c>
      <c r="M38" s="400">
        <v>110.7</v>
      </c>
      <c r="N38" s="400">
        <f>N37</f>
        <v>21.99</v>
      </c>
      <c r="X38" s="399">
        <f>'Seções '!J34</f>
        <v>110.7</v>
      </c>
      <c r="Y38" s="399">
        <f>'Seções '!K34</f>
        <v>16.989999999999998</v>
      </c>
    </row>
    <row r="39" spans="2:25" x14ac:dyDescent="0.25">
      <c r="B39" s="395">
        <v>106.76</v>
      </c>
      <c r="C39" s="395">
        <v>24.82</v>
      </c>
      <c r="M39" s="400">
        <v>110.03</v>
      </c>
      <c r="N39" s="400">
        <v>21.92</v>
      </c>
      <c r="X39" s="399">
        <f>'Seções '!J35</f>
        <v>110.03</v>
      </c>
      <c r="Y39" s="399">
        <f>'Seções '!K35</f>
        <v>16.920000000000002</v>
      </c>
    </row>
    <row r="40" spans="2:25" x14ac:dyDescent="0.25">
      <c r="B40" s="395">
        <v>106.07</v>
      </c>
      <c r="C40" s="395">
        <v>24.06</v>
      </c>
      <c r="M40" s="400">
        <v>109.41</v>
      </c>
      <c r="N40" s="400">
        <v>21.79</v>
      </c>
      <c r="X40" s="399">
        <f>'Seções '!J36</f>
        <v>109.41</v>
      </c>
      <c r="Y40" s="399">
        <f>'Seções '!K36</f>
        <v>16.79</v>
      </c>
    </row>
    <row r="41" spans="2:25" x14ac:dyDescent="0.25">
      <c r="B41" s="395">
        <v>105.51</v>
      </c>
      <c r="C41" s="395">
        <v>23.21</v>
      </c>
      <c r="M41" s="400">
        <v>108.82</v>
      </c>
      <c r="N41" s="400">
        <v>21.61</v>
      </c>
      <c r="X41" s="399">
        <f>'Seções '!J37</f>
        <v>108.82</v>
      </c>
      <c r="Y41" s="399">
        <f>'Seções '!K37</f>
        <v>16.61</v>
      </c>
    </row>
    <row r="42" spans="2:25" x14ac:dyDescent="0.25">
      <c r="B42" s="395">
        <v>105.1</v>
      </c>
      <c r="C42" s="395">
        <v>22.26</v>
      </c>
      <c r="M42" s="400">
        <v>108.1</v>
      </c>
      <c r="N42" s="400">
        <v>21.29</v>
      </c>
      <c r="X42" s="399">
        <f>'Seções '!J38</f>
        <v>108.1</v>
      </c>
      <c r="Y42" s="399">
        <f>'Seções '!K38</f>
        <v>16.29</v>
      </c>
    </row>
    <row r="43" spans="2:25" x14ac:dyDescent="0.25">
      <c r="B43" s="395">
        <v>104.84</v>
      </c>
      <c r="C43" s="395">
        <v>21.28</v>
      </c>
      <c r="M43" s="400">
        <v>107.45</v>
      </c>
      <c r="N43" s="400">
        <v>20.89</v>
      </c>
      <c r="X43" s="399">
        <f>'Seções '!J39</f>
        <v>107.45</v>
      </c>
      <c r="Y43" s="399">
        <f>'Seções '!K39</f>
        <v>15.89</v>
      </c>
    </row>
    <row r="44" spans="2:25" x14ac:dyDescent="0.25">
      <c r="B44" s="395">
        <v>104.76</v>
      </c>
      <c r="C44" s="395">
        <v>20.23</v>
      </c>
      <c r="M44" s="400">
        <v>106.77</v>
      </c>
      <c r="N44" s="400">
        <v>20.350000000000001</v>
      </c>
      <c r="X44" s="399">
        <f>'Seções '!J40</f>
        <v>106.77</v>
      </c>
      <c r="Y44" s="399">
        <f>'Seções '!K40</f>
        <v>15.350000000000001</v>
      </c>
    </row>
    <row r="45" spans="2:25" x14ac:dyDescent="0.25">
      <c r="B45" s="395">
        <v>104.76</v>
      </c>
      <c r="C45" s="395">
        <v>7.5</v>
      </c>
      <c r="M45" s="400">
        <v>106.13</v>
      </c>
      <c r="N45" s="400">
        <v>19.66</v>
      </c>
      <c r="X45" s="399">
        <f>'Seções '!J41</f>
        <v>106.13</v>
      </c>
      <c r="Y45" s="399">
        <f>'Seções '!K41</f>
        <v>14.66</v>
      </c>
    </row>
    <row r="46" spans="2:25" x14ac:dyDescent="0.25">
      <c r="B46" s="395">
        <v>108.76</v>
      </c>
      <c r="C46" s="395">
        <v>3.5</v>
      </c>
      <c r="M46" s="400">
        <v>105.57</v>
      </c>
      <c r="N46" s="400">
        <v>18.84</v>
      </c>
      <c r="X46" s="399">
        <f>'Seções '!J42</f>
        <v>105.57</v>
      </c>
      <c r="Y46" s="399">
        <f>'Seções '!K42</f>
        <v>13.84</v>
      </c>
    </row>
    <row r="47" spans="2:25" x14ac:dyDescent="0.25">
      <c r="B47" s="395">
        <v>111</v>
      </c>
      <c r="C47" s="395">
        <v>3.5</v>
      </c>
      <c r="M47" s="400">
        <v>105.08</v>
      </c>
      <c r="N47" s="400">
        <v>17.760000000000002</v>
      </c>
      <c r="X47" s="399">
        <f>'Seções '!J43</f>
        <v>105.08</v>
      </c>
      <c r="Y47" s="399">
        <f>'Seções '!K43</f>
        <v>12.760000000000002</v>
      </c>
    </row>
    <row r="48" spans="2:25" x14ac:dyDescent="0.25">
      <c r="B48" s="395">
        <v>111</v>
      </c>
      <c r="C48" s="395">
        <v>0</v>
      </c>
      <c r="M48" s="400">
        <v>104.82</v>
      </c>
      <c r="N48" s="400">
        <v>16.66</v>
      </c>
      <c r="X48" s="399">
        <f>'Seções '!J44</f>
        <v>104.82</v>
      </c>
      <c r="Y48" s="399">
        <f>'Seções '!K44</f>
        <v>11.66</v>
      </c>
    </row>
    <row r="49" spans="2:25" x14ac:dyDescent="0.25">
      <c r="B49" s="395">
        <v>94.85</v>
      </c>
      <c r="C49" s="395">
        <v>0</v>
      </c>
      <c r="M49" s="400">
        <v>104.75</v>
      </c>
      <c r="N49" s="400">
        <v>15.75</v>
      </c>
      <c r="X49" s="399">
        <f>'Seções '!J45</f>
        <v>104.75</v>
      </c>
      <c r="Y49" s="399">
        <f>'Seções '!K45</f>
        <v>10.75</v>
      </c>
    </row>
    <row r="50" spans="2:25" x14ac:dyDescent="0.25">
      <c r="B50" s="395">
        <v>94.85</v>
      </c>
      <c r="C50" s="395">
        <v>3.5</v>
      </c>
      <c r="M50" s="400">
        <f>M49</f>
        <v>104.75</v>
      </c>
      <c r="N50" s="400">
        <v>5.8</v>
      </c>
      <c r="X50" s="399">
        <f>'Seções '!J46</f>
        <v>104.75</v>
      </c>
      <c r="Y50" s="399">
        <f>'Seções '!K46</f>
        <v>5.8</v>
      </c>
    </row>
    <row r="51" spans="2:25" x14ac:dyDescent="0.25">
      <c r="B51" s="395">
        <v>97.01</v>
      </c>
      <c r="C51" s="395">
        <v>3.5</v>
      </c>
      <c r="M51" s="400">
        <v>107.9</v>
      </c>
      <c r="N51" s="400">
        <f>N24</f>
        <v>3</v>
      </c>
      <c r="X51" s="399">
        <f>'Seções '!J47</f>
        <v>107.9</v>
      </c>
      <c r="Y51" s="399">
        <f>'Seções '!K47</f>
        <v>3</v>
      </c>
    </row>
    <row r="52" spans="2:25" x14ac:dyDescent="0.25">
      <c r="B52" s="395">
        <v>101.01</v>
      </c>
      <c r="C52" s="395">
        <v>7.5</v>
      </c>
      <c r="M52" s="400">
        <v>111</v>
      </c>
      <c r="N52" s="400">
        <f>N51</f>
        <v>3</v>
      </c>
      <c r="X52" s="399">
        <f>'Seções '!J48</f>
        <v>111</v>
      </c>
      <c r="Y52" s="399">
        <f>'Seções '!K48</f>
        <v>3</v>
      </c>
    </row>
    <row r="53" spans="2:25" x14ac:dyDescent="0.25">
      <c r="B53" s="395">
        <v>101.01</v>
      </c>
      <c r="C53" s="395">
        <v>20.23</v>
      </c>
      <c r="M53" s="400">
        <f>M52</f>
        <v>111</v>
      </c>
      <c r="N53" s="400">
        <v>0</v>
      </c>
      <c r="X53" s="399">
        <f>'Seções '!J49</f>
        <v>111</v>
      </c>
      <c r="Y53" s="399">
        <f>'Seções '!K49</f>
        <v>0</v>
      </c>
    </row>
    <row r="54" spans="2:25" x14ac:dyDescent="0.25">
      <c r="B54" s="395">
        <v>100.92</v>
      </c>
      <c r="C54" s="395">
        <v>21.28</v>
      </c>
      <c r="M54" s="400">
        <v>94.8</v>
      </c>
      <c r="N54" s="400">
        <f>N53</f>
        <v>0</v>
      </c>
      <c r="X54" s="399">
        <f>'Seções '!J50</f>
        <v>94.8</v>
      </c>
      <c r="Y54" s="399">
        <f>'Seções '!K50</f>
        <v>0</v>
      </c>
    </row>
    <row r="55" spans="2:25" x14ac:dyDescent="0.25">
      <c r="B55" s="395">
        <v>100.66</v>
      </c>
      <c r="C55" s="395">
        <v>22.26</v>
      </c>
      <c r="M55" s="400">
        <f>M54</f>
        <v>94.8</v>
      </c>
      <c r="N55" s="400">
        <f>N52</f>
        <v>3</v>
      </c>
      <c r="X55" s="399">
        <f>'Seções '!J51</f>
        <v>94.8</v>
      </c>
      <c r="Y55" s="399">
        <f>'Seções '!K51</f>
        <v>3</v>
      </c>
    </row>
    <row r="56" spans="2:25" x14ac:dyDescent="0.25">
      <c r="B56" s="395">
        <v>100.25</v>
      </c>
      <c r="C56" s="395">
        <v>23.21</v>
      </c>
      <c r="M56" s="400">
        <f>97.85</f>
        <v>97.85</v>
      </c>
      <c r="N56" s="400">
        <f>N55</f>
        <v>3</v>
      </c>
      <c r="X56" s="399">
        <f>'Seções '!J52</f>
        <v>97.85</v>
      </c>
      <c r="Y56" s="399">
        <f>'Seções '!K52</f>
        <v>3</v>
      </c>
    </row>
    <row r="57" spans="2:25" x14ac:dyDescent="0.25">
      <c r="B57" s="395">
        <v>99.69</v>
      </c>
      <c r="C57" s="395">
        <v>24.06</v>
      </c>
      <c r="M57" s="400">
        <v>101</v>
      </c>
      <c r="N57" s="400">
        <f>N50</f>
        <v>5.8</v>
      </c>
      <c r="X57" s="399">
        <f>'Seções '!J53</f>
        <v>101</v>
      </c>
      <c r="Y57" s="399">
        <f>'Seções '!K53</f>
        <v>5.8</v>
      </c>
    </row>
    <row r="58" spans="2:25" x14ac:dyDescent="0.25">
      <c r="B58" s="395">
        <v>99</v>
      </c>
      <c r="C58" s="395">
        <v>24.82</v>
      </c>
      <c r="M58" s="400">
        <f>M57</f>
        <v>101</v>
      </c>
      <c r="N58" s="400">
        <f>N49</f>
        <v>15.75</v>
      </c>
      <c r="X58" s="399">
        <f>'Seções '!J54</f>
        <v>101</v>
      </c>
      <c r="Y58" s="399">
        <f>'Seções '!K54</f>
        <v>10.75</v>
      </c>
    </row>
    <row r="59" spans="2:25" x14ac:dyDescent="0.25">
      <c r="B59" s="395">
        <v>98.17</v>
      </c>
      <c r="C59" s="395">
        <v>25.46</v>
      </c>
      <c r="M59" s="400">
        <f t="shared" ref="M59:M90" si="2">M27-16.25</f>
        <v>100.93</v>
      </c>
      <c r="N59" s="400">
        <v>16.66</v>
      </c>
      <c r="X59" s="399">
        <f>'Seções '!J55</f>
        <v>100.93</v>
      </c>
      <c r="Y59" s="399">
        <f>'Seções '!K55</f>
        <v>11.66</v>
      </c>
    </row>
    <row r="60" spans="2:25" x14ac:dyDescent="0.25">
      <c r="B60" s="395">
        <v>97.25</v>
      </c>
      <c r="C60" s="395">
        <v>25.96</v>
      </c>
      <c r="M60" s="400">
        <f t="shared" si="2"/>
        <v>100.67</v>
      </c>
      <c r="N60" s="400">
        <v>17.760000000000002</v>
      </c>
      <c r="X60" s="399">
        <f>'Seções '!J56</f>
        <v>100.67</v>
      </c>
      <c r="Y60" s="399">
        <f>'Seções '!K56</f>
        <v>12.760000000000002</v>
      </c>
    </row>
    <row r="61" spans="2:25" x14ac:dyDescent="0.25">
      <c r="B61" s="395">
        <v>96.29</v>
      </c>
      <c r="C61" s="395">
        <v>26.28</v>
      </c>
      <c r="M61" s="400">
        <f t="shared" si="2"/>
        <v>100.18</v>
      </c>
      <c r="N61" s="400">
        <v>18.84</v>
      </c>
      <c r="X61" s="399">
        <f>'Seções '!J57</f>
        <v>100.18</v>
      </c>
      <c r="Y61" s="399">
        <f>'Seções '!K57</f>
        <v>13.84</v>
      </c>
    </row>
    <row r="62" spans="2:25" x14ac:dyDescent="0.25">
      <c r="B62" s="395">
        <v>95.29</v>
      </c>
      <c r="C62" s="395">
        <v>26.45</v>
      </c>
      <c r="M62" s="400">
        <f t="shared" si="2"/>
        <v>99.62</v>
      </c>
      <c r="N62" s="400">
        <v>19.66</v>
      </c>
      <c r="X62" s="399">
        <f>'Seções '!J58</f>
        <v>99.62</v>
      </c>
      <c r="Y62" s="399">
        <f>'Seções '!K58</f>
        <v>14.66</v>
      </c>
    </row>
    <row r="63" spans="2:25" x14ac:dyDescent="0.25">
      <c r="B63" s="395">
        <v>94.76</v>
      </c>
      <c r="C63" s="395">
        <v>26.45</v>
      </c>
      <c r="M63" s="400">
        <f t="shared" si="2"/>
        <v>98.98</v>
      </c>
      <c r="N63" s="400">
        <v>20.350000000000001</v>
      </c>
      <c r="X63" s="399">
        <f>'Seções '!J59</f>
        <v>98.98</v>
      </c>
      <c r="Y63" s="399">
        <f>'Seções '!K59</f>
        <v>15.350000000000001</v>
      </c>
    </row>
    <row r="64" spans="2:25" x14ac:dyDescent="0.25">
      <c r="B64" s="395">
        <v>94.22</v>
      </c>
      <c r="C64" s="395">
        <v>26.28</v>
      </c>
      <c r="M64" s="400">
        <f t="shared" si="2"/>
        <v>98.3</v>
      </c>
      <c r="N64" s="400">
        <v>20.89</v>
      </c>
      <c r="X64" s="399">
        <f>'Seções '!J60</f>
        <v>98.3</v>
      </c>
      <c r="Y64" s="399">
        <f>'Seções '!K60</f>
        <v>15.89</v>
      </c>
    </row>
    <row r="65" spans="2:25" x14ac:dyDescent="0.25">
      <c r="B65" s="395">
        <v>93.22</v>
      </c>
      <c r="C65" s="395">
        <v>25.96</v>
      </c>
      <c r="M65" s="400">
        <f t="shared" si="2"/>
        <v>97.65</v>
      </c>
      <c r="N65" s="400">
        <v>21.29</v>
      </c>
      <c r="X65" s="399">
        <f>'Seções '!J61</f>
        <v>97.65</v>
      </c>
      <c r="Y65" s="399">
        <f>'Seções '!K61</f>
        <v>16.29</v>
      </c>
    </row>
    <row r="66" spans="2:25" x14ac:dyDescent="0.25">
      <c r="B66" s="395">
        <v>92.26</v>
      </c>
      <c r="C66" s="395">
        <v>25.46</v>
      </c>
      <c r="M66" s="400">
        <f t="shared" si="2"/>
        <v>96.93</v>
      </c>
      <c r="N66" s="400">
        <v>21.61</v>
      </c>
      <c r="X66" s="399">
        <f>'Seções '!J62</f>
        <v>96.93</v>
      </c>
      <c r="Y66" s="399">
        <f>'Seções '!K62</f>
        <v>16.61</v>
      </c>
    </row>
    <row r="67" spans="2:25" x14ac:dyDescent="0.25">
      <c r="B67" s="395">
        <v>91.34</v>
      </c>
      <c r="C67" s="395">
        <v>24.82</v>
      </c>
      <c r="M67" s="400">
        <f t="shared" si="2"/>
        <v>96.34</v>
      </c>
      <c r="N67" s="400">
        <v>21.79</v>
      </c>
      <c r="X67" s="399">
        <f>'Seções '!J63</f>
        <v>96.34</v>
      </c>
      <c r="Y67" s="399">
        <f>'Seções '!K63</f>
        <v>16.79</v>
      </c>
    </row>
    <row r="68" spans="2:25" x14ac:dyDescent="0.25">
      <c r="B68" s="395">
        <v>90.51</v>
      </c>
      <c r="C68" s="395">
        <v>24.06</v>
      </c>
      <c r="M68" s="400">
        <f t="shared" si="2"/>
        <v>95.72</v>
      </c>
      <c r="N68" s="400">
        <v>21.92</v>
      </c>
      <c r="X68" s="399">
        <f>'Seções '!J64</f>
        <v>95.72</v>
      </c>
      <c r="Y68" s="399">
        <f>'Seções '!K64</f>
        <v>16.920000000000002</v>
      </c>
    </row>
    <row r="69" spans="2:25" x14ac:dyDescent="0.25">
      <c r="B69" s="395">
        <v>89.82</v>
      </c>
      <c r="C69" s="395">
        <v>23.21</v>
      </c>
      <c r="M69" s="400">
        <f t="shared" si="2"/>
        <v>95.05</v>
      </c>
      <c r="N69" s="400">
        <v>21.99</v>
      </c>
      <c r="X69" s="399">
        <f>'Seções '!J65</f>
        <v>95.05</v>
      </c>
      <c r="Y69" s="399">
        <f>'Seções '!K65</f>
        <v>16.989999999999998</v>
      </c>
    </row>
    <row r="70" spans="2:25" x14ac:dyDescent="0.25">
      <c r="B70" s="395">
        <v>89.26</v>
      </c>
      <c r="C70" s="395">
        <v>22.26</v>
      </c>
      <c r="M70" s="400">
        <f t="shared" si="2"/>
        <v>94.45</v>
      </c>
      <c r="N70" s="400">
        <f>N69</f>
        <v>21.99</v>
      </c>
      <c r="X70" s="399">
        <f>'Seções '!J66</f>
        <v>94.45</v>
      </c>
      <c r="Y70" s="399">
        <f>'Seções '!K66</f>
        <v>16.989999999999998</v>
      </c>
    </row>
    <row r="71" spans="2:25" x14ac:dyDescent="0.25">
      <c r="B71" s="395">
        <v>88.85</v>
      </c>
      <c r="C71" s="395">
        <v>21.28</v>
      </c>
      <c r="M71" s="400">
        <f t="shared" si="2"/>
        <v>93.78</v>
      </c>
      <c r="N71" s="400">
        <v>21.92</v>
      </c>
      <c r="X71" s="399">
        <f>'Seções '!J67</f>
        <v>93.78</v>
      </c>
      <c r="Y71" s="399">
        <f>'Seções '!K67</f>
        <v>16.920000000000002</v>
      </c>
    </row>
    <row r="72" spans="2:25" x14ac:dyDescent="0.25">
      <c r="B72" s="395">
        <v>88.51</v>
      </c>
      <c r="C72" s="395">
        <v>20.23</v>
      </c>
      <c r="M72" s="400">
        <f t="shared" si="2"/>
        <v>93.16</v>
      </c>
      <c r="N72" s="400">
        <v>21.79</v>
      </c>
      <c r="X72" s="399">
        <f>'Seções '!J68</f>
        <v>93.16</v>
      </c>
      <c r="Y72" s="399">
        <f>'Seções '!K68</f>
        <v>16.79</v>
      </c>
    </row>
    <row r="73" spans="2:25" x14ac:dyDescent="0.25">
      <c r="B73" s="395">
        <v>88.51</v>
      </c>
      <c r="C73" s="395">
        <v>7.5</v>
      </c>
      <c r="M73" s="400">
        <f t="shared" si="2"/>
        <v>92.57</v>
      </c>
      <c r="N73" s="400">
        <v>21.61</v>
      </c>
      <c r="X73" s="399">
        <f>'Seções '!J69</f>
        <v>92.57</v>
      </c>
      <c r="Y73" s="399">
        <f>'Seções '!K69</f>
        <v>16.61</v>
      </c>
    </row>
    <row r="74" spans="2:25" x14ac:dyDescent="0.25">
      <c r="B74" s="395">
        <v>92.51</v>
      </c>
      <c r="C74" s="395">
        <v>3.5</v>
      </c>
      <c r="M74" s="400">
        <f t="shared" si="2"/>
        <v>91.85</v>
      </c>
      <c r="N74" s="400">
        <v>21.29</v>
      </c>
      <c r="X74" s="399">
        <f>'Seções '!J70</f>
        <v>91.85</v>
      </c>
      <c r="Y74" s="399">
        <f>'Seções '!K70</f>
        <v>16.29</v>
      </c>
    </row>
    <row r="75" spans="2:25" x14ac:dyDescent="0.25">
      <c r="B75" s="395">
        <v>94.75</v>
      </c>
      <c r="C75" s="395">
        <v>3.5</v>
      </c>
      <c r="M75" s="400">
        <f t="shared" si="2"/>
        <v>91.2</v>
      </c>
      <c r="N75" s="400">
        <v>20.89</v>
      </c>
      <c r="X75" s="399">
        <f>'Seções '!J71</f>
        <v>91.2</v>
      </c>
      <c r="Y75" s="399">
        <f>'Seções '!K71</f>
        <v>15.89</v>
      </c>
    </row>
    <row r="76" spans="2:25" x14ac:dyDescent="0.25">
      <c r="B76" s="395">
        <v>94.75</v>
      </c>
      <c r="C76" s="395">
        <v>0</v>
      </c>
      <c r="M76" s="400">
        <f t="shared" si="2"/>
        <v>90.52</v>
      </c>
      <c r="N76" s="400">
        <v>20.350000000000001</v>
      </c>
      <c r="X76" s="399">
        <f>'Seções '!J72</f>
        <v>90.52</v>
      </c>
      <c r="Y76" s="399">
        <f>'Seções '!K72</f>
        <v>15.350000000000001</v>
      </c>
    </row>
    <row r="77" spans="2:25" x14ac:dyDescent="0.25">
      <c r="B77" s="395">
        <v>78.61</v>
      </c>
      <c r="C77" s="395">
        <v>0</v>
      </c>
      <c r="M77" s="400">
        <f t="shared" si="2"/>
        <v>89.88</v>
      </c>
      <c r="N77" s="400">
        <v>19.66</v>
      </c>
      <c r="X77" s="399">
        <f>'Seções '!J73</f>
        <v>89.88</v>
      </c>
      <c r="Y77" s="399">
        <f>'Seções '!K73</f>
        <v>14.66</v>
      </c>
    </row>
    <row r="78" spans="2:25" x14ac:dyDescent="0.25">
      <c r="B78" s="395">
        <v>78.61</v>
      </c>
      <c r="C78" s="395">
        <v>3.5</v>
      </c>
      <c r="M78" s="400">
        <f t="shared" si="2"/>
        <v>89.32</v>
      </c>
      <c r="N78" s="400">
        <v>18.84</v>
      </c>
      <c r="X78" s="399">
        <f>'Seções '!J74</f>
        <v>89.32</v>
      </c>
      <c r="Y78" s="399">
        <f>'Seções '!K74</f>
        <v>13.84</v>
      </c>
    </row>
    <row r="79" spans="2:25" x14ac:dyDescent="0.25">
      <c r="B79" s="395">
        <v>80.760000000000005</v>
      </c>
      <c r="C79" s="395">
        <v>3.5</v>
      </c>
      <c r="M79" s="400">
        <f t="shared" si="2"/>
        <v>88.83</v>
      </c>
      <c r="N79" s="400">
        <v>17.760000000000002</v>
      </c>
      <c r="X79" s="399">
        <f>'Seções '!J75</f>
        <v>88.83</v>
      </c>
      <c r="Y79" s="399">
        <f>'Seções '!K75</f>
        <v>12.760000000000002</v>
      </c>
    </row>
    <row r="80" spans="2:25" x14ac:dyDescent="0.25">
      <c r="B80" s="395">
        <v>84.76</v>
      </c>
      <c r="C80" s="395">
        <v>7.5</v>
      </c>
      <c r="M80" s="400">
        <f t="shared" si="2"/>
        <v>88.57</v>
      </c>
      <c r="N80" s="400">
        <v>16.66</v>
      </c>
      <c r="X80" s="399">
        <f>'Seções '!J76</f>
        <v>88.57</v>
      </c>
      <c r="Y80" s="399">
        <f>'Seções '!K76</f>
        <v>11.66</v>
      </c>
    </row>
    <row r="81" spans="2:25" x14ac:dyDescent="0.25">
      <c r="B81" s="395">
        <v>84.76</v>
      </c>
      <c r="C81" s="395">
        <v>20.23</v>
      </c>
      <c r="M81" s="400">
        <f t="shared" si="2"/>
        <v>88.5</v>
      </c>
      <c r="N81" s="400">
        <f>N58</f>
        <v>15.75</v>
      </c>
      <c r="X81" s="399">
        <f>'Seções '!J77</f>
        <v>88.5</v>
      </c>
      <c r="Y81" s="399">
        <f>'Seções '!K77</f>
        <v>10.75</v>
      </c>
    </row>
    <row r="82" spans="2:25" x14ac:dyDescent="0.25">
      <c r="B82" s="395">
        <v>84.67</v>
      </c>
      <c r="C82" s="395">
        <v>21.28</v>
      </c>
      <c r="M82" s="400">
        <f t="shared" si="2"/>
        <v>88.5</v>
      </c>
      <c r="N82" s="400">
        <f t="shared" ref="N82:N90" si="3">N50</f>
        <v>5.8</v>
      </c>
      <c r="X82" s="399">
        <f>'Seções '!J78</f>
        <v>88.5</v>
      </c>
      <c r="Y82" s="399">
        <f>'Seções '!K78</f>
        <v>5.8</v>
      </c>
    </row>
    <row r="83" spans="2:25" x14ac:dyDescent="0.25">
      <c r="B83" s="395">
        <v>84.42</v>
      </c>
      <c r="C83" s="395">
        <v>22.26</v>
      </c>
      <c r="M83" s="400">
        <f t="shared" si="2"/>
        <v>91.65</v>
      </c>
      <c r="N83" s="400">
        <f t="shared" si="3"/>
        <v>3</v>
      </c>
      <c r="X83" s="399">
        <f>'Seções '!J79</f>
        <v>91.65</v>
      </c>
      <c r="Y83" s="399">
        <f>'Seções '!K79</f>
        <v>3</v>
      </c>
    </row>
    <row r="84" spans="2:25" x14ac:dyDescent="0.25">
      <c r="B84" s="395">
        <v>84</v>
      </c>
      <c r="C84" s="395">
        <v>23.21</v>
      </c>
      <c r="M84" s="400">
        <f t="shared" si="2"/>
        <v>94.75</v>
      </c>
      <c r="N84" s="400">
        <f t="shared" si="3"/>
        <v>3</v>
      </c>
      <c r="X84" s="399">
        <f>'Seções '!J80</f>
        <v>94.75</v>
      </c>
      <c r="Y84" s="399">
        <f>'Seções '!K80</f>
        <v>3</v>
      </c>
    </row>
    <row r="85" spans="2:25" x14ac:dyDescent="0.25">
      <c r="B85" s="395">
        <v>83.44</v>
      </c>
      <c r="C85" s="395">
        <v>24.06</v>
      </c>
      <c r="M85" s="400">
        <f t="shared" si="2"/>
        <v>94.75</v>
      </c>
      <c r="N85" s="400">
        <f t="shared" si="3"/>
        <v>0</v>
      </c>
      <c r="X85" s="399">
        <f>'Seções '!J81</f>
        <v>94.75</v>
      </c>
      <c r="Y85" s="399">
        <f>'Seções '!K81</f>
        <v>0</v>
      </c>
    </row>
    <row r="86" spans="2:25" x14ac:dyDescent="0.25">
      <c r="B86" s="395">
        <v>82.75</v>
      </c>
      <c r="C86" s="395">
        <v>24.82</v>
      </c>
      <c r="M86" s="400">
        <f t="shared" si="2"/>
        <v>78.55</v>
      </c>
      <c r="N86" s="400">
        <f t="shared" si="3"/>
        <v>0</v>
      </c>
      <c r="X86" s="399">
        <f>'Seções '!J82</f>
        <v>78.55</v>
      </c>
      <c r="Y86" s="399">
        <f>'Seções '!K82</f>
        <v>0</v>
      </c>
    </row>
    <row r="87" spans="2:25" x14ac:dyDescent="0.25">
      <c r="B87" s="395">
        <v>81.92</v>
      </c>
      <c r="C87" s="395">
        <v>25.46</v>
      </c>
      <c r="M87" s="400">
        <f t="shared" si="2"/>
        <v>78.55</v>
      </c>
      <c r="N87" s="400">
        <f t="shared" si="3"/>
        <v>3</v>
      </c>
      <c r="X87" s="399">
        <f>'Seções '!J83</f>
        <v>78.55</v>
      </c>
      <c r="Y87" s="399">
        <f>'Seções '!K83</f>
        <v>3</v>
      </c>
    </row>
    <row r="88" spans="2:25" x14ac:dyDescent="0.25">
      <c r="B88" s="395">
        <v>81</v>
      </c>
      <c r="C88" s="395">
        <v>25.96</v>
      </c>
      <c r="M88" s="400">
        <f t="shared" si="2"/>
        <v>81.599999999999994</v>
      </c>
      <c r="N88" s="400">
        <f t="shared" si="3"/>
        <v>3</v>
      </c>
      <c r="X88" s="399">
        <f>'Seções '!J84</f>
        <v>81.599999999999994</v>
      </c>
      <c r="Y88" s="399">
        <f>'Seções '!K84</f>
        <v>3</v>
      </c>
    </row>
    <row r="89" spans="2:25" x14ac:dyDescent="0.25">
      <c r="B89" s="395">
        <v>80.05</v>
      </c>
      <c r="C89" s="395">
        <v>26.28</v>
      </c>
      <c r="M89" s="400">
        <f t="shared" si="2"/>
        <v>84.75</v>
      </c>
      <c r="N89" s="400">
        <f t="shared" si="3"/>
        <v>5.8</v>
      </c>
      <c r="X89" s="399">
        <f>'Seções '!J85</f>
        <v>84.75</v>
      </c>
      <c r="Y89" s="399">
        <f>'Seções '!K85</f>
        <v>5.8</v>
      </c>
    </row>
    <row r="90" spans="2:25" x14ac:dyDescent="0.25">
      <c r="B90" s="395">
        <v>79.040000000000006</v>
      </c>
      <c r="C90" s="395">
        <v>26.45</v>
      </c>
      <c r="M90" s="400">
        <f t="shared" si="2"/>
        <v>84.75</v>
      </c>
      <c r="N90" s="400">
        <f t="shared" si="3"/>
        <v>15.75</v>
      </c>
      <c r="X90" s="399">
        <f>'Seções '!J86</f>
        <v>84.75</v>
      </c>
      <c r="Y90" s="399">
        <f>'Seções '!K86</f>
        <v>10.75</v>
      </c>
    </row>
    <row r="91" spans="2:25" x14ac:dyDescent="0.25">
      <c r="B91" s="396">
        <v>77.97</v>
      </c>
      <c r="C91" s="397">
        <v>26.45</v>
      </c>
      <c r="M91" s="400">
        <f t="shared" ref="M91:M122" si="4">M59-16.25</f>
        <v>84.68</v>
      </c>
      <c r="N91" s="400">
        <v>16.66</v>
      </c>
      <c r="X91" s="399">
        <f>'Seções '!J87</f>
        <v>84.68</v>
      </c>
      <c r="Y91" s="399">
        <f>'Seções '!K87</f>
        <v>11.66</v>
      </c>
    </row>
    <row r="92" spans="2:25" x14ac:dyDescent="0.25">
      <c r="B92" s="396">
        <v>76.97</v>
      </c>
      <c r="C92" s="397">
        <v>26.28</v>
      </c>
      <c r="M92" s="400">
        <f t="shared" si="4"/>
        <v>84.42</v>
      </c>
      <c r="N92" s="400">
        <v>17.760000000000002</v>
      </c>
      <c r="X92" s="399">
        <f>'Seções '!J88</f>
        <v>84.42</v>
      </c>
      <c r="Y92" s="399">
        <f>'Seções '!K88</f>
        <v>12.760000000000002</v>
      </c>
    </row>
    <row r="93" spans="2:25" x14ac:dyDescent="0.25">
      <c r="B93" s="397">
        <v>76.010000000000005</v>
      </c>
      <c r="C93" s="397">
        <v>25.96</v>
      </c>
      <c r="M93" s="400">
        <f t="shared" si="4"/>
        <v>83.93</v>
      </c>
      <c r="N93" s="400">
        <v>18.84</v>
      </c>
      <c r="X93" s="399">
        <f>'Seções '!J89</f>
        <v>83.93</v>
      </c>
      <c r="Y93" s="399">
        <f>'Seções '!K89</f>
        <v>13.84</v>
      </c>
    </row>
    <row r="94" spans="2:25" x14ac:dyDescent="0.25">
      <c r="B94" s="397">
        <v>75.099999999999994</v>
      </c>
      <c r="C94" s="397">
        <v>25.46</v>
      </c>
      <c r="M94" s="400">
        <f t="shared" si="4"/>
        <v>83.37</v>
      </c>
      <c r="N94" s="400">
        <v>19.66</v>
      </c>
      <c r="X94" s="399">
        <f>'Seções '!J90</f>
        <v>83.37</v>
      </c>
      <c r="Y94" s="399">
        <f>'Seções '!K90</f>
        <v>14.66</v>
      </c>
    </row>
    <row r="95" spans="2:25" x14ac:dyDescent="0.25">
      <c r="B95" s="397">
        <v>74.27</v>
      </c>
      <c r="C95" s="397">
        <v>24.82</v>
      </c>
      <c r="M95" s="400">
        <f t="shared" si="4"/>
        <v>82.73</v>
      </c>
      <c r="N95" s="400">
        <v>20.350000000000001</v>
      </c>
      <c r="X95" s="399">
        <f>'Seções '!J91</f>
        <v>82.73</v>
      </c>
      <c r="Y95" s="399">
        <f>'Seções '!K91</f>
        <v>15.350000000000001</v>
      </c>
    </row>
    <row r="96" spans="2:25" x14ac:dyDescent="0.25">
      <c r="B96" s="397">
        <v>73.569999999999993</v>
      </c>
      <c r="C96" s="397">
        <v>24.06</v>
      </c>
      <c r="M96" s="400">
        <f t="shared" si="4"/>
        <v>82.05</v>
      </c>
      <c r="N96" s="400">
        <v>20.89</v>
      </c>
      <c r="X96" s="399">
        <f>'Seções '!J92</f>
        <v>82.05</v>
      </c>
      <c r="Y96" s="399">
        <f>'Seções '!K92</f>
        <v>15.89</v>
      </c>
    </row>
    <row r="97" spans="2:25" x14ac:dyDescent="0.25">
      <c r="B97" s="397">
        <v>73.010000000000005</v>
      </c>
      <c r="C97" s="397">
        <v>23.21</v>
      </c>
      <c r="M97" s="400">
        <f t="shared" si="4"/>
        <v>81.400000000000006</v>
      </c>
      <c r="N97" s="400">
        <v>21.29</v>
      </c>
      <c r="X97" s="399">
        <f>'Seções '!J93</f>
        <v>81.400000000000006</v>
      </c>
      <c r="Y97" s="399">
        <f>'Seções '!K93</f>
        <v>16.29</v>
      </c>
    </row>
    <row r="98" spans="2:25" x14ac:dyDescent="0.25">
      <c r="B98" s="397">
        <v>72.599999999999994</v>
      </c>
      <c r="C98" s="397">
        <v>22.26</v>
      </c>
      <c r="M98" s="400">
        <f t="shared" si="4"/>
        <v>80.680000000000007</v>
      </c>
      <c r="N98" s="400">
        <v>21.61</v>
      </c>
      <c r="X98" s="399">
        <f>'Seções '!J94</f>
        <v>80.680000000000007</v>
      </c>
      <c r="Y98" s="399">
        <f>'Seções '!K94</f>
        <v>16.61</v>
      </c>
    </row>
    <row r="99" spans="2:25" x14ac:dyDescent="0.25">
      <c r="B99" s="397">
        <v>72.349999999999994</v>
      </c>
      <c r="C99" s="397">
        <v>21.28</v>
      </c>
      <c r="M99" s="400">
        <f t="shared" si="4"/>
        <v>80.09</v>
      </c>
      <c r="N99" s="400">
        <v>21.79</v>
      </c>
      <c r="X99" s="399">
        <f>'Seções '!J95</f>
        <v>80.09</v>
      </c>
      <c r="Y99" s="399">
        <f>'Seções '!K95</f>
        <v>16.79</v>
      </c>
    </row>
    <row r="100" spans="2:25" x14ac:dyDescent="0.25">
      <c r="B100" s="395">
        <v>72.260000000000005</v>
      </c>
      <c r="C100" s="395">
        <v>20.23</v>
      </c>
      <c r="M100" s="400">
        <f t="shared" si="4"/>
        <v>79.47</v>
      </c>
      <c r="N100" s="400">
        <v>21.92</v>
      </c>
      <c r="X100" s="399">
        <f>'Seções '!J96</f>
        <v>79.47</v>
      </c>
      <c r="Y100" s="399">
        <f>'Seções '!K96</f>
        <v>16.920000000000002</v>
      </c>
    </row>
    <row r="101" spans="2:25" x14ac:dyDescent="0.25">
      <c r="B101" s="395">
        <v>72.260000000000005</v>
      </c>
      <c r="C101" s="395">
        <v>7.5</v>
      </c>
      <c r="M101" s="400">
        <f t="shared" si="4"/>
        <v>78.8</v>
      </c>
      <c r="N101" s="400">
        <v>21.99</v>
      </c>
      <c r="X101" s="399">
        <f>'Seções '!J97</f>
        <v>78.8</v>
      </c>
      <c r="Y101" s="399">
        <f>'Seções '!K97</f>
        <v>16.989999999999998</v>
      </c>
    </row>
    <row r="102" spans="2:25" x14ac:dyDescent="0.25">
      <c r="B102" s="395">
        <v>76.260000000000005</v>
      </c>
      <c r="C102" s="395">
        <v>3.5</v>
      </c>
      <c r="M102" s="400">
        <f t="shared" si="4"/>
        <v>78.2</v>
      </c>
      <c r="N102" s="400">
        <f>N101</f>
        <v>21.99</v>
      </c>
      <c r="X102" s="399">
        <f>'Seções '!J98</f>
        <v>78.2</v>
      </c>
      <c r="Y102" s="399">
        <f>'Seções '!K98</f>
        <v>16.989999999999998</v>
      </c>
    </row>
    <row r="103" spans="2:25" x14ac:dyDescent="0.25">
      <c r="B103" s="395">
        <v>78.510000000000005</v>
      </c>
      <c r="C103" s="395">
        <v>3.5</v>
      </c>
      <c r="M103" s="400">
        <f t="shared" si="4"/>
        <v>77.53</v>
      </c>
      <c r="N103" s="400">
        <v>21.92</v>
      </c>
      <c r="X103" s="399">
        <f>'Seções '!J99</f>
        <v>77.53</v>
      </c>
      <c r="Y103" s="399">
        <f>'Seções '!K99</f>
        <v>16.920000000000002</v>
      </c>
    </row>
    <row r="104" spans="2:25" x14ac:dyDescent="0.25">
      <c r="B104" s="395">
        <v>78.510000000000005</v>
      </c>
      <c r="C104" s="395">
        <v>0</v>
      </c>
      <c r="M104" s="400">
        <f t="shared" si="4"/>
        <v>76.91</v>
      </c>
      <c r="N104" s="400">
        <v>21.79</v>
      </c>
      <c r="X104" s="399">
        <f>'Seções '!J100</f>
        <v>76.91</v>
      </c>
      <c r="Y104" s="399">
        <f>'Seções '!K100</f>
        <v>16.79</v>
      </c>
    </row>
    <row r="105" spans="2:25" x14ac:dyDescent="0.25">
      <c r="B105" s="395">
        <v>62.36</v>
      </c>
      <c r="C105" s="395">
        <v>0</v>
      </c>
      <c r="M105" s="400">
        <f t="shared" si="4"/>
        <v>76.319999999999993</v>
      </c>
      <c r="N105" s="400">
        <v>21.61</v>
      </c>
      <c r="X105" s="399">
        <f>'Seções '!J101</f>
        <v>76.319999999999993</v>
      </c>
      <c r="Y105" s="399">
        <f>'Seções '!K101</f>
        <v>16.61</v>
      </c>
    </row>
    <row r="106" spans="2:25" x14ac:dyDescent="0.25">
      <c r="B106" s="395">
        <v>62.36</v>
      </c>
      <c r="C106" s="395">
        <v>3.5</v>
      </c>
      <c r="M106" s="400">
        <f t="shared" si="4"/>
        <v>75.599999999999994</v>
      </c>
      <c r="N106" s="400">
        <v>21.29</v>
      </c>
      <c r="X106" s="399">
        <f>'Seções '!J102</f>
        <v>75.599999999999994</v>
      </c>
      <c r="Y106" s="399">
        <f>'Seções '!K102</f>
        <v>16.29</v>
      </c>
    </row>
    <row r="107" spans="2:25" x14ac:dyDescent="0.25">
      <c r="B107" s="395">
        <v>64.510000000000005</v>
      </c>
      <c r="C107" s="395">
        <v>3.5</v>
      </c>
      <c r="M107" s="400">
        <f t="shared" si="4"/>
        <v>74.95</v>
      </c>
      <c r="N107" s="400">
        <v>20.89</v>
      </c>
      <c r="X107" s="399">
        <f>'Seções '!J103</f>
        <v>74.95</v>
      </c>
      <c r="Y107" s="399">
        <f>'Seções '!K103</f>
        <v>15.89</v>
      </c>
    </row>
    <row r="108" spans="2:25" x14ac:dyDescent="0.25">
      <c r="B108" s="395">
        <v>68.510000000000005</v>
      </c>
      <c r="C108" s="395">
        <v>7.5</v>
      </c>
      <c r="M108" s="400">
        <f t="shared" si="4"/>
        <v>74.27</v>
      </c>
      <c r="N108" s="400">
        <v>20.350000000000001</v>
      </c>
      <c r="X108" s="399">
        <f>'Seções '!J104</f>
        <v>74.27</v>
      </c>
      <c r="Y108" s="399">
        <f>'Seções '!K104</f>
        <v>15.350000000000001</v>
      </c>
    </row>
    <row r="109" spans="2:25" x14ac:dyDescent="0.25">
      <c r="B109" s="395">
        <v>68.510000000000005</v>
      </c>
      <c r="C109" s="395">
        <v>20.23</v>
      </c>
      <c r="M109" s="400">
        <f t="shared" si="4"/>
        <v>73.63</v>
      </c>
      <c r="N109" s="400">
        <v>19.66</v>
      </c>
      <c r="X109" s="399">
        <f>'Seções '!J105</f>
        <v>73.63</v>
      </c>
      <c r="Y109" s="399">
        <f>'Seções '!K105</f>
        <v>14.66</v>
      </c>
    </row>
    <row r="110" spans="2:25" x14ac:dyDescent="0.25">
      <c r="B110" s="395">
        <v>68.42</v>
      </c>
      <c r="C110" s="395">
        <v>21.28</v>
      </c>
      <c r="M110" s="400">
        <f t="shared" si="4"/>
        <v>73.069999999999993</v>
      </c>
      <c r="N110" s="400">
        <v>18.84</v>
      </c>
      <c r="X110" s="399">
        <f>'Seções '!J106</f>
        <v>73.069999999999993</v>
      </c>
      <c r="Y110" s="399">
        <f>'Seções '!K106</f>
        <v>13.84</v>
      </c>
    </row>
    <row r="111" spans="2:25" x14ac:dyDescent="0.25">
      <c r="B111" s="395">
        <v>68.17</v>
      </c>
      <c r="C111" s="395">
        <v>22.26</v>
      </c>
      <c r="M111" s="400">
        <f t="shared" si="4"/>
        <v>72.58</v>
      </c>
      <c r="N111" s="400">
        <v>17.760000000000002</v>
      </c>
      <c r="X111" s="399">
        <f>'Seções '!J107</f>
        <v>72.58</v>
      </c>
      <c r="Y111" s="399">
        <f>'Seções '!K107</f>
        <v>12.760000000000002</v>
      </c>
    </row>
    <row r="112" spans="2:25" x14ac:dyDescent="0.25">
      <c r="B112" s="395">
        <v>67.75</v>
      </c>
      <c r="C112" s="395">
        <v>23.21</v>
      </c>
      <c r="M112" s="400">
        <f t="shared" si="4"/>
        <v>72.319999999999993</v>
      </c>
      <c r="N112" s="400">
        <v>16.66</v>
      </c>
      <c r="X112" s="399">
        <f>'Seções '!J108</f>
        <v>72.319999999999993</v>
      </c>
      <c r="Y112" s="399">
        <f>'Seções '!K108</f>
        <v>11.66</v>
      </c>
    </row>
    <row r="113" spans="2:25" x14ac:dyDescent="0.25">
      <c r="B113" s="395">
        <v>67.19</v>
      </c>
      <c r="C113" s="395">
        <v>24.06</v>
      </c>
      <c r="M113" s="400">
        <f t="shared" si="4"/>
        <v>72.25</v>
      </c>
      <c r="N113" s="400">
        <f>N90</f>
        <v>15.75</v>
      </c>
      <c r="X113" s="399">
        <f>'Seções '!J109</f>
        <v>72.25</v>
      </c>
      <c r="Y113" s="399">
        <f>'Seções '!K109</f>
        <v>10.75</v>
      </c>
    </row>
    <row r="114" spans="2:25" x14ac:dyDescent="0.25">
      <c r="B114" s="397">
        <v>66.5</v>
      </c>
      <c r="C114" s="397">
        <v>24.82</v>
      </c>
      <c r="M114" s="400">
        <f t="shared" si="4"/>
        <v>72.25</v>
      </c>
      <c r="N114" s="400">
        <f t="shared" ref="N114:N122" si="5">N82</f>
        <v>5.8</v>
      </c>
      <c r="X114" s="399">
        <f>'Seções '!J110</f>
        <v>72.25</v>
      </c>
      <c r="Y114" s="399">
        <f>'Seções '!K110</f>
        <v>5.8</v>
      </c>
    </row>
    <row r="115" spans="2:25" x14ac:dyDescent="0.25">
      <c r="B115" s="397">
        <v>65.67</v>
      </c>
      <c r="C115" s="397">
        <v>25.46</v>
      </c>
      <c r="M115" s="400">
        <f t="shared" si="4"/>
        <v>75.400000000000006</v>
      </c>
      <c r="N115" s="400">
        <f t="shared" si="5"/>
        <v>3</v>
      </c>
      <c r="X115" s="399">
        <f>'Seções '!J111</f>
        <v>75.400000000000006</v>
      </c>
      <c r="Y115" s="399">
        <f>'Seções '!K111</f>
        <v>3</v>
      </c>
    </row>
    <row r="116" spans="2:25" x14ac:dyDescent="0.25">
      <c r="B116" s="397">
        <v>64.75</v>
      </c>
      <c r="C116" s="397">
        <v>25.96</v>
      </c>
      <c r="M116" s="400">
        <f t="shared" si="4"/>
        <v>78.5</v>
      </c>
      <c r="N116" s="400">
        <f t="shared" si="5"/>
        <v>3</v>
      </c>
      <c r="X116" s="399">
        <f>'Seções '!J112</f>
        <v>78.5</v>
      </c>
      <c r="Y116" s="399">
        <f>'Seções '!K112</f>
        <v>3</v>
      </c>
    </row>
    <row r="117" spans="2:25" x14ac:dyDescent="0.25">
      <c r="B117" s="397">
        <v>63.8</v>
      </c>
      <c r="C117" s="397">
        <v>26.28</v>
      </c>
      <c r="M117" s="400">
        <f t="shared" si="4"/>
        <v>78.5</v>
      </c>
      <c r="N117" s="400">
        <f t="shared" si="5"/>
        <v>0</v>
      </c>
      <c r="X117" s="399">
        <f>'Seções '!J113</f>
        <v>78.5</v>
      </c>
      <c r="Y117" s="399">
        <f>'Seções '!K113</f>
        <v>0</v>
      </c>
    </row>
    <row r="118" spans="2:25" x14ac:dyDescent="0.25">
      <c r="B118" s="397">
        <v>62.79</v>
      </c>
      <c r="C118" s="397">
        <v>26.45</v>
      </c>
      <c r="M118" s="400">
        <f t="shared" si="4"/>
        <v>62.3</v>
      </c>
      <c r="N118" s="400">
        <f t="shared" si="5"/>
        <v>0</v>
      </c>
      <c r="X118" s="399">
        <f>'Seções '!J114</f>
        <v>62.3</v>
      </c>
      <c r="Y118" s="399">
        <f>'Seções '!K114</f>
        <v>0</v>
      </c>
    </row>
    <row r="119" spans="2:25" x14ac:dyDescent="0.25">
      <c r="B119" s="397">
        <v>61.72</v>
      </c>
      <c r="C119" s="397">
        <v>26.45</v>
      </c>
      <c r="M119" s="400">
        <f t="shared" si="4"/>
        <v>62.3</v>
      </c>
      <c r="N119" s="400">
        <f t="shared" si="5"/>
        <v>3</v>
      </c>
      <c r="X119" s="399">
        <f>'Seções '!J115</f>
        <v>62.3</v>
      </c>
      <c r="Y119" s="399">
        <f>'Seções '!K115</f>
        <v>3</v>
      </c>
    </row>
    <row r="120" spans="2:25" x14ac:dyDescent="0.25">
      <c r="B120" s="397">
        <v>60.72</v>
      </c>
      <c r="C120" s="397">
        <v>26.28</v>
      </c>
      <c r="M120" s="400">
        <f t="shared" si="4"/>
        <v>65.349999999999994</v>
      </c>
      <c r="N120" s="400">
        <f t="shared" si="5"/>
        <v>3</v>
      </c>
      <c r="X120" s="399">
        <f>'Seções '!J116</f>
        <v>65.349999999999994</v>
      </c>
      <c r="Y120" s="399">
        <f>'Seções '!K116</f>
        <v>3</v>
      </c>
    </row>
    <row r="121" spans="2:25" x14ac:dyDescent="0.25">
      <c r="B121" s="397">
        <v>59.76</v>
      </c>
      <c r="C121" s="397">
        <v>25.96</v>
      </c>
      <c r="M121" s="400">
        <f t="shared" si="4"/>
        <v>68.5</v>
      </c>
      <c r="N121" s="400">
        <f t="shared" si="5"/>
        <v>5.8</v>
      </c>
      <c r="X121" s="399">
        <f>'Seções '!J117</f>
        <v>68.5</v>
      </c>
      <c r="Y121" s="399">
        <f>'Seções '!K117</f>
        <v>5.8</v>
      </c>
    </row>
    <row r="122" spans="2:25" x14ac:dyDescent="0.25">
      <c r="B122" s="397">
        <v>58.91</v>
      </c>
      <c r="C122" s="397">
        <v>25.46</v>
      </c>
      <c r="M122" s="400">
        <f t="shared" si="4"/>
        <v>68.5</v>
      </c>
      <c r="N122" s="400">
        <f t="shared" si="5"/>
        <v>15.75</v>
      </c>
      <c r="X122" s="399">
        <f>'Seções '!J118</f>
        <v>68.5</v>
      </c>
      <c r="Y122" s="399">
        <f>'Seções '!K118</f>
        <v>10.75</v>
      </c>
    </row>
    <row r="123" spans="2:25" x14ac:dyDescent="0.25">
      <c r="B123" s="395">
        <v>58.02</v>
      </c>
      <c r="C123" s="395">
        <v>24.82</v>
      </c>
      <c r="M123" s="400">
        <f t="shared" ref="M123:M154" si="6">M91-16.25</f>
        <v>68.430000000000007</v>
      </c>
      <c r="N123" s="400">
        <v>16.66</v>
      </c>
      <c r="X123" s="399">
        <f>'Seções '!J119</f>
        <v>68.430000000000007</v>
      </c>
      <c r="Y123" s="399">
        <f>'Seções '!K119</f>
        <v>11.66</v>
      </c>
    </row>
    <row r="124" spans="2:25" x14ac:dyDescent="0.25">
      <c r="B124" s="395">
        <v>57.32</v>
      </c>
      <c r="C124" s="395">
        <v>24.06</v>
      </c>
      <c r="M124" s="400">
        <f t="shared" si="6"/>
        <v>68.17</v>
      </c>
      <c r="N124" s="400">
        <v>17.760000000000002</v>
      </c>
      <c r="X124" s="399">
        <f>'Seções '!J120</f>
        <v>68.17</v>
      </c>
      <c r="Y124" s="399">
        <f>'Seções '!K120</f>
        <v>12.760000000000002</v>
      </c>
    </row>
    <row r="125" spans="2:25" x14ac:dyDescent="0.25">
      <c r="B125" s="395">
        <v>56.76</v>
      </c>
      <c r="C125" s="395">
        <v>23.21</v>
      </c>
      <c r="M125" s="400">
        <f t="shared" si="6"/>
        <v>67.680000000000007</v>
      </c>
      <c r="N125" s="400">
        <v>18.84</v>
      </c>
      <c r="X125" s="399">
        <f>'Seções '!J121</f>
        <v>67.680000000000007</v>
      </c>
      <c r="Y125" s="399">
        <f>'Seções '!K121</f>
        <v>13.84</v>
      </c>
    </row>
    <row r="126" spans="2:25" x14ac:dyDescent="0.25">
      <c r="B126" s="395">
        <v>56.35</v>
      </c>
      <c r="C126" s="395">
        <v>22.26</v>
      </c>
      <c r="M126" s="400">
        <f t="shared" si="6"/>
        <v>67.12</v>
      </c>
      <c r="N126" s="400">
        <v>19.66</v>
      </c>
      <c r="X126" s="399">
        <f>'Seções '!J122</f>
        <v>67.12</v>
      </c>
      <c r="Y126" s="399">
        <f>'Seções '!K122</f>
        <v>14.66</v>
      </c>
    </row>
    <row r="127" spans="2:25" x14ac:dyDescent="0.25">
      <c r="B127" s="395">
        <v>56.1</v>
      </c>
      <c r="C127" s="395">
        <v>21.28</v>
      </c>
      <c r="M127" s="400">
        <f t="shared" si="6"/>
        <v>66.48</v>
      </c>
      <c r="N127" s="400">
        <v>20.350000000000001</v>
      </c>
      <c r="X127" s="399">
        <f>'Seções '!J123</f>
        <v>66.48</v>
      </c>
      <c r="Y127" s="399">
        <f>'Seções '!K123</f>
        <v>15.350000000000001</v>
      </c>
    </row>
    <row r="128" spans="2:25" x14ac:dyDescent="0.25">
      <c r="B128" s="395">
        <v>56.01</v>
      </c>
      <c r="C128" s="395">
        <v>20.23</v>
      </c>
      <c r="M128" s="400">
        <f t="shared" si="6"/>
        <v>65.8</v>
      </c>
      <c r="N128" s="400">
        <v>20.89</v>
      </c>
      <c r="X128" s="399">
        <f>'Seções '!J124</f>
        <v>65.8</v>
      </c>
      <c r="Y128" s="399">
        <f>'Seções '!K124</f>
        <v>15.89</v>
      </c>
    </row>
    <row r="129" spans="2:25" x14ac:dyDescent="0.25">
      <c r="B129" s="395">
        <v>56.01</v>
      </c>
      <c r="C129" s="395">
        <v>7.5</v>
      </c>
      <c r="M129" s="400">
        <f t="shared" si="6"/>
        <v>65.150000000000006</v>
      </c>
      <c r="N129" s="400">
        <v>21.29</v>
      </c>
      <c r="X129" s="399">
        <f>'Seções '!J125</f>
        <v>65.150000000000006</v>
      </c>
      <c r="Y129" s="399">
        <f>'Seções '!K125</f>
        <v>16.29</v>
      </c>
    </row>
    <row r="130" spans="2:25" x14ac:dyDescent="0.25">
      <c r="B130" s="395">
        <v>60.01</v>
      </c>
      <c r="C130" s="395">
        <v>3.5</v>
      </c>
      <c r="M130" s="400">
        <f t="shared" si="6"/>
        <v>64.430000000000007</v>
      </c>
      <c r="N130" s="400">
        <v>21.61</v>
      </c>
      <c r="X130" s="399">
        <f>'Seções '!J126</f>
        <v>64.430000000000007</v>
      </c>
      <c r="Y130" s="399">
        <f>'Seções '!K126</f>
        <v>16.61</v>
      </c>
    </row>
    <row r="131" spans="2:25" x14ac:dyDescent="0.25">
      <c r="B131" s="395">
        <v>62.26</v>
      </c>
      <c r="C131" s="395">
        <v>3.5</v>
      </c>
      <c r="M131" s="400">
        <f t="shared" si="6"/>
        <v>63.84</v>
      </c>
      <c r="N131" s="400">
        <v>21.79</v>
      </c>
      <c r="X131" s="399">
        <f>'Seções '!J127</f>
        <v>63.84</v>
      </c>
      <c r="Y131" s="399">
        <f>'Seções '!K127</f>
        <v>16.79</v>
      </c>
    </row>
    <row r="132" spans="2:25" x14ac:dyDescent="0.25">
      <c r="B132" s="395">
        <v>62.26</v>
      </c>
      <c r="C132" s="395">
        <v>0</v>
      </c>
      <c r="M132" s="400">
        <f t="shared" si="6"/>
        <v>63.22</v>
      </c>
      <c r="N132" s="400">
        <v>21.92</v>
      </c>
      <c r="X132" s="399">
        <f>'Seções '!J128</f>
        <v>63.22</v>
      </c>
      <c r="Y132" s="399">
        <f>'Seções '!K128</f>
        <v>16.920000000000002</v>
      </c>
    </row>
    <row r="133" spans="2:25" x14ac:dyDescent="0.25">
      <c r="B133" s="395">
        <v>46.11</v>
      </c>
      <c r="C133" s="395">
        <v>0</v>
      </c>
      <c r="M133" s="400">
        <f t="shared" si="6"/>
        <v>62.55</v>
      </c>
      <c r="N133" s="400">
        <v>21.99</v>
      </c>
      <c r="X133" s="399">
        <f>'Seções '!J129</f>
        <v>62.55</v>
      </c>
      <c r="Y133" s="399">
        <f>'Seções '!K129</f>
        <v>16.989999999999998</v>
      </c>
    </row>
    <row r="134" spans="2:25" x14ac:dyDescent="0.25">
      <c r="B134" s="395">
        <v>46.11</v>
      </c>
      <c r="C134" s="395">
        <v>3.5</v>
      </c>
      <c r="M134" s="400">
        <f t="shared" si="6"/>
        <v>61.95</v>
      </c>
      <c r="N134" s="400">
        <f>N133</f>
        <v>21.99</v>
      </c>
      <c r="X134" s="399">
        <f>'Seções '!J130</f>
        <v>61.95</v>
      </c>
      <c r="Y134" s="399">
        <f>'Seções '!K130</f>
        <v>16.989999999999998</v>
      </c>
    </row>
    <row r="135" spans="2:25" x14ac:dyDescent="0.25">
      <c r="B135" s="395">
        <v>48.26</v>
      </c>
      <c r="C135" s="395">
        <v>3.5</v>
      </c>
      <c r="M135" s="400">
        <f t="shared" si="6"/>
        <v>61.28</v>
      </c>
      <c r="N135" s="400">
        <v>21.92</v>
      </c>
      <c r="X135" s="399">
        <f>'Seções '!J131</f>
        <v>61.28</v>
      </c>
      <c r="Y135" s="399">
        <f>'Seções '!K131</f>
        <v>16.920000000000002</v>
      </c>
    </row>
    <row r="136" spans="2:25" x14ac:dyDescent="0.25">
      <c r="B136" s="395">
        <v>52.26</v>
      </c>
      <c r="C136" s="395">
        <v>7.5</v>
      </c>
      <c r="M136" s="400">
        <f t="shared" si="6"/>
        <v>60.66</v>
      </c>
      <c r="N136" s="400">
        <v>21.79</v>
      </c>
      <c r="X136" s="399">
        <f>'Seções '!J132</f>
        <v>60.66</v>
      </c>
      <c r="Y136" s="399">
        <f>'Seções '!K132</f>
        <v>16.79</v>
      </c>
    </row>
    <row r="137" spans="2:25" x14ac:dyDescent="0.25">
      <c r="B137" s="397">
        <v>52.26</v>
      </c>
      <c r="C137" s="397">
        <v>20.23</v>
      </c>
      <c r="M137" s="400">
        <f t="shared" si="6"/>
        <v>60.069999999999993</v>
      </c>
      <c r="N137" s="400">
        <v>21.61</v>
      </c>
      <c r="X137" s="399">
        <f>'Seções '!J133</f>
        <v>60.069999999999993</v>
      </c>
      <c r="Y137" s="399">
        <f>'Seções '!K133</f>
        <v>16.61</v>
      </c>
    </row>
    <row r="138" spans="2:25" x14ac:dyDescent="0.25">
      <c r="B138" s="397">
        <v>52.17</v>
      </c>
      <c r="C138" s="397">
        <v>21.28</v>
      </c>
      <c r="M138" s="400">
        <f t="shared" si="6"/>
        <v>59.349999999999994</v>
      </c>
      <c r="N138" s="400">
        <v>21.29</v>
      </c>
      <c r="X138" s="399">
        <f>'Seções '!J134</f>
        <v>59.349999999999994</v>
      </c>
      <c r="Y138" s="399">
        <f>'Seções '!K134</f>
        <v>16.29</v>
      </c>
    </row>
    <row r="139" spans="2:25" x14ac:dyDescent="0.25">
      <c r="B139" s="397">
        <v>51.92</v>
      </c>
      <c r="C139" s="397">
        <v>22.26</v>
      </c>
      <c r="M139" s="400">
        <f t="shared" si="6"/>
        <v>58.7</v>
      </c>
      <c r="N139" s="400">
        <v>20.89</v>
      </c>
      <c r="X139" s="399">
        <f>'Seções '!J135</f>
        <v>58.7</v>
      </c>
      <c r="Y139" s="399">
        <f>'Seções '!K135</f>
        <v>15.89</v>
      </c>
    </row>
    <row r="140" spans="2:25" x14ac:dyDescent="0.25">
      <c r="B140" s="397">
        <v>51.5</v>
      </c>
      <c r="C140" s="397">
        <v>23.21</v>
      </c>
      <c r="M140" s="400">
        <f t="shared" si="6"/>
        <v>58.019999999999996</v>
      </c>
      <c r="N140" s="400">
        <v>20.350000000000001</v>
      </c>
      <c r="X140" s="399">
        <f>'Seções '!J136</f>
        <v>58.019999999999996</v>
      </c>
      <c r="Y140" s="399">
        <f>'Seções '!K136</f>
        <v>15.350000000000001</v>
      </c>
    </row>
    <row r="141" spans="2:25" x14ac:dyDescent="0.25">
      <c r="B141" s="397">
        <v>50.94</v>
      </c>
      <c r="C141" s="397">
        <v>24.06</v>
      </c>
      <c r="M141" s="400">
        <f t="shared" si="6"/>
        <v>57.379999999999995</v>
      </c>
      <c r="N141" s="400">
        <v>19.66</v>
      </c>
      <c r="X141" s="399">
        <f>'Seções '!J137</f>
        <v>57.379999999999995</v>
      </c>
      <c r="Y141" s="399">
        <f>'Seções '!K137</f>
        <v>14.66</v>
      </c>
    </row>
    <row r="142" spans="2:25" x14ac:dyDescent="0.25">
      <c r="B142" s="397">
        <v>50.25</v>
      </c>
      <c r="C142" s="397">
        <v>24.82</v>
      </c>
      <c r="M142" s="400">
        <f t="shared" si="6"/>
        <v>56.819999999999993</v>
      </c>
      <c r="N142" s="400">
        <v>18.84</v>
      </c>
      <c r="X142" s="399">
        <f>'Seções '!J138</f>
        <v>56.819999999999993</v>
      </c>
      <c r="Y142" s="399">
        <f>'Seções '!K138</f>
        <v>13.84</v>
      </c>
    </row>
    <row r="143" spans="2:25" x14ac:dyDescent="0.25">
      <c r="B143" s="397">
        <v>49.42</v>
      </c>
      <c r="C143" s="397">
        <v>25.46</v>
      </c>
      <c r="M143" s="400">
        <f t="shared" si="6"/>
        <v>56.33</v>
      </c>
      <c r="N143" s="400">
        <v>17.760000000000002</v>
      </c>
      <c r="X143" s="399">
        <f>'Seções '!J139</f>
        <v>56.33</v>
      </c>
      <c r="Y143" s="399">
        <f>'Seções '!K139</f>
        <v>12.760000000000002</v>
      </c>
    </row>
    <row r="144" spans="2:25" x14ac:dyDescent="0.25">
      <c r="B144" s="397">
        <v>48.5</v>
      </c>
      <c r="C144" s="397">
        <v>25.96</v>
      </c>
      <c r="M144" s="400">
        <f t="shared" si="6"/>
        <v>56.069999999999993</v>
      </c>
      <c r="N144" s="400">
        <v>16.66</v>
      </c>
      <c r="X144" s="399">
        <f>'Seções '!J140</f>
        <v>56.069999999999993</v>
      </c>
      <c r="Y144" s="399">
        <f>'Seções '!K140</f>
        <v>11.66</v>
      </c>
    </row>
    <row r="145" spans="2:25" x14ac:dyDescent="0.25">
      <c r="B145" s="397">
        <v>47.55</v>
      </c>
      <c r="C145" s="397">
        <v>26.28</v>
      </c>
      <c r="M145" s="400">
        <f t="shared" si="6"/>
        <v>56</v>
      </c>
      <c r="N145" s="400">
        <f>N122</f>
        <v>15.75</v>
      </c>
      <c r="X145" s="399">
        <f>'Seções '!J141</f>
        <v>56</v>
      </c>
      <c r="Y145" s="399">
        <f>'Seções '!K141</f>
        <v>10.75</v>
      </c>
    </row>
    <row r="146" spans="2:25" x14ac:dyDescent="0.25">
      <c r="B146" s="395">
        <v>46.54</v>
      </c>
      <c r="C146" s="395">
        <v>26.45</v>
      </c>
      <c r="M146" s="400">
        <f t="shared" si="6"/>
        <v>56</v>
      </c>
      <c r="N146" s="400">
        <f t="shared" ref="N146:N154" si="7">N114</f>
        <v>5.8</v>
      </c>
      <c r="X146" s="399">
        <f>'Seções '!J142</f>
        <v>56</v>
      </c>
      <c r="Y146" s="399">
        <f>'Seções '!K142</f>
        <v>5.8</v>
      </c>
    </row>
    <row r="147" spans="2:25" x14ac:dyDescent="0.25">
      <c r="B147" s="395">
        <v>45.47</v>
      </c>
      <c r="C147" s="395">
        <v>26.45</v>
      </c>
      <c r="M147" s="400">
        <f t="shared" si="6"/>
        <v>59.150000000000006</v>
      </c>
      <c r="N147" s="400">
        <f t="shared" si="7"/>
        <v>3</v>
      </c>
      <c r="X147" s="399">
        <f>'Seções '!J143</f>
        <v>59.150000000000006</v>
      </c>
      <c r="Y147" s="399">
        <f>'Seções '!K143</f>
        <v>3</v>
      </c>
    </row>
    <row r="148" spans="2:25" x14ac:dyDescent="0.25">
      <c r="B148" s="395">
        <v>44.47</v>
      </c>
      <c r="C148" s="395">
        <v>26.28</v>
      </c>
      <c r="M148" s="400">
        <f t="shared" si="6"/>
        <v>62.25</v>
      </c>
      <c r="N148" s="400">
        <f t="shared" si="7"/>
        <v>3</v>
      </c>
      <c r="X148" s="399">
        <f>'Seções '!J144</f>
        <v>62.25</v>
      </c>
      <c r="Y148" s="399">
        <f>'Seções '!K144</f>
        <v>3</v>
      </c>
    </row>
    <row r="149" spans="2:25" x14ac:dyDescent="0.25">
      <c r="B149" s="395">
        <v>43.51</v>
      </c>
      <c r="C149" s="395">
        <v>25.96</v>
      </c>
      <c r="M149" s="400">
        <f t="shared" si="6"/>
        <v>62.25</v>
      </c>
      <c r="N149" s="400">
        <f t="shared" si="7"/>
        <v>0</v>
      </c>
      <c r="X149" s="399">
        <f>'Seções '!J145</f>
        <v>62.25</v>
      </c>
      <c r="Y149" s="399">
        <f>'Seções '!K145</f>
        <v>0</v>
      </c>
    </row>
    <row r="150" spans="2:25" x14ac:dyDescent="0.25">
      <c r="B150" s="395">
        <v>42.6</v>
      </c>
      <c r="C150" s="395">
        <v>25.46</v>
      </c>
      <c r="M150" s="400">
        <f t="shared" si="6"/>
        <v>46.05</v>
      </c>
      <c r="N150" s="400">
        <f t="shared" si="7"/>
        <v>0</v>
      </c>
      <c r="X150" s="399">
        <f>'Seções '!J146</f>
        <v>46.05</v>
      </c>
      <c r="Y150" s="399">
        <f>'Seções '!K146</f>
        <v>0</v>
      </c>
    </row>
    <row r="151" spans="2:25" x14ac:dyDescent="0.25">
      <c r="B151" s="395">
        <v>41.77</v>
      </c>
      <c r="C151" s="395">
        <v>24.82</v>
      </c>
      <c r="M151" s="400">
        <f t="shared" si="6"/>
        <v>46.05</v>
      </c>
      <c r="N151" s="400">
        <f t="shared" si="7"/>
        <v>3</v>
      </c>
      <c r="X151" s="399">
        <f>'Seções '!J147</f>
        <v>46.05</v>
      </c>
      <c r="Y151" s="399">
        <f>'Seções '!K147</f>
        <v>3</v>
      </c>
    </row>
    <row r="152" spans="2:25" x14ac:dyDescent="0.25">
      <c r="B152" s="395">
        <v>41.07</v>
      </c>
      <c r="C152" s="395">
        <v>24.06</v>
      </c>
      <c r="M152" s="400">
        <f t="shared" si="6"/>
        <v>49.099999999999994</v>
      </c>
      <c r="N152" s="400">
        <f t="shared" si="7"/>
        <v>3</v>
      </c>
      <c r="X152" s="399">
        <f>'Seções '!J148</f>
        <v>49.099999999999994</v>
      </c>
      <c r="Y152" s="399">
        <f>'Seções '!K148</f>
        <v>3</v>
      </c>
    </row>
    <row r="153" spans="2:25" x14ac:dyDescent="0.25">
      <c r="B153" s="395">
        <v>40.51</v>
      </c>
      <c r="C153" s="395">
        <v>23.21</v>
      </c>
      <c r="M153" s="400">
        <f t="shared" si="6"/>
        <v>52.25</v>
      </c>
      <c r="N153" s="400">
        <f t="shared" si="7"/>
        <v>5.8</v>
      </c>
      <c r="X153" s="399">
        <f>'Seções '!J149</f>
        <v>52.25</v>
      </c>
      <c r="Y153" s="399">
        <f>'Seções '!K149</f>
        <v>5.8</v>
      </c>
    </row>
    <row r="154" spans="2:25" x14ac:dyDescent="0.25">
      <c r="B154" s="395">
        <v>40.1</v>
      </c>
      <c r="C154" s="395">
        <v>22.26</v>
      </c>
      <c r="M154" s="400">
        <f t="shared" si="6"/>
        <v>52.25</v>
      </c>
      <c r="N154" s="400">
        <f t="shared" si="7"/>
        <v>15.75</v>
      </c>
      <c r="X154" s="399">
        <f>'Seções '!J150</f>
        <v>52.25</v>
      </c>
      <c r="Y154" s="399">
        <f>'Seções '!K150</f>
        <v>10.75</v>
      </c>
    </row>
    <row r="155" spans="2:25" x14ac:dyDescent="0.25">
      <c r="B155" s="395">
        <v>39.85</v>
      </c>
      <c r="C155" s="395">
        <v>21.28</v>
      </c>
      <c r="M155" s="400">
        <f t="shared" ref="M155:M186" si="8">M123-16.25</f>
        <v>52.180000000000007</v>
      </c>
      <c r="N155" s="400">
        <v>16.66</v>
      </c>
      <c r="X155" s="399">
        <f>'Seções '!J151</f>
        <v>52.180000000000007</v>
      </c>
      <c r="Y155" s="399">
        <f>'Seções '!K151</f>
        <v>11.66</v>
      </c>
    </row>
    <row r="156" spans="2:25" x14ac:dyDescent="0.25">
      <c r="B156" s="395">
        <v>39.76</v>
      </c>
      <c r="C156" s="395">
        <v>20.23</v>
      </c>
      <c r="M156" s="400">
        <f t="shared" si="8"/>
        <v>51.92</v>
      </c>
      <c r="N156" s="400">
        <v>17.760000000000002</v>
      </c>
      <c r="X156" s="399">
        <f>'Seções '!J152</f>
        <v>51.92</v>
      </c>
      <c r="Y156" s="399">
        <f>'Seções '!K152</f>
        <v>12.760000000000002</v>
      </c>
    </row>
    <row r="157" spans="2:25" x14ac:dyDescent="0.25">
      <c r="B157" s="395">
        <v>39.76</v>
      </c>
      <c r="C157" s="395">
        <v>7.5</v>
      </c>
      <c r="M157" s="400">
        <f t="shared" si="8"/>
        <v>51.430000000000007</v>
      </c>
      <c r="N157" s="400">
        <v>18.84</v>
      </c>
      <c r="X157" s="399">
        <f>'Seções '!J153</f>
        <v>51.430000000000007</v>
      </c>
      <c r="Y157" s="399">
        <f>'Seções '!K153</f>
        <v>13.84</v>
      </c>
    </row>
    <row r="158" spans="2:25" x14ac:dyDescent="0.25">
      <c r="B158" s="395">
        <v>43.76</v>
      </c>
      <c r="C158" s="395">
        <v>3.5</v>
      </c>
      <c r="M158" s="400">
        <f t="shared" si="8"/>
        <v>50.870000000000005</v>
      </c>
      <c r="N158" s="400">
        <v>19.66</v>
      </c>
      <c r="X158" s="399">
        <f>'Seções '!J154</f>
        <v>50.870000000000005</v>
      </c>
      <c r="Y158" s="399">
        <f>'Seções '!K154</f>
        <v>14.66</v>
      </c>
    </row>
    <row r="159" spans="2:25" x14ac:dyDescent="0.25">
      <c r="B159" s="395">
        <v>46.01</v>
      </c>
      <c r="C159" s="395">
        <v>3.5</v>
      </c>
      <c r="M159" s="400">
        <f t="shared" si="8"/>
        <v>50.230000000000004</v>
      </c>
      <c r="N159" s="400">
        <v>20.350000000000001</v>
      </c>
      <c r="X159" s="399">
        <f>'Seções '!J155</f>
        <v>50.230000000000004</v>
      </c>
      <c r="Y159" s="399">
        <f>'Seções '!K155</f>
        <v>15.350000000000001</v>
      </c>
    </row>
    <row r="160" spans="2:25" x14ac:dyDescent="0.25">
      <c r="B160" s="396">
        <v>46.01</v>
      </c>
      <c r="C160" s="397">
        <v>0</v>
      </c>
      <c r="M160" s="400">
        <f t="shared" si="8"/>
        <v>49.55</v>
      </c>
      <c r="N160" s="400">
        <v>20.89</v>
      </c>
      <c r="X160" s="399">
        <f>'Seções '!J156</f>
        <v>49.55</v>
      </c>
      <c r="Y160" s="399">
        <f>'Seções '!K156</f>
        <v>15.89</v>
      </c>
    </row>
    <row r="161" spans="2:25" x14ac:dyDescent="0.25">
      <c r="B161" s="397">
        <v>29.86</v>
      </c>
      <c r="C161" s="397">
        <v>0</v>
      </c>
      <c r="M161" s="400">
        <f t="shared" si="8"/>
        <v>48.900000000000006</v>
      </c>
      <c r="N161" s="400">
        <v>21.29</v>
      </c>
      <c r="X161" s="399">
        <f>'Seções '!J157</f>
        <v>48.900000000000006</v>
      </c>
      <c r="Y161" s="399">
        <f>'Seções '!K157</f>
        <v>16.29</v>
      </c>
    </row>
    <row r="162" spans="2:25" x14ac:dyDescent="0.25">
      <c r="B162" s="397">
        <v>29.86</v>
      </c>
      <c r="C162" s="397">
        <v>3.5</v>
      </c>
      <c r="M162" s="400">
        <f t="shared" si="8"/>
        <v>48.180000000000007</v>
      </c>
      <c r="N162" s="400">
        <v>21.61</v>
      </c>
      <c r="X162" s="399">
        <f>'Seções '!J158</f>
        <v>48.180000000000007</v>
      </c>
      <c r="Y162" s="399">
        <f>'Seções '!K158</f>
        <v>16.61</v>
      </c>
    </row>
    <row r="163" spans="2:25" x14ac:dyDescent="0.25">
      <c r="B163" s="397">
        <v>32.01</v>
      </c>
      <c r="C163" s="397">
        <v>3.5</v>
      </c>
      <c r="M163" s="400">
        <f t="shared" si="8"/>
        <v>47.59</v>
      </c>
      <c r="N163" s="400">
        <v>21.79</v>
      </c>
      <c r="X163" s="399">
        <f>'Seções '!J159</f>
        <v>47.59</v>
      </c>
      <c r="Y163" s="399">
        <f>'Seções '!K159</f>
        <v>16.79</v>
      </c>
    </row>
    <row r="164" spans="2:25" x14ac:dyDescent="0.25">
      <c r="B164" s="397">
        <v>36.01</v>
      </c>
      <c r="C164" s="397">
        <v>7.5</v>
      </c>
      <c r="M164" s="400">
        <f t="shared" si="8"/>
        <v>46.97</v>
      </c>
      <c r="N164" s="400">
        <v>21.92</v>
      </c>
      <c r="X164" s="399">
        <f>'Seções '!J160</f>
        <v>46.97</v>
      </c>
      <c r="Y164" s="399">
        <f>'Seções '!K160</f>
        <v>16.920000000000002</v>
      </c>
    </row>
    <row r="165" spans="2:25" x14ac:dyDescent="0.25">
      <c r="B165" s="397">
        <v>36.01</v>
      </c>
      <c r="C165" s="397">
        <v>20.23</v>
      </c>
      <c r="M165" s="400">
        <f t="shared" si="8"/>
        <v>46.3</v>
      </c>
      <c r="N165" s="400">
        <v>21.99</v>
      </c>
      <c r="X165" s="399">
        <f>'Seções '!J161</f>
        <v>46.3</v>
      </c>
      <c r="Y165" s="399">
        <f>'Seções '!K161</f>
        <v>16.989999999999998</v>
      </c>
    </row>
    <row r="166" spans="2:25" x14ac:dyDescent="0.25">
      <c r="B166" s="397">
        <v>35.92</v>
      </c>
      <c r="C166" s="397">
        <v>21.28</v>
      </c>
      <c r="M166" s="400">
        <f t="shared" si="8"/>
        <v>45.7</v>
      </c>
      <c r="N166" s="400">
        <f>N165</f>
        <v>21.99</v>
      </c>
      <c r="X166" s="399">
        <f>'Seções '!J162</f>
        <v>45.7</v>
      </c>
      <c r="Y166" s="399">
        <f>'Seções '!K162</f>
        <v>16.989999999999998</v>
      </c>
    </row>
    <row r="167" spans="2:25" x14ac:dyDescent="0.25">
      <c r="B167" s="397">
        <v>35.67</v>
      </c>
      <c r="C167" s="397">
        <v>22.26</v>
      </c>
      <c r="M167" s="400">
        <f t="shared" si="8"/>
        <v>45.03</v>
      </c>
      <c r="N167" s="400">
        <v>21.92</v>
      </c>
      <c r="X167" s="399">
        <f>'Seções '!J163</f>
        <v>45.03</v>
      </c>
      <c r="Y167" s="399">
        <f>'Seções '!K163</f>
        <v>16.920000000000002</v>
      </c>
    </row>
    <row r="168" spans="2:25" x14ac:dyDescent="0.25">
      <c r="B168" s="397">
        <v>35.25</v>
      </c>
      <c r="C168" s="397">
        <v>23.21</v>
      </c>
      <c r="M168" s="400">
        <f t="shared" si="8"/>
        <v>44.41</v>
      </c>
      <c r="N168" s="400">
        <v>21.79</v>
      </c>
      <c r="X168" s="399">
        <f>'Seções '!J164</f>
        <v>44.41</v>
      </c>
      <c r="Y168" s="399">
        <f>'Seções '!K164</f>
        <v>16.79</v>
      </c>
    </row>
    <row r="169" spans="2:25" x14ac:dyDescent="0.25">
      <c r="B169" s="395">
        <v>34.69</v>
      </c>
      <c r="C169" s="395">
        <v>24.06</v>
      </c>
      <c r="M169" s="400">
        <f t="shared" si="8"/>
        <v>43.819999999999993</v>
      </c>
      <c r="N169" s="400">
        <v>21.61</v>
      </c>
      <c r="X169" s="399">
        <f>'Seções '!J165</f>
        <v>43.819999999999993</v>
      </c>
      <c r="Y169" s="399">
        <f>'Seções '!K165</f>
        <v>16.61</v>
      </c>
    </row>
    <row r="170" spans="2:25" x14ac:dyDescent="0.25">
      <c r="B170" s="395">
        <v>34</v>
      </c>
      <c r="C170" s="395">
        <v>24.82</v>
      </c>
      <c r="M170" s="400">
        <f t="shared" si="8"/>
        <v>43.099999999999994</v>
      </c>
      <c r="N170" s="400">
        <v>21.29</v>
      </c>
      <c r="X170" s="399">
        <f>'Seções '!J166</f>
        <v>43.099999999999994</v>
      </c>
      <c r="Y170" s="399">
        <f>'Seções '!K166</f>
        <v>16.29</v>
      </c>
    </row>
    <row r="171" spans="2:25" x14ac:dyDescent="0.25">
      <c r="B171" s="395">
        <v>33.17</v>
      </c>
      <c r="C171" s="395">
        <v>25.46</v>
      </c>
      <c r="M171" s="400">
        <f t="shared" si="8"/>
        <v>42.45</v>
      </c>
      <c r="N171" s="400">
        <v>20.89</v>
      </c>
      <c r="X171" s="399">
        <f>'Seções '!J167</f>
        <v>42.45</v>
      </c>
      <c r="Y171" s="399">
        <f>'Seções '!K167</f>
        <v>15.89</v>
      </c>
    </row>
    <row r="172" spans="2:25" x14ac:dyDescent="0.25">
      <c r="B172" s="395">
        <v>32.25</v>
      </c>
      <c r="C172" s="395">
        <v>25.96</v>
      </c>
      <c r="M172" s="400">
        <f t="shared" si="8"/>
        <v>41.769999999999996</v>
      </c>
      <c r="N172" s="400">
        <v>20.350000000000001</v>
      </c>
      <c r="X172" s="399">
        <f>'Seções '!J168</f>
        <v>41.769999999999996</v>
      </c>
      <c r="Y172" s="399">
        <f>'Seções '!K168</f>
        <v>15.350000000000001</v>
      </c>
    </row>
    <row r="173" spans="2:25" x14ac:dyDescent="0.25">
      <c r="B173" s="395">
        <v>31.3</v>
      </c>
      <c r="C173" s="395">
        <v>26.28</v>
      </c>
      <c r="M173" s="400">
        <f t="shared" si="8"/>
        <v>41.129999999999995</v>
      </c>
      <c r="N173" s="400">
        <v>19.66</v>
      </c>
      <c r="X173" s="399">
        <f>'Seções '!J169</f>
        <v>41.129999999999995</v>
      </c>
      <c r="Y173" s="399">
        <f>'Seções '!K169</f>
        <v>14.66</v>
      </c>
    </row>
    <row r="174" spans="2:25" x14ac:dyDescent="0.25">
      <c r="B174" s="395">
        <v>30.29</v>
      </c>
      <c r="C174" s="395">
        <v>26.45</v>
      </c>
      <c r="M174" s="400">
        <f t="shared" si="8"/>
        <v>40.569999999999993</v>
      </c>
      <c r="N174" s="400">
        <v>18.84</v>
      </c>
      <c r="X174" s="399">
        <f>'Seções '!J170</f>
        <v>40.569999999999993</v>
      </c>
      <c r="Y174" s="399">
        <f>'Seções '!K170</f>
        <v>13.84</v>
      </c>
    </row>
    <row r="175" spans="2:25" x14ac:dyDescent="0.25">
      <c r="B175" s="395">
        <v>29.22</v>
      </c>
      <c r="C175" s="395">
        <v>26.45</v>
      </c>
      <c r="M175" s="400">
        <f t="shared" si="8"/>
        <v>40.08</v>
      </c>
      <c r="N175" s="400">
        <v>17.760000000000002</v>
      </c>
      <c r="X175" s="399">
        <f>'Seções '!J171</f>
        <v>40.08</v>
      </c>
      <c r="Y175" s="399">
        <f>'Seções '!K171</f>
        <v>12.760000000000002</v>
      </c>
    </row>
    <row r="176" spans="2:25" x14ac:dyDescent="0.25">
      <c r="B176" s="395">
        <v>28.22</v>
      </c>
      <c r="C176" s="395">
        <v>26.28</v>
      </c>
      <c r="M176" s="400">
        <f t="shared" si="8"/>
        <v>39.819999999999993</v>
      </c>
      <c r="N176" s="400">
        <v>16.66</v>
      </c>
      <c r="X176" s="399">
        <f>'Seções '!J172</f>
        <v>39.819999999999993</v>
      </c>
      <c r="Y176" s="399">
        <f>'Seções '!K172</f>
        <v>11.66</v>
      </c>
    </row>
    <row r="177" spans="2:25" x14ac:dyDescent="0.25">
      <c r="B177" s="395">
        <v>27.26</v>
      </c>
      <c r="C177" s="395">
        <v>25.96</v>
      </c>
      <c r="M177" s="400">
        <f t="shared" si="8"/>
        <v>39.75</v>
      </c>
      <c r="N177" s="400">
        <f t="shared" ref="N177:N186" si="9">N145</f>
        <v>15.75</v>
      </c>
      <c r="X177" s="399">
        <f>'Seções '!J173</f>
        <v>39.75</v>
      </c>
      <c r="Y177" s="399">
        <f>'Seções '!K173</f>
        <v>10.75</v>
      </c>
    </row>
    <row r="178" spans="2:25" x14ac:dyDescent="0.25">
      <c r="B178" s="395">
        <v>26.35</v>
      </c>
      <c r="C178" s="395">
        <v>25.46</v>
      </c>
      <c r="M178" s="400">
        <f t="shared" si="8"/>
        <v>39.75</v>
      </c>
      <c r="N178" s="400">
        <f t="shared" si="9"/>
        <v>5.8</v>
      </c>
      <c r="X178" s="399">
        <f>'Seções '!J174</f>
        <v>39.75</v>
      </c>
      <c r="Y178" s="399">
        <f>'Seções '!K174</f>
        <v>5.8</v>
      </c>
    </row>
    <row r="179" spans="2:25" x14ac:dyDescent="0.25">
      <c r="B179" s="395">
        <v>25.52</v>
      </c>
      <c r="C179" s="395">
        <v>24.82</v>
      </c>
      <c r="M179" s="400">
        <f t="shared" si="8"/>
        <v>42.900000000000006</v>
      </c>
      <c r="N179" s="400">
        <f t="shared" si="9"/>
        <v>3</v>
      </c>
      <c r="X179" s="399">
        <f>'Seções '!J175</f>
        <v>42.900000000000006</v>
      </c>
      <c r="Y179" s="399">
        <f>'Seções '!K175</f>
        <v>3</v>
      </c>
    </row>
    <row r="180" spans="2:25" x14ac:dyDescent="0.25">
      <c r="B180" s="395">
        <v>24.82</v>
      </c>
      <c r="C180" s="395">
        <v>24.06</v>
      </c>
      <c r="M180" s="400">
        <f t="shared" si="8"/>
        <v>46</v>
      </c>
      <c r="N180" s="400">
        <f t="shared" si="9"/>
        <v>3</v>
      </c>
      <c r="X180" s="399">
        <f>'Seções '!J176</f>
        <v>46</v>
      </c>
      <c r="Y180" s="399">
        <f>'Seções '!K176</f>
        <v>3</v>
      </c>
    </row>
    <row r="181" spans="2:25" x14ac:dyDescent="0.25">
      <c r="B181" s="395">
        <v>24.26</v>
      </c>
      <c r="C181" s="395">
        <v>23.21</v>
      </c>
      <c r="M181" s="400">
        <f t="shared" si="8"/>
        <v>46</v>
      </c>
      <c r="N181" s="400">
        <f t="shared" si="9"/>
        <v>0</v>
      </c>
      <c r="X181" s="399">
        <f>'Seções '!J177</f>
        <v>46</v>
      </c>
      <c r="Y181" s="399">
        <f>'Seções '!K177</f>
        <v>0</v>
      </c>
    </row>
    <row r="182" spans="2:25" x14ac:dyDescent="0.25">
      <c r="B182" s="395">
        <v>23.85</v>
      </c>
      <c r="C182" s="395">
        <v>22.26</v>
      </c>
      <c r="M182" s="400">
        <f t="shared" si="8"/>
        <v>29.799999999999997</v>
      </c>
      <c r="N182" s="400">
        <f t="shared" si="9"/>
        <v>0</v>
      </c>
      <c r="X182" s="399">
        <f>'Seções '!J178</f>
        <v>29.799999999999997</v>
      </c>
      <c r="Y182" s="399">
        <f>'Seções '!K178</f>
        <v>0</v>
      </c>
    </row>
    <row r="183" spans="2:25" x14ac:dyDescent="0.25">
      <c r="B183" s="396">
        <v>23.6</v>
      </c>
      <c r="C183" s="397">
        <v>21.28</v>
      </c>
      <c r="M183" s="400">
        <f t="shared" si="8"/>
        <v>29.799999999999997</v>
      </c>
      <c r="N183" s="400">
        <f t="shared" si="9"/>
        <v>3</v>
      </c>
      <c r="X183" s="399">
        <f>'Seções '!J179</f>
        <v>29.799999999999997</v>
      </c>
      <c r="Y183" s="399">
        <f>'Seções '!K179</f>
        <v>3</v>
      </c>
    </row>
    <row r="184" spans="2:25" x14ac:dyDescent="0.25">
      <c r="B184" s="397">
        <v>23.51</v>
      </c>
      <c r="C184" s="397">
        <v>20.23</v>
      </c>
      <c r="M184" s="400">
        <f t="shared" si="8"/>
        <v>32.849999999999994</v>
      </c>
      <c r="N184" s="400">
        <f t="shared" si="9"/>
        <v>3</v>
      </c>
      <c r="X184" s="399">
        <f>'Seções '!J180</f>
        <v>32.849999999999994</v>
      </c>
      <c r="Y184" s="399">
        <f>'Seções '!K180</f>
        <v>3</v>
      </c>
    </row>
    <row r="185" spans="2:25" x14ac:dyDescent="0.25">
      <c r="B185" s="397">
        <v>23.51</v>
      </c>
      <c r="C185" s="397">
        <v>7.5</v>
      </c>
      <c r="M185" s="400">
        <f t="shared" si="8"/>
        <v>36</v>
      </c>
      <c r="N185" s="400">
        <f t="shared" si="9"/>
        <v>5.8</v>
      </c>
      <c r="X185" s="399">
        <f>'Seções '!J181</f>
        <v>36</v>
      </c>
      <c r="Y185" s="399">
        <f>'Seções '!K181</f>
        <v>5.8</v>
      </c>
    </row>
    <row r="186" spans="2:25" x14ac:dyDescent="0.25">
      <c r="B186" s="397">
        <v>27.51</v>
      </c>
      <c r="C186" s="397">
        <v>3.5</v>
      </c>
      <c r="M186" s="400">
        <f t="shared" si="8"/>
        <v>36</v>
      </c>
      <c r="N186" s="400">
        <f t="shared" si="9"/>
        <v>15.75</v>
      </c>
      <c r="X186" s="399">
        <f>'Seções '!J182</f>
        <v>36</v>
      </c>
      <c r="Y186" s="399">
        <f>'Seções '!K182</f>
        <v>10.75</v>
      </c>
    </row>
    <row r="187" spans="2:25" x14ac:dyDescent="0.25">
      <c r="B187" s="397">
        <v>29.76</v>
      </c>
      <c r="C187" s="397">
        <v>3.5</v>
      </c>
      <c r="M187" s="400">
        <f t="shared" ref="M187:M218" si="10">M155-16.25</f>
        <v>35.930000000000007</v>
      </c>
      <c r="N187" s="400">
        <v>16.66</v>
      </c>
      <c r="X187" s="399">
        <f>'Seções '!J183</f>
        <v>35.930000000000007</v>
      </c>
      <c r="Y187" s="399">
        <f>'Seções '!K183</f>
        <v>11.66</v>
      </c>
    </row>
    <row r="188" spans="2:25" x14ac:dyDescent="0.25">
      <c r="B188" s="397">
        <v>29.76</v>
      </c>
      <c r="C188" s="397">
        <v>0</v>
      </c>
      <c r="M188" s="400">
        <f t="shared" si="10"/>
        <v>35.67</v>
      </c>
      <c r="N188" s="400">
        <v>17.760000000000002</v>
      </c>
      <c r="X188" s="399">
        <f>'Seções '!J184</f>
        <v>35.67</v>
      </c>
      <c r="Y188" s="399">
        <f>'Seções '!K184</f>
        <v>12.760000000000002</v>
      </c>
    </row>
    <row r="189" spans="2:25" x14ac:dyDescent="0.25">
      <c r="B189" s="397">
        <v>13.61</v>
      </c>
      <c r="C189" s="397">
        <v>0</v>
      </c>
      <c r="M189" s="400">
        <f t="shared" si="10"/>
        <v>35.180000000000007</v>
      </c>
      <c r="N189" s="400">
        <v>18.84</v>
      </c>
      <c r="X189" s="399">
        <f>'Seções '!J185</f>
        <v>35.180000000000007</v>
      </c>
      <c r="Y189" s="399">
        <f>'Seções '!K185</f>
        <v>13.84</v>
      </c>
    </row>
    <row r="190" spans="2:25" x14ac:dyDescent="0.25">
      <c r="B190" s="397">
        <v>13.61</v>
      </c>
      <c r="C190" s="397">
        <v>3.5</v>
      </c>
      <c r="M190" s="400">
        <f t="shared" si="10"/>
        <v>34.620000000000005</v>
      </c>
      <c r="N190" s="400">
        <v>19.66</v>
      </c>
      <c r="X190" s="399">
        <f>'Seções '!J186</f>
        <v>34.620000000000005</v>
      </c>
      <c r="Y190" s="399">
        <f>'Seções '!K186</f>
        <v>14.66</v>
      </c>
    </row>
    <row r="191" spans="2:25" x14ac:dyDescent="0.25">
      <c r="B191" s="397">
        <v>15.76</v>
      </c>
      <c r="C191" s="397">
        <v>3.5</v>
      </c>
      <c r="M191" s="400">
        <f t="shared" si="10"/>
        <v>33.980000000000004</v>
      </c>
      <c r="N191" s="400">
        <v>20.350000000000001</v>
      </c>
      <c r="X191" s="399">
        <f>'Seções '!J187</f>
        <v>33.980000000000004</v>
      </c>
      <c r="Y191" s="399">
        <f>'Seções '!K187</f>
        <v>15.350000000000001</v>
      </c>
    </row>
    <row r="192" spans="2:25" x14ac:dyDescent="0.25">
      <c r="B192" s="397">
        <v>19.760000000000002</v>
      </c>
      <c r="C192" s="397">
        <v>7.5</v>
      </c>
      <c r="M192" s="400">
        <f t="shared" si="10"/>
        <v>33.299999999999997</v>
      </c>
      <c r="N192" s="400">
        <v>20.89</v>
      </c>
      <c r="X192" s="399">
        <f>'Seções '!J188</f>
        <v>33.299999999999997</v>
      </c>
      <c r="Y192" s="399">
        <f>'Seções '!K188</f>
        <v>15.89</v>
      </c>
    </row>
    <row r="193" spans="2:25" x14ac:dyDescent="0.25">
      <c r="B193" s="397">
        <v>19.760000000000002</v>
      </c>
      <c r="C193" s="397">
        <v>20.23</v>
      </c>
      <c r="M193" s="400">
        <f t="shared" si="10"/>
        <v>32.650000000000006</v>
      </c>
      <c r="N193" s="400">
        <v>21.29</v>
      </c>
      <c r="X193" s="399">
        <f>'Seções '!J189</f>
        <v>32.650000000000006</v>
      </c>
      <c r="Y193" s="399">
        <f>'Seções '!K189</f>
        <v>16.29</v>
      </c>
    </row>
    <row r="194" spans="2:25" x14ac:dyDescent="0.25">
      <c r="B194" s="397">
        <v>19.670000000000002</v>
      </c>
      <c r="C194" s="397">
        <v>21.28</v>
      </c>
      <c r="M194" s="400">
        <f t="shared" si="10"/>
        <v>31.930000000000007</v>
      </c>
      <c r="N194" s="400">
        <v>21.61</v>
      </c>
      <c r="X194" s="399">
        <f>'Seções '!J190</f>
        <v>31.930000000000007</v>
      </c>
      <c r="Y194" s="399">
        <f>'Seções '!K190</f>
        <v>16.61</v>
      </c>
    </row>
    <row r="195" spans="2:25" x14ac:dyDescent="0.25">
      <c r="B195" s="397">
        <v>19.420000000000002</v>
      </c>
      <c r="C195" s="397">
        <v>22.26</v>
      </c>
      <c r="M195" s="400">
        <f t="shared" si="10"/>
        <v>31.340000000000003</v>
      </c>
      <c r="N195" s="400">
        <v>21.79</v>
      </c>
      <c r="X195" s="399">
        <f>'Seções '!J191</f>
        <v>31.340000000000003</v>
      </c>
      <c r="Y195" s="399">
        <f>'Seções '!K191</f>
        <v>16.79</v>
      </c>
    </row>
    <row r="196" spans="2:25" x14ac:dyDescent="0.25">
      <c r="B196" s="397">
        <v>19</v>
      </c>
      <c r="C196" s="397">
        <v>23.21</v>
      </c>
      <c r="M196" s="400">
        <f t="shared" si="10"/>
        <v>30.72</v>
      </c>
      <c r="N196" s="400">
        <v>21.92</v>
      </c>
      <c r="X196" s="399">
        <f>'Seções '!J192</f>
        <v>30.72</v>
      </c>
      <c r="Y196" s="399">
        <f>'Seções '!K192</f>
        <v>16.920000000000002</v>
      </c>
    </row>
    <row r="197" spans="2:25" x14ac:dyDescent="0.25">
      <c r="B197" s="397">
        <v>18.440000000000001</v>
      </c>
      <c r="C197" s="397">
        <v>24.06</v>
      </c>
      <c r="M197" s="400">
        <f t="shared" si="10"/>
        <v>30.049999999999997</v>
      </c>
      <c r="N197" s="400">
        <v>21.99</v>
      </c>
      <c r="X197" s="399">
        <f>'Seções '!J193</f>
        <v>30.049999999999997</v>
      </c>
      <c r="Y197" s="399">
        <f>'Seções '!K193</f>
        <v>16.989999999999998</v>
      </c>
    </row>
    <row r="198" spans="2:25" x14ac:dyDescent="0.25">
      <c r="B198" s="397">
        <v>17.75</v>
      </c>
      <c r="C198" s="397">
        <v>24.82</v>
      </c>
      <c r="M198" s="400">
        <f t="shared" si="10"/>
        <v>29.450000000000003</v>
      </c>
      <c r="N198" s="400">
        <f>N197</f>
        <v>21.99</v>
      </c>
      <c r="X198" s="399">
        <f>'Seções '!J194</f>
        <v>29.450000000000003</v>
      </c>
      <c r="Y198" s="399">
        <f>'Seções '!K194</f>
        <v>16.989999999999998</v>
      </c>
    </row>
    <row r="199" spans="2:25" x14ac:dyDescent="0.25">
      <c r="B199" s="397">
        <v>16.920000000000002</v>
      </c>
      <c r="C199" s="397">
        <v>25.46</v>
      </c>
      <c r="M199" s="400">
        <f t="shared" si="10"/>
        <v>28.78</v>
      </c>
      <c r="N199" s="400">
        <v>21.92</v>
      </c>
      <c r="X199" s="399">
        <f>'Seções '!J195</f>
        <v>28.78</v>
      </c>
      <c r="Y199" s="399">
        <f>'Seções '!K195</f>
        <v>16.920000000000002</v>
      </c>
    </row>
    <row r="200" spans="2:25" x14ac:dyDescent="0.25">
      <c r="B200" s="397">
        <v>16</v>
      </c>
      <c r="C200" s="397">
        <v>25.96</v>
      </c>
      <c r="M200" s="400">
        <f t="shared" si="10"/>
        <v>28.159999999999997</v>
      </c>
      <c r="N200" s="400">
        <v>21.79</v>
      </c>
      <c r="X200" s="399">
        <f>'Seções '!J196</f>
        <v>28.159999999999997</v>
      </c>
      <c r="Y200" s="399">
        <f>'Seções '!K196</f>
        <v>16.79</v>
      </c>
    </row>
    <row r="201" spans="2:25" x14ac:dyDescent="0.25">
      <c r="B201" s="397">
        <v>15.05</v>
      </c>
      <c r="C201" s="397">
        <v>26.28</v>
      </c>
      <c r="M201" s="400">
        <f t="shared" si="10"/>
        <v>27.569999999999993</v>
      </c>
      <c r="N201" s="400">
        <v>21.61</v>
      </c>
      <c r="X201" s="399">
        <f>'Seções '!J197</f>
        <v>27.569999999999993</v>
      </c>
      <c r="Y201" s="399">
        <f>'Seções '!K197</f>
        <v>16.61</v>
      </c>
    </row>
    <row r="202" spans="2:25" x14ac:dyDescent="0.25">
      <c r="B202" s="397">
        <v>14.04</v>
      </c>
      <c r="C202" s="397">
        <v>26.45</v>
      </c>
      <c r="M202" s="400">
        <f t="shared" si="10"/>
        <v>26.849999999999994</v>
      </c>
      <c r="N202" s="400">
        <v>21.29</v>
      </c>
      <c r="X202" s="399">
        <f>'Seções '!J198</f>
        <v>26.849999999999994</v>
      </c>
      <c r="Y202" s="399">
        <f>'Seções '!K198</f>
        <v>16.29</v>
      </c>
    </row>
    <row r="203" spans="2:25" x14ac:dyDescent="0.25">
      <c r="B203" s="397">
        <v>12.97</v>
      </c>
      <c r="C203" s="397">
        <v>26.45</v>
      </c>
      <c r="M203" s="400">
        <f t="shared" si="10"/>
        <v>26.200000000000003</v>
      </c>
      <c r="N203" s="400">
        <v>20.89</v>
      </c>
      <c r="X203" s="399">
        <f>'Seções '!J199</f>
        <v>26.200000000000003</v>
      </c>
      <c r="Y203" s="399">
        <f>'Seções '!K199</f>
        <v>15.89</v>
      </c>
    </row>
    <row r="204" spans="2:25" x14ac:dyDescent="0.25">
      <c r="B204" s="397">
        <v>11.97</v>
      </c>
      <c r="C204" s="397">
        <v>26.28</v>
      </c>
      <c r="M204" s="400">
        <f t="shared" si="10"/>
        <v>25.519999999999996</v>
      </c>
      <c r="N204" s="400">
        <v>20.350000000000001</v>
      </c>
      <c r="X204" s="399">
        <f>'Seções '!J200</f>
        <v>25.519999999999996</v>
      </c>
      <c r="Y204" s="399">
        <f>'Seções '!K200</f>
        <v>15.350000000000001</v>
      </c>
    </row>
    <row r="205" spans="2:25" x14ac:dyDescent="0.25">
      <c r="B205" s="397">
        <v>11.01</v>
      </c>
      <c r="C205" s="397">
        <v>25.96</v>
      </c>
      <c r="M205" s="400">
        <f t="shared" si="10"/>
        <v>24.879999999999995</v>
      </c>
      <c r="N205" s="400">
        <v>19.66</v>
      </c>
      <c r="X205" s="399">
        <f>'Seções '!J201</f>
        <v>24.879999999999995</v>
      </c>
      <c r="Y205" s="399">
        <f>'Seções '!K201</f>
        <v>14.66</v>
      </c>
    </row>
    <row r="206" spans="2:25" x14ac:dyDescent="0.25">
      <c r="B206" s="397">
        <v>10.1</v>
      </c>
      <c r="C206" s="397">
        <v>25.46</v>
      </c>
      <c r="M206" s="400">
        <f t="shared" si="10"/>
        <v>24.319999999999993</v>
      </c>
      <c r="N206" s="400">
        <v>18.84</v>
      </c>
      <c r="X206" s="399">
        <f>'Seções '!J202</f>
        <v>24.319999999999993</v>
      </c>
      <c r="Y206" s="399">
        <f>'Seções '!K202</f>
        <v>13.84</v>
      </c>
    </row>
    <row r="207" spans="2:25" x14ac:dyDescent="0.25">
      <c r="B207" s="397">
        <v>9.27</v>
      </c>
      <c r="C207" s="397">
        <v>24.82</v>
      </c>
      <c r="M207" s="400">
        <f t="shared" si="10"/>
        <v>23.83</v>
      </c>
      <c r="N207" s="400">
        <v>17.760000000000002</v>
      </c>
      <c r="X207" s="399">
        <f>'Seções '!J203</f>
        <v>23.83</v>
      </c>
      <c r="Y207" s="399">
        <f>'Seções '!K203</f>
        <v>12.760000000000002</v>
      </c>
    </row>
    <row r="208" spans="2:25" x14ac:dyDescent="0.25">
      <c r="B208" s="397">
        <v>8.57</v>
      </c>
      <c r="C208" s="397">
        <v>24.06</v>
      </c>
      <c r="M208" s="400">
        <f t="shared" si="10"/>
        <v>23.569999999999993</v>
      </c>
      <c r="N208" s="400">
        <v>16.66</v>
      </c>
      <c r="X208" s="399">
        <f>'Seções '!J204</f>
        <v>23.569999999999993</v>
      </c>
      <c r="Y208" s="399">
        <f>'Seções '!K204</f>
        <v>11.66</v>
      </c>
    </row>
    <row r="209" spans="2:25" x14ac:dyDescent="0.25">
      <c r="B209" s="397">
        <v>8.01</v>
      </c>
      <c r="C209" s="397">
        <v>23.21</v>
      </c>
      <c r="M209" s="400">
        <f t="shared" si="10"/>
        <v>23.5</v>
      </c>
      <c r="N209" s="400">
        <f t="shared" ref="N209:N218" si="11">N177</f>
        <v>15.75</v>
      </c>
      <c r="X209" s="399">
        <f>'Seções '!J205</f>
        <v>23.5</v>
      </c>
      <c r="Y209" s="399">
        <f>'Seções '!K205</f>
        <v>10.75</v>
      </c>
    </row>
    <row r="210" spans="2:25" x14ac:dyDescent="0.25">
      <c r="B210" s="397">
        <v>7.6</v>
      </c>
      <c r="C210" s="397">
        <v>22.26</v>
      </c>
      <c r="M210" s="400">
        <f t="shared" si="10"/>
        <v>23.5</v>
      </c>
      <c r="N210" s="400">
        <f t="shared" si="11"/>
        <v>5.8</v>
      </c>
      <c r="X210" s="399">
        <f>'Seções '!J206</f>
        <v>23.5</v>
      </c>
      <c r="Y210" s="399">
        <f>'Seções '!K206</f>
        <v>5.8</v>
      </c>
    </row>
    <row r="211" spans="2:25" x14ac:dyDescent="0.25">
      <c r="B211" s="397">
        <v>7.35</v>
      </c>
      <c r="C211" s="397">
        <v>21.28</v>
      </c>
      <c r="M211" s="400">
        <f t="shared" si="10"/>
        <v>26.650000000000006</v>
      </c>
      <c r="N211" s="400">
        <f t="shared" si="11"/>
        <v>3</v>
      </c>
      <c r="X211" s="399">
        <f>'Seções '!J207</f>
        <v>26.650000000000006</v>
      </c>
      <c r="Y211" s="399">
        <f>'Seções '!K207</f>
        <v>3</v>
      </c>
    </row>
    <row r="212" spans="2:25" x14ac:dyDescent="0.25">
      <c r="B212" s="397">
        <v>7.26</v>
      </c>
      <c r="C212" s="397">
        <v>20.23</v>
      </c>
      <c r="M212" s="400">
        <f t="shared" si="10"/>
        <v>29.75</v>
      </c>
      <c r="N212" s="400">
        <f t="shared" si="11"/>
        <v>3</v>
      </c>
      <c r="X212" s="399">
        <f>'Seções '!J208</f>
        <v>29.75</v>
      </c>
      <c r="Y212" s="399">
        <f>'Seções '!K208</f>
        <v>3</v>
      </c>
    </row>
    <row r="213" spans="2:25" x14ac:dyDescent="0.25">
      <c r="B213" s="397">
        <v>7.26</v>
      </c>
      <c r="C213" s="397">
        <v>7.5</v>
      </c>
      <c r="M213" s="400">
        <f t="shared" si="10"/>
        <v>29.75</v>
      </c>
      <c r="N213" s="400">
        <f t="shared" si="11"/>
        <v>0</v>
      </c>
      <c r="X213" s="399">
        <f>'Seções '!J209</f>
        <v>29.75</v>
      </c>
      <c r="Y213" s="399">
        <f>'Seções '!K209</f>
        <v>0</v>
      </c>
    </row>
    <row r="214" spans="2:25" x14ac:dyDescent="0.25">
      <c r="B214" s="397">
        <v>11.26</v>
      </c>
      <c r="C214" s="397">
        <v>3.5</v>
      </c>
      <c r="M214" s="400">
        <f t="shared" si="10"/>
        <v>13.549999999999997</v>
      </c>
      <c r="N214" s="400">
        <f t="shared" si="11"/>
        <v>0</v>
      </c>
      <c r="X214" s="399">
        <f>'Seções '!J210</f>
        <v>13.549999999999997</v>
      </c>
      <c r="Y214" s="399">
        <f>'Seções '!K210</f>
        <v>0</v>
      </c>
    </row>
    <row r="215" spans="2:25" x14ac:dyDescent="0.25">
      <c r="B215" s="397">
        <v>13.51</v>
      </c>
      <c r="C215" s="397">
        <v>3.5</v>
      </c>
      <c r="M215" s="400">
        <f t="shared" si="10"/>
        <v>13.549999999999997</v>
      </c>
      <c r="N215" s="400">
        <f t="shared" si="11"/>
        <v>3</v>
      </c>
      <c r="X215" s="399">
        <f>'Seções '!J211</f>
        <v>13.549999999999997</v>
      </c>
      <c r="Y215" s="399">
        <f>'Seções '!K211</f>
        <v>3</v>
      </c>
    </row>
    <row r="216" spans="2:25" x14ac:dyDescent="0.25">
      <c r="B216" s="397">
        <v>13.51</v>
      </c>
      <c r="C216" s="397">
        <v>0</v>
      </c>
      <c r="M216" s="400">
        <f t="shared" si="10"/>
        <v>16.599999999999994</v>
      </c>
      <c r="N216" s="400">
        <f t="shared" si="11"/>
        <v>3</v>
      </c>
      <c r="X216" s="399">
        <f>'Seções '!J212</f>
        <v>16.599999999999994</v>
      </c>
      <c r="Y216" s="399">
        <f>'Seções '!K212</f>
        <v>3</v>
      </c>
    </row>
    <row r="217" spans="2:25" x14ac:dyDescent="0.25">
      <c r="B217" s="397">
        <v>0.89</v>
      </c>
      <c r="C217" s="397">
        <v>0</v>
      </c>
      <c r="M217" s="400">
        <f t="shared" si="10"/>
        <v>19.75</v>
      </c>
      <c r="N217" s="400">
        <f t="shared" si="11"/>
        <v>5.8</v>
      </c>
      <c r="X217" s="399">
        <f>'Seções '!J213</f>
        <v>19.75</v>
      </c>
      <c r="Y217" s="399">
        <f>'Seções '!K213</f>
        <v>5.8</v>
      </c>
    </row>
    <row r="218" spans="2:25" x14ac:dyDescent="0.25">
      <c r="M218" s="400">
        <f t="shared" si="10"/>
        <v>19.75</v>
      </c>
      <c r="N218" s="400">
        <f t="shared" si="11"/>
        <v>15.75</v>
      </c>
      <c r="X218" s="399">
        <f>'Seções '!J214</f>
        <v>19.75</v>
      </c>
      <c r="Y218" s="399">
        <f>'Seções '!K214</f>
        <v>10.75</v>
      </c>
    </row>
    <row r="219" spans="2:25" x14ac:dyDescent="0.25">
      <c r="M219" s="400">
        <f t="shared" ref="M219:M240" si="12">M187-16.25</f>
        <v>19.680000000000007</v>
      </c>
      <c r="N219" s="400">
        <v>16.66</v>
      </c>
      <c r="X219" s="399">
        <f>'Seções '!J215</f>
        <v>19.680000000000007</v>
      </c>
      <c r="Y219" s="399">
        <f>'Seções '!K215</f>
        <v>11.66</v>
      </c>
    </row>
    <row r="220" spans="2:25" x14ac:dyDescent="0.25">
      <c r="M220" s="400">
        <f t="shared" si="12"/>
        <v>19.420000000000002</v>
      </c>
      <c r="N220" s="400">
        <v>17.760000000000002</v>
      </c>
      <c r="X220" s="399">
        <f>'Seções '!J216</f>
        <v>19.420000000000002</v>
      </c>
      <c r="Y220" s="399">
        <f>'Seções '!K216</f>
        <v>12.760000000000002</v>
      </c>
    </row>
    <row r="221" spans="2:25" x14ac:dyDescent="0.25">
      <c r="M221" s="400">
        <f t="shared" si="12"/>
        <v>18.930000000000007</v>
      </c>
      <c r="N221" s="400">
        <v>18.84</v>
      </c>
      <c r="X221" s="399">
        <f>'Seções '!J217</f>
        <v>18.930000000000007</v>
      </c>
      <c r="Y221" s="399">
        <f>'Seções '!K217</f>
        <v>13.84</v>
      </c>
    </row>
    <row r="222" spans="2:25" x14ac:dyDescent="0.25">
      <c r="M222" s="400">
        <f t="shared" si="12"/>
        <v>18.370000000000005</v>
      </c>
      <c r="N222" s="400">
        <v>19.66</v>
      </c>
      <c r="X222" s="399">
        <f>'Seções '!J218</f>
        <v>18.370000000000005</v>
      </c>
      <c r="Y222" s="399">
        <f>'Seções '!K218</f>
        <v>14.66</v>
      </c>
    </row>
    <row r="223" spans="2:25" x14ac:dyDescent="0.25">
      <c r="M223" s="400">
        <f t="shared" si="12"/>
        <v>17.730000000000004</v>
      </c>
      <c r="N223" s="400">
        <v>20.350000000000001</v>
      </c>
      <c r="X223" s="399">
        <f>'Seções '!J219</f>
        <v>17.730000000000004</v>
      </c>
      <c r="Y223" s="399">
        <f>'Seções '!K219</f>
        <v>15.350000000000001</v>
      </c>
    </row>
    <row r="224" spans="2:25" x14ac:dyDescent="0.25">
      <c r="M224" s="400">
        <f t="shared" si="12"/>
        <v>17.049999999999997</v>
      </c>
      <c r="N224" s="400">
        <v>20.89</v>
      </c>
      <c r="X224" s="399">
        <f>'Seções '!J220</f>
        <v>17.049999999999997</v>
      </c>
      <c r="Y224" s="399">
        <f>'Seções '!K220</f>
        <v>15.89</v>
      </c>
    </row>
    <row r="225" spans="13:25" x14ac:dyDescent="0.25">
      <c r="M225" s="400">
        <f t="shared" si="12"/>
        <v>16.400000000000006</v>
      </c>
      <c r="N225" s="400">
        <v>21.29</v>
      </c>
      <c r="X225" s="399">
        <f>'Seções '!J221</f>
        <v>16.400000000000006</v>
      </c>
      <c r="Y225" s="399">
        <f>'Seções '!K221</f>
        <v>16.29</v>
      </c>
    </row>
    <row r="226" spans="13:25" x14ac:dyDescent="0.25">
      <c r="M226" s="400">
        <f t="shared" si="12"/>
        <v>15.680000000000007</v>
      </c>
      <c r="N226" s="400">
        <v>21.61</v>
      </c>
      <c r="X226" s="399">
        <f>'Seções '!J222</f>
        <v>15.680000000000007</v>
      </c>
      <c r="Y226" s="399">
        <f>'Seções '!K222</f>
        <v>16.61</v>
      </c>
    </row>
    <row r="227" spans="13:25" x14ac:dyDescent="0.25">
      <c r="M227" s="400">
        <f t="shared" si="12"/>
        <v>15.090000000000003</v>
      </c>
      <c r="N227" s="400">
        <v>21.79</v>
      </c>
      <c r="X227" s="399">
        <f>'Seções '!J223</f>
        <v>15.090000000000003</v>
      </c>
      <c r="Y227" s="399">
        <f>'Seções '!K223</f>
        <v>16.79</v>
      </c>
    </row>
    <row r="228" spans="13:25" x14ac:dyDescent="0.25">
      <c r="M228" s="400">
        <f t="shared" si="12"/>
        <v>14.469999999999999</v>
      </c>
      <c r="N228" s="400">
        <v>21.92</v>
      </c>
      <c r="X228" s="399">
        <f>'Seções '!J224</f>
        <v>14.469999999999999</v>
      </c>
      <c r="Y228" s="399">
        <f>'Seções '!K224</f>
        <v>16.920000000000002</v>
      </c>
    </row>
    <row r="229" spans="13:25" x14ac:dyDescent="0.25">
      <c r="M229" s="400">
        <f t="shared" si="12"/>
        <v>13.799999999999997</v>
      </c>
      <c r="N229" s="400">
        <v>21.99</v>
      </c>
      <c r="X229" s="399">
        <f>'Seções '!J225</f>
        <v>13.799999999999997</v>
      </c>
      <c r="Y229" s="399">
        <f>'Seções '!K225</f>
        <v>16.989999999999998</v>
      </c>
    </row>
    <row r="230" spans="13:25" x14ac:dyDescent="0.25">
      <c r="M230" s="400">
        <f t="shared" si="12"/>
        <v>13.200000000000003</v>
      </c>
      <c r="N230" s="400">
        <f>N229</f>
        <v>21.99</v>
      </c>
      <c r="X230" s="399">
        <f>'Seções '!J226</f>
        <v>13.200000000000003</v>
      </c>
      <c r="Y230" s="399">
        <f>'Seções '!K226</f>
        <v>16.989999999999998</v>
      </c>
    </row>
    <row r="231" spans="13:25" x14ac:dyDescent="0.25">
      <c r="M231" s="400">
        <f t="shared" si="12"/>
        <v>12.530000000000001</v>
      </c>
      <c r="N231" s="400">
        <v>21.92</v>
      </c>
      <c r="X231" s="399">
        <f>'Seções '!J227</f>
        <v>12.530000000000001</v>
      </c>
      <c r="Y231" s="399">
        <f>'Seções '!K227</f>
        <v>16.920000000000002</v>
      </c>
    </row>
    <row r="232" spans="13:25" x14ac:dyDescent="0.25">
      <c r="M232" s="400">
        <f t="shared" si="12"/>
        <v>11.909999999999997</v>
      </c>
      <c r="N232" s="400">
        <v>21.79</v>
      </c>
      <c r="X232" s="399">
        <f>'Seções '!J228</f>
        <v>11.909999999999997</v>
      </c>
      <c r="Y232" s="399">
        <f>'Seções '!K228</f>
        <v>16.79</v>
      </c>
    </row>
    <row r="233" spans="13:25" x14ac:dyDescent="0.25">
      <c r="M233" s="400">
        <f t="shared" si="12"/>
        <v>11.319999999999993</v>
      </c>
      <c r="N233" s="400">
        <v>21.61</v>
      </c>
      <c r="X233" s="399">
        <f>'Seções '!J229</f>
        <v>11.319999999999993</v>
      </c>
      <c r="Y233" s="399">
        <f>'Seções '!K229</f>
        <v>16.61</v>
      </c>
    </row>
    <row r="234" spans="13:25" x14ac:dyDescent="0.25">
      <c r="M234" s="400">
        <f t="shared" si="12"/>
        <v>10.599999999999994</v>
      </c>
      <c r="N234" s="400">
        <v>21.29</v>
      </c>
      <c r="X234" s="399">
        <f>'Seções '!J230</f>
        <v>10.599999999999994</v>
      </c>
      <c r="Y234" s="399">
        <f>'Seções '!K230</f>
        <v>16.29</v>
      </c>
    </row>
    <row r="235" spans="13:25" x14ac:dyDescent="0.25">
      <c r="M235" s="400">
        <f t="shared" si="12"/>
        <v>9.9500000000000028</v>
      </c>
      <c r="N235" s="400">
        <v>20.89</v>
      </c>
      <c r="X235" s="399">
        <f>'Seções '!J231</f>
        <v>9.9500000000000028</v>
      </c>
      <c r="Y235" s="399">
        <f>'Seções '!K231</f>
        <v>15.89</v>
      </c>
    </row>
    <row r="236" spans="13:25" x14ac:dyDescent="0.25">
      <c r="M236" s="400">
        <f t="shared" si="12"/>
        <v>9.269999999999996</v>
      </c>
      <c r="N236" s="400">
        <v>20.350000000000001</v>
      </c>
      <c r="X236" s="399">
        <f>'Seções '!J232</f>
        <v>9.269999999999996</v>
      </c>
      <c r="Y236" s="399">
        <f>'Seções '!K232</f>
        <v>15.350000000000001</v>
      </c>
    </row>
    <row r="237" spans="13:25" x14ac:dyDescent="0.25">
      <c r="M237" s="400">
        <f t="shared" si="12"/>
        <v>8.6299999999999955</v>
      </c>
      <c r="N237" s="400">
        <v>19.66</v>
      </c>
      <c r="X237" s="399">
        <f>'Seções '!J233</f>
        <v>8.6299999999999955</v>
      </c>
      <c r="Y237" s="399">
        <f>'Seções '!K233</f>
        <v>14.66</v>
      </c>
    </row>
    <row r="238" spans="13:25" x14ac:dyDescent="0.25">
      <c r="M238" s="400">
        <f t="shared" si="12"/>
        <v>8.0699999999999932</v>
      </c>
      <c r="N238" s="400">
        <v>18.84</v>
      </c>
      <c r="X238" s="399">
        <f>'Seções '!J234</f>
        <v>8.0699999999999932</v>
      </c>
      <c r="Y238" s="399">
        <f>'Seções '!K234</f>
        <v>13.84</v>
      </c>
    </row>
    <row r="239" spans="13:25" x14ac:dyDescent="0.25">
      <c r="M239" s="400">
        <f t="shared" si="12"/>
        <v>7.5799999999999983</v>
      </c>
      <c r="N239" s="400">
        <v>17.760000000000002</v>
      </c>
      <c r="X239" s="399">
        <f>'Seções '!J235</f>
        <v>7.5799999999999983</v>
      </c>
      <c r="Y239" s="399">
        <f>'Seções '!K235</f>
        <v>12.760000000000002</v>
      </c>
    </row>
    <row r="240" spans="13:25" x14ac:dyDescent="0.25">
      <c r="M240" s="400">
        <f t="shared" si="12"/>
        <v>7.3199999999999932</v>
      </c>
      <c r="N240" s="400">
        <v>16.66</v>
      </c>
      <c r="X240" s="399">
        <f>'Seções '!J236</f>
        <v>7.3199999999999932</v>
      </c>
      <c r="Y240" s="399">
        <f>'Seções '!K236</f>
        <v>11.66</v>
      </c>
    </row>
    <row r="241" spans="13:25" x14ac:dyDescent="0.25">
      <c r="M241" s="400">
        <v>7.25</v>
      </c>
      <c r="N241" s="400">
        <f>N209</f>
        <v>15.75</v>
      </c>
      <c r="X241" s="399">
        <f>'Seções '!J237</f>
        <v>7.25</v>
      </c>
      <c r="Y241" s="399">
        <f>'Seções '!K237</f>
        <v>10.75</v>
      </c>
    </row>
    <row r="242" spans="13:25" x14ac:dyDescent="0.25">
      <c r="M242" s="400">
        <f>M241</f>
        <v>7.25</v>
      </c>
      <c r="N242" s="400">
        <f>N25</f>
        <v>5.8</v>
      </c>
      <c r="X242" s="399">
        <f>'Seções '!J238</f>
        <v>7.25</v>
      </c>
      <c r="Y242" s="399">
        <f>'Seções '!K238</f>
        <v>5.8</v>
      </c>
    </row>
    <row r="243" spans="13:25" x14ac:dyDescent="0.25">
      <c r="M243" s="400">
        <v>10.4</v>
      </c>
      <c r="N243" s="400">
        <v>3</v>
      </c>
      <c r="X243" s="399">
        <f>'Seções '!J239</f>
        <v>10.4</v>
      </c>
      <c r="Y243" s="399">
        <f>'Seções '!K239</f>
        <v>3</v>
      </c>
    </row>
    <row r="244" spans="13:25" x14ac:dyDescent="0.25">
      <c r="M244" s="400">
        <v>13.5</v>
      </c>
      <c r="N244" s="400">
        <f>N243</f>
        <v>3</v>
      </c>
      <c r="X244" s="399">
        <f>'Seções '!J240</f>
        <v>13.5</v>
      </c>
      <c r="Y244" s="399">
        <f>'Seções '!K240</f>
        <v>3</v>
      </c>
    </row>
    <row r="245" spans="13:25" x14ac:dyDescent="0.25">
      <c r="M245" s="400">
        <f>M244</f>
        <v>13.5</v>
      </c>
      <c r="N245" s="400">
        <v>0</v>
      </c>
      <c r="X245" s="399">
        <f>'Seções '!J241</f>
        <v>13.5</v>
      </c>
      <c r="Y245" s="399">
        <f>'Seções '!K241</f>
        <v>0</v>
      </c>
    </row>
    <row r="246" spans="13:25" x14ac:dyDescent="0.25">
      <c r="M246" s="400">
        <f>M4</f>
        <v>0.95</v>
      </c>
      <c r="N246" s="400">
        <v>0</v>
      </c>
      <c r="X246" s="399">
        <f>'Seções '!J242</f>
        <v>0.95</v>
      </c>
      <c r="Y246" s="399">
        <f>'Seções '!K242</f>
        <v>0</v>
      </c>
    </row>
  </sheetData>
  <mergeCells count="3">
    <mergeCell ref="D10:D13"/>
    <mergeCell ref="O11:O14"/>
    <mergeCell ref="Z11:Z14"/>
  </mergeCells>
  <dataValidations disablePrompts="1" count="1">
    <dataValidation type="whole" operator="equal" allowBlank="1" showInputMessage="1" showErrorMessage="1" sqref="B3:C3 F3:G3 Q3:R3" xr:uid="{B9726D13-702C-406B-AAC2-B134D84B7097}">
      <formula1>0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4938-B1B1-49E7-B9A3-2077FED4BA03}">
  <dimension ref="A1:X258"/>
  <sheetViews>
    <sheetView zoomScale="85" zoomScaleNormal="85" workbookViewId="0">
      <selection activeCell="L36" sqref="L36"/>
    </sheetView>
  </sheetViews>
  <sheetFormatPr defaultRowHeight="15" x14ac:dyDescent="0.25"/>
  <cols>
    <col min="6" max="6" width="11.7109375" customWidth="1"/>
    <col min="13" max="13" width="15.85546875" customWidth="1"/>
    <col min="17" max="17" width="17.28515625" bestFit="1" customWidth="1"/>
  </cols>
  <sheetData>
    <row r="1" spans="1:24" ht="15.75" x14ac:dyDescent="0.25">
      <c r="A1" s="49"/>
      <c r="B1" s="49" t="s">
        <v>369</v>
      </c>
      <c r="C1" s="50"/>
      <c r="D1" s="50"/>
      <c r="E1" s="50"/>
      <c r="F1" s="50"/>
      <c r="G1" s="50"/>
      <c r="H1" s="50"/>
      <c r="I1" s="51"/>
      <c r="J1" s="50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x14ac:dyDescent="0.25">
      <c r="A2" s="53" t="s">
        <v>370</v>
      </c>
      <c r="B2" s="54" t="s">
        <v>80</v>
      </c>
      <c r="C2" s="52"/>
      <c r="D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4" ht="15.75" thickBot="1" x14ac:dyDescent="0.3">
      <c r="A3" s="52"/>
      <c r="B3" s="52"/>
      <c r="C3" s="52">
        <f>Geometria!H23</f>
        <v>25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15.75" thickBot="1" x14ac:dyDescent="0.3">
      <c r="A4" s="55" t="s">
        <v>371</v>
      </c>
      <c r="B4" s="56"/>
      <c r="C4" s="57"/>
      <c r="D4" s="52"/>
      <c r="E4" s="902" t="s">
        <v>372</v>
      </c>
      <c r="F4" s="903"/>
      <c r="G4" s="903"/>
      <c r="H4" s="903"/>
      <c r="I4" s="903"/>
      <c r="J4" s="904"/>
      <c r="K4" s="58"/>
      <c r="L4" s="905" t="s">
        <v>373</v>
      </c>
      <c r="M4" s="906"/>
      <c r="N4" s="907"/>
      <c r="O4" s="58"/>
      <c r="P4" s="58"/>
      <c r="Q4" s="59" t="s">
        <v>374</v>
      </c>
      <c r="R4" s="59"/>
      <c r="S4" s="59"/>
      <c r="T4" s="59"/>
      <c r="U4" s="59"/>
      <c r="V4" s="59" t="s">
        <v>375</v>
      </c>
      <c r="W4" s="59">
        <f ca="1">MAX(X)-MIN(X)</f>
        <v>124.5</v>
      </c>
      <c r="X4" s="52"/>
    </row>
    <row r="5" spans="1:24" x14ac:dyDescent="0.25">
      <c r="A5" s="60"/>
      <c r="B5" s="61" t="s">
        <v>183</v>
      </c>
      <c r="C5" s="61" t="s">
        <v>398</v>
      </c>
      <c r="D5" s="52"/>
      <c r="E5" s="62" t="s">
        <v>378</v>
      </c>
      <c r="F5" s="63">
        <f ca="1">IF(F11=0,0,IF(F9-F10=0,45,DEGREES(1/2*ATAN(-2*F11/(F9-F10)))))</f>
        <v>8.9699352941120089E-6</v>
      </c>
      <c r="G5" s="64" t="s">
        <v>379</v>
      </c>
      <c r="H5" s="65" t="s">
        <v>380</v>
      </c>
      <c r="I5" s="52">
        <f ca="1">MAX(X)-MIN(X)</f>
        <v>124.5</v>
      </c>
      <c r="J5" s="66" t="str">
        <f>$B$2</f>
        <v>cm</v>
      </c>
      <c r="K5" s="67" t="s">
        <v>381</v>
      </c>
      <c r="L5" s="68" t="s">
        <v>3</v>
      </c>
      <c r="M5" s="69">
        <f ca="1">I6</f>
        <v>25</v>
      </c>
      <c r="N5" s="70" t="str">
        <f>B2</f>
        <v>cm</v>
      </c>
      <c r="O5" s="67"/>
      <c r="P5" s="67"/>
      <c r="Q5" s="71" cm="1">
        <f t="array" aca="1" ref="Q5" ca="1">SUM((OFFSET(X,1,0)-X)*(Y+OFFSET(Y,1,0))/24*((OFFSET(Y,1,0)+Y)^2+(OFFSET(Y,1,0)-Y)^2))</f>
        <v>365684.78697667649</v>
      </c>
      <c r="R5" s="59" t="str">
        <f>$B$2&amp;"^4"</f>
        <v>cm^4</v>
      </c>
      <c r="S5" s="59" t="s">
        <v>382</v>
      </c>
      <c r="T5" s="72">
        <f ca="1">+(F9+F10)/2-SQRT((F9-F10)^2/4+F11^2)</f>
        <v>120206.60760602937</v>
      </c>
      <c r="U5" s="59" t="str">
        <f>$B$2&amp;"^4"</f>
        <v>cm^4</v>
      </c>
      <c r="V5" s="59" t="s">
        <v>383</v>
      </c>
      <c r="W5" s="59">
        <f ca="1">MAX(Y)-MIN(Y)</f>
        <v>25</v>
      </c>
      <c r="X5" s="52"/>
    </row>
    <row r="6" spans="1:24" x14ac:dyDescent="0.25">
      <c r="A6" s="73">
        <v>1</v>
      </c>
      <c r="B6" s="74">
        <v>0</v>
      </c>
      <c r="C6" s="74">
        <v>0</v>
      </c>
      <c r="D6" s="52"/>
      <c r="E6" s="65" t="s">
        <v>384</v>
      </c>
      <c r="F6" s="75">
        <f t="array" aca="1" ref="F6" ca="1">SUM((Y-OFFSET(Y,1,0))*(X+OFFSET(X,1,0)))/2</f>
        <v>1513.0702000000008</v>
      </c>
      <c r="G6" s="64" t="str">
        <f>$B$2 &amp; "^2"</f>
        <v>cm^2</v>
      </c>
      <c r="H6" s="65" t="s">
        <v>385</v>
      </c>
      <c r="I6" s="52">
        <f ca="1">MAX(Y)-MIN(Y)</f>
        <v>25</v>
      </c>
      <c r="J6" s="66" t="str">
        <f>$B$2</f>
        <v>cm</v>
      </c>
      <c r="K6" s="67" t="s">
        <v>386</v>
      </c>
      <c r="L6" s="76" t="s">
        <v>109</v>
      </c>
      <c r="M6" s="77">
        <f ca="1">ABS(F6)</f>
        <v>1513.0702000000008</v>
      </c>
      <c r="N6" s="78" t="str">
        <f>CONCATENATE(B2,"²")</f>
        <v>cm²</v>
      </c>
      <c r="O6" s="67"/>
      <c r="P6" s="67"/>
      <c r="Q6" s="71">
        <f t="array" aca="1" ref="Q6" ca="1">-SUM((OFFSET(Y,1,0)-Y)*(X+OFFSET(X,1,0))/24*((OFFSET(X,1,0)+X)^2+(OFFSET(X,1,0)-X)^2))</f>
        <v>7867632.2018001974</v>
      </c>
      <c r="R6" s="59" t="str">
        <f>B2&amp;"^4"</f>
        <v>cm^4</v>
      </c>
      <c r="S6" s="59" t="s">
        <v>387</v>
      </c>
      <c r="T6" s="72">
        <f ca="1">+(F9+F10)/2+SQRT((F9-F10)^2/4+F11^2)</f>
        <v>2004393.8780372932</v>
      </c>
      <c r="U6" s="59" t="str">
        <f>$B$2&amp;"^4"</f>
        <v>cm^4</v>
      </c>
      <c r="V6" s="59" t="s">
        <v>388</v>
      </c>
      <c r="W6" s="59"/>
      <c r="X6" s="52"/>
    </row>
    <row r="7" spans="1:24" x14ac:dyDescent="0.25">
      <c r="A7" s="73">
        <f t="shared" ref="A7:A40" si="0">1+A6</f>
        <v>2</v>
      </c>
      <c r="B7" s="79">
        <f>IF($C$3=20,'Seções '!J4,IF('Propriedades geométricas VI'!$C$3=25,'Seções '!F4,IF('Propriedades geométricas VI'!$C$3=30,'Seções '!B4)))</f>
        <v>0.95</v>
      </c>
      <c r="C7" s="79">
        <f>IF($C$3=20,'Seções '!K4,IF('Propriedades geométricas VI'!$C$3=25,'Seções '!G4,IF('Propriedades geométricas VI'!$C$3=30,'Seções '!C4)))</f>
        <v>0</v>
      </c>
      <c r="D7" s="52"/>
      <c r="E7" s="65" t="s">
        <v>389</v>
      </c>
      <c r="F7" s="80">
        <f t="array" aca="1" ref="F7" ca="1">SUM((Y-OFFSET(Y,1,0))/8*((X+OFFSET(X,1,0))^2+(OFFSET(X,1,0)-X)^2/3))/$F$6</f>
        <v>62.249982651168423</v>
      </c>
      <c r="G7" s="64" t="str">
        <f>B2</f>
        <v>cm</v>
      </c>
      <c r="H7" s="65" t="s">
        <v>390</v>
      </c>
      <c r="I7" s="81">
        <f ca="1">F9/ABS(MAX(Y)-$F$8)</f>
        <v>9802.6105583259741</v>
      </c>
      <c r="J7" s="64" t="str">
        <f>$B$2&amp;"^3"</f>
        <v>cm^3</v>
      </c>
      <c r="K7" s="67" t="s">
        <v>391</v>
      </c>
      <c r="L7" s="82" t="s">
        <v>392</v>
      </c>
      <c r="M7" s="83">
        <f ca="1">F8</f>
        <v>12.737286216682715</v>
      </c>
      <c r="N7" s="84" t="str">
        <f>B2</f>
        <v>cm</v>
      </c>
      <c r="O7" s="67"/>
      <c r="P7" s="67"/>
      <c r="Q7" s="71">
        <f t="array" aca="1" ref="Q7" ca="1">SUM(((OFFSET(Y,1,0)-Y)^2*(OFFSET(X,1,0)+X)*(OFFSET(X,1,0)^2+X^2)/8+(OFFSET(Y,1,0)-Y)*(OFFSET(X,1,0)*Y-X*OFFSET(Y,1,0))*(OFFSET(X,1,0)^2+OFFSET(X,1,0)*X+X^2)/3+(OFFSET(X,1,0)*Y-X*OFFSET(Y,1,0))^2*(OFFSET(X,1,0)+X)/4)*IF(OFFSET(X,1,0)=X,0,1/(OFFSET(X,1,0)-X)))</f>
        <v>1199707.3712824965</v>
      </c>
      <c r="R7" s="59" t="str">
        <f>B2&amp;"^4"</f>
        <v>cm^4</v>
      </c>
      <c r="S7" s="59" t="s">
        <v>393</v>
      </c>
      <c r="T7" s="59"/>
      <c r="U7" s="59"/>
      <c r="V7" s="59" t="s">
        <v>394</v>
      </c>
      <c r="W7" s="59"/>
      <c r="X7" s="52"/>
    </row>
    <row r="8" spans="1:24" x14ac:dyDescent="0.25">
      <c r="A8" s="73">
        <f t="shared" si="0"/>
        <v>3</v>
      </c>
      <c r="B8" s="79">
        <f>IF($C$3=20,'Seções '!J5,IF('Propriedades geométricas VI'!$C$3=25,'Seções '!F5,IF('Propriedades geométricas VI'!$C$3=30,'Seções '!B5)))</f>
        <v>0.19</v>
      </c>
      <c r="C8" s="79">
        <f>IF($C$3=20,'Seções '!K5,IF('Propriedades geométricas VI'!$C$3=25,'Seções '!G5,IF('Propriedades geométricas VI'!$C$3=30,'Seções '!C5)))</f>
        <v>0.76</v>
      </c>
      <c r="D8" s="52"/>
      <c r="E8" s="65" t="s">
        <v>395</v>
      </c>
      <c r="F8" s="80">
        <f t="array" aca="1" ref="F8" ca="1">SUM((OFFSET(X,1,0)-X)/8*((Y+OFFSET(Y,1,0))^2+(OFFSET(Y,1,0)-Y)^2/3))/$F$6</f>
        <v>12.737286216682715</v>
      </c>
      <c r="G8" s="64" t="str">
        <f>B2</f>
        <v>cm</v>
      </c>
      <c r="H8" s="65" t="s">
        <v>396</v>
      </c>
      <c r="I8" s="81">
        <f ca="1">F9/ABS(MIN(Y)-$F$8)</f>
        <v>9437.379796697538</v>
      </c>
      <c r="J8" s="64" t="str">
        <f>$B$2&amp;"^3"</f>
        <v>cm^3</v>
      </c>
      <c r="K8" s="58"/>
      <c r="L8" s="85" t="s">
        <v>397</v>
      </c>
      <c r="M8" s="83">
        <f ca="1">I6-M7</f>
        <v>12.262713783317285</v>
      </c>
      <c r="N8" s="84" t="str">
        <f>B2</f>
        <v>cm</v>
      </c>
      <c r="O8" s="58"/>
      <c r="P8" s="58"/>
      <c r="Q8" s="59"/>
      <c r="R8" s="59"/>
      <c r="S8" s="86" t="s">
        <v>183</v>
      </c>
      <c r="T8" s="86" t="s">
        <v>398</v>
      </c>
      <c r="U8" s="59"/>
      <c r="V8" s="86" t="s">
        <v>183</v>
      </c>
      <c r="W8" s="86" t="s">
        <v>398</v>
      </c>
      <c r="X8" s="52"/>
    </row>
    <row r="9" spans="1:24" x14ac:dyDescent="0.25">
      <c r="A9" s="73">
        <f t="shared" si="0"/>
        <v>4</v>
      </c>
      <c r="B9" s="79">
        <f>IF($C$3=20,'Seções '!J6,IF('Propriedades geométricas VI'!$C$3=25,'Seções '!F6,IF('Propriedades geométricas VI'!$C$3=30,'Seções '!B6)))</f>
        <v>0</v>
      </c>
      <c r="C9" s="79">
        <f>IF($C$3=20,'Seções '!K6,IF('Propriedades geométricas VI'!$C$3=25,'Seções '!G6,IF('Propriedades geométricas VI'!$C$3=30,'Seções '!C6)))</f>
        <v>2.2000000000000002</v>
      </c>
      <c r="D9" s="52"/>
      <c r="E9" s="65" t="s">
        <v>399</v>
      </c>
      <c r="F9" s="81">
        <f ca="1">Q5-F6*F8^2</f>
        <v>120206.60760607547</v>
      </c>
      <c r="G9" s="64" t="str">
        <f>$B$2&amp;"^4"</f>
        <v>cm^4</v>
      </c>
      <c r="H9" s="65" t="s">
        <v>400</v>
      </c>
      <c r="I9" s="81">
        <f ca="1">F10/ABS(MIN(X)-F7)</f>
        <v>32199.107416130737</v>
      </c>
      <c r="J9" s="64" t="str">
        <f>$B$2&amp;"^3"</f>
        <v>cm^3</v>
      </c>
      <c r="K9" s="58"/>
      <c r="L9" s="85" t="s">
        <v>401</v>
      </c>
      <c r="M9" s="83">
        <f ca="1">ABS(F9)</f>
        <v>120206.60760607547</v>
      </c>
      <c r="N9" s="87" t="str">
        <f>CONCATENATE(B2,"4")</f>
        <v>cm4</v>
      </c>
      <c r="O9" s="58"/>
      <c r="P9" s="58"/>
      <c r="Q9" s="59"/>
      <c r="R9" s="59"/>
      <c r="S9" s="88">
        <f ca="1">MIN(X)</f>
        <v>0</v>
      </c>
      <c r="T9" s="89">
        <f ca="1">(S9-$F$7)*TAN(RADIANS($F$5))+$F$8</f>
        <v>12.737276471142621</v>
      </c>
      <c r="U9" s="59"/>
      <c r="V9" s="90">
        <f ca="1">IF(W4&gt;=W5,MIN(X),(MAX(X)+MIN(X)-W5)/2)</f>
        <v>0</v>
      </c>
      <c r="W9" s="90">
        <f ca="1">IF(W4&gt;=W5,(MAX(Y)+MIN(Y)-W4)/2,MIN(Y))</f>
        <v>-49.75</v>
      </c>
      <c r="X9" s="52"/>
    </row>
    <row r="10" spans="1:24" x14ac:dyDescent="0.25">
      <c r="A10" s="73">
        <f t="shared" si="0"/>
        <v>5</v>
      </c>
      <c r="B10" s="79">
        <f>IF($C$3=20,'Seções '!J7,IF('Propriedades geométricas VI'!$C$3=25,'Seções '!F7,IF('Propriedades geométricas VI'!$C$3=30,'Seções '!B7)))</f>
        <v>3</v>
      </c>
      <c r="C10" s="79">
        <f>IF($C$3=20,'Seções '!K7,IF('Propriedades geométricas VI'!$C$3=25,'Seções '!G7,IF('Propriedades geométricas VI'!$C$3=30,'Seções '!C7)))</f>
        <v>5</v>
      </c>
      <c r="D10" s="52"/>
      <c r="E10" s="65" t="s">
        <v>402</v>
      </c>
      <c r="F10" s="81">
        <f ca="1">Q6-F6*F7^2</f>
        <v>2004393.8780372469</v>
      </c>
      <c r="G10" s="64" t="str">
        <f>$B$2&amp;"^4"</f>
        <v>cm^4</v>
      </c>
      <c r="H10" s="65" t="s">
        <v>403</v>
      </c>
      <c r="I10" s="81">
        <f ca="1">F10/ABS(MAX(X)-F7)</f>
        <v>32199.089468605089</v>
      </c>
      <c r="J10" s="64" t="str">
        <f>$B$2&amp;"^3"</f>
        <v>cm^3</v>
      </c>
      <c r="K10" s="58"/>
      <c r="L10" s="85" t="s">
        <v>404</v>
      </c>
      <c r="M10" s="83">
        <f ca="1">ABS(I8)</f>
        <v>9437.379796697538</v>
      </c>
      <c r="N10" s="87" t="str">
        <f>CONCATENATE(B2,"³")</f>
        <v>cm³</v>
      </c>
      <c r="O10" s="58"/>
      <c r="P10" s="58"/>
      <c r="Q10" s="59"/>
      <c r="R10" s="59"/>
      <c r="S10" s="88">
        <f ca="1">MAX(X)</f>
        <v>124.5</v>
      </c>
      <c r="T10" s="89">
        <f ca="1">(S10-$F$7)*TAN(RADIANS($F$5))+$F$8</f>
        <v>12.737295962228242</v>
      </c>
      <c r="U10" s="59"/>
      <c r="V10" s="88">
        <f ca="1">IF(W4&gt;=W5,MAX(X),(MAX(X)+MIN(X)+W5)/2)</f>
        <v>124.5</v>
      </c>
      <c r="W10" s="90">
        <f ca="1">IF(W4&gt;=W5,(MAX(Y)+MIN(Y)+W4)/2,MAX(Y))</f>
        <v>74.75</v>
      </c>
      <c r="X10" s="52"/>
    </row>
    <row r="11" spans="1:24" ht="15.75" thickBot="1" x14ac:dyDescent="0.3">
      <c r="A11" s="73">
        <f t="shared" si="0"/>
        <v>6</v>
      </c>
      <c r="B11" s="79">
        <f>IF($C$3=20,'Seções '!J8,IF('Propriedades geométricas VI'!$C$3=25,'Seções '!F8,IF('Propriedades geométricas VI'!$C$3=30,'Seções '!B8)))</f>
        <v>3</v>
      </c>
      <c r="C11" s="79">
        <f>IF($C$3=20,'Seções '!K8,IF('Propriedades geométricas VI'!$C$3=25,'Seções '!G8,IF('Propriedades geométricas VI'!$C$3=30,'Seções '!C8)))</f>
        <v>19</v>
      </c>
      <c r="D11" s="52"/>
      <c r="E11" s="91" t="s">
        <v>405</v>
      </c>
      <c r="F11" s="92">
        <f ca="1">+Q7-F6*F7*F8</f>
        <v>0.29497875832021236</v>
      </c>
      <c r="G11" s="93" t="str">
        <f>$B$2&amp;"^4"</f>
        <v>cm^4</v>
      </c>
      <c r="H11" s="94"/>
      <c r="I11" s="95"/>
      <c r="J11" s="93"/>
      <c r="K11" s="58"/>
      <c r="L11" s="96" t="s">
        <v>406</v>
      </c>
      <c r="M11" s="97">
        <f ca="1">ABS(I7)</f>
        <v>9802.6105583259741</v>
      </c>
      <c r="N11" s="98" t="str">
        <f>CONCATENATE(B2,"³")</f>
        <v>cm³</v>
      </c>
      <c r="O11" s="58"/>
      <c r="P11" s="58"/>
      <c r="Q11" s="58"/>
      <c r="R11" s="58"/>
      <c r="S11" s="99"/>
      <c r="T11" s="99"/>
      <c r="U11" s="100"/>
      <c r="V11" s="100"/>
      <c r="W11" s="100"/>
      <c r="X11" s="52"/>
    </row>
    <row r="12" spans="1:24" x14ac:dyDescent="0.25">
      <c r="A12" s="73">
        <f t="shared" si="0"/>
        <v>7</v>
      </c>
      <c r="B12" s="79">
        <f>IF($C$3=20,'Seções '!J9,IF('Propriedades geométricas VI'!$C$3=25,'Seções '!F9,IF('Propriedades geométricas VI'!$C$3=30,'Seções '!B9)))</f>
        <v>1.65</v>
      </c>
      <c r="C12" s="79">
        <f>IF($C$3=20,'Seções '!K9,IF('Propriedades geométricas VI'!$C$3=25,'Seções '!G9,IF('Propriedades geométricas VI'!$C$3=30,'Seções '!C9)))</f>
        <v>21.5</v>
      </c>
      <c r="D12" s="52"/>
      <c r="E12" s="52"/>
      <c r="F12" s="52"/>
      <c r="G12" s="52"/>
      <c r="H12" s="52"/>
      <c r="I12" s="52"/>
      <c r="J12" s="52"/>
      <c r="K12" s="58"/>
      <c r="L12" s="58"/>
      <c r="M12" s="58"/>
      <c r="N12" s="58"/>
      <c r="O12" s="58"/>
      <c r="P12" s="58"/>
      <c r="Q12" s="58"/>
      <c r="R12" s="58"/>
      <c r="S12" s="99">
        <f ca="1">(T12-$F$8)*TAN(RADIANS(-$F$5))+$F$7</f>
        <v>62.249984645253051</v>
      </c>
      <c r="T12" s="99">
        <f ca="1">MIN(Y)</f>
        <v>0</v>
      </c>
      <c r="U12" s="101"/>
      <c r="V12" s="58"/>
      <c r="W12" s="102"/>
      <c r="X12" s="52"/>
    </row>
    <row r="13" spans="1:24" x14ac:dyDescent="0.25">
      <c r="A13" s="73">
        <f t="shared" si="0"/>
        <v>8</v>
      </c>
      <c r="B13" s="79">
        <f>IF($C$3=20,'Seções '!J10,IF('Propriedades geométricas VI'!$C$3=25,'Seções '!F10,IF('Propriedades geométricas VI'!$C$3=30,'Seções '!B10)))</f>
        <v>1.65</v>
      </c>
      <c r="C13" s="79">
        <f>IF($C$3=20,'Seções '!K10,IF('Propriedades geométricas VI'!$C$3=25,'Seções '!G10,IF('Propriedades geométricas VI'!$C$3=30,'Seções '!C10)))</f>
        <v>25</v>
      </c>
      <c r="D13" s="52"/>
      <c r="E13" s="908" t="s">
        <v>407</v>
      </c>
      <c r="F13" s="903"/>
      <c r="G13" s="903"/>
      <c r="H13" s="903"/>
      <c r="I13" s="903"/>
      <c r="J13" s="904"/>
      <c r="K13" s="58"/>
      <c r="L13" s="58">
        <v>0</v>
      </c>
      <c r="M13" s="216">
        <f ca="1">F8</f>
        <v>12.737286216682715</v>
      </c>
      <c r="N13" s="58"/>
      <c r="O13" s="58"/>
      <c r="P13" s="58"/>
      <c r="Q13" s="103"/>
      <c r="R13" s="58"/>
      <c r="S13" s="99">
        <f ca="1">(T13-$F$8)*TAN(RADIANS(-$F$5))+$F$7</f>
        <v>62.24998073138044</v>
      </c>
      <c r="T13" s="99">
        <f ca="1">MAX(Y)</f>
        <v>25</v>
      </c>
      <c r="U13" s="101"/>
      <c r="V13" s="58"/>
      <c r="W13" s="102"/>
      <c r="X13" s="52"/>
    </row>
    <row r="14" spans="1:24" x14ac:dyDescent="0.25">
      <c r="A14" s="73">
        <f t="shared" si="0"/>
        <v>9</v>
      </c>
      <c r="B14" s="79">
        <f>IF($C$3=20,'Seções '!J11,IF('Propriedades geométricas VI'!$C$3=25,'Seções '!F11,IF('Propriedades geométricas VI'!$C$3=30,'Seções '!B11)))</f>
        <v>122.85</v>
      </c>
      <c r="C14" s="79">
        <f>IF($C$3=20,'Seções '!K11,IF('Propriedades geométricas VI'!$C$3=25,'Seções '!G11,IF('Propriedades geométricas VI'!$C$3=30,'Seções '!C11)))</f>
        <v>25</v>
      </c>
      <c r="D14" s="52"/>
      <c r="E14" s="62" t="s">
        <v>378</v>
      </c>
      <c r="F14" s="80">
        <f ca="1">F5</f>
        <v>8.9699352941120089E-6</v>
      </c>
      <c r="G14" s="64" t="s">
        <v>408</v>
      </c>
      <c r="H14" s="65" t="s">
        <v>409</v>
      </c>
      <c r="I14" s="81">
        <f t="array" aca="1" ref="I14" ca="1">ABS(F15/MAX(SQRT((X-$F$7)^2+(Y-$F$8)^2)*SIN(ATAN2(X-$F$7,Y-$F$8)-RADIANS($F$5))))</f>
        <v>9802.6029743978597</v>
      </c>
      <c r="J14" s="64" t="str">
        <f>$B$2&amp;"^3"</f>
        <v>cm^3</v>
      </c>
      <c r="K14" s="52"/>
      <c r="L14" s="58">
        <f>Geometria!H22</f>
        <v>125</v>
      </c>
      <c r="M14" s="80">
        <f ca="1">F8</f>
        <v>12.737286216682715</v>
      </c>
      <c r="N14" s="52"/>
      <c r="O14" s="52"/>
      <c r="P14" s="52"/>
      <c r="Q14" s="104"/>
      <c r="R14" s="105"/>
      <c r="S14" s="80"/>
      <c r="T14" s="80"/>
      <c r="U14" s="52"/>
      <c r="V14" s="52"/>
      <c r="W14" s="106"/>
      <c r="X14" s="52"/>
    </row>
    <row r="15" spans="1:24" x14ac:dyDescent="0.25">
      <c r="A15" s="73">
        <f t="shared" si="0"/>
        <v>10</v>
      </c>
      <c r="B15" s="79">
        <f>IF($C$3=20,'Seções '!J12,IF('Propriedades geométricas VI'!$C$3=25,'Seções '!F12,IF('Propriedades geométricas VI'!$C$3=30,'Seções '!B12)))</f>
        <v>122.85</v>
      </c>
      <c r="C15" s="79">
        <f>IF($C$3=20,'Seções '!K12,IF('Propriedades geométricas VI'!$C$3=25,'Seções '!G12,IF('Propriedades geométricas VI'!$C$3=30,'Seções '!C12)))</f>
        <v>21.5</v>
      </c>
      <c r="D15" s="52"/>
      <c r="E15" s="65" t="s">
        <v>410</v>
      </c>
      <c r="F15" s="107">
        <f ca="1">F9*COS(RADIANS(F14))^2+F10*SIN(RADIANS(F14))^2-F11*SIN(2*RADIANS(F14))</f>
        <v>120206.6076060293</v>
      </c>
      <c r="G15" s="64" t="str">
        <f>$B$2&amp;"^4"</f>
        <v>cm^4</v>
      </c>
      <c r="H15" s="65" t="s">
        <v>411</v>
      </c>
      <c r="I15" s="81">
        <f t="array" aca="1" ref="I15" ca="1">ABS(F15/MIN(SQRT((X-$F$7)^2+(Y-$F$8)^2)*SIN(ATAN2(X-$F$7,Y-$F$8)-RADIANS($F$5))))</f>
        <v>9437.3726861722116</v>
      </c>
      <c r="J15" s="64" t="str">
        <f>$B$2&amp;"^3"</f>
        <v>cm^3</v>
      </c>
      <c r="K15" s="52"/>
      <c r="L15" s="52"/>
      <c r="M15" s="52"/>
      <c r="N15" s="52"/>
      <c r="O15" s="52"/>
      <c r="P15" s="52">
        <f>IF(C3=30,1,IF(C3=25,2,IF(C3=20,3)))</f>
        <v>2</v>
      </c>
      <c r="Q15" s="108"/>
      <c r="R15" s="109"/>
      <c r="S15" s="52"/>
      <c r="T15" s="52"/>
      <c r="U15" s="109"/>
      <c r="V15" s="52"/>
      <c r="W15" s="52"/>
      <c r="X15" s="52"/>
    </row>
    <row r="16" spans="1:24" x14ac:dyDescent="0.25">
      <c r="A16" s="73">
        <f t="shared" si="0"/>
        <v>11</v>
      </c>
      <c r="B16" s="79">
        <f>IF($C$3=20,'Seções '!J13,IF('Propriedades geométricas VI'!$C$3=25,'Seções '!F13,IF('Propriedades geométricas VI'!$C$3=30,'Seções '!B13)))</f>
        <v>121.5</v>
      </c>
      <c r="C16" s="79">
        <f>IF($C$3=20,'Seções '!K13,IF('Propriedades geométricas VI'!$C$3=25,'Seções '!G13,IF('Propriedades geométricas VI'!$C$3=30,'Seções '!C13)))</f>
        <v>19</v>
      </c>
      <c r="D16" s="52"/>
      <c r="E16" s="65" t="s">
        <v>412</v>
      </c>
      <c r="F16" s="107">
        <f ca="1">F10*COS(RADIANS(F14))^2+F9*SIN(RADIANS(F14))^2+F11*SIN(2*RADIANS(F14))</f>
        <v>2004393.8780372934</v>
      </c>
      <c r="G16" s="64" t="str">
        <f>$B$2&amp;"^4"</f>
        <v>cm^4</v>
      </c>
      <c r="H16" s="65" t="s">
        <v>413</v>
      </c>
      <c r="I16" s="81">
        <f t="array" aca="1" ref="I16" ca="1">ABS($F$16/MIN(SQRT((X-$F$7)^2+(Y-$F$8)^2)*COS(ATAN2(X-$F$7,Y-$F$8)-RADIANS($F$5))))</f>
        <v>32199.106384681905</v>
      </c>
      <c r="J16" s="64" t="str">
        <f>$B$2&amp;"^3"</f>
        <v>cm^3</v>
      </c>
      <c r="K16" s="52"/>
      <c r="L16" s="52"/>
      <c r="M16" s="52"/>
      <c r="N16" s="52"/>
      <c r="O16" s="52"/>
      <c r="P16" s="52"/>
      <c r="Q16" s="108"/>
      <c r="R16" s="109"/>
      <c r="S16" s="52"/>
      <c r="T16" s="52"/>
      <c r="U16" s="109"/>
      <c r="V16" s="52"/>
      <c r="W16" s="52"/>
      <c r="X16" s="52"/>
    </row>
    <row r="17" spans="1:24" x14ac:dyDescent="0.25">
      <c r="A17" s="73">
        <f t="shared" si="0"/>
        <v>12</v>
      </c>
      <c r="B17" s="79">
        <f>IF($C$3=20,'Seções '!J14,IF('Propriedades geométricas VI'!$C$3=25,'Seções '!F14,IF('Propriedades geométricas VI'!$C$3=30,'Seções '!B14)))</f>
        <v>121.5</v>
      </c>
      <c r="C17" s="79">
        <f>IF($C$3=20,'Seções '!K14,IF('Propriedades geométricas VI'!$C$3=25,'Seções '!G14,IF('Propriedades geométricas VI'!$C$3=30,'Seções '!C14)))</f>
        <v>5</v>
      </c>
      <c r="D17" s="52"/>
      <c r="E17" s="65" t="s">
        <v>414</v>
      </c>
      <c r="F17" s="81">
        <f ca="1">+(F9-F10)/2*SIN(RADIANS(F14)*2)+F11*COS(2*RADIANS(F14))</f>
        <v>0</v>
      </c>
      <c r="G17" s="64" t="str">
        <f>$B$2&amp;"^4"</f>
        <v>cm^4</v>
      </c>
      <c r="H17" s="65" t="s">
        <v>415</v>
      </c>
      <c r="I17" s="81">
        <f t="array" aca="1" ref="I17" ca="1">ABS($F$16/MAX(SQRT((X-$F$7)^2+(Y-$F$8)^2)*COS(ATAN2(X-$F$7,Y-$F$8)-RADIANS($F$5))))</f>
        <v>32199.090321901975</v>
      </c>
      <c r="J17" s="64" t="str">
        <f>$B$2&amp;"^3"</f>
        <v>cm^3</v>
      </c>
      <c r="K17" s="52"/>
      <c r="L17" s="52"/>
      <c r="M17" s="52"/>
      <c r="N17" s="52"/>
      <c r="O17" s="52"/>
      <c r="P17" s="52"/>
      <c r="Q17" s="108"/>
      <c r="R17" s="110"/>
      <c r="S17" s="111"/>
      <c r="T17" s="52"/>
      <c r="U17" s="52"/>
      <c r="V17" s="52"/>
      <c r="W17" s="52"/>
      <c r="X17" s="52"/>
    </row>
    <row r="18" spans="1:24" x14ac:dyDescent="0.25">
      <c r="A18" s="73">
        <f t="shared" si="0"/>
        <v>13</v>
      </c>
      <c r="B18" s="79">
        <f>IF($C$3=20,'Seções '!J15,IF('Propriedades geométricas VI'!$C$3=25,'Seções '!F15,IF('Propriedades geométricas VI'!$C$3=30,'Seções '!B15)))</f>
        <v>124.5</v>
      </c>
      <c r="C18" s="79">
        <f>IF($C$3=20,'Seções '!K15,IF('Propriedades geométricas VI'!$C$3=25,'Seções '!G15,IF('Propriedades geométricas VI'!$C$3=30,'Seções '!C15)))</f>
        <v>2.2000000000000002</v>
      </c>
      <c r="D18" s="52"/>
      <c r="E18" s="91" t="s">
        <v>416</v>
      </c>
      <c r="F18" s="92">
        <f ca="1">+F15+F16</f>
        <v>2124600.4856433226</v>
      </c>
      <c r="G18" s="93" t="str">
        <f>$B$2&amp;"^4"</f>
        <v>cm^4</v>
      </c>
      <c r="H18" s="94"/>
      <c r="I18" s="112"/>
      <c r="J18" s="93"/>
      <c r="K18" s="52"/>
      <c r="L18" s="52"/>
      <c r="M18" s="52"/>
      <c r="N18" s="52"/>
      <c r="O18" s="52"/>
      <c r="P18" s="52"/>
      <c r="Q18" s="52"/>
      <c r="R18" s="52"/>
      <c r="S18" s="52"/>
      <c r="T18" s="111"/>
      <c r="U18" s="111"/>
      <c r="V18" s="52"/>
      <c r="W18" s="52"/>
      <c r="X18" s="52"/>
    </row>
    <row r="19" spans="1:24" x14ac:dyDescent="0.25">
      <c r="A19" s="73">
        <f t="shared" si="0"/>
        <v>14</v>
      </c>
      <c r="B19" s="79">
        <f>IF($C$3=20,'Seções '!J16,IF('Propriedades geométricas VI'!$C$3=25,'Seções '!F16,IF('Propriedades geométricas VI'!$C$3=30,'Seções '!B16)))</f>
        <v>124.31</v>
      </c>
      <c r="C19" s="79">
        <f>IF($C$3=20,'Seções '!K16,IF('Propriedades geométricas VI'!$C$3=25,'Seções '!G16,IF('Propriedades geométricas VI'!$C$3=30,'Seções '!C16)))</f>
        <v>0.76</v>
      </c>
      <c r="D19" s="75"/>
      <c r="E19" s="52"/>
      <c r="F19" s="52"/>
      <c r="G19" s="52"/>
      <c r="H19" s="52"/>
      <c r="I19" s="52"/>
      <c r="J19" s="52"/>
      <c r="K19" s="113"/>
      <c r="L19" s="113"/>
      <c r="M19" s="113"/>
      <c r="N19" s="113"/>
      <c r="O19" s="52"/>
      <c r="P19" s="52"/>
      <c r="Q19" s="52"/>
      <c r="R19" s="80"/>
      <c r="S19" s="80"/>
      <c r="T19" s="80"/>
      <c r="U19" s="80"/>
      <c r="V19" s="75"/>
      <c r="W19" s="52"/>
      <c r="X19" s="52"/>
    </row>
    <row r="20" spans="1:24" x14ac:dyDescent="0.25">
      <c r="A20" s="73">
        <f t="shared" si="0"/>
        <v>15</v>
      </c>
      <c r="B20" s="79">
        <f>IF($C$3=20,'Seções '!J17,IF('Propriedades geométricas VI'!$C$3=25,'Seções '!F17,IF('Propriedades geométricas VI'!$C$3=30,'Seções '!B17)))</f>
        <v>123.55</v>
      </c>
      <c r="C20" s="79">
        <f>IF($C$3=20,'Seções '!K17,IF('Propriedades geométricas VI'!$C$3=25,'Seções '!G17,IF('Propriedades geométricas VI'!$C$3=30,'Seções '!C17)))</f>
        <v>0</v>
      </c>
      <c r="D20" s="75"/>
      <c r="E20" s="52"/>
      <c r="F20" s="52"/>
      <c r="G20" s="52"/>
      <c r="H20" s="52"/>
      <c r="I20" s="52"/>
      <c r="J20" s="52"/>
      <c r="K20" s="113"/>
      <c r="L20" s="113"/>
      <c r="M20" s="113"/>
      <c r="N20" s="113"/>
      <c r="O20" s="52"/>
      <c r="P20" s="52"/>
      <c r="Q20" s="52"/>
      <c r="R20" s="80"/>
      <c r="S20" s="80"/>
      <c r="T20" s="80"/>
      <c r="U20" s="80"/>
      <c r="V20" s="75"/>
      <c r="W20" s="52"/>
      <c r="X20" s="80"/>
    </row>
    <row r="21" spans="1:24" x14ac:dyDescent="0.25">
      <c r="A21" s="73">
        <f t="shared" si="0"/>
        <v>16</v>
      </c>
      <c r="B21" s="79">
        <f>IF($C$3=20,'Seções '!J18,IF('Propriedades geométricas VI'!$C$3=25,'Seções '!F18,IF('Propriedades geométricas VI'!$C$3=30,'Seções '!B18)))</f>
        <v>111.05</v>
      </c>
      <c r="C21" s="79">
        <f>IF($C$3=20,'Seções '!K18,IF('Propriedades geométricas VI'!$C$3=25,'Seções '!G18,IF('Propriedades geométricas VI'!$C$3=30,'Seções '!C18)))</f>
        <v>0</v>
      </c>
      <c r="D21" s="75"/>
      <c r="E21" s="52"/>
      <c r="F21" s="52"/>
      <c r="G21" s="52"/>
      <c r="H21" s="52"/>
      <c r="I21" s="52"/>
      <c r="J21" s="52"/>
      <c r="K21" s="113"/>
      <c r="L21" s="113"/>
      <c r="M21" s="113"/>
      <c r="N21" s="113"/>
      <c r="O21" s="52"/>
      <c r="P21" s="52"/>
      <c r="Q21" s="52"/>
      <c r="R21" s="113"/>
      <c r="S21" s="113"/>
      <c r="T21" s="113"/>
      <c r="U21" s="113"/>
      <c r="V21" s="75"/>
      <c r="W21" s="52"/>
      <c r="X21" s="80"/>
    </row>
    <row r="22" spans="1:24" x14ac:dyDescent="0.25">
      <c r="A22" s="73">
        <f t="shared" si="0"/>
        <v>17</v>
      </c>
      <c r="B22" s="79">
        <f>IF($C$3=20,'Seções '!J19,IF('Propriedades geométricas VI'!$C$3=25,'Seções '!F19,IF('Propriedades geométricas VI'!$C$3=30,'Seções '!B19)))</f>
        <v>111.05</v>
      </c>
      <c r="C22" s="79">
        <f>IF($C$3=20,'Seções '!K19,IF('Propriedades geométricas VI'!$C$3=25,'Seções '!G19,IF('Propriedades geométricas VI'!$C$3=30,'Seções '!C19)))</f>
        <v>3</v>
      </c>
      <c r="D22" s="75"/>
      <c r="E22" s="52"/>
      <c r="F22" s="52"/>
      <c r="G22" s="52"/>
      <c r="H22" s="52"/>
      <c r="I22" s="52"/>
      <c r="J22" s="52"/>
      <c r="K22" s="113"/>
      <c r="L22" s="113"/>
      <c r="M22" s="113"/>
      <c r="N22" s="113"/>
      <c r="O22" s="52"/>
      <c r="P22" s="52"/>
      <c r="Q22" s="52"/>
      <c r="R22" s="113"/>
      <c r="S22" s="113"/>
      <c r="T22" s="113"/>
      <c r="U22" s="113"/>
      <c r="V22" s="75"/>
      <c r="W22" s="52"/>
      <c r="X22" s="80"/>
    </row>
    <row r="23" spans="1:24" x14ac:dyDescent="0.25">
      <c r="A23" s="73">
        <f t="shared" si="0"/>
        <v>18</v>
      </c>
      <c r="B23" s="79">
        <f>IF($C$3=20,'Seções '!J20,IF('Propriedades geométricas VI'!$C$3=25,'Seções '!F20,IF('Propriedades geométricas VI'!$C$3=30,'Seções '!B20)))</f>
        <v>114.1</v>
      </c>
      <c r="C23" s="79">
        <f>IF($C$3=20,'Seções '!K20,IF('Propriedades geométricas VI'!$C$3=25,'Seções '!G20,IF('Propriedades geométricas VI'!$C$3=30,'Seções '!C20)))</f>
        <v>3</v>
      </c>
      <c r="D23" s="8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113"/>
      <c r="S23" s="113"/>
      <c r="T23" s="113"/>
      <c r="U23" s="113"/>
      <c r="V23" s="75"/>
      <c r="W23" s="52"/>
      <c r="X23" s="80"/>
    </row>
    <row r="24" spans="1:24" x14ac:dyDescent="0.25">
      <c r="A24" s="73">
        <f t="shared" si="0"/>
        <v>19</v>
      </c>
      <c r="B24" s="79">
        <f>IF($C$3=20,'Seções '!J21,IF('Propriedades geométricas VI'!$C$3=25,'Seções '!F21,IF('Propriedades geométricas VI'!$C$3=30,'Seções '!B21)))</f>
        <v>117.25</v>
      </c>
      <c r="C24" s="79">
        <f>IF($C$3=20,'Seções '!K21,IF('Propriedades geométricas VI'!$C$3=25,'Seções '!G21,IF('Propriedades geométricas VI'!$C$3=30,'Seções '!C21)))</f>
        <v>5.8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113"/>
      <c r="S24" s="113"/>
      <c r="T24" s="113"/>
      <c r="U24" s="113"/>
      <c r="V24" s="52"/>
      <c r="W24" s="52"/>
      <c r="X24" s="52"/>
    </row>
    <row r="25" spans="1:24" x14ac:dyDescent="0.25">
      <c r="A25" s="73">
        <f t="shared" si="0"/>
        <v>20</v>
      </c>
      <c r="B25" s="79">
        <f>IF($C$3=20,'Seções '!J22,IF('Propriedades geométricas VI'!$C$3=25,'Seções '!F22,IF('Propriedades geométricas VI'!$C$3=30,'Seções '!B22)))</f>
        <v>117.25</v>
      </c>
      <c r="C25" s="79">
        <f>IF($C$3=20,'Seções '!K22,IF('Propriedades geométricas VI'!$C$3=25,'Seções '!G22,IF('Propriedades geométricas VI'!$C$3=30,'Seções '!C22)))</f>
        <v>15.75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113"/>
      <c r="S25" s="113"/>
      <c r="T25" s="113"/>
      <c r="U25" s="113"/>
      <c r="V25" s="52"/>
      <c r="W25" s="52"/>
      <c r="X25" s="52"/>
    </row>
    <row r="26" spans="1:24" x14ac:dyDescent="0.25">
      <c r="A26" s="73">
        <f t="shared" si="0"/>
        <v>21</v>
      </c>
      <c r="B26" s="79">
        <f>IF($C$3=20,'Seções '!J23,IF('Propriedades geométricas VI'!$C$3=25,'Seções '!F23,IF('Propriedades geométricas VI'!$C$3=30,'Seções '!B23)))</f>
        <v>117.18</v>
      </c>
      <c r="C26" s="79">
        <f>IF($C$3=20,'Seções '!K23,IF('Propriedades geométricas VI'!$C$3=25,'Seções '!G23,IF('Propriedades geométricas VI'!$C$3=30,'Seções '!C23)))</f>
        <v>16.66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114"/>
      <c r="R26" s="113"/>
      <c r="S26" s="113"/>
      <c r="T26" s="113"/>
      <c r="U26" s="113"/>
      <c r="V26" s="52"/>
      <c r="W26" s="52"/>
      <c r="X26" s="52"/>
    </row>
    <row r="27" spans="1:24" x14ac:dyDescent="0.25">
      <c r="A27" s="73">
        <f t="shared" si="0"/>
        <v>22</v>
      </c>
      <c r="B27" s="79">
        <f>IF($C$3=20,'Seções '!J24,IF('Propriedades geométricas VI'!$C$3=25,'Seções '!F24,IF('Propriedades geométricas VI'!$C$3=30,'Seções '!B24)))</f>
        <v>116.92</v>
      </c>
      <c r="C27" s="79">
        <f>IF($C$3=20,'Seções '!K24,IF('Propriedades geométricas VI'!$C$3=25,'Seções '!G24,IF('Propriedades geométricas VI'!$C$3=30,'Seções '!C24)))</f>
        <v>17.760000000000002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114"/>
      <c r="R27" s="113"/>
      <c r="S27" s="113"/>
      <c r="T27" s="113"/>
      <c r="U27" s="113"/>
      <c r="V27" s="52"/>
      <c r="W27" s="52"/>
      <c r="X27" s="52"/>
    </row>
    <row r="28" spans="1:24" x14ac:dyDescent="0.25">
      <c r="A28" s="73">
        <f t="shared" si="0"/>
        <v>23</v>
      </c>
      <c r="B28" s="79">
        <f>IF($C$3=20,'Seções '!J25,IF('Propriedades geométricas VI'!$C$3=25,'Seções '!F25,IF('Propriedades geométricas VI'!$C$3=30,'Seções '!B25)))</f>
        <v>116.43</v>
      </c>
      <c r="C28" s="79">
        <f>IF($C$3=20,'Seções '!K25,IF('Propriedades geométricas VI'!$C$3=25,'Seções '!G25,IF('Propriedades geométricas VI'!$C$3=30,'Seções '!C25)))</f>
        <v>18.84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114"/>
      <c r="R28" s="113"/>
      <c r="S28" s="113"/>
      <c r="T28" s="113"/>
      <c r="U28" s="113"/>
      <c r="V28" s="52"/>
      <c r="W28" s="52"/>
      <c r="X28" s="52"/>
    </row>
    <row r="29" spans="1:24" x14ac:dyDescent="0.25">
      <c r="A29" s="73">
        <f t="shared" si="0"/>
        <v>24</v>
      </c>
      <c r="B29" s="79">
        <f>IF($C$3=20,'Seções '!J26,IF('Propriedades geométricas VI'!$C$3=25,'Seções '!F26,IF('Propriedades geométricas VI'!$C$3=30,'Seções '!B26)))</f>
        <v>115.87</v>
      </c>
      <c r="C29" s="79">
        <f>IF($C$3=20,'Seções '!K26,IF('Propriedades geométricas VI'!$C$3=25,'Seções '!G26,IF('Propriedades geométricas VI'!$C$3=30,'Seções '!C26)))</f>
        <v>19.66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114"/>
      <c r="R29" s="113"/>
      <c r="S29" s="113"/>
      <c r="T29" s="113"/>
      <c r="U29" s="113"/>
      <c r="V29" s="52"/>
      <c r="W29" s="52"/>
      <c r="X29" s="52"/>
    </row>
    <row r="30" spans="1:24" x14ac:dyDescent="0.25">
      <c r="A30" s="73">
        <f t="shared" si="0"/>
        <v>25</v>
      </c>
      <c r="B30" s="79">
        <f>IF($C$3=20,'Seções '!J27,IF('Propriedades geométricas VI'!$C$3=25,'Seções '!F27,IF('Propriedades geométricas VI'!$C$3=30,'Seções '!B27)))</f>
        <v>115.23</v>
      </c>
      <c r="C30" s="79">
        <f>IF($C$3=20,'Seções '!K27,IF('Propriedades geométricas VI'!$C$3=25,'Seções '!G27,IF('Propriedades geométricas VI'!$C$3=30,'Seções '!C27)))</f>
        <v>20.350000000000001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113"/>
      <c r="S30" s="113"/>
      <c r="T30" s="113"/>
      <c r="U30" s="113"/>
      <c r="V30" s="52"/>
      <c r="W30" s="52"/>
      <c r="X30" s="52"/>
    </row>
    <row r="31" spans="1:24" x14ac:dyDescent="0.25">
      <c r="A31" s="73">
        <f t="shared" si="0"/>
        <v>26</v>
      </c>
      <c r="B31" s="79">
        <f>IF($C$3=20,'Seções '!J28,IF('Propriedades geométricas VI'!$C$3=25,'Seções '!F28,IF('Propriedades geométricas VI'!$C$3=30,'Seções '!B28)))</f>
        <v>114.55</v>
      </c>
      <c r="C31" s="79">
        <f>IF($C$3=20,'Seções '!K28,IF('Propriedades geométricas VI'!$C$3=25,'Seções '!G28,IF('Propriedades geométricas VI'!$C$3=30,'Seções '!C28)))</f>
        <v>20.89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113"/>
      <c r="S31" s="113"/>
      <c r="T31" s="113"/>
      <c r="U31" s="113"/>
      <c r="V31" s="52"/>
      <c r="W31" s="52"/>
      <c r="X31" s="52"/>
    </row>
    <row r="32" spans="1:24" x14ac:dyDescent="0.25">
      <c r="A32" s="73">
        <f t="shared" si="0"/>
        <v>27</v>
      </c>
      <c r="B32" s="79">
        <f>IF($C$3=20,'Seções '!J29,IF('Propriedades geométricas VI'!$C$3=25,'Seções '!F29,IF('Propriedades geométricas VI'!$C$3=30,'Seções '!B29)))</f>
        <v>113.9</v>
      </c>
      <c r="C32" s="79">
        <f>IF($C$3=20,'Seções '!K29,IF('Propriedades geométricas VI'!$C$3=25,'Seções '!G29,IF('Propriedades geométricas VI'!$C$3=30,'Seções '!C29)))</f>
        <v>21.29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x14ac:dyDescent="0.25">
      <c r="A33" s="73">
        <f t="shared" si="0"/>
        <v>28</v>
      </c>
      <c r="B33" s="79">
        <f>IF($C$3=20,'Seções '!J30,IF('Propriedades geométricas VI'!$C$3=25,'Seções '!F30,IF('Propriedades geométricas VI'!$C$3=30,'Seções '!B30)))</f>
        <v>113.18</v>
      </c>
      <c r="C33" s="79">
        <f>IF($C$3=20,'Seções '!K30,IF('Propriedades geométricas VI'!$C$3=25,'Seções '!G30,IF('Propriedades geométricas VI'!$C$3=30,'Seções '!C30)))</f>
        <v>21.61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x14ac:dyDescent="0.25">
      <c r="A34" s="73">
        <f t="shared" si="0"/>
        <v>29</v>
      </c>
      <c r="B34" s="79">
        <f>IF($C$3=20,'Seções '!J31,IF('Propriedades geométricas VI'!$C$3=25,'Seções '!F31,IF('Propriedades geométricas VI'!$C$3=30,'Seções '!B31)))</f>
        <v>112.59</v>
      </c>
      <c r="C34" s="79">
        <f>IF($C$3=20,'Seções '!K31,IF('Propriedades geométricas VI'!$C$3=25,'Seções '!G31,IF('Propriedades geométricas VI'!$C$3=30,'Seções '!C31)))</f>
        <v>21.79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25">
      <c r="A35" s="73">
        <f t="shared" si="0"/>
        <v>30</v>
      </c>
      <c r="B35" s="79">
        <f>IF($C$3=20,'Seções '!J32,IF('Propriedades geométricas VI'!$C$3=25,'Seções '!F32,IF('Propriedades geométricas VI'!$C$3=30,'Seções '!B32)))</f>
        <v>111.97</v>
      </c>
      <c r="C35" s="79">
        <f>IF($C$3=20,'Seções '!K32,IF('Propriedades geométricas VI'!$C$3=25,'Seções '!G32,IF('Propriedades geométricas VI'!$C$3=30,'Seções '!C32)))</f>
        <v>21.92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spans="1:24" x14ac:dyDescent="0.25">
      <c r="A36" s="73">
        <f t="shared" si="0"/>
        <v>31</v>
      </c>
      <c r="B36" s="79">
        <f>IF($C$3=20,'Seções '!J33,IF('Propriedades geométricas VI'!$C$3=25,'Seções '!F33,IF('Propriedades geométricas VI'!$C$3=30,'Seções '!B33)))</f>
        <v>111.3</v>
      </c>
      <c r="C36" s="79">
        <f>IF($C$3=20,'Seções '!K33,IF('Propriedades geométricas VI'!$C$3=25,'Seções '!G33,IF('Propriedades geométricas VI'!$C$3=30,'Seções '!C33)))</f>
        <v>21.99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4" x14ac:dyDescent="0.25">
      <c r="A37" s="73">
        <f t="shared" si="0"/>
        <v>32</v>
      </c>
      <c r="B37" s="79">
        <f>IF($C$3=20,'Seções '!J34,IF('Propriedades geométricas VI'!$C$3=25,'Seções '!F34,IF('Propriedades geométricas VI'!$C$3=30,'Seções '!B34)))</f>
        <v>110.7</v>
      </c>
      <c r="C37" s="79">
        <f>IF($C$3=20,'Seções '!K34,IF('Propriedades geométricas VI'!$C$3=25,'Seções '!G34,IF('Propriedades geométricas VI'!$C$3=30,'Seções '!C34)))</f>
        <v>21.99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spans="1:24" x14ac:dyDescent="0.25">
      <c r="A38" s="73">
        <f t="shared" si="0"/>
        <v>33</v>
      </c>
      <c r="B38" s="79">
        <f>IF($C$3=20,'Seções '!J35,IF('Propriedades geométricas VI'!$C$3=25,'Seções '!F35,IF('Propriedades geométricas VI'!$C$3=30,'Seções '!B35)))</f>
        <v>110.03</v>
      </c>
      <c r="C38" s="79">
        <f>IF($C$3=20,'Seções '!K35,IF('Propriedades geométricas VI'!$C$3=25,'Seções '!G35,IF('Propriedades geométricas VI'!$C$3=30,'Seções '!C35)))</f>
        <v>21.92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spans="1:24" x14ac:dyDescent="0.25">
      <c r="A39" s="73">
        <f t="shared" si="0"/>
        <v>34</v>
      </c>
      <c r="B39" s="79">
        <f>IF($C$3=20,'Seções '!J36,IF('Propriedades geométricas VI'!$C$3=25,'Seções '!F36,IF('Propriedades geométricas VI'!$C$3=30,'Seções '!B36)))</f>
        <v>109.41</v>
      </c>
      <c r="C39" s="79">
        <f>IF($C$3=20,'Seções '!K36,IF('Propriedades geométricas VI'!$C$3=25,'Seções '!G36,IF('Propriedades geométricas VI'!$C$3=30,'Seções '!C36)))</f>
        <v>21.79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spans="1:24" x14ac:dyDescent="0.25">
      <c r="A40" s="73">
        <f t="shared" si="0"/>
        <v>35</v>
      </c>
      <c r="B40" s="79">
        <f>IF($C$3=20,'Seções '!J37,IF('Propriedades geométricas VI'!$C$3=25,'Seções '!F37,IF('Propriedades geométricas VI'!$C$3=30,'Seções '!B37)))</f>
        <v>108.82</v>
      </c>
      <c r="C40" s="79">
        <f>IF($C$3=20,'Seções '!K37,IF('Propriedades geométricas VI'!$C$3=25,'Seções '!G37,IF('Propriedades geométricas VI'!$C$3=30,'Seções '!C37)))</f>
        <v>21.61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73">
        <v>36</v>
      </c>
      <c r="B41" s="79">
        <f>IF($C$3=20,'Seções '!J38,IF('Propriedades geométricas VI'!$C$3=25,'Seções '!F38,IF('Propriedades geométricas VI'!$C$3=30,'Seções '!B38)))</f>
        <v>108.1</v>
      </c>
      <c r="C41" s="79">
        <f>IF($C$3=20,'Seções '!K38,IF('Propriedades geométricas VI'!$C$3=25,'Seções '!G38,IF('Propriedades geométricas VI'!$C$3=30,'Seções '!C38)))</f>
        <v>21.29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73">
        <f t="shared" ref="A42:A79" si="1">1+A41</f>
        <v>37</v>
      </c>
      <c r="B42" s="79">
        <f>IF($C$3=20,'Seções '!J39,IF('Propriedades geométricas VI'!$C$3=25,'Seções '!F39,IF('Propriedades geométricas VI'!$C$3=30,'Seções '!B39)))</f>
        <v>107.45</v>
      </c>
      <c r="C42" s="79">
        <f>IF($C$3=20,'Seções '!K39,IF('Propriedades geométricas VI'!$C$3=25,'Seções '!G39,IF('Propriedades geométricas VI'!$C$3=30,'Seções '!C39)))</f>
        <v>20.89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73">
        <f t="shared" si="1"/>
        <v>38</v>
      </c>
      <c r="B43" s="79">
        <f>IF($C$3=20,'Seções '!J40,IF('Propriedades geométricas VI'!$C$3=25,'Seções '!F40,IF('Propriedades geométricas VI'!$C$3=30,'Seções '!B40)))</f>
        <v>106.77</v>
      </c>
      <c r="C43" s="79">
        <f>IF($C$3=20,'Seções '!K40,IF('Propriedades geométricas VI'!$C$3=25,'Seções '!G40,IF('Propriedades geométricas VI'!$C$3=30,'Seções '!C40)))</f>
        <v>20.350000000000001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73">
        <f t="shared" si="1"/>
        <v>39</v>
      </c>
      <c r="B44" s="79">
        <f>IF($C$3=20,'Seções '!J41,IF('Propriedades geométricas VI'!$C$3=25,'Seções '!F41,IF('Propriedades geométricas VI'!$C$3=30,'Seções '!B41)))</f>
        <v>106.13</v>
      </c>
      <c r="C44" s="79">
        <f>IF($C$3=20,'Seções '!K41,IF('Propriedades geométricas VI'!$C$3=25,'Seções '!G41,IF('Propriedades geométricas VI'!$C$3=30,'Seções '!C41)))</f>
        <v>19.66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73">
        <f t="shared" si="1"/>
        <v>40</v>
      </c>
      <c r="B45" s="79">
        <f>IF($C$3=20,'Seções '!J42,IF('Propriedades geométricas VI'!$C$3=25,'Seções '!F42,IF('Propriedades geométricas VI'!$C$3=30,'Seções '!B42)))</f>
        <v>105.57</v>
      </c>
      <c r="C45" s="79">
        <f>IF($C$3=20,'Seções '!K42,IF('Propriedades geométricas VI'!$C$3=25,'Seções '!G42,IF('Propriedades geométricas VI'!$C$3=30,'Seções '!C42)))</f>
        <v>18.84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73">
        <f t="shared" si="1"/>
        <v>41</v>
      </c>
      <c r="B46" s="79">
        <f>IF($C$3=20,'Seções '!J43,IF('Propriedades geométricas VI'!$C$3=25,'Seções '!F43,IF('Propriedades geométricas VI'!$C$3=30,'Seções '!B43)))</f>
        <v>105.08</v>
      </c>
      <c r="C46" s="79">
        <f>IF($C$3=20,'Seções '!K43,IF('Propriedades geométricas VI'!$C$3=25,'Seções '!G43,IF('Propriedades geométricas VI'!$C$3=30,'Seções '!C43)))</f>
        <v>17.760000000000002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73">
        <f t="shared" si="1"/>
        <v>42</v>
      </c>
      <c r="B47" s="79">
        <f>IF($C$3=20,'Seções '!J44,IF('Propriedades geométricas VI'!$C$3=25,'Seções '!F44,IF('Propriedades geométricas VI'!$C$3=30,'Seções '!B44)))</f>
        <v>104.82</v>
      </c>
      <c r="C47" s="79">
        <f>IF($C$3=20,'Seções '!K44,IF('Propriedades geométricas VI'!$C$3=25,'Seções '!G44,IF('Propriedades geométricas VI'!$C$3=30,'Seções '!C44)))</f>
        <v>16.66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73">
        <f t="shared" si="1"/>
        <v>43</v>
      </c>
      <c r="B48" s="79">
        <f>IF($C$3=20,'Seções '!J45,IF('Propriedades geométricas VI'!$C$3=25,'Seções '!F45,IF('Propriedades geométricas VI'!$C$3=30,'Seções '!B45)))</f>
        <v>104.75</v>
      </c>
      <c r="C48" s="79">
        <f>IF($C$3=20,'Seções '!K45,IF('Propriedades geométricas VI'!$C$3=25,'Seções '!G45,IF('Propriedades geométricas VI'!$C$3=30,'Seções '!C45)))</f>
        <v>15.75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73">
        <f t="shared" si="1"/>
        <v>44</v>
      </c>
      <c r="B49" s="79">
        <f>IF($C$3=20,'Seções '!J46,IF('Propriedades geométricas VI'!$C$3=25,'Seções '!F46,IF('Propriedades geométricas VI'!$C$3=30,'Seções '!B46)))</f>
        <v>104.75</v>
      </c>
      <c r="C49" s="79">
        <f>IF($C$3=20,'Seções '!K46,IF('Propriedades geométricas VI'!$C$3=25,'Seções '!G46,IF('Propriedades geométricas VI'!$C$3=30,'Seções '!C46)))</f>
        <v>5.8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73">
        <f t="shared" si="1"/>
        <v>45</v>
      </c>
      <c r="B50" s="79">
        <f>IF($C$3=20,'Seções '!J47,IF('Propriedades geométricas VI'!$C$3=25,'Seções '!F47,IF('Propriedades geométricas VI'!$C$3=30,'Seções '!B47)))</f>
        <v>107.9</v>
      </c>
      <c r="C50" s="79">
        <f>IF($C$3=20,'Seções '!K47,IF('Propriedades geométricas VI'!$C$3=25,'Seções '!G47,IF('Propriedades geométricas VI'!$C$3=30,'Seções '!C47)))</f>
        <v>3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73">
        <f t="shared" si="1"/>
        <v>46</v>
      </c>
      <c r="B51" s="79">
        <f>IF($C$3=20,'Seções '!J48,IF('Propriedades geométricas VI'!$C$3=25,'Seções '!F48,IF('Propriedades geométricas VI'!$C$3=30,'Seções '!B48)))</f>
        <v>111</v>
      </c>
      <c r="C51" s="79">
        <f>IF($C$3=20,'Seções '!K48,IF('Propriedades geométricas VI'!$C$3=25,'Seções '!G48,IF('Propriedades geométricas VI'!$C$3=30,'Seções '!C48)))</f>
        <v>3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73">
        <f t="shared" si="1"/>
        <v>47</v>
      </c>
      <c r="B52" s="79">
        <f>IF($C$3=20,'Seções '!J49,IF('Propriedades geométricas VI'!$C$3=25,'Seções '!F49,IF('Propriedades geométricas VI'!$C$3=30,'Seções '!B49)))</f>
        <v>111</v>
      </c>
      <c r="C52" s="79">
        <f>IF($C$3=20,'Seções '!K49,IF('Propriedades geométricas VI'!$C$3=25,'Seções '!G49,IF('Propriedades geométricas VI'!$C$3=30,'Seções '!C49)))</f>
        <v>0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73">
        <f t="shared" si="1"/>
        <v>48</v>
      </c>
      <c r="B53" s="79">
        <f>IF($C$3=20,'Seções '!J50,IF('Propriedades geométricas VI'!$C$3=25,'Seções '!F50,IF('Propriedades geométricas VI'!$C$3=30,'Seções '!B50)))</f>
        <v>94.8</v>
      </c>
      <c r="C53" s="79">
        <f>IF($C$3=20,'Seções '!K50,IF('Propriedades geométricas VI'!$C$3=25,'Seções '!G50,IF('Propriedades geométricas VI'!$C$3=30,'Seções '!C50)))</f>
        <v>0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73">
        <f t="shared" si="1"/>
        <v>49</v>
      </c>
      <c r="B54" s="79">
        <f>IF($C$3=20,'Seções '!J51,IF('Propriedades geométricas VI'!$C$3=25,'Seções '!F51,IF('Propriedades geométricas VI'!$C$3=30,'Seções '!B51)))</f>
        <v>94.8</v>
      </c>
      <c r="C54" s="79">
        <f>IF($C$3=20,'Seções '!K51,IF('Propriedades geométricas VI'!$C$3=25,'Seções '!G51,IF('Propriedades geométricas VI'!$C$3=30,'Seções '!C51)))</f>
        <v>3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73">
        <f t="shared" si="1"/>
        <v>50</v>
      </c>
      <c r="B55" s="79">
        <f>IF($C$3=20,'Seções '!J52,IF('Propriedades geométricas VI'!$C$3=25,'Seções '!F52,IF('Propriedades geométricas VI'!$C$3=30,'Seções '!B52)))</f>
        <v>97.85</v>
      </c>
      <c r="C55" s="79">
        <f>IF($C$3=20,'Seções '!K52,IF('Propriedades geométricas VI'!$C$3=25,'Seções '!G52,IF('Propriedades geométricas VI'!$C$3=30,'Seções '!C52)))</f>
        <v>3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73">
        <f t="shared" si="1"/>
        <v>51</v>
      </c>
      <c r="B56" s="79">
        <f>IF($C$3=20,'Seções '!J53,IF('Propriedades geométricas VI'!$C$3=25,'Seções '!F53,IF('Propriedades geométricas VI'!$C$3=30,'Seções '!B53)))</f>
        <v>101</v>
      </c>
      <c r="C56" s="79">
        <f>IF($C$3=20,'Seções '!K53,IF('Propriedades geométricas VI'!$C$3=25,'Seções '!G53,IF('Propriedades geométricas VI'!$C$3=30,'Seções '!C53)))</f>
        <v>5.8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73">
        <f t="shared" si="1"/>
        <v>52</v>
      </c>
      <c r="B57" s="79">
        <f>IF($C$3=20,'Seções '!J54,IF('Propriedades geométricas VI'!$C$3=25,'Seções '!F54,IF('Propriedades geométricas VI'!$C$3=30,'Seções '!B54)))</f>
        <v>101</v>
      </c>
      <c r="C57" s="79">
        <f>IF($C$3=20,'Seções '!K54,IF('Propriedades geométricas VI'!$C$3=25,'Seções '!G54,IF('Propriedades geométricas VI'!$C$3=30,'Seções '!C54)))</f>
        <v>15.75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73">
        <f t="shared" si="1"/>
        <v>53</v>
      </c>
      <c r="B58" s="79">
        <f>IF($C$3=20,'Seções '!J55,IF('Propriedades geométricas VI'!$C$3=25,'Seções '!F55,IF('Propriedades geométricas VI'!$C$3=30,'Seções '!B55)))</f>
        <v>100.93</v>
      </c>
      <c r="C58" s="79">
        <f>IF($C$3=20,'Seções '!K55,IF('Propriedades geométricas VI'!$C$3=25,'Seções '!G55,IF('Propriedades geométricas VI'!$C$3=30,'Seções '!C55)))</f>
        <v>16.66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73">
        <f t="shared" si="1"/>
        <v>54</v>
      </c>
      <c r="B59" s="79">
        <f>IF($C$3=20,'Seções '!J56,IF('Propriedades geométricas VI'!$C$3=25,'Seções '!F56,IF('Propriedades geométricas VI'!$C$3=30,'Seções '!B56)))</f>
        <v>100.67</v>
      </c>
      <c r="C59" s="79">
        <f>IF($C$3=20,'Seções '!K56,IF('Propriedades geométricas VI'!$C$3=25,'Seções '!G56,IF('Propriedades geométricas VI'!$C$3=30,'Seções '!C56)))</f>
        <v>17.760000000000002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73">
        <f t="shared" si="1"/>
        <v>55</v>
      </c>
      <c r="B60" s="79">
        <f>IF($C$3=20,'Seções '!J57,IF('Propriedades geométricas VI'!$C$3=25,'Seções '!F57,IF('Propriedades geométricas VI'!$C$3=30,'Seções '!B57)))</f>
        <v>100.18</v>
      </c>
      <c r="C60" s="79">
        <f>IF($C$3=20,'Seções '!K57,IF('Propriedades geométricas VI'!$C$3=25,'Seções '!G57,IF('Propriedades geométricas VI'!$C$3=30,'Seções '!C57)))</f>
        <v>18.84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73">
        <f t="shared" si="1"/>
        <v>56</v>
      </c>
      <c r="B61" s="79">
        <f>IF($C$3=20,'Seções '!J58,IF('Propriedades geométricas VI'!$C$3=25,'Seções '!F58,IF('Propriedades geométricas VI'!$C$3=30,'Seções '!B58)))</f>
        <v>99.62</v>
      </c>
      <c r="C61" s="79">
        <f>IF($C$3=20,'Seções '!K58,IF('Propriedades geométricas VI'!$C$3=25,'Seções '!G58,IF('Propriedades geométricas VI'!$C$3=30,'Seções '!C58)))</f>
        <v>19.66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73">
        <f t="shared" si="1"/>
        <v>57</v>
      </c>
      <c r="B62" s="79">
        <f>IF($C$3=20,'Seções '!J59,IF('Propriedades geométricas VI'!$C$3=25,'Seções '!F59,IF('Propriedades geométricas VI'!$C$3=30,'Seções '!B59)))</f>
        <v>98.98</v>
      </c>
      <c r="C62" s="79">
        <f>IF($C$3=20,'Seções '!K59,IF('Propriedades geométricas VI'!$C$3=25,'Seções '!G59,IF('Propriedades geométricas VI'!$C$3=30,'Seções '!C59)))</f>
        <v>20.350000000000001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73">
        <f t="shared" si="1"/>
        <v>58</v>
      </c>
      <c r="B63" s="79">
        <f>IF($C$3=20,'Seções '!J60,IF('Propriedades geométricas VI'!$C$3=25,'Seções '!F60,IF('Propriedades geométricas VI'!$C$3=30,'Seções '!B60)))</f>
        <v>98.3</v>
      </c>
      <c r="C63" s="79">
        <f>IF($C$3=20,'Seções '!K60,IF('Propriedades geométricas VI'!$C$3=25,'Seções '!G60,IF('Propriedades geométricas VI'!$C$3=30,'Seções '!C60)))</f>
        <v>20.89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73">
        <f t="shared" si="1"/>
        <v>59</v>
      </c>
      <c r="B64" s="79">
        <f>IF($C$3=20,'Seções '!J61,IF('Propriedades geométricas VI'!$C$3=25,'Seções '!F61,IF('Propriedades geométricas VI'!$C$3=30,'Seções '!B61)))</f>
        <v>97.65</v>
      </c>
      <c r="C64" s="79">
        <f>IF($C$3=20,'Seções '!K61,IF('Propriedades geométricas VI'!$C$3=25,'Seções '!G61,IF('Propriedades geométricas VI'!$C$3=30,'Seções '!C61)))</f>
        <v>21.29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73">
        <f t="shared" si="1"/>
        <v>60</v>
      </c>
      <c r="B65" s="79">
        <f>IF($C$3=20,'Seções '!J62,IF('Propriedades geométricas VI'!$C$3=25,'Seções '!F62,IF('Propriedades geométricas VI'!$C$3=30,'Seções '!B62)))</f>
        <v>96.93</v>
      </c>
      <c r="C65" s="79">
        <f>IF($C$3=20,'Seções '!K62,IF('Propriedades geométricas VI'!$C$3=25,'Seções '!G62,IF('Propriedades geométricas VI'!$C$3=30,'Seções '!C62)))</f>
        <v>21.61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73">
        <f t="shared" si="1"/>
        <v>61</v>
      </c>
      <c r="B66" s="79">
        <f>IF($C$3=20,'Seções '!J63,IF('Propriedades geométricas VI'!$C$3=25,'Seções '!F63,IF('Propriedades geométricas VI'!$C$3=30,'Seções '!B63)))</f>
        <v>96.34</v>
      </c>
      <c r="C66" s="79">
        <f>IF($C$3=20,'Seções '!K63,IF('Propriedades geométricas VI'!$C$3=25,'Seções '!G63,IF('Propriedades geométricas VI'!$C$3=30,'Seções '!C63)))</f>
        <v>21.79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73">
        <f t="shared" si="1"/>
        <v>62</v>
      </c>
      <c r="B67" s="79">
        <f>IF($C$3=20,'Seções '!J64,IF('Propriedades geométricas VI'!$C$3=25,'Seções '!F64,IF('Propriedades geométricas VI'!$C$3=30,'Seções '!B64)))</f>
        <v>95.72</v>
      </c>
      <c r="C67" s="79">
        <f>IF($C$3=20,'Seções '!K64,IF('Propriedades geométricas VI'!$C$3=25,'Seções '!G64,IF('Propriedades geométricas VI'!$C$3=30,'Seções '!C64)))</f>
        <v>21.92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73">
        <f t="shared" si="1"/>
        <v>63</v>
      </c>
      <c r="B68" s="79">
        <f>IF($C$3=20,'Seções '!J65,IF('Propriedades geométricas VI'!$C$3=25,'Seções '!F65,IF('Propriedades geométricas VI'!$C$3=30,'Seções '!B65)))</f>
        <v>95.05</v>
      </c>
      <c r="C68" s="79">
        <f>IF($C$3=20,'Seções '!K65,IF('Propriedades geométricas VI'!$C$3=25,'Seções '!G65,IF('Propriedades geométricas VI'!$C$3=30,'Seções '!C65)))</f>
        <v>21.99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73">
        <f t="shared" si="1"/>
        <v>64</v>
      </c>
      <c r="B69" s="79">
        <f>IF($C$3=20,'Seções '!J66,IF('Propriedades geométricas VI'!$C$3=25,'Seções '!F66,IF('Propriedades geométricas VI'!$C$3=30,'Seções '!B66)))</f>
        <v>94.45</v>
      </c>
      <c r="C69" s="79">
        <f>IF($C$3=20,'Seções '!K66,IF('Propriedades geométricas VI'!$C$3=25,'Seções '!G66,IF('Propriedades geométricas VI'!$C$3=30,'Seções '!C66)))</f>
        <v>21.99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73">
        <f t="shared" si="1"/>
        <v>65</v>
      </c>
      <c r="B70" s="79">
        <f>IF($C$3=20,'Seções '!J67,IF('Propriedades geométricas VI'!$C$3=25,'Seções '!F67,IF('Propriedades geométricas VI'!$C$3=30,'Seções '!B67)))</f>
        <v>93.78</v>
      </c>
      <c r="C70" s="79">
        <f>IF($C$3=20,'Seções '!K67,IF('Propriedades geométricas VI'!$C$3=25,'Seções '!G67,IF('Propriedades geométricas VI'!$C$3=30,'Seções '!C67)))</f>
        <v>21.92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73">
        <f t="shared" si="1"/>
        <v>66</v>
      </c>
      <c r="B71" s="79">
        <f>IF($C$3=20,'Seções '!J68,IF('Propriedades geométricas VI'!$C$3=25,'Seções '!F68,IF('Propriedades geométricas VI'!$C$3=30,'Seções '!B68)))</f>
        <v>93.16</v>
      </c>
      <c r="C71" s="79">
        <f>IF($C$3=20,'Seções '!K68,IF('Propriedades geométricas VI'!$C$3=25,'Seções '!G68,IF('Propriedades geométricas VI'!$C$3=30,'Seções '!C68)))</f>
        <v>21.79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73">
        <f t="shared" si="1"/>
        <v>67</v>
      </c>
      <c r="B72" s="79">
        <f>IF($C$3=20,'Seções '!J69,IF('Propriedades geométricas VI'!$C$3=25,'Seções '!F69,IF('Propriedades geométricas VI'!$C$3=30,'Seções '!B69)))</f>
        <v>92.57</v>
      </c>
      <c r="C72" s="79">
        <f>IF($C$3=20,'Seções '!K69,IF('Propriedades geométricas VI'!$C$3=25,'Seções '!G69,IF('Propriedades geométricas VI'!$C$3=30,'Seções '!C69)))</f>
        <v>21.61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73">
        <f t="shared" si="1"/>
        <v>68</v>
      </c>
      <c r="B73" s="79">
        <f>IF($C$3=20,'Seções '!J70,IF('Propriedades geométricas VI'!$C$3=25,'Seções '!F70,IF('Propriedades geométricas VI'!$C$3=30,'Seções '!B70)))</f>
        <v>91.85</v>
      </c>
      <c r="C73" s="79">
        <f>IF($C$3=20,'Seções '!K70,IF('Propriedades geométricas VI'!$C$3=25,'Seções '!G70,IF('Propriedades geométricas VI'!$C$3=30,'Seções '!C70)))</f>
        <v>21.29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73">
        <f t="shared" si="1"/>
        <v>69</v>
      </c>
      <c r="B74" s="79">
        <f>IF($C$3=20,'Seções '!J71,IF('Propriedades geométricas VI'!$C$3=25,'Seções '!F71,IF('Propriedades geométricas VI'!$C$3=30,'Seções '!B71)))</f>
        <v>91.2</v>
      </c>
      <c r="C74" s="79">
        <f>IF($C$3=20,'Seções '!K71,IF('Propriedades geométricas VI'!$C$3=25,'Seções '!G71,IF('Propriedades geométricas VI'!$C$3=30,'Seções '!C71)))</f>
        <v>20.89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73">
        <f t="shared" si="1"/>
        <v>70</v>
      </c>
      <c r="B75" s="79">
        <f>IF($C$3=20,'Seções '!J72,IF('Propriedades geométricas VI'!$C$3=25,'Seções '!F72,IF('Propriedades geométricas VI'!$C$3=30,'Seções '!B72)))</f>
        <v>90.52</v>
      </c>
      <c r="C75" s="79">
        <f>IF($C$3=20,'Seções '!K72,IF('Propriedades geométricas VI'!$C$3=25,'Seções '!G72,IF('Propriedades geométricas VI'!$C$3=30,'Seções '!C72)))</f>
        <v>20.350000000000001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73">
        <f t="shared" si="1"/>
        <v>71</v>
      </c>
      <c r="B76" s="79">
        <f>IF($C$3=20,'Seções '!J73,IF('Propriedades geométricas VI'!$C$3=25,'Seções '!F73,IF('Propriedades geométricas VI'!$C$3=30,'Seções '!B73)))</f>
        <v>89.88</v>
      </c>
      <c r="C76" s="79">
        <f>IF($C$3=20,'Seções '!K73,IF('Propriedades geométricas VI'!$C$3=25,'Seções '!G73,IF('Propriedades geométricas VI'!$C$3=30,'Seções '!C73)))</f>
        <v>19.66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73">
        <f t="shared" si="1"/>
        <v>72</v>
      </c>
      <c r="B77" s="79">
        <f>IF($C$3=20,'Seções '!J74,IF('Propriedades geométricas VI'!$C$3=25,'Seções '!F74,IF('Propriedades geométricas VI'!$C$3=30,'Seções '!B74)))</f>
        <v>89.32</v>
      </c>
      <c r="C77" s="79">
        <f>IF($C$3=20,'Seções '!K74,IF('Propriedades geométricas VI'!$C$3=25,'Seções '!G74,IF('Propriedades geométricas VI'!$C$3=30,'Seções '!C74)))</f>
        <v>18.84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73">
        <f t="shared" si="1"/>
        <v>73</v>
      </c>
      <c r="B78" s="79">
        <f>IF($C$3=20,'Seções '!J75,IF('Propriedades geométricas VI'!$C$3=25,'Seções '!F75,IF('Propriedades geométricas VI'!$C$3=30,'Seções '!B75)))</f>
        <v>88.83</v>
      </c>
      <c r="C78" s="79">
        <f>IF($C$3=20,'Seções '!K75,IF('Propriedades geométricas VI'!$C$3=25,'Seções '!G75,IF('Propriedades geométricas VI'!$C$3=30,'Seções '!C75)))</f>
        <v>17.760000000000002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73">
        <f t="shared" si="1"/>
        <v>74</v>
      </c>
      <c r="B79" s="79">
        <f>IF($C$3=20,'Seções '!J76,IF('Propriedades geométricas VI'!$C$3=25,'Seções '!F76,IF('Propriedades geométricas VI'!$C$3=30,'Seções '!B76)))</f>
        <v>88.57</v>
      </c>
      <c r="C79" s="79">
        <f>IF($C$3=20,'Seções '!K76,IF('Propriedades geométricas VI'!$C$3=25,'Seções '!G76,IF('Propriedades geométricas VI'!$C$3=30,'Seções '!C76)))</f>
        <v>16.66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B80" s="79">
        <f>IF($C$3=20,'Seções '!J77,IF('Propriedades geométricas VI'!$C$3=25,'Seções '!F77,IF('Propriedades geométricas VI'!$C$3=30,'Seções '!B77)))</f>
        <v>88.5</v>
      </c>
      <c r="C80" s="79">
        <f>IF($C$3=20,'Seções '!K77,IF('Propriedades geométricas VI'!$C$3=25,'Seções '!G77,IF('Propriedades geométricas VI'!$C$3=30,'Seções '!C77)))</f>
        <v>15.75</v>
      </c>
    </row>
    <row r="81" spans="2:3" x14ac:dyDescent="0.25">
      <c r="B81" s="79">
        <f>IF($C$3=20,'Seções '!J78,IF('Propriedades geométricas VI'!$C$3=25,'Seções '!F78,IF('Propriedades geométricas VI'!$C$3=30,'Seções '!B78)))</f>
        <v>88.5</v>
      </c>
      <c r="C81" s="79">
        <f>IF($C$3=20,'Seções '!K78,IF('Propriedades geométricas VI'!$C$3=25,'Seções '!G78,IF('Propriedades geométricas VI'!$C$3=30,'Seções '!C78)))</f>
        <v>5.8</v>
      </c>
    </row>
    <row r="82" spans="2:3" x14ac:dyDescent="0.25">
      <c r="B82" s="79">
        <f>IF($C$3=20,'Seções '!J79,IF('Propriedades geométricas VI'!$C$3=25,'Seções '!F79,IF('Propriedades geométricas VI'!$C$3=30,'Seções '!B79)))</f>
        <v>91.65</v>
      </c>
      <c r="C82" s="79">
        <f>IF($C$3=20,'Seções '!K79,IF('Propriedades geométricas VI'!$C$3=25,'Seções '!G79,IF('Propriedades geométricas VI'!$C$3=30,'Seções '!C79)))</f>
        <v>3</v>
      </c>
    </row>
    <row r="83" spans="2:3" x14ac:dyDescent="0.25">
      <c r="B83" s="79">
        <f>IF($C$3=20,'Seções '!J80,IF('Propriedades geométricas VI'!$C$3=25,'Seções '!F80,IF('Propriedades geométricas VI'!$C$3=30,'Seções '!B80)))</f>
        <v>94.75</v>
      </c>
      <c r="C83" s="79">
        <f>IF($C$3=20,'Seções '!K80,IF('Propriedades geométricas VI'!$C$3=25,'Seções '!G80,IF('Propriedades geométricas VI'!$C$3=30,'Seções '!C80)))</f>
        <v>3</v>
      </c>
    </row>
    <row r="84" spans="2:3" x14ac:dyDescent="0.25">
      <c r="B84" s="79">
        <f>IF($C$3=20,'Seções '!J81,IF('Propriedades geométricas VI'!$C$3=25,'Seções '!F81,IF('Propriedades geométricas VI'!$C$3=30,'Seções '!B81)))</f>
        <v>94.75</v>
      </c>
      <c r="C84" s="79">
        <f>IF($C$3=20,'Seções '!K81,IF('Propriedades geométricas VI'!$C$3=25,'Seções '!G81,IF('Propriedades geométricas VI'!$C$3=30,'Seções '!C81)))</f>
        <v>0</v>
      </c>
    </row>
    <row r="85" spans="2:3" x14ac:dyDescent="0.25">
      <c r="B85" s="79">
        <f>IF($C$3=20,'Seções '!J82,IF('Propriedades geométricas VI'!$C$3=25,'Seções '!F82,IF('Propriedades geométricas VI'!$C$3=30,'Seções '!B82)))</f>
        <v>78.55</v>
      </c>
      <c r="C85" s="79">
        <f>IF($C$3=20,'Seções '!K82,IF('Propriedades geométricas VI'!$C$3=25,'Seções '!G82,IF('Propriedades geométricas VI'!$C$3=30,'Seções '!C82)))</f>
        <v>0</v>
      </c>
    </row>
    <row r="86" spans="2:3" x14ac:dyDescent="0.25">
      <c r="B86" s="79">
        <f>IF($C$3=20,'Seções '!J83,IF('Propriedades geométricas VI'!$C$3=25,'Seções '!F83,IF('Propriedades geométricas VI'!$C$3=30,'Seções '!B83)))</f>
        <v>78.55</v>
      </c>
      <c r="C86" s="79">
        <f>IF($C$3=20,'Seções '!K83,IF('Propriedades geométricas VI'!$C$3=25,'Seções '!G83,IF('Propriedades geométricas VI'!$C$3=30,'Seções '!C83)))</f>
        <v>3</v>
      </c>
    </row>
    <row r="87" spans="2:3" x14ac:dyDescent="0.25">
      <c r="B87" s="79">
        <f>IF($C$3=20,'Seções '!J84,IF('Propriedades geométricas VI'!$C$3=25,'Seções '!F84,IF('Propriedades geométricas VI'!$C$3=30,'Seções '!B84)))</f>
        <v>81.599999999999994</v>
      </c>
      <c r="C87" s="79">
        <f>IF($C$3=20,'Seções '!K84,IF('Propriedades geométricas VI'!$C$3=25,'Seções '!G84,IF('Propriedades geométricas VI'!$C$3=30,'Seções '!C84)))</f>
        <v>3</v>
      </c>
    </row>
    <row r="88" spans="2:3" x14ac:dyDescent="0.25">
      <c r="B88" s="79">
        <f>IF($C$3=20,'Seções '!J85,IF('Propriedades geométricas VI'!$C$3=25,'Seções '!F85,IF('Propriedades geométricas VI'!$C$3=30,'Seções '!B85)))</f>
        <v>84.75</v>
      </c>
      <c r="C88" s="79">
        <f>IF($C$3=20,'Seções '!K85,IF('Propriedades geométricas VI'!$C$3=25,'Seções '!G85,IF('Propriedades geométricas VI'!$C$3=30,'Seções '!C85)))</f>
        <v>5.8</v>
      </c>
    </row>
    <row r="89" spans="2:3" x14ac:dyDescent="0.25">
      <c r="B89" s="79">
        <f>IF($C$3=20,'Seções '!J86,IF('Propriedades geométricas VI'!$C$3=25,'Seções '!F86,IF('Propriedades geométricas VI'!$C$3=30,'Seções '!B86)))</f>
        <v>84.75</v>
      </c>
      <c r="C89" s="79">
        <f>IF($C$3=20,'Seções '!K86,IF('Propriedades geométricas VI'!$C$3=25,'Seções '!G86,IF('Propriedades geométricas VI'!$C$3=30,'Seções '!C86)))</f>
        <v>15.75</v>
      </c>
    </row>
    <row r="90" spans="2:3" x14ac:dyDescent="0.25">
      <c r="B90" s="79">
        <f>IF($C$3=20,'Seções '!J87,IF('Propriedades geométricas VI'!$C$3=25,'Seções '!F87,IF('Propriedades geométricas VI'!$C$3=30,'Seções '!B87)))</f>
        <v>84.68</v>
      </c>
      <c r="C90" s="79">
        <f>IF($C$3=20,'Seções '!K87,IF('Propriedades geométricas VI'!$C$3=25,'Seções '!G87,IF('Propriedades geométricas VI'!$C$3=30,'Seções '!C87)))</f>
        <v>16.66</v>
      </c>
    </row>
    <row r="91" spans="2:3" x14ac:dyDescent="0.25">
      <c r="B91" s="79">
        <f>IF($C$3=20,'Seções '!J88,IF('Propriedades geométricas VI'!$C$3=25,'Seções '!F88,IF('Propriedades geométricas VI'!$C$3=30,'Seções '!B88)))</f>
        <v>84.42</v>
      </c>
      <c r="C91" s="79">
        <f>IF($C$3=20,'Seções '!K88,IF('Propriedades geométricas VI'!$C$3=25,'Seções '!G88,IF('Propriedades geométricas VI'!$C$3=30,'Seções '!C88)))</f>
        <v>17.760000000000002</v>
      </c>
    </row>
    <row r="92" spans="2:3" x14ac:dyDescent="0.25">
      <c r="B92" s="79">
        <f>IF($C$3=20,'Seções '!J89,IF('Propriedades geométricas VI'!$C$3=25,'Seções '!F89,IF('Propriedades geométricas VI'!$C$3=30,'Seções '!B89)))</f>
        <v>83.93</v>
      </c>
      <c r="C92" s="79">
        <f>IF($C$3=20,'Seções '!K89,IF('Propriedades geométricas VI'!$C$3=25,'Seções '!G89,IF('Propriedades geométricas VI'!$C$3=30,'Seções '!C89)))</f>
        <v>18.84</v>
      </c>
    </row>
    <row r="93" spans="2:3" x14ac:dyDescent="0.25">
      <c r="B93" s="79">
        <f>IF($C$3=20,'Seções '!J90,IF('Propriedades geométricas VI'!$C$3=25,'Seções '!F90,IF('Propriedades geométricas VI'!$C$3=30,'Seções '!B90)))</f>
        <v>83.37</v>
      </c>
      <c r="C93" s="79">
        <f>IF($C$3=20,'Seções '!K90,IF('Propriedades geométricas VI'!$C$3=25,'Seções '!G90,IF('Propriedades geométricas VI'!$C$3=30,'Seções '!C90)))</f>
        <v>19.66</v>
      </c>
    </row>
    <row r="94" spans="2:3" x14ac:dyDescent="0.25">
      <c r="B94" s="79">
        <f>IF($C$3=20,'Seções '!J91,IF('Propriedades geométricas VI'!$C$3=25,'Seções '!F91,IF('Propriedades geométricas VI'!$C$3=30,'Seções '!B91)))</f>
        <v>82.73</v>
      </c>
      <c r="C94" s="79">
        <f>IF($C$3=20,'Seções '!K91,IF('Propriedades geométricas VI'!$C$3=25,'Seções '!G91,IF('Propriedades geométricas VI'!$C$3=30,'Seções '!C91)))</f>
        <v>20.350000000000001</v>
      </c>
    </row>
    <row r="95" spans="2:3" x14ac:dyDescent="0.25">
      <c r="B95" s="79">
        <f>IF($C$3=20,'Seções '!J92,IF('Propriedades geométricas VI'!$C$3=25,'Seções '!F92,IF('Propriedades geométricas VI'!$C$3=30,'Seções '!B92)))</f>
        <v>82.05</v>
      </c>
      <c r="C95" s="79">
        <f>IF($C$3=20,'Seções '!K92,IF('Propriedades geométricas VI'!$C$3=25,'Seções '!G92,IF('Propriedades geométricas VI'!$C$3=30,'Seções '!C92)))</f>
        <v>20.89</v>
      </c>
    </row>
    <row r="96" spans="2:3" x14ac:dyDescent="0.25">
      <c r="B96" s="79">
        <f>IF($C$3=20,'Seções '!J93,IF('Propriedades geométricas VI'!$C$3=25,'Seções '!F93,IF('Propriedades geométricas VI'!$C$3=30,'Seções '!B93)))</f>
        <v>81.400000000000006</v>
      </c>
      <c r="C96" s="79">
        <f>IF($C$3=20,'Seções '!K93,IF('Propriedades geométricas VI'!$C$3=25,'Seções '!G93,IF('Propriedades geométricas VI'!$C$3=30,'Seções '!C93)))</f>
        <v>21.29</v>
      </c>
    </row>
    <row r="97" spans="2:3" x14ac:dyDescent="0.25">
      <c r="B97" s="79">
        <f>IF($C$3=20,'Seções '!J94,IF('Propriedades geométricas VI'!$C$3=25,'Seções '!F94,IF('Propriedades geométricas VI'!$C$3=30,'Seções '!B94)))</f>
        <v>80.680000000000007</v>
      </c>
      <c r="C97" s="79">
        <f>IF($C$3=20,'Seções '!K94,IF('Propriedades geométricas VI'!$C$3=25,'Seções '!G94,IF('Propriedades geométricas VI'!$C$3=30,'Seções '!C94)))</f>
        <v>21.61</v>
      </c>
    </row>
    <row r="98" spans="2:3" x14ac:dyDescent="0.25">
      <c r="B98" s="79">
        <f>IF($C$3=20,'Seções '!J95,IF('Propriedades geométricas VI'!$C$3=25,'Seções '!F95,IF('Propriedades geométricas VI'!$C$3=30,'Seções '!B95)))</f>
        <v>80.09</v>
      </c>
      <c r="C98" s="79">
        <f>IF($C$3=20,'Seções '!K95,IF('Propriedades geométricas VI'!$C$3=25,'Seções '!G95,IF('Propriedades geométricas VI'!$C$3=30,'Seções '!C95)))</f>
        <v>21.79</v>
      </c>
    </row>
    <row r="99" spans="2:3" x14ac:dyDescent="0.25">
      <c r="B99" s="79">
        <f>IF($C$3=20,'Seções '!J96,IF('Propriedades geométricas VI'!$C$3=25,'Seções '!F96,IF('Propriedades geométricas VI'!$C$3=30,'Seções '!B96)))</f>
        <v>79.47</v>
      </c>
      <c r="C99" s="79">
        <f>IF($C$3=20,'Seções '!K96,IF('Propriedades geométricas VI'!$C$3=25,'Seções '!G96,IF('Propriedades geométricas VI'!$C$3=30,'Seções '!C96)))</f>
        <v>21.92</v>
      </c>
    </row>
    <row r="100" spans="2:3" x14ac:dyDescent="0.25">
      <c r="B100" s="79">
        <f>IF($C$3=20,'Seções '!J97,IF('Propriedades geométricas VI'!$C$3=25,'Seções '!F97,IF('Propriedades geométricas VI'!$C$3=30,'Seções '!B97)))</f>
        <v>78.8</v>
      </c>
      <c r="C100" s="79">
        <f>IF($C$3=20,'Seções '!K97,IF('Propriedades geométricas VI'!$C$3=25,'Seções '!G97,IF('Propriedades geométricas VI'!$C$3=30,'Seções '!C97)))</f>
        <v>21.99</v>
      </c>
    </row>
    <row r="101" spans="2:3" x14ac:dyDescent="0.25">
      <c r="B101" s="79">
        <f>IF($C$3=20,'Seções '!J98,IF('Propriedades geométricas VI'!$C$3=25,'Seções '!F98,IF('Propriedades geométricas VI'!$C$3=30,'Seções '!B98)))</f>
        <v>78.2</v>
      </c>
      <c r="C101" s="79">
        <f>IF($C$3=20,'Seções '!K98,IF('Propriedades geométricas VI'!$C$3=25,'Seções '!G98,IF('Propriedades geométricas VI'!$C$3=30,'Seções '!C98)))</f>
        <v>21.99</v>
      </c>
    </row>
    <row r="102" spans="2:3" x14ac:dyDescent="0.25">
      <c r="B102" s="79">
        <f>IF($C$3=20,'Seções '!J99,IF('Propriedades geométricas VI'!$C$3=25,'Seções '!F99,IF('Propriedades geométricas VI'!$C$3=30,'Seções '!B99)))</f>
        <v>77.53</v>
      </c>
      <c r="C102" s="79">
        <f>IF($C$3=20,'Seções '!K99,IF('Propriedades geométricas VI'!$C$3=25,'Seções '!G99,IF('Propriedades geométricas VI'!$C$3=30,'Seções '!C99)))</f>
        <v>21.92</v>
      </c>
    </row>
    <row r="103" spans="2:3" x14ac:dyDescent="0.25">
      <c r="B103" s="79">
        <f>IF($C$3=20,'Seções '!J100,IF('Propriedades geométricas VI'!$C$3=25,'Seções '!F100,IF('Propriedades geométricas VI'!$C$3=30,'Seções '!B100)))</f>
        <v>76.91</v>
      </c>
      <c r="C103" s="79">
        <f>IF($C$3=20,'Seções '!K100,IF('Propriedades geométricas VI'!$C$3=25,'Seções '!G100,IF('Propriedades geométricas VI'!$C$3=30,'Seções '!C100)))</f>
        <v>21.79</v>
      </c>
    </row>
    <row r="104" spans="2:3" x14ac:dyDescent="0.25">
      <c r="B104" s="79">
        <f>IF($C$3=20,'Seções '!J101,IF('Propriedades geométricas VI'!$C$3=25,'Seções '!F101,IF('Propriedades geométricas VI'!$C$3=30,'Seções '!B101)))</f>
        <v>76.319999999999993</v>
      </c>
      <c r="C104" s="79">
        <f>IF($C$3=20,'Seções '!K101,IF('Propriedades geométricas VI'!$C$3=25,'Seções '!G101,IF('Propriedades geométricas VI'!$C$3=30,'Seções '!C101)))</f>
        <v>21.61</v>
      </c>
    </row>
    <row r="105" spans="2:3" x14ac:dyDescent="0.25">
      <c r="B105" s="79">
        <f>IF($C$3=20,'Seções '!J102,IF('Propriedades geométricas VI'!$C$3=25,'Seções '!F102,IF('Propriedades geométricas VI'!$C$3=30,'Seções '!B102)))</f>
        <v>75.599999999999994</v>
      </c>
      <c r="C105" s="79">
        <f>IF($C$3=20,'Seções '!K102,IF('Propriedades geométricas VI'!$C$3=25,'Seções '!G102,IF('Propriedades geométricas VI'!$C$3=30,'Seções '!C102)))</f>
        <v>21.29</v>
      </c>
    </row>
    <row r="106" spans="2:3" x14ac:dyDescent="0.25">
      <c r="B106" s="79">
        <f>IF($C$3=20,'Seções '!J103,IF('Propriedades geométricas VI'!$C$3=25,'Seções '!F103,IF('Propriedades geométricas VI'!$C$3=30,'Seções '!B103)))</f>
        <v>74.95</v>
      </c>
      <c r="C106" s="79">
        <f>IF($C$3=20,'Seções '!K103,IF('Propriedades geométricas VI'!$C$3=25,'Seções '!G103,IF('Propriedades geométricas VI'!$C$3=30,'Seções '!C103)))</f>
        <v>20.89</v>
      </c>
    </row>
    <row r="107" spans="2:3" x14ac:dyDescent="0.25">
      <c r="B107" s="79">
        <f>IF($C$3=20,'Seções '!J104,IF('Propriedades geométricas VI'!$C$3=25,'Seções '!F104,IF('Propriedades geométricas VI'!$C$3=30,'Seções '!B104)))</f>
        <v>74.27</v>
      </c>
      <c r="C107" s="79">
        <f>IF($C$3=20,'Seções '!K104,IF('Propriedades geométricas VI'!$C$3=25,'Seções '!G104,IF('Propriedades geométricas VI'!$C$3=30,'Seções '!C104)))</f>
        <v>20.350000000000001</v>
      </c>
    </row>
    <row r="108" spans="2:3" x14ac:dyDescent="0.25">
      <c r="B108" s="79">
        <f>IF($C$3=20,'Seções '!J105,IF('Propriedades geométricas VI'!$C$3=25,'Seções '!F105,IF('Propriedades geométricas VI'!$C$3=30,'Seções '!B105)))</f>
        <v>73.63</v>
      </c>
      <c r="C108" s="79">
        <f>IF($C$3=20,'Seções '!K105,IF('Propriedades geométricas VI'!$C$3=25,'Seções '!G105,IF('Propriedades geométricas VI'!$C$3=30,'Seções '!C105)))</f>
        <v>19.66</v>
      </c>
    </row>
    <row r="109" spans="2:3" x14ac:dyDescent="0.25">
      <c r="B109" s="79">
        <f>IF($C$3=20,'Seções '!J106,IF('Propriedades geométricas VI'!$C$3=25,'Seções '!F106,IF('Propriedades geométricas VI'!$C$3=30,'Seções '!B106)))</f>
        <v>73.069999999999993</v>
      </c>
      <c r="C109" s="79">
        <f>IF($C$3=20,'Seções '!K106,IF('Propriedades geométricas VI'!$C$3=25,'Seções '!G106,IF('Propriedades geométricas VI'!$C$3=30,'Seções '!C106)))</f>
        <v>18.84</v>
      </c>
    </row>
    <row r="110" spans="2:3" x14ac:dyDescent="0.25">
      <c r="B110" s="79">
        <f>IF($C$3=20,'Seções '!J107,IF('Propriedades geométricas VI'!$C$3=25,'Seções '!F107,IF('Propriedades geométricas VI'!$C$3=30,'Seções '!B107)))</f>
        <v>72.58</v>
      </c>
      <c r="C110" s="79">
        <f>IF($C$3=20,'Seções '!K107,IF('Propriedades geométricas VI'!$C$3=25,'Seções '!G107,IF('Propriedades geométricas VI'!$C$3=30,'Seções '!C107)))</f>
        <v>17.760000000000002</v>
      </c>
    </row>
    <row r="111" spans="2:3" x14ac:dyDescent="0.25">
      <c r="B111" s="79">
        <f>IF($C$3=20,'Seções '!J108,IF('Propriedades geométricas VI'!$C$3=25,'Seções '!F108,IF('Propriedades geométricas VI'!$C$3=30,'Seções '!B108)))</f>
        <v>72.319999999999993</v>
      </c>
      <c r="C111" s="79">
        <f>IF($C$3=20,'Seções '!K108,IF('Propriedades geométricas VI'!$C$3=25,'Seções '!G108,IF('Propriedades geométricas VI'!$C$3=30,'Seções '!C108)))</f>
        <v>16.66</v>
      </c>
    </row>
    <row r="112" spans="2:3" x14ac:dyDescent="0.25">
      <c r="B112" s="79">
        <f>IF($C$3=20,'Seções '!J109,IF('Propriedades geométricas VI'!$C$3=25,'Seções '!F109,IF('Propriedades geométricas VI'!$C$3=30,'Seções '!B109)))</f>
        <v>72.25</v>
      </c>
      <c r="C112" s="79">
        <f>IF($C$3=20,'Seções '!K109,IF('Propriedades geométricas VI'!$C$3=25,'Seções '!G109,IF('Propriedades geométricas VI'!$C$3=30,'Seções '!C109)))</f>
        <v>15.75</v>
      </c>
    </row>
    <row r="113" spans="2:3" x14ac:dyDescent="0.25">
      <c r="B113" s="79">
        <f>IF($C$3=20,'Seções '!J110,IF('Propriedades geométricas VI'!$C$3=25,'Seções '!F110,IF('Propriedades geométricas VI'!$C$3=30,'Seções '!B110)))</f>
        <v>72.25</v>
      </c>
      <c r="C113" s="79">
        <f>IF($C$3=20,'Seções '!K110,IF('Propriedades geométricas VI'!$C$3=25,'Seções '!G110,IF('Propriedades geométricas VI'!$C$3=30,'Seções '!C110)))</f>
        <v>5.8</v>
      </c>
    </row>
    <row r="114" spans="2:3" x14ac:dyDescent="0.25">
      <c r="B114" s="79">
        <f>IF($C$3=20,'Seções '!J111,IF('Propriedades geométricas VI'!$C$3=25,'Seções '!F111,IF('Propriedades geométricas VI'!$C$3=30,'Seções '!B111)))</f>
        <v>75.400000000000006</v>
      </c>
      <c r="C114" s="79">
        <f>IF($C$3=20,'Seções '!K111,IF('Propriedades geométricas VI'!$C$3=25,'Seções '!G111,IF('Propriedades geométricas VI'!$C$3=30,'Seções '!C111)))</f>
        <v>3</v>
      </c>
    </row>
    <row r="115" spans="2:3" x14ac:dyDescent="0.25">
      <c r="B115" s="79">
        <f>IF($C$3=20,'Seções '!J112,IF('Propriedades geométricas VI'!$C$3=25,'Seções '!F112,IF('Propriedades geométricas VI'!$C$3=30,'Seções '!B112)))</f>
        <v>78.5</v>
      </c>
      <c r="C115" s="79">
        <f>IF($C$3=20,'Seções '!K112,IF('Propriedades geométricas VI'!$C$3=25,'Seções '!G112,IF('Propriedades geométricas VI'!$C$3=30,'Seções '!C112)))</f>
        <v>3</v>
      </c>
    </row>
    <row r="116" spans="2:3" x14ac:dyDescent="0.25">
      <c r="B116" s="79">
        <f>IF($C$3=20,'Seções '!J113,IF('Propriedades geométricas VI'!$C$3=25,'Seções '!F113,IF('Propriedades geométricas VI'!$C$3=30,'Seções '!B113)))</f>
        <v>78.5</v>
      </c>
      <c r="C116" s="79">
        <f>IF($C$3=20,'Seções '!K113,IF('Propriedades geométricas VI'!$C$3=25,'Seções '!G113,IF('Propriedades geométricas VI'!$C$3=30,'Seções '!C113)))</f>
        <v>0</v>
      </c>
    </row>
    <row r="117" spans="2:3" x14ac:dyDescent="0.25">
      <c r="B117" s="79">
        <f>IF($C$3=20,'Seções '!J114,IF('Propriedades geométricas VI'!$C$3=25,'Seções '!F114,IF('Propriedades geométricas VI'!$C$3=30,'Seções '!B114)))</f>
        <v>62.3</v>
      </c>
      <c r="C117" s="79">
        <f>IF($C$3=20,'Seções '!K114,IF('Propriedades geométricas VI'!$C$3=25,'Seções '!G114,IF('Propriedades geométricas VI'!$C$3=30,'Seções '!C114)))</f>
        <v>0</v>
      </c>
    </row>
    <row r="118" spans="2:3" x14ac:dyDescent="0.25">
      <c r="B118" s="79">
        <f>IF($C$3=20,'Seções '!J115,IF('Propriedades geométricas VI'!$C$3=25,'Seções '!F115,IF('Propriedades geométricas VI'!$C$3=30,'Seções '!B115)))</f>
        <v>62.3</v>
      </c>
      <c r="C118" s="79">
        <f>IF($C$3=20,'Seções '!K115,IF('Propriedades geométricas VI'!$C$3=25,'Seções '!G115,IF('Propriedades geométricas VI'!$C$3=30,'Seções '!C115)))</f>
        <v>3</v>
      </c>
    </row>
    <row r="119" spans="2:3" x14ac:dyDescent="0.25">
      <c r="B119" s="79">
        <f>IF($C$3=20,'Seções '!J116,IF('Propriedades geométricas VI'!$C$3=25,'Seções '!F116,IF('Propriedades geométricas VI'!$C$3=30,'Seções '!B116)))</f>
        <v>65.349999999999994</v>
      </c>
      <c r="C119" s="79">
        <f>IF($C$3=20,'Seções '!K116,IF('Propriedades geométricas VI'!$C$3=25,'Seções '!G116,IF('Propriedades geométricas VI'!$C$3=30,'Seções '!C116)))</f>
        <v>3</v>
      </c>
    </row>
    <row r="120" spans="2:3" x14ac:dyDescent="0.25">
      <c r="B120" s="79">
        <f>IF($C$3=20,'Seções '!J117,IF('Propriedades geométricas VI'!$C$3=25,'Seções '!F117,IF('Propriedades geométricas VI'!$C$3=30,'Seções '!B117)))</f>
        <v>68.5</v>
      </c>
      <c r="C120" s="79">
        <f>IF($C$3=20,'Seções '!K117,IF('Propriedades geométricas VI'!$C$3=25,'Seções '!G117,IF('Propriedades geométricas VI'!$C$3=30,'Seções '!C117)))</f>
        <v>5.8</v>
      </c>
    </row>
    <row r="121" spans="2:3" x14ac:dyDescent="0.25">
      <c r="B121" s="79">
        <f>IF($C$3=20,'Seções '!J118,IF('Propriedades geométricas VI'!$C$3=25,'Seções '!F118,IF('Propriedades geométricas VI'!$C$3=30,'Seções '!B118)))</f>
        <v>68.5</v>
      </c>
      <c r="C121" s="79">
        <f>IF($C$3=20,'Seções '!K118,IF('Propriedades geométricas VI'!$C$3=25,'Seções '!G118,IF('Propriedades geométricas VI'!$C$3=30,'Seções '!C118)))</f>
        <v>15.75</v>
      </c>
    </row>
    <row r="122" spans="2:3" x14ac:dyDescent="0.25">
      <c r="B122" s="79">
        <f>IF($C$3=20,'Seções '!J119,IF('Propriedades geométricas VI'!$C$3=25,'Seções '!F119,IF('Propriedades geométricas VI'!$C$3=30,'Seções '!B119)))</f>
        <v>68.430000000000007</v>
      </c>
      <c r="C122" s="79">
        <f>IF($C$3=20,'Seções '!K119,IF('Propriedades geométricas VI'!$C$3=25,'Seções '!G119,IF('Propriedades geométricas VI'!$C$3=30,'Seções '!C119)))</f>
        <v>16.66</v>
      </c>
    </row>
    <row r="123" spans="2:3" x14ac:dyDescent="0.25">
      <c r="B123" s="79">
        <f>IF($C$3=20,'Seções '!J120,IF('Propriedades geométricas VI'!$C$3=25,'Seções '!F120,IF('Propriedades geométricas VI'!$C$3=30,'Seções '!B120)))</f>
        <v>68.17</v>
      </c>
      <c r="C123" s="79">
        <f>IF($C$3=20,'Seções '!K120,IF('Propriedades geométricas VI'!$C$3=25,'Seções '!G120,IF('Propriedades geométricas VI'!$C$3=30,'Seções '!C120)))</f>
        <v>17.760000000000002</v>
      </c>
    </row>
    <row r="124" spans="2:3" x14ac:dyDescent="0.25">
      <c r="B124" s="79">
        <f>IF($C$3=20,'Seções '!J121,IF('Propriedades geométricas VI'!$C$3=25,'Seções '!F121,IF('Propriedades geométricas VI'!$C$3=30,'Seções '!B121)))</f>
        <v>67.680000000000007</v>
      </c>
      <c r="C124" s="79">
        <f>IF($C$3=20,'Seções '!K121,IF('Propriedades geométricas VI'!$C$3=25,'Seções '!G121,IF('Propriedades geométricas VI'!$C$3=30,'Seções '!C121)))</f>
        <v>18.84</v>
      </c>
    </row>
    <row r="125" spans="2:3" x14ac:dyDescent="0.25">
      <c r="B125" s="79">
        <f>IF($C$3=20,'Seções '!J122,IF('Propriedades geométricas VI'!$C$3=25,'Seções '!F122,IF('Propriedades geométricas VI'!$C$3=30,'Seções '!B122)))</f>
        <v>67.12</v>
      </c>
      <c r="C125" s="79">
        <f>IF($C$3=20,'Seções '!K122,IF('Propriedades geométricas VI'!$C$3=25,'Seções '!G122,IF('Propriedades geométricas VI'!$C$3=30,'Seções '!C122)))</f>
        <v>19.66</v>
      </c>
    </row>
    <row r="126" spans="2:3" x14ac:dyDescent="0.25">
      <c r="B126" s="79">
        <f>IF($C$3=20,'Seções '!J123,IF('Propriedades geométricas VI'!$C$3=25,'Seções '!F123,IF('Propriedades geométricas VI'!$C$3=30,'Seções '!B123)))</f>
        <v>66.48</v>
      </c>
      <c r="C126" s="79">
        <f>IF($C$3=20,'Seções '!K123,IF('Propriedades geométricas VI'!$C$3=25,'Seções '!G123,IF('Propriedades geométricas VI'!$C$3=30,'Seções '!C123)))</f>
        <v>20.350000000000001</v>
      </c>
    </row>
    <row r="127" spans="2:3" x14ac:dyDescent="0.25">
      <c r="B127" s="79">
        <f>IF($C$3=20,'Seções '!J124,IF('Propriedades geométricas VI'!$C$3=25,'Seções '!F124,IF('Propriedades geométricas VI'!$C$3=30,'Seções '!B124)))</f>
        <v>65.8</v>
      </c>
      <c r="C127" s="79">
        <f>IF($C$3=20,'Seções '!K124,IF('Propriedades geométricas VI'!$C$3=25,'Seções '!G124,IF('Propriedades geométricas VI'!$C$3=30,'Seções '!C124)))</f>
        <v>20.89</v>
      </c>
    </row>
    <row r="128" spans="2:3" x14ac:dyDescent="0.25">
      <c r="B128" s="79">
        <f>IF($C$3=20,'Seções '!J125,IF('Propriedades geométricas VI'!$C$3=25,'Seções '!F125,IF('Propriedades geométricas VI'!$C$3=30,'Seções '!B125)))</f>
        <v>65.150000000000006</v>
      </c>
      <c r="C128" s="79">
        <f>IF($C$3=20,'Seções '!K125,IF('Propriedades geométricas VI'!$C$3=25,'Seções '!G125,IF('Propriedades geométricas VI'!$C$3=30,'Seções '!C125)))</f>
        <v>21.29</v>
      </c>
    </row>
    <row r="129" spans="2:3" x14ac:dyDescent="0.25">
      <c r="B129" s="79">
        <f>IF($C$3=20,'Seções '!J126,IF('Propriedades geométricas VI'!$C$3=25,'Seções '!F126,IF('Propriedades geométricas VI'!$C$3=30,'Seções '!B126)))</f>
        <v>64.430000000000007</v>
      </c>
      <c r="C129" s="79">
        <f>IF($C$3=20,'Seções '!K126,IF('Propriedades geométricas VI'!$C$3=25,'Seções '!G126,IF('Propriedades geométricas VI'!$C$3=30,'Seções '!C126)))</f>
        <v>21.61</v>
      </c>
    </row>
    <row r="130" spans="2:3" x14ac:dyDescent="0.25">
      <c r="B130" s="79">
        <f>IF($C$3=20,'Seções '!J127,IF('Propriedades geométricas VI'!$C$3=25,'Seções '!F127,IF('Propriedades geométricas VI'!$C$3=30,'Seções '!B127)))</f>
        <v>63.84</v>
      </c>
      <c r="C130" s="79">
        <f>IF($C$3=20,'Seções '!K127,IF('Propriedades geométricas VI'!$C$3=25,'Seções '!G127,IF('Propriedades geométricas VI'!$C$3=30,'Seções '!C127)))</f>
        <v>21.79</v>
      </c>
    </row>
    <row r="131" spans="2:3" x14ac:dyDescent="0.25">
      <c r="B131" s="79">
        <f>IF($C$3=20,'Seções '!J128,IF('Propriedades geométricas VI'!$C$3=25,'Seções '!F128,IF('Propriedades geométricas VI'!$C$3=30,'Seções '!B128)))</f>
        <v>63.22</v>
      </c>
      <c r="C131" s="79">
        <f>IF($C$3=20,'Seções '!K128,IF('Propriedades geométricas VI'!$C$3=25,'Seções '!G128,IF('Propriedades geométricas VI'!$C$3=30,'Seções '!C128)))</f>
        <v>21.92</v>
      </c>
    </row>
    <row r="132" spans="2:3" x14ac:dyDescent="0.25">
      <c r="B132" s="79">
        <f>IF($C$3=20,'Seções '!J129,IF('Propriedades geométricas VI'!$C$3=25,'Seções '!F129,IF('Propriedades geométricas VI'!$C$3=30,'Seções '!B129)))</f>
        <v>62.55</v>
      </c>
      <c r="C132" s="79">
        <f>IF($C$3=20,'Seções '!K129,IF('Propriedades geométricas VI'!$C$3=25,'Seções '!G129,IF('Propriedades geométricas VI'!$C$3=30,'Seções '!C129)))</f>
        <v>21.99</v>
      </c>
    </row>
    <row r="133" spans="2:3" x14ac:dyDescent="0.25">
      <c r="B133" s="79">
        <f>IF($C$3=20,'Seções '!J130,IF('Propriedades geométricas VI'!$C$3=25,'Seções '!F130,IF('Propriedades geométricas VI'!$C$3=30,'Seções '!B130)))</f>
        <v>61.95</v>
      </c>
      <c r="C133" s="79">
        <f>IF($C$3=20,'Seções '!K130,IF('Propriedades geométricas VI'!$C$3=25,'Seções '!G130,IF('Propriedades geométricas VI'!$C$3=30,'Seções '!C130)))</f>
        <v>21.99</v>
      </c>
    </row>
    <row r="134" spans="2:3" x14ac:dyDescent="0.25">
      <c r="B134" s="79">
        <f>IF($C$3=20,'Seções '!J131,IF('Propriedades geométricas VI'!$C$3=25,'Seções '!F131,IF('Propriedades geométricas VI'!$C$3=30,'Seções '!B131)))</f>
        <v>61.28</v>
      </c>
      <c r="C134" s="79">
        <f>IF($C$3=20,'Seções '!K131,IF('Propriedades geométricas VI'!$C$3=25,'Seções '!G131,IF('Propriedades geométricas VI'!$C$3=30,'Seções '!C131)))</f>
        <v>21.92</v>
      </c>
    </row>
    <row r="135" spans="2:3" x14ac:dyDescent="0.25">
      <c r="B135" s="79">
        <f>IF($C$3=20,'Seções '!J132,IF('Propriedades geométricas VI'!$C$3=25,'Seções '!F132,IF('Propriedades geométricas VI'!$C$3=30,'Seções '!B132)))</f>
        <v>60.66</v>
      </c>
      <c r="C135" s="79">
        <f>IF($C$3=20,'Seções '!K132,IF('Propriedades geométricas VI'!$C$3=25,'Seções '!G132,IF('Propriedades geométricas VI'!$C$3=30,'Seções '!C132)))</f>
        <v>21.79</v>
      </c>
    </row>
    <row r="136" spans="2:3" x14ac:dyDescent="0.25">
      <c r="B136" s="79">
        <f>IF($C$3=20,'Seções '!J133,IF('Propriedades geométricas VI'!$C$3=25,'Seções '!F133,IF('Propriedades geométricas VI'!$C$3=30,'Seções '!B133)))</f>
        <v>60.069999999999993</v>
      </c>
      <c r="C136" s="79">
        <f>IF($C$3=20,'Seções '!K133,IF('Propriedades geométricas VI'!$C$3=25,'Seções '!G133,IF('Propriedades geométricas VI'!$C$3=30,'Seções '!C133)))</f>
        <v>21.61</v>
      </c>
    </row>
    <row r="137" spans="2:3" x14ac:dyDescent="0.25">
      <c r="B137" s="79">
        <f>IF($C$3=20,'Seções '!J134,IF('Propriedades geométricas VI'!$C$3=25,'Seções '!F134,IF('Propriedades geométricas VI'!$C$3=30,'Seções '!B134)))</f>
        <v>59.349999999999994</v>
      </c>
      <c r="C137" s="79">
        <f>IF($C$3=20,'Seções '!K134,IF('Propriedades geométricas VI'!$C$3=25,'Seções '!G134,IF('Propriedades geométricas VI'!$C$3=30,'Seções '!C134)))</f>
        <v>21.29</v>
      </c>
    </row>
    <row r="138" spans="2:3" x14ac:dyDescent="0.25">
      <c r="B138" s="79">
        <f>IF($C$3=20,'Seções '!J135,IF('Propriedades geométricas VI'!$C$3=25,'Seções '!F135,IF('Propriedades geométricas VI'!$C$3=30,'Seções '!B135)))</f>
        <v>58.7</v>
      </c>
      <c r="C138" s="79">
        <f>IF($C$3=20,'Seções '!K135,IF('Propriedades geométricas VI'!$C$3=25,'Seções '!G135,IF('Propriedades geométricas VI'!$C$3=30,'Seções '!C135)))</f>
        <v>20.89</v>
      </c>
    </row>
    <row r="139" spans="2:3" x14ac:dyDescent="0.25">
      <c r="B139" s="79">
        <f>IF($C$3=20,'Seções '!J136,IF('Propriedades geométricas VI'!$C$3=25,'Seções '!F136,IF('Propriedades geométricas VI'!$C$3=30,'Seções '!B136)))</f>
        <v>58.019999999999996</v>
      </c>
      <c r="C139" s="79">
        <f>IF($C$3=20,'Seções '!K136,IF('Propriedades geométricas VI'!$C$3=25,'Seções '!G136,IF('Propriedades geométricas VI'!$C$3=30,'Seções '!C136)))</f>
        <v>20.350000000000001</v>
      </c>
    </row>
    <row r="140" spans="2:3" x14ac:dyDescent="0.25">
      <c r="B140" s="79">
        <f>IF($C$3=20,'Seções '!J137,IF('Propriedades geométricas VI'!$C$3=25,'Seções '!F137,IF('Propriedades geométricas VI'!$C$3=30,'Seções '!B137)))</f>
        <v>57.379999999999995</v>
      </c>
      <c r="C140" s="79">
        <f>IF($C$3=20,'Seções '!K137,IF('Propriedades geométricas VI'!$C$3=25,'Seções '!G137,IF('Propriedades geométricas VI'!$C$3=30,'Seções '!C137)))</f>
        <v>19.66</v>
      </c>
    </row>
    <row r="141" spans="2:3" x14ac:dyDescent="0.25">
      <c r="B141" s="79">
        <f>IF($C$3=20,'Seções '!J138,IF('Propriedades geométricas VI'!$C$3=25,'Seções '!F138,IF('Propriedades geométricas VI'!$C$3=30,'Seções '!B138)))</f>
        <v>56.819999999999993</v>
      </c>
      <c r="C141" s="79">
        <f>IF($C$3=20,'Seções '!K138,IF('Propriedades geométricas VI'!$C$3=25,'Seções '!G138,IF('Propriedades geométricas VI'!$C$3=30,'Seções '!C138)))</f>
        <v>18.84</v>
      </c>
    </row>
    <row r="142" spans="2:3" x14ac:dyDescent="0.25">
      <c r="B142" s="79">
        <f>IF($C$3=20,'Seções '!J139,IF('Propriedades geométricas VI'!$C$3=25,'Seções '!F139,IF('Propriedades geométricas VI'!$C$3=30,'Seções '!B139)))</f>
        <v>56.33</v>
      </c>
      <c r="C142" s="79">
        <f>IF($C$3=20,'Seções '!K139,IF('Propriedades geométricas VI'!$C$3=25,'Seções '!G139,IF('Propriedades geométricas VI'!$C$3=30,'Seções '!C139)))</f>
        <v>17.760000000000002</v>
      </c>
    </row>
    <row r="143" spans="2:3" x14ac:dyDescent="0.25">
      <c r="B143" s="79">
        <f>IF($C$3=20,'Seções '!J140,IF('Propriedades geométricas VI'!$C$3=25,'Seções '!F140,IF('Propriedades geométricas VI'!$C$3=30,'Seções '!B140)))</f>
        <v>56.069999999999993</v>
      </c>
      <c r="C143" s="79">
        <f>IF($C$3=20,'Seções '!K140,IF('Propriedades geométricas VI'!$C$3=25,'Seções '!G140,IF('Propriedades geométricas VI'!$C$3=30,'Seções '!C140)))</f>
        <v>16.66</v>
      </c>
    </row>
    <row r="144" spans="2:3" x14ac:dyDescent="0.25">
      <c r="B144" s="79">
        <f>IF($C$3=20,'Seções '!J141,IF('Propriedades geométricas VI'!$C$3=25,'Seções '!F141,IF('Propriedades geométricas VI'!$C$3=30,'Seções '!B141)))</f>
        <v>56</v>
      </c>
      <c r="C144" s="79">
        <f>IF($C$3=20,'Seções '!K141,IF('Propriedades geométricas VI'!$C$3=25,'Seções '!G141,IF('Propriedades geométricas VI'!$C$3=30,'Seções '!C141)))</f>
        <v>15.75</v>
      </c>
    </row>
    <row r="145" spans="2:3" x14ac:dyDescent="0.25">
      <c r="B145" s="79">
        <f>IF($C$3=20,'Seções '!J142,IF('Propriedades geométricas VI'!$C$3=25,'Seções '!F142,IF('Propriedades geométricas VI'!$C$3=30,'Seções '!B142)))</f>
        <v>56</v>
      </c>
      <c r="C145" s="79">
        <f>IF($C$3=20,'Seções '!K142,IF('Propriedades geométricas VI'!$C$3=25,'Seções '!G142,IF('Propriedades geométricas VI'!$C$3=30,'Seções '!C142)))</f>
        <v>5.8</v>
      </c>
    </row>
    <row r="146" spans="2:3" x14ac:dyDescent="0.25">
      <c r="B146" s="79">
        <f>IF($C$3=20,'Seções '!J143,IF('Propriedades geométricas VI'!$C$3=25,'Seções '!F143,IF('Propriedades geométricas VI'!$C$3=30,'Seções '!B143)))</f>
        <v>59.150000000000006</v>
      </c>
      <c r="C146" s="79">
        <f>IF($C$3=20,'Seções '!K143,IF('Propriedades geométricas VI'!$C$3=25,'Seções '!G143,IF('Propriedades geométricas VI'!$C$3=30,'Seções '!C143)))</f>
        <v>3</v>
      </c>
    </row>
    <row r="147" spans="2:3" x14ac:dyDescent="0.25">
      <c r="B147" s="79">
        <f>IF($C$3=20,'Seções '!J144,IF('Propriedades geométricas VI'!$C$3=25,'Seções '!F144,IF('Propriedades geométricas VI'!$C$3=30,'Seções '!B144)))</f>
        <v>62.25</v>
      </c>
      <c r="C147" s="79">
        <f>IF($C$3=20,'Seções '!K144,IF('Propriedades geométricas VI'!$C$3=25,'Seções '!G144,IF('Propriedades geométricas VI'!$C$3=30,'Seções '!C144)))</f>
        <v>3</v>
      </c>
    </row>
    <row r="148" spans="2:3" x14ac:dyDescent="0.25">
      <c r="B148" s="79">
        <f>IF($C$3=20,'Seções '!J145,IF('Propriedades geométricas VI'!$C$3=25,'Seções '!F145,IF('Propriedades geométricas VI'!$C$3=30,'Seções '!B145)))</f>
        <v>62.25</v>
      </c>
      <c r="C148" s="79">
        <f>IF($C$3=20,'Seções '!K145,IF('Propriedades geométricas VI'!$C$3=25,'Seções '!G145,IF('Propriedades geométricas VI'!$C$3=30,'Seções '!C145)))</f>
        <v>0</v>
      </c>
    </row>
    <row r="149" spans="2:3" x14ac:dyDescent="0.25">
      <c r="B149" s="79">
        <f>IF($C$3=20,'Seções '!J146,IF('Propriedades geométricas VI'!$C$3=25,'Seções '!F146,IF('Propriedades geométricas VI'!$C$3=30,'Seções '!B146)))</f>
        <v>46.05</v>
      </c>
      <c r="C149" s="79">
        <f>IF($C$3=20,'Seções '!K146,IF('Propriedades geométricas VI'!$C$3=25,'Seções '!G146,IF('Propriedades geométricas VI'!$C$3=30,'Seções '!C146)))</f>
        <v>0</v>
      </c>
    </row>
    <row r="150" spans="2:3" x14ac:dyDescent="0.25">
      <c r="B150" s="79">
        <f>IF($C$3=20,'Seções '!J147,IF('Propriedades geométricas VI'!$C$3=25,'Seções '!F147,IF('Propriedades geométricas VI'!$C$3=30,'Seções '!B147)))</f>
        <v>46.05</v>
      </c>
      <c r="C150" s="79">
        <f>IF($C$3=20,'Seções '!K147,IF('Propriedades geométricas VI'!$C$3=25,'Seções '!G147,IF('Propriedades geométricas VI'!$C$3=30,'Seções '!C147)))</f>
        <v>3</v>
      </c>
    </row>
    <row r="151" spans="2:3" x14ac:dyDescent="0.25">
      <c r="B151" s="79">
        <f>IF($C$3=20,'Seções '!J148,IF('Propriedades geométricas VI'!$C$3=25,'Seções '!F148,IF('Propriedades geométricas VI'!$C$3=30,'Seções '!B148)))</f>
        <v>49.099999999999994</v>
      </c>
      <c r="C151" s="79">
        <f>IF($C$3=20,'Seções '!K148,IF('Propriedades geométricas VI'!$C$3=25,'Seções '!G148,IF('Propriedades geométricas VI'!$C$3=30,'Seções '!C148)))</f>
        <v>3</v>
      </c>
    </row>
    <row r="152" spans="2:3" x14ac:dyDescent="0.25">
      <c r="B152" s="79">
        <f>IF($C$3=20,'Seções '!J149,IF('Propriedades geométricas VI'!$C$3=25,'Seções '!F149,IF('Propriedades geométricas VI'!$C$3=30,'Seções '!B149)))</f>
        <v>52.25</v>
      </c>
      <c r="C152" s="79">
        <f>IF($C$3=20,'Seções '!K149,IF('Propriedades geométricas VI'!$C$3=25,'Seções '!G149,IF('Propriedades geométricas VI'!$C$3=30,'Seções '!C149)))</f>
        <v>5.8</v>
      </c>
    </row>
    <row r="153" spans="2:3" x14ac:dyDescent="0.25">
      <c r="B153" s="79">
        <f>IF($C$3=20,'Seções '!J150,IF('Propriedades geométricas VI'!$C$3=25,'Seções '!F150,IF('Propriedades geométricas VI'!$C$3=30,'Seções '!B150)))</f>
        <v>52.25</v>
      </c>
      <c r="C153" s="79">
        <f>IF($C$3=20,'Seções '!K150,IF('Propriedades geométricas VI'!$C$3=25,'Seções '!G150,IF('Propriedades geométricas VI'!$C$3=30,'Seções '!C150)))</f>
        <v>15.75</v>
      </c>
    </row>
    <row r="154" spans="2:3" x14ac:dyDescent="0.25">
      <c r="B154" s="79">
        <f>IF($C$3=20,'Seções '!J151,IF('Propriedades geométricas VI'!$C$3=25,'Seções '!F151,IF('Propriedades geométricas VI'!$C$3=30,'Seções '!B151)))</f>
        <v>52.180000000000007</v>
      </c>
      <c r="C154" s="79">
        <f>IF($C$3=20,'Seções '!K151,IF('Propriedades geométricas VI'!$C$3=25,'Seções '!G151,IF('Propriedades geométricas VI'!$C$3=30,'Seções '!C151)))</f>
        <v>16.66</v>
      </c>
    </row>
    <row r="155" spans="2:3" x14ac:dyDescent="0.25">
      <c r="B155" s="79">
        <f>IF($C$3=20,'Seções '!J152,IF('Propriedades geométricas VI'!$C$3=25,'Seções '!F152,IF('Propriedades geométricas VI'!$C$3=30,'Seções '!B152)))</f>
        <v>51.92</v>
      </c>
      <c r="C155" s="79">
        <f>IF($C$3=20,'Seções '!K152,IF('Propriedades geométricas VI'!$C$3=25,'Seções '!G152,IF('Propriedades geométricas VI'!$C$3=30,'Seções '!C152)))</f>
        <v>17.760000000000002</v>
      </c>
    </row>
    <row r="156" spans="2:3" x14ac:dyDescent="0.25">
      <c r="B156" s="79">
        <f>IF($C$3=20,'Seções '!J153,IF('Propriedades geométricas VI'!$C$3=25,'Seções '!F153,IF('Propriedades geométricas VI'!$C$3=30,'Seções '!B153)))</f>
        <v>51.430000000000007</v>
      </c>
      <c r="C156" s="79">
        <f>IF($C$3=20,'Seções '!K153,IF('Propriedades geométricas VI'!$C$3=25,'Seções '!G153,IF('Propriedades geométricas VI'!$C$3=30,'Seções '!C153)))</f>
        <v>18.84</v>
      </c>
    </row>
    <row r="157" spans="2:3" x14ac:dyDescent="0.25">
      <c r="B157" s="79">
        <f>IF($C$3=20,'Seções '!J154,IF('Propriedades geométricas VI'!$C$3=25,'Seções '!F154,IF('Propriedades geométricas VI'!$C$3=30,'Seções '!B154)))</f>
        <v>50.870000000000005</v>
      </c>
      <c r="C157" s="79">
        <f>IF($C$3=20,'Seções '!K154,IF('Propriedades geométricas VI'!$C$3=25,'Seções '!G154,IF('Propriedades geométricas VI'!$C$3=30,'Seções '!C154)))</f>
        <v>19.66</v>
      </c>
    </row>
    <row r="158" spans="2:3" x14ac:dyDescent="0.25">
      <c r="B158" s="79">
        <f>IF($C$3=20,'Seções '!J155,IF('Propriedades geométricas VI'!$C$3=25,'Seções '!F155,IF('Propriedades geométricas VI'!$C$3=30,'Seções '!B155)))</f>
        <v>50.230000000000004</v>
      </c>
      <c r="C158" s="79">
        <f>IF($C$3=20,'Seções '!K155,IF('Propriedades geométricas VI'!$C$3=25,'Seções '!G155,IF('Propriedades geométricas VI'!$C$3=30,'Seções '!C155)))</f>
        <v>20.350000000000001</v>
      </c>
    </row>
    <row r="159" spans="2:3" x14ac:dyDescent="0.25">
      <c r="B159" s="79">
        <f>IF($C$3=20,'Seções '!J156,IF('Propriedades geométricas VI'!$C$3=25,'Seções '!F156,IF('Propriedades geométricas VI'!$C$3=30,'Seções '!B156)))</f>
        <v>49.55</v>
      </c>
      <c r="C159" s="79">
        <f>IF($C$3=20,'Seções '!K156,IF('Propriedades geométricas VI'!$C$3=25,'Seções '!G156,IF('Propriedades geométricas VI'!$C$3=30,'Seções '!C156)))</f>
        <v>20.89</v>
      </c>
    </row>
    <row r="160" spans="2:3" x14ac:dyDescent="0.25">
      <c r="B160" s="79">
        <f>IF($C$3=20,'Seções '!J157,IF('Propriedades geométricas VI'!$C$3=25,'Seções '!F157,IF('Propriedades geométricas VI'!$C$3=30,'Seções '!B157)))</f>
        <v>48.900000000000006</v>
      </c>
      <c r="C160" s="79">
        <f>IF($C$3=20,'Seções '!K157,IF('Propriedades geométricas VI'!$C$3=25,'Seções '!G157,IF('Propriedades geométricas VI'!$C$3=30,'Seções '!C157)))</f>
        <v>21.29</v>
      </c>
    </row>
    <row r="161" spans="2:3" x14ac:dyDescent="0.25">
      <c r="B161" s="79">
        <f>IF($C$3=20,'Seções '!J158,IF('Propriedades geométricas VI'!$C$3=25,'Seções '!F158,IF('Propriedades geométricas VI'!$C$3=30,'Seções '!B158)))</f>
        <v>48.180000000000007</v>
      </c>
      <c r="C161" s="79">
        <f>IF($C$3=20,'Seções '!K158,IF('Propriedades geométricas VI'!$C$3=25,'Seções '!G158,IF('Propriedades geométricas VI'!$C$3=30,'Seções '!C158)))</f>
        <v>21.61</v>
      </c>
    </row>
    <row r="162" spans="2:3" x14ac:dyDescent="0.25">
      <c r="B162" s="79">
        <f>IF($C$3=20,'Seções '!J159,IF('Propriedades geométricas VI'!$C$3=25,'Seções '!F159,IF('Propriedades geométricas VI'!$C$3=30,'Seções '!B159)))</f>
        <v>47.59</v>
      </c>
      <c r="C162" s="79">
        <f>IF($C$3=20,'Seções '!K159,IF('Propriedades geométricas VI'!$C$3=25,'Seções '!G159,IF('Propriedades geométricas VI'!$C$3=30,'Seções '!C159)))</f>
        <v>21.79</v>
      </c>
    </row>
    <row r="163" spans="2:3" x14ac:dyDescent="0.25">
      <c r="B163" s="79">
        <f>IF($C$3=20,'Seções '!J160,IF('Propriedades geométricas VI'!$C$3=25,'Seções '!F160,IF('Propriedades geométricas VI'!$C$3=30,'Seções '!B160)))</f>
        <v>46.97</v>
      </c>
      <c r="C163" s="79">
        <f>IF($C$3=20,'Seções '!K160,IF('Propriedades geométricas VI'!$C$3=25,'Seções '!G160,IF('Propriedades geométricas VI'!$C$3=30,'Seções '!C160)))</f>
        <v>21.92</v>
      </c>
    </row>
    <row r="164" spans="2:3" x14ac:dyDescent="0.25">
      <c r="B164" s="79">
        <f>IF($C$3=20,'Seções '!J161,IF('Propriedades geométricas VI'!$C$3=25,'Seções '!F161,IF('Propriedades geométricas VI'!$C$3=30,'Seções '!B161)))</f>
        <v>46.3</v>
      </c>
      <c r="C164" s="79">
        <f>IF($C$3=20,'Seções '!K161,IF('Propriedades geométricas VI'!$C$3=25,'Seções '!G161,IF('Propriedades geométricas VI'!$C$3=30,'Seções '!C161)))</f>
        <v>21.99</v>
      </c>
    </row>
    <row r="165" spans="2:3" x14ac:dyDescent="0.25">
      <c r="B165" s="79">
        <f>IF($C$3=20,'Seções '!J162,IF('Propriedades geométricas VI'!$C$3=25,'Seções '!F162,IF('Propriedades geométricas VI'!$C$3=30,'Seções '!B162)))</f>
        <v>45.7</v>
      </c>
      <c r="C165" s="79">
        <f>IF($C$3=20,'Seções '!K162,IF('Propriedades geométricas VI'!$C$3=25,'Seções '!G162,IF('Propriedades geométricas VI'!$C$3=30,'Seções '!C162)))</f>
        <v>21.99</v>
      </c>
    </row>
    <row r="166" spans="2:3" x14ac:dyDescent="0.25">
      <c r="B166" s="79">
        <f>IF($C$3=20,'Seções '!J163,IF('Propriedades geométricas VI'!$C$3=25,'Seções '!F163,IF('Propriedades geométricas VI'!$C$3=30,'Seções '!B163)))</f>
        <v>45.03</v>
      </c>
      <c r="C166" s="79">
        <f>IF($C$3=20,'Seções '!K163,IF('Propriedades geométricas VI'!$C$3=25,'Seções '!G163,IF('Propriedades geométricas VI'!$C$3=30,'Seções '!C163)))</f>
        <v>21.92</v>
      </c>
    </row>
    <row r="167" spans="2:3" x14ac:dyDescent="0.25">
      <c r="B167" s="79">
        <f>IF($C$3=20,'Seções '!J164,IF('Propriedades geométricas VI'!$C$3=25,'Seções '!F164,IF('Propriedades geométricas VI'!$C$3=30,'Seções '!B164)))</f>
        <v>44.41</v>
      </c>
      <c r="C167" s="79">
        <f>IF($C$3=20,'Seções '!K164,IF('Propriedades geométricas VI'!$C$3=25,'Seções '!G164,IF('Propriedades geométricas VI'!$C$3=30,'Seções '!C164)))</f>
        <v>21.79</v>
      </c>
    </row>
    <row r="168" spans="2:3" x14ac:dyDescent="0.25">
      <c r="B168" s="79">
        <f>IF($C$3=20,'Seções '!J165,IF('Propriedades geométricas VI'!$C$3=25,'Seções '!F165,IF('Propriedades geométricas VI'!$C$3=30,'Seções '!B165)))</f>
        <v>43.819999999999993</v>
      </c>
      <c r="C168" s="79">
        <f>IF($C$3=20,'Seções '!K165,IF('Propriedades geométricas VI'!$C$3=25,'Seções '!G165,IF('Propriedades geométricas VI'!$C$3=30,'Seções '!C165)))</f>
        <v>21.61</v>
      </c>
    </row>
    <row r="169" spans="2:3" x14ac:dyDescent="0.25">
      <c r="B169" s="79">
        <f>IF($C$3=20,'Seções '!J166,IF('Propriedades geométricas VI'!$C$3=25,'Seções '!F166,IF('Propriedades geométricas VI'!$C$3=30,'Seções '!B166)))</f>
        <v>43.099999999999994</v>
      </c>
      <c r="C169" s="79">
        <f>IF($C$3=20,'Seções '!K166,IF('Propriedades geométricas VI'!$C$3=25,'Seções '!G166,IF('Propriedades geométricas VI'!$C$3=30,'Seções '!C166)))</f>
        <v>21.29</v>
      </c>
    </row>
    <row r="170" spans="2:3" x14ac:dyDescent="0.25">
      <c r="B170" s="79">
        <f>IF($C$3=20,'Seções '!J167,IF('Propriedades geométricas VI'!$C$3=25,'Seções '!F167,IF('Propriedades geométricas VI'!$C$3=30,'Seções '!B167)))</f>
        <v>42.45</v>
      </c>
      <c r="C170" s="79">
        <f>IF($C$3=20,'Seções '!K167,IF('Propriedades geométricas VI'!$C$3=25,'Seções '!G167,IF('Propriedades geométricas VI'!$C$3=30,'Seções '!C167)))</f>
        <v>20.89</v>
      </c>
    </row>
    <row r="171" spans="2:3" x14ac:dyDescent="0.25">
      <c r="B171" s="79">
        <f>IF($C$3=20,'Seções '!J168,IF('Propriedades geométricas VI'!$C$3=25,'Seções '!F168,IF('Propriedades geométricas VI'!$C$3=30,'Seções '!B168)))</f>
        <v>41.769999999999996</v>
      </c>
      <c r="C171" s="79">
        <f>IF($C$3=20,'Seções '!K168,IF('Propriedades geométricas VI'!$C$3=25,'Seções '!G168,IF('Propriedades geométricas VI'!$C$3=30,'Seções '!C168)))</f>
        <v>20.350000000000001</v>
      </c>
    </row>
    <row r="172" spans="2:3" x14ac:dyDescent="0.25">
      <c r="B172" s="79">
        <f>IF($C$3=20,'Seções '!J169,IF('Propriedades geométricas VI'!$C$3=25,'Seções '!F169,IF('Propriedades geométricas VI'!$C$3=30,'Seções '!B169)))</f>
        <v>41.129999999999995</v>
      </c>
      <c r="C172" s="79">
        <f>IF($C$3=20,'Seções '!K169,IF('Propriedades geométricas VI'!$C$3=25,'Seções '!G169,IF('Propriedades geométricas VI'!$C$3=30,'Seções '!C169)))</f>
        <v>19.66</v>
      </c>
    </row>
    <row r="173" spans="2:3" x14ac:dyDescent="0.25">
      <c r="B173" s="79">
        <f>IF($C$3=20,'Seções '!J170,IF('Propriedades geométricas VI'!$C$3=25,'Seções '!F170,IF('Propriedades geométricas VI'!$C$3=30,'Seções '!B170)))</f>
        <v>40.569999999999993</v>
      </c>
      <c r="C173" s="79">
        <f>IF($C$3=20,'Seções '!K170,IF('Propriedades geométricas VI'!$C$3=25,'Seções '!G170,IF('Propriedades geométricas VI'!$C$3=30,'Seções '!C170)))</f>
        <v>18.84</v>
      </c>
    </row>
    <row r="174" spans="2:3" x14ac:dyDescent="0.25">
      <c r="B174" s="79">
        <f>IF($C$3=20,'Seções '!J171,IF('Propriedades geométricas VI'!$C$3=25,'Seções '!F171,IF('Propriedades geométricas VI'!$C$3=30,'Seções '!B171)))</f>
        <v>40.08</v>
      </c>
      <c r="C174" s="79">
        <f>IF($C$3=20,'Seções '!K171,IF('Propriedades geométricas VI'!$C$3=25,'Seções '!G171,IF('Propriedades geométricas VI'!$C$3=30,'Seções '!C171)))</f>
        <v>17.760000000000002</v>
      </c>
    </row>
    <row r="175" spans="2:3" x14ac:dyDescent="0.25">
      <c r="B175" s="79">
        <f>IF($C$3=20,'Seções '!J172,IF('Propriedades geométricas VI'!$C$3=25,'Seções '!F172,IF('Propriedades geométricas VI'!$C$3=30,'Seções '!B172)))</f>
        <v>39.819999999999993</v>
      </c>
      <c r="C175" s="79">
        <f>IF($C$3=20,'Seções '!K172,IF('Propriedades geométricas VI'!$C$3=25,'Seções '!G172,IF('Propriedades geométricas VI'!$C$3=30,'Seções '!C172)))</f>
        <v>16.66</v>
      </c>
    </row>
    <row r="176" spans="2:3" x14ac:dyDescent="0.25">
      <c r="B176" s="79">
        <f>IF($C$3=20,'Seções '!J173,IF('Propriedades geométricas VI'!$C$3=25,'Seções '!F173,IF('Propriedades geométricas VI'!$C$3=30,'Seções '!B173)))</f>
        <v>39.75</v>
      </c>
      <c r="C176" s="79">
        <f>IF($C$3=20,'Seções '!K173,IF('Propriedades geométricas VI'!$C$3=25,'Seções '!G173,IF('Propriedades geométricas VI'!$C$3=30,'Seções '!C173)))</f>
        <v>15.75</v>
      </c>
    </row>
    <row r="177" spans="2:3" x14ac:dyDescent="0.25">
      <c r="B177" s="79">
        <f>IF($C$3=20,'Seções '!J174,IF('Propriedades geométricas VI'!$C$3=25,'Seções '!F174,IF('Propriedades geométricas VI'!$C$3=30,'Seções '!B174)))</f>
        <v>39.75</v>
      </c>
      <c r="C177" s="79">
        <f>IF($C$3=20,'Seções '!K174,IF('Propriedades geométricas VI'!$C$3=25,'Seções '!G174,IF('Propriedades geométricas VI'!$C$3=30,'Seções '!C174)))</f>
        <v>5.8</v>
      </c>
    </row>
    <row r="178" spans="2:3" x14ac:dyDescent="0.25">
      <c r="B178" s="79">
        <f>IF($C$3=20,'Seções '!J175,IF('Propriedades geométricas VI'!$C$3=25,'Seções '!F175,IF('Propriedades geométricas VI'!$C$3=30,'Seções '!B175)))</f>
        <v>42.900000000000006</v>
      </c>
      <c r="C178" s="79">
        <f>IF($C$3=20,'Seções '!K175,IF('Propriedades geométricas VI'!$C$3=25,'Seções '!G175,IF('Propriedades geométricas VI'!$C$3=30,'Seções '!C175)))</f>
        <v>3</v>
      </c>
    </row>
    <row r="179" spans="2:3" x14ac:dyDescent="0.25">
      <c r="B179" s="79">
        <f>IF($C$3=20,'Seções '!J176,IF('Propriedades geométricas VI'!$C$3=25,'Seções '!F176,IF('Propriedades geométricas VI'!$C$3=30,'Seções '!B176)))</f>
        <v>46</v>
      </c>
      <c r="C179" s="79">
        <f>IF($C$3=20,'Seções '!K176,IF('Propriedades geométricas VI'!$C$3=25,'Seções '!G176,IF('Propriedades geométricas VI'!$C$3=30,'Seções '!C176)))</f>
        <v>3</v>
      </c>
    </row>
    <row r="180" spans="2:3" x14ac:dyDescent="0.25">
      <c r="B180" s="79">
        <f>IF($C$3=20,'Seções '!J177,IF('Propriedades geométricas VI'!$C$3=25,'Seções '!F177,IF('Propriedades geométricas VI'!$C$3=30,'Seções '!B177)))</f>
        <v>46</v>
      </c>
      <c r="C180" s="79">
        <f>IF($C$3=20,'Seções '!K177,IF('Propriedades geométricas VI'!$C$3=25,'Seções '!G177,IF('Propriedades geométricas VI'!$C$3=30,'Seções '!C177)))</f>
        <v>0</v>
      </c>
    </row>
    <row r="181" spans="2:3" x14ac:dyDescent="0.25">
      <c r="B181" s="79">
        <f>IF($C$3=20,'Seções '!J178,IF('Propriedades geométricas VI'!$C$3=25,'Seções '!F178,IF('Propriedades geométricas VI'!$C$3=30,'Seções '!B178)))</f>
        <v>29.799999999999997</v>
      </c>
      <c r="C181" s="79">
        <f>IF($C$3=20,'Seções '!K178,IF('Propriedades geométricas VI'!$C$3=25,'Seções '!G178,IF('Propriedades geométricas VI'!$C$3=30,'Seções '!C178)))</f>
        <v>0</v>
      </c>
    </row>
    <row r="182" spans="2:3" x14ac:dyDescent="0.25">
      <c r="B182" s="79">
        <f>IF($C$3=20,'Seções '!J179,IF('Propriedades geométricas VI'!$C$3=25,'Seções '!F179,IF('Propriedades geométricas VI'!$C$3=30,'Seções '!B179)))</f>
        <v>29.799999999999997</v>
      </c>
      <c r="C182" s="79">
        <f>IF($C$3=20,'Seções '!K179,IF('Propriedades geométricas VI'!$C$3=25,'Seções '!G179,IF('Propriedades geométricas VI'!$C$3=30,'Seções '!C179)))</f>
        <v>3</v>
      </c>
    </row>
    <row r="183" spans="2:3" x14ac:dyDescent="0.25">
      <c r="B183" s="79">
        <f>IF($C$3=20,'Seções '!J180,IF('Propriedades geométricas VI'!$C$3=25,'Seções '!F180,IF('Propriedades geométricas VI'!$C$3=30,'Seções '!B180)))</f>
        <v>32.849999999999994</v>
      </c>
      <c r="C183" s="79">
        <f>IF($C$3=20,'Seções '!K180,IF('Propriedades geométricas VI'!$C$3=25,'Seções '!G180,IF('Propriedades geométricas VI'!$C$3=30,'Seções '!C180)))</f>
        <v>3</v>
      </c>
    </row>
    <row r="184" spans="2:3" x14ac:dyDescent="0.25">
      <c r="B184" s="79">
        <f>IF($C$3=20,'Seções '!J181,IF('Propriedades geométricas VI'!$C$3=25,'Seções '!F181,IF('Propriedades geométricas VI'!$C$3=30,'Seções '!B181)))</f>
        <v>36</v>
      </c>
      <c r="C184" s="79">
        <f>IF($C$3=20,'Seções '!K181,IF('Propriedades geométricas VI'!$C$3=25,'Seções '!G181,IF('Propriedades geométricas VI'!$C$3=30,'Seções '!C181)))</f>
        <v>5.8</v>
      </c>
    </row>
    <row r="185" spans="2:3" x14ac:dyDescent="0.25">
      <c r="B185" s="79">
        <f>IF($C$3=20,'Seções '!J182,IF('Propriedades geométricas VI'!$C$3=25,'Seções '!F182,IF('Propriedades geométricas VI'!$C$3=30,'Seções '!B182)))</f>
        <v>36</v>
      </c>
      <c r="C185" s="79">
        <f>IF($C$3=20,'Seções '!K182,IF('Propriedades geométricas VI'!$C$3=25,'Seções '!G182,IF('Propriedades geométricas VI'!$C$3=30,'Seções '!C182)))</f>
        <v>15.75</v>
      </c>
    </row>
    <row r="186" spans="2:3" x14ac:dyDescent="0.25">
      <c r="B186" s="79">
        <f>IF($C$3=20,'Seções '!J183,IF('Propriedades geométricas VI'!$C$3=25,'Seções '!F183,IF('Propriedades geométricas VI'!$C$3=30,'Seções '!B183)))</f>
        <v>35.930000000000007</v>
      </c>
      <c r="C186" s="79">
        <f>IF($C$3=20,'Seções '!K183,IF('Propriedades geométricas VI'!$C$3=25,'Seções '!G183,IF('Propriedades geométricas VI'!$C$3=30,'Seções '!C183)))</f>
        <v>16.66</v>
      </c>
    </row>
    <row r="187" spans="2:3" x14ac:dyDescent="0.25">
      <c r="B187" s="79">
        <f>IF($C$3=20,'Seções '!J184,IF('Propriedades geométricas VI'!$C$3=25,'Seções '!F184,IF('Propriedades geométricas VI'!$C$3=30,'Seções '!B184)))</f>
        <v>35.67</v>
      </c>
      <c r="C187" s="79">
        <f>IF($C$3=20,'Seções '!K184,IF('Propriedades geométricas VI'!$C$3=25,'Seções '!G184,IF('Propriedades geométricas VI'!$C$3=30,'Seções '!C184)))</f>
        <v>17.760000000000002</v>
      </c>
    </row>
    <row r="188" spans="2:3" x14ac:dyDescent="0.25">
      <c r="B188" s="79">
        <f>IF($C$3=20,'Seções '!J185,IF('Propriedades geométricas VI'!$C$3=25,'Seções '!F185,IF('Propriedades geométricas VI'!$C$3=30,'Seções '!B185)))</f>
        <v>35.180000000000007</v>
      </c>
      <c r="C188" s="79">
        <f>IF($C$3=20,'Seções '!K185,IF('Propriedades geométricas VI'!$C$3=25,'Seções '!G185,IF('Propriedades geométricas VI'!$C$3=30,'Seções '!C185)))</f>
        <v>18.84</v>
      </c>
    </row>
    <row r="189" spans="2:3" x14ac:dyDescent="0.25">
      <c r="B189" s="79">
        <f>IF($C$3=20,'Seções '!J186,IF('Propriedades geométricas VI'!$C$3=25,'Seções '!F186,IF('Propriedades geométricas VI'!$C$3=30,'Seções '!B186)))</f>
        <v>34.620000000000005</v>
      </c>
      <c r="C189" s="79">
        <f>IF($C$3=20,'Seções '!K186,IF('Propriedades geométricas VI'!$C$3=25,'Seções '!G186,IF('Propriedades geométricas VI'!$C$3=30,'Seções '!C186)))</f>
        <v>19.66</v>
      </c>
    </row>
    <row r="190" spans="2:3" x14ac:dyDescent="0.25">
      <c r="B190" s="79">
        <f>IF($C$3=20,'Seções '!J187,IF('Propriedades geométricas VI'!$C$3=25,'Seções '!F187,IF('Propriedades geométricas VI'!$C$3=30,'Seções '!B187)))</f>
        <v>33.980000000000004</v>
      </c>
      <c r="C190" s="79">
        <f>IF($C$3=20,'Seções '!K187,IF('Propriedades geométricas VI'!$C$3=25,'Seções '!G187,IF('Propriedades geométricas VI'!$C$3=30,'Seções '!C187)))</f>
        <v>20.350000000000001</v>
      </c>
    </row>
    <row r="191" spans="2:3" x14ac:dyDescent="0.25">
      <c r="B191" s="79">
        <f>IF($C$3=20,'Seções '!J188,IF('Propriedades geométricas VI'!$C$3=25,'Seções '!F188,IF('Propriedades geométricas VI'!$C$3=30,'Seções '!B188)))</f>
        <v>33.299999999999997</v>
      </c>
      <c r="C191" s="79">
        <f>IF($C$3=20,'Seções '!K188,IF('Propriedades geométricas VI'!$C$3=25,'Seções '!G188,IF('Propriedades geométricas VI'!$C$3=30,'Seções '!C188)))</f>
        <v>20.89</v>
      </c>
    </row>
    <row r="192" spans="2:3" x14ac:dyDescent="0.25">
      <c r="B192" s="79">
        <f>IF($C$3=20,'Seções '!J189,IF('Propriedades geométricas VI'!$C$3=25,'Seções '!F189,IF('Propriedades geométricas VI'!$C$3=30,'Seções '!B189)))</f>
        <v>32.650000000000006</v>
      </c>
      <c r="C192" s="79">
        <f>IF($C$3=20,'Seções '!K189,IF('Propriedades geométricas VI'!$C$3=25,'Seções '!G189,IF('Propriedades geométricas VI'!$C$3=30,'Seções '!C189)))</f>
        <v>21.29</v>
      </c>
    </row>
    <row r="193" spans="2:3" x14ac:dyDescent="0.25">
      <c r="B193" s="79">
        <f>IF($C$3=20,'Seções '!J190,IF('Propriedades geométricas VI'!$C$3=25,'Seções '!F190,IF('Propriedades geométricas VI'!$C$3=30,'Seções '!B190)))</f>
        <v>31.930000000000007</v>
      </c>
      <c r="C193" s="79">
        <f>IF($C$3=20,'Seções '!K190,IF('Propriedades geométricas VI'!$C$3=25,'Seções '!G190,IF('Propriedades geométricas VI'!$C$3=30,'Seções '!C190)))</f>
        <v>21.61</v>
      </c>
    </row>
    <row r="194" spans="2:3" x14ac:dyDescent="0.25">
      <c r="B194" s="79">
        <f>IF($C$3=20,'Seções '!J191,IF('Propriedades geométricas VI'!$C$3=25,'Seções '!F191,IF('Propriedades geométricas VI'!$C$3=30,'Seções '!B191)))</f>
        <v>31.340000000000003</v>
      </c>
      <c r="C194" s="79">
        <f>IF($C$3=20,'Seções '!K191,IF('Propriedades geométricas VI'!$C$3=25,'Seções '!G191,IF('Propriedades geométricas VI'!$C$3=30,'Seções '!C191)))</f>
        <v>21.79</v>
      </c>
    </row>
    <row r="195" spans="2:3" x14ac:dyDescent="0.25">
      <c r="B195" s="79">
        <f>IF($C$3=20,'Seções '!J192,IF('Propriedades geométricas VI'!$C$3=25,'Seções '!F192,IF('Propriedades geométricas VI'!$C$3=30,'Seções '!B192)))</f>
        <v>30.72</v>
      </c>
      <c r="C195" s="79">
        <f>IF($C$3=20,'Seções '!K192,IF('Propriedades geométricas VI'!$C$3=25,'Seções '!G192,IF('Propriedades geométricas VI'!$C$3=30,'Seções '!C192)))</f>
        <v>21.92</v>
      </c>
    </row>
    <row r="196" spans="2:3" x14ac:dyDescent="0.25">
      <c r="B196" s="79">
        <f>IF($C$3=20,'Seções '!J193,IF('Propriedades geométricas VI'!$C$3=25,'Seções '!F193,IF('Propriedades geométricas VI'!$C$3=30,'Seções '!B193)))</f>
        <v>30.049999999999997</v>
      </c>
      <c r="C196" s="79">
        <f>IF($C$3=20,'Seções '!K193,IF('Propriedades geométricas VI'!$C$3=25,'Seções '!G193,IF('Propriedades geométricas VI'!$C$3=30,'Seções '!C193)))</f>
        <v>21.99</v>
      </c>
    </row>
    <row r="197" spans="2:3" x14ac:dyDescent="0.25">
      <c r="B197" s="79">
        <f>IF($C$3=20,'Seções '!J194,IF('Propriedades geométricas VI'!$C$3=25,'Seções '!F194,IF('Propriedades geométricas VI'!$C$3=30,'Seções '!B194)))</f>
        <v>29.450000000000003</v>
      </c>
      <c r="C197" s="79">
        <f>IF($C$3=20,'Seções '!K194,IF('Propriedades geométricas VI'!$C$3=25,'Seções '!G194,IF('Propriedades geométricas VI'!$C$3=30,'Seções '!C194)))</f>
        <v>21.99</v>
      </c>
    </row>
    <row r="198" spans="2:3" x14ac:dyDescent="0.25">
      <c r="B198" s="79">
        <f>IF($C$3=20,'Seções '!J195,IF('Propriedades geométricas VI'!$C$3=25,'Seções '!F195,IF('Propriedades geométricas VI'!$C$3=30,'Seções '!B195)))</f>
        <v>28.78</v>
      </c>
      <c r="C198" s="79">
        <f>IF($C$3=20,'Seções '!K195,IF('Propriedades geométricas VI'!$C$3=25,'Seções '!G195,IF('Propriedades geométricas VI'!$C$3=30,'Seções '!C195)))</f>
        <v>21.92</v>
      </c>
    </row>
    <row r="199" spans="2:3" x14ac:dyDescent="0.25">
      <c r="B199" s="79">
        <f>IF($C$3=20,'Seções '!J196,IF('Propriedades geométricas VI'!$C$3=25,'Seções '!F196,IF('Propriedades geométricas VI'!$C$3=30,'Seções '!B196)))</f>
        <v>28.159999999999997</v>
      </c>
      <c r="C199" s="79">
        <f>IF($C$3=20,'Seções '!K196,IF('Propriedades geométricas VI'!$C$3=25,'Seções '!G196,IF('Propriedades geométricas VI'!$C$3=30,'Seções '!C196)))</f>
        <v>21.79</v>
      </c>
    </row>
    <row r="200" spans="2:3" x14ac:dyDescent="0.25">
      <c r="B200" s="79">
        <f>IF($C$3=20,'Seções '!J197,IF('Propriedades geométricas VI'!$C$3=25,'Seções '!F197,IF('Propriedades geométricas VI'!$C$3=30,'Seções '!B197)))</f>
        <v>27.569999999999993</v>
      </c>
      <c r="C200" s="79">
        <f>IF($C$3=20,'Seções '!K197,IF('Propriedades geométricas VI'!$C$3=25,'Seções '!G197,IF('Propriedades geométricas VI'!$C$3=30,'Seções '!C197)))</f>
        <v>21.61</v>
      </c>
    </row>
    <row r="201" spans="2:3" x14ac:dyDescent="0.25">
      <c r="B201" s="79">
        <f>IF($C$3=20,'Seções '!J198,IF('Propriedades geométricas VI'!$C$3=25,'Seções '!F198,IF('Propriedades geométricas VI'!$C$3=30,'Seções '!B198)))</f>
        <v>26.849999999999994</v>
      </c>
      <c r="C201" s="79">
        <f>IF($C$3=20,'Seções '!K198,IF('Propriedades geométricas VI'!$C$3=25,'Seções '!G198,IF('Propriedades geométricas VI'!$C$3=30,'Seções '!C198)))</f>
        <v>21.29</v>
      </c>
    </row>
    <row r="202" spans="2:3" x14ac:dyDescent="0.25">
      <c r="B202" s="79">
        <f>IF($C$3=20,'Seções '!J199,IF('Propriedades geométricas VI'!$C$3=25,'Seções '!F199,IF('Propriedades geométricas VI'!$C$3=30,'Seções '!B199)))</f>
        <v>26.200000000000003</v>
      </c>
      <c r="C202" s="79">
        <f>IF($C$3=20,'Seções '!K199,IF('Propriedades geométricas VI'!$C$3=25,'Seções '!G199,IF('Propriedades geométricas VI'!$C$3=30,'Seções '!C199)))</f>
        <v>20.89</v>
      </c>
    </row>
    <row r="203" spans="2:3" x14ac:dyDescent="0.25">
      <c r="B203" s="79">
        <f>IF($C$3=20,'Seções '!J200,IF('Propriedades geométricas VI'!$C$3=25,'Seções '!F200,IF('Propriedades geométricas VI'!$C$3=30,'Seções '!B200)))</f>
        <v>25.519999999999996</v>
      </c>
      <c r="C203" s="79">
        <f>IF($C$3=20,'Seções '!K200,IF('Propriedades geométricas VI'!$C$3=25,'Seções '!G200,IF('Propriedades geométricas VI'!$C$3=30,'Seções '!C200)))</f>
        <v>20.350000000000001</v>
      </c>
    </row>
    <row r="204" spans="2:3" x14ac:dyDescent="0.25">
      <c r="B204" s="79">
        <f>IF($C$3=20,'Seções '!J201,IF('Propriedades geométricas VI'!$C$3=25,'Seções '!F201,IF('Propriedades geométricas VI'!$C$3=30,'Seções '!B201)))</f>
        <v>24.879999999999995</v>
      </c>
      <c r="C204" s="79">
        <f>IF($C$3=20,'Seções '!K201,IF('Propriedades geométricas VI'!$C$3=25,'Seções '!G201,IF('Propriedades geométricas VI'!$C$3=30,'Seções '!C201)))</f>
        <v>19.66</v>
      </c>
    </row>
    <row r="205" spans="2:3" x14ac:dyDescent="0.25">
      <c r="B205" s="79">
        <f>IF($C$3=20,'Seções '!J202,IF('Propriedades geométricas VI'!$C$3=25,'Seções '!F202,IF('Propriedades geométricas VI'!$C$3=30,'Seções '!B202)))</f>
        <v>24.319999999999993</v>
      </c>
      <c r="C205" s="79">
        <f>IF($C$3=20,'Seções '!K202,IF('Propriedades geométricas VI'!$C$3=25,'Seções '!G202,IF('Propriedades geométricas VI'!$C$3=30,'Seções '!C202)))</f>
        <v>18.84</v>
      </c>
    </row>
    <row r="206" spans="2:3" x14ac:dyDescent="0.25">
      <c r="B206" s="79">
        <f>IF($C$3=20,'Seções '!J203,IF('Propriedades geométricas VI'!$C$3=25,'Seções '!F203,IF('Propriedades geométricas VI'!$C$3=30,'Seções '!B203)))</f>
        <v>23.83</v>
      </c>
      <c r="C206" s="79">
        <f>IF($C$3=20,'Seções '!K203,IF('Propriedades geométricas VI'!$C$3=25,'Seções '!G203,IF('Propriedades geométricas VI'!$C$3=30,'Seções '!C203)))</f>
        <v>17.760000000000002</v>
      </c>
    </row>
    <row r="207" spans="2:3" x14ac:dyDescent="0.25">
      <c r="B207" s="79">
        <f>IF($C$3=20,'Seções '!J204,IF('Propriedades geométricas VI'!$C$3=25,'Seções '!F204,IF('Propriedades geométricas VI'!$C$3=30,'Seções '!B204)))</f>
        <v>23.569999999999993</v>
      </c>
      <c r="C207" s="79">
        <f>IF($C$3=20,'Seções '!K204,IF('Propriedades geométricas VI'!$C$3=25,'Seções '!G204,IF('Propriedades geométricas VI'!$C$3=30,'Seções '!C204)))</f>
        <v>16.66</v>
      </c>
    </row>
    <row r="208" spans="2:3" x14ac:dyDescent="0.25">
      <c r="B208" s="79">
        <f>IF($C$3=20,'Seções '!J205,IF('Propriedades geométricas VI'!$C$3=25,'Seções '!F205,IF('Propriedades geométricas VI'!$C$3=30,'Seções '!B205)))</f>
        <v>23.5</v>
      </c>
      <c r="C208" s="79">
        <f>IF($C$3=20,'Seções '!K205,IF('Propriedades geométricas VI'!$C$3=25,'Seções '!G205,IF('Propriedades geométricas VI'!$C$3=30,'Seções '!C205)))</f>
        <v>15.75</v>
      </c>
    </row>
    <row r="209" spans="2:3" x14ac:dyDescent="0.25">
      <c r="B209" s="79">
        <f>IF($C$3=20,'Seções '!J206,IF('Propriedades geométricas VI'!$C$3=25,'Seções '!F206,IF('Propriedades geométricas VI'!$C$3=30,'Seções '!B206)))</f>
        <v>23.5</v>
      </c>
      <c r="C209" s="79">
        <f>IF($C$3=20,'Seções '!K206,IF('Propriedades geométricas VI'!$C$3=25,'Seções '!G206,IF('Propriedades geométricas VI'!$C$3=30,'Seções '!C206)))</f>
        <v>5.8</v>
      </c>
    </row>
    <row r="210" spans="2:3" x14ac:dyDescent="0.25">
      <c r="B210" s="79">
        <f>IF($C$3=20,'Seções '!J207,IF('Propriedades geométricas VI'!$C$3=25,'Seções '!F207,IF('Propriedades geométricas VI'!$C$3=30,'Seções '!B207)))</f>
        <v>26.650000000000006</v>
      </c>
      <c r="C210" s="79">
        <f>IF($C$3=20,'Seções '!K207,IF('Propriedades geométricas VI'!$C$3=25,'Seções '!G207,IF('Propriedades geométricas VI'!$C$3=30,'Seções '!C207)))</f>
        <v>3</v>
      </c>
    </row>
    <row r="211" spans="2:3" x14ac:dyDescent="0.25">
      <c r="B211" s="79">
        <f>IF($C$3=20,'Seções '!J208,IF('Propriedades geométricas VI'!$C$3=25,'Seções '!F208,IF('Propriedades geométricas VI'!$C$3=30,'Seções '!B208)))</f>
        <v>29.75</v>
      </c>
      <c r="C211" s="79">
        <f>IF($C$3=20,'Seções '!K208,IF('Propriedades geométricas VI'!$C$3=25,'Seções '!G208,IF('Propriedades geométricas VI'!$C$3=30,'Seções '!C208)))</f>
        <v>3</v>
      </c>
    </row>
    <row r="212" spans="2:3" x14ac:dyDescent="0.25">
      <c r="B212" s="79">
        <f>IF($C$3=20,'Seções '!J209,IF('Propriedades geométricas VI'!$C$3=25,'Seções '!F209,IF('Propriedades geométricas VI'!$C$3=30,'Seções '!B209)))</f>
        <v>29.75</v>
      </c>
      <c r="C212" s="79">
        <f>IF($C$3=20,'Seções '!K209,IF('Propriedades geométricas VI'!$C$3=25,'Seções '!G209,IF('Propriedades geométricas VI'!$C$3=30,'Seções '!C209)))</f>
        <v>0</v>
      </c>
    </row>
    <row r="213" spans="2:3" x14ac:dyDescent="0.25">
      <c r="B213" s="79">
        <f>IF($C$3=20,'Seções '!J210,IF('Propriedades geométricas VI'!$C$3=25,'Seções '!F210,IF('Propriedades geométricas VI'!$C$3=30,'Seções '!B210)))</f>
        <v>13.549999999999997</v>
      </c>
      <c r="C213" s="79">
        <f>IF($C$3=20,'Seções '!K210,IF('Propriedades geométricas VI'!$C$3=25,'Seções '!G210,IF('Propriedades geométricas VI'!$C$3=30,'Seções '!C210)))</f>
        <v>0</v>
      </c>
    </row>
    <row r="214" spans="2:3" x14ac:dyDescent="0.25">
      <c r="B214" s="79">
        <f>IF($C$3=20,'Seções '!J211,IF('Propriedades geométricas VI'!$C$3=25,'Seções '!F211,IF('Propriedades geométricas VI'!$C$3=30,'Seções '!B211)))</f>
        <v>13.549999999999997</v>
      </c>
      <c r="C214" s="79">
        <f>IF($C$3=20,'Seções '!K211,IF('Propriedades geométricas VI'!$C$3=25,'Seções '!G211,IF('Propriedades geométricas VI'!$C$3=30,'Seções '!C211)))</f>
        <v>3</v>
      </c>
    </row>
    <row r="215" spans="2:3" x14ac:dyDescent="0.25">
      <c r="B215" s="79">
        <f>IF($C$3=20,'Seções '!J212,IF('Propriedades geométricas VI'!$C$3=25,'Seções '!F212,IF('Propriedades geométricas VI'!$C$3=30,'Seções '!B212)))</f>
        <v>16.599999999999994</v>
      </c>
      <c r="C215" s="79">
        <f>IF($C$3=20,'Seções '!K212,IF('Propriedades geométricas VI'!$C$3=25,'Seções '!G212,IF('Propriedades geométricas VI'!$C$3=30,'Seções '!C212)))</f>
        <v>3</v>
      </c>
    </row>
    <row r="216" spans="2:3" x14ac:dyDescent="0.25">
      <c r="B216" s="79">
        <f>IF($C$3=20,'Seções '!J213,IF('Propriedades geométricas VI'!$C$3=25,'Seções '!F213,IF('Propriedades geométricas VI'!$C$3=30,'Seções '!B213)))</f>
        <v>19.75</v>
      </c>
      <c r="C216" s="79">
        <f>IF($C$3=20,'Seções '!K213,IF('Propriedades geométricas VI'!$C$3=25,'Seções '!G213,IF('Propriedades geométricas VI'!$C$3=30,'Seções '!C213)))</f>
        <v>5.8</v>
      </c>
    </row>
    <row r="217" spans="2:3" x14ac:dyDescent="0.25">
      <c r="B217" s="79">
        <f>IF($C$3=20,'Seções '!J214,IF('Propriedades geométricas VI'!$C$3=25,'Seções '!F214,IF('Propriedades geométricas VI'!$C$3=30,'Seções '!B214)))</f>
        <v>19.75</v>
      </c>
      <c r="C217" s="79">
        <f>IF($C$3=20,'Seções '!K214,IF('Propriedades geométricas VI'!$C$3=25,'Seções '!G214,IF('Propriedades geométricas VI'!$C$3=30,'Seções '!C214)))</f>
        <v>15.75</v>
      </c>
    </row>
    <row r="218" spans="2:3" x14ac:dyDescent="0.25">
      <c r="B218" s="79">
        <f>IF($C$3=20,'Seções '!J215,IF('Propriedades geométricas VI'!$C$3=25,'Seções '!F215,IF('Propriedades geométricas VI'!$C$3=30,'Seções '!B215)))</f>
        <v>19.680000000000007</v>
      </c>
      <c r="C218" s="79">
        <f>IF($C$3=20,'Seções '!K215,IF('Propriedades geométricas VI'!$C$3=25,'Seções '!G215,IF('Propriedades geométricas VI'!$C$3=30,'Seções '!C215)))</f>
        <v>16.66</v>
      </c>
    </row>
    <row r="219" spans="2:3" x14ac:dyDescent="0.25">
      <c r="B219" s="79">
        <f>IF($C$3=20,'Seções '!J216,IF('Propriedades geométricas VI'!$C$3=25,'Seções '!F216,IF('Propriedades geométricas VI'!$C$3=30,'Seções '!B216)))</f>
        <v>19.420000000000002</v>
      </c>
      <c r="C219" s="79">
        <f>IF($C$3=20,'Seções '!K216,IF('Propriedades geométricas VI'!$C$3=25,'Seções '!G216,IF('Propriedades geométricas VI'!$C$3=30,'Seções '!C216)))</f>
        <v>17.760000000000002</v>
      </c>
    </row>
    <row r="220" spans="2:3" x14ac:dyDescent="0.25">
      <c r="B220" s="79">
        <f>IF($C$3=20,'Seções '!J217,IF('Propriedades geométricas VI'!$C$3=25,'Seções '!F217,IF('Propriedades geométricas VI'!$C$3=30,'Seções '!B217)))</f>
        <v>18.930000000000007</v>
      </c>
      <c r="C220" s="79">
        <f>IF($C$3=20,'Seções '!K217,IF('Propriedades geométricas VI'!$C$3=25,'Seções '!G217,IF('Propriedades geométricas VI'!$C$3=30,'Seções '!C217)))</f>
        <v>18.84</v>
      </c>
    </row>
    <row r="221" spans="2:3" x14ac:dyDescent="0.25">
      <c r="B221" s="79">
        <f>IF($C$3=20,'Seções '!J218,IF('Propriedades geométricas VI'!$C$3=25,'Seções '!F218,IF('Propriedades geométricas VI'!$C$3=30,'Seções '!B218)))</f>
        <v>18.370000000000005</v>
      </c>
      <c r="C221" s="79">
        <f>IF($C$3=20,'Seções '!K218,IF('Propriedades geométricas VI'!$C$3=25,'Seções '!G218,IF('Propriedades geométricas VI'!$C$3=30,'Seções '!C218)))</f>
        <v>19.66</v>
      </c>
    </row>
    <row r="222" spans="2:3" x14ac:dyDescent="0.25">
      <c r="B222" s="79">
        <f>IF($C$3=20,'Seções '!J219,IF('Propriedades geométricas VI'!$C$3=25,'Seções '!F219,IF('Propriedades geométricas VI'!$C$3=30,'Seções '!B219)))</f>
        <v>17.730000000000004</v>
      </c>
      <c r="C222" s="79">
        <f>IF($C$3=20,'Seções '!K219,IF('Propriedades geométricas VI'!$C$3=25,'Seções '!G219,IF('Propriedades geométricas VI'!$C$3=30,'Seções '!C219)))</f>
        <v>20.350000000000001</v>
      </c>
    </row>
    <row r="223" spans="2:3" x14ac:dyDescent="0.25">
      <c r="B223" s="79">
        <f>IF($C$3=20,'Seções '!J220,IF('Propriedades geométricas VI'!$C$3=25,'Seções '!F220,IF('Propriedades geométricas VI'!$C$3=30,'Seções '!B220)))</f>
        <v>17.049999999999997</v>
      </c>
      <c r="C223" s="79">
        <f>IF($C$3=20,'Seções '!K220,IF('Propriedades geométricas VI'!$C$3=25,'Seções '!G220,IF('Propriedades geométricas VI'!$C$3=30,'Seções '!C220)))</f>
        <v>20.89</v>
      </c>
    </row>
    <row r="224" spans="2:3" x14ac:dyDescent="0.25">
      <c r="B224" s="79">
        <f>IF($C$3=20,'Seções '!J221,IF('Propriedades geométricas VI'!$C$3=25,'Seções '!F221,IF('Propriedades geométricas VI'!$C$3=30,'Seções '!B221)))</f>
        <v>16.400000000000006</v>
      </c>
      <c r="C224" s="79">
        <f>IF($C$3=20,'Seções '!K221,IF('Propriedades geométricas VI'!$C$3=25,'Seções '!G221,IF('Propriedades geométricas VI'!$C$3=30,'Seções '!C221)))</f>
        <v>21.29</v>
      </c>
    </row>
    <row r="225" spans="2:3" x14ac:dyDescent="0.25">
      <c r="B225" s="79">
        <f>IF($C$3=20,'Seções '!J222,IF('Propriedades geométricas VI'!$C$3=25,'Seções '!F222,IF('Propriedades geométricas VI'!$C$3=30,'Seções '!B222)))</f>
        <v>15.680000000000007</v>
      </c>
      <c r="C225" s="79">
        <f>IF($C$3=20,'Seções '!K222,IF('Propriedades geométricas VI'!$C$3=25,'Seções '!G222,IF('Propriedades geométricas VI'!$C$3=30,'Seções '!C222)))</f>
        <v>21.61</v>
      </c>
    </row>
    <row r="226" spans="2:3" x14ac:dyDescent="0.25">
      <c r="B226" s="79">
        <f>IF($C$3=20,'Seções '!J223,IF('Propriedades geométricas VI'!$C$3=25,'Seções '!F223,IF('Propriedades geométricas VI'!$C$3=30,'Seções '!B223)))</f>
        <v>15.090000000000003</v>
      </c>
      <c r="C226" s="79">
        <f>IF($C$3=20,'Seções '!K223,IF('Propriedades geométricas VI'!$C$3=25,'Seções '!G223,IF('Propriedades geométricas VI'!$C$3=30,'Seções '!C223)))</f>
        <v>21.79</v>
      </c>
    </row>
    <row r="227" spans="2:3" x14ac:dyDescent="0.25">
      <c r="B227" s="79">
        <f>IF($C$3=20,'Seções '!J224,IF('Propriedades geométricas VI'!$C$3=25,'Seções '!F224,IF('Propriedades geométricas VI'!$C$3=30,'Seções '!B224)))</f>
        <v>14.469999999999999</v>
      </c>
      <c r="C227" s="79">
        <f>IF($C$3=20,'Seções '!K224,IF('Propriedades geométricas VI'!$C$3=25,'Seções '!G224,IF('Propriedades geométricas VI'!$C$3=30,'Seções '!C224)))</f>
        <v>21.92</v>
      </c>
    </row>
    <row r="228" spans="2:3" x14ac:dyDescent="0.25">
      <c r="B228" s="79">
        <f>IF($C$3=20,'Seções '!J225,IF('Propriedades geométricas VI'!$C$3=25,'Seções '!F225,IF('Propriedades geométricas VI'!$C$3=30,'Seções '!B225)))</f>
        <v>13.799999999999997</v>
      </c>
      <c r="C228" s="79">
        <f>IF($C$3=20,'Seções '!K225,IF('Propriedades geométricas VI'!$C$3=25,'Seções '!G225,IF('Propriedades geométricas VI'!$C$3=30,'Seções '!C225)))</f>
        <v>21.99</v>
      </c>
    </row>
    <row r="229" spans="2:3" x14ac:dyDescent="0.25">
      <c r="B229" s="79">
        <f>IF($C$3=20,'Seções '!J226,IF('Propriedades geométricas VI'!$C$3=25,'Seções '!F226,IF('Propriedades geométricas VI'!$C$3=30,'Seções '!B226)))</f>
        <v>13.200000000000003</v>
      </c>
      <c r="C229" s="79">
        <f>IF($C$3=20,'Seções '!K226,IF('Propriedades geométricas VI'!$C$3=25,'Seções '!G226,IF('Propriedades geométricas VI'!$C$3=30,'Seções '!C226)))</f>
        <v>21.99</v>
      </c>
    </row>
    <row r="230" spans="2:3" x14ac:dyDescent="0.25">
      <c r="B230" s="79">
        <f>IF($C$3=20,'Seções '!J227,IF('Propriedades geométricas VI'!$C$3=25,'Seções '!F227,IF('Propriedades geométricas VI'!$C$3=30,'Seções '!B227)))</f>
        <v>12.530000000000001</v>
      </c>
      <c r="C230" s="79">
        <f>IF($C$3=20,'Seções '!K227,IF('Propriedades geométricas VI'!$C$3=25,'Seções '!G227,IF('Propriedades geométricas VI'!$C$3=30,'Seções '!C227)))</f>
        <v>21.92</v>
      </c>
    </row>
    <row r="231" spans="2:3" x14ac:dyDescent="0.25">
      <c r="B231" s="79">
        <f>IF($C$3=20,'Seções '!J228,IF('Propriedades geométricas VI'!$C$3=25,'Seções '!F228,IF('Propriedades geométricas VI'!$C$3=30,'Seções '!B228)))</f>
        <v>11.909999999999997</v>
      </c>
      <c r="C231" s="79">
        <f>IF($C$3=20,'Seções '!K228,IF('Propriedades geométricas VI'!$C$3=25,'Seções '!G228,IF('Propriedades geométricas VI'!$C$3=30,'Seções '!C228)))</f>
        <v>21.79</v>
      </c>
    </row>
    <row r="232" spans="2:3" x14ac:dyDescent="0.25">
      <c r="B232" s="79">
        <f>IF($C$3=20,'Seções '!J229,IF('Propriedades geométricas VI'!$C$3=25,'Seções '!F229,IF('Propriedades geométricas VI'!$C$3=30,'Seções '!B229)))</f>
        <v>11.319999999999993</v>
      </c>
      <c r="C232" s="79">
        <f>IF($C$3=20,'Seções '!K229,IF('Propriedades geométricas VI'!$C$3=25,'Seções '!G229,IF('Propriedades geométricas VI'!$C$3=30,'Seções '!C229)))</f>
        <v>21.61</v>
      </c>
    </row>
    <row r="233" spans="2:3" x14ac:dyDescent="0.25">
      <c r="B233" s="79">
        <f>IF($C$3=20,'Seções '!J230,IF('Propriedades geométricas VI'!$C$3=25,'Seções '!F230,IF('Propriedades geométricas VI'!$C$3=30,'Seções '!B230)))</f>
        <v>10.599999999999994</v>
      </c>
      <c r="C233" s="79">
        <f>IF($C$3=20,'Seções '!K230,IF('Propriedades geométricas VI'!$C$3=25,'Seções '!G230,IF('Propriedades geométricas VI'!$C$3=30,'Seções '!C230)))</f>
        <v>21.29</v>
      </c>
    </row>
    <row r="234" spans="2:3" x14ac:dyDescent="0.25">
      <c r="B234" s="79">
        <f>IF($C$3=20,'Seções '!J231,IF('Propriedades geométricas VI'!$C$3=25,'Seções '!F231,IF('Propriedades geométricas VI'!$C$3=30,'Seções '!B231)))</f>
        <v>9.9500000000000028</v>
      </c>
      <c r="C234" s="79">
        <f>IF($C$3=20,'Seções '!K231,IF('Propriedades geométricas VI'!$C$3=25,'Seções '!G231,IF('Propriedades geométricas VI'!$C$3=30,'Seções '!C231)))</f>
        <v>20.89</v>
      </c>
    </row>
    <row r="235" spans="2:3" x14ac:dyDescent="0.25">
      <c r="B235" s="79">
        <f>IF($C$3=20,'Seções '!J232,IF('Propriedades geométricas VI'!$C$3=25,'Seções '!F232,IF('Propriedades geométricas VI'!$C$3=30,'Seções '!B232)))</f>
        <v>9.269999999999996</v>
      </c>
      <c r="C235" s="79">
        <f>IF($C$3=20,'Seções '!K232,IF('Propriedades geométricas VI'!$C$3=25,'Seções '!G232,IF('Propriedades geométricas VI'!$C$3=30,'Seções '!C232)))</f>
        <v>20.350000000000001</v>
      </c>
    </row>
    <row r="236" spans="2:3" x14ac:dyDescent="0.25">
      <c r="B236" s="79">
        <f>IF($C$3=20,'Seções '!J233,IF('Propriedades geométricas VI'!$C$3=25,'Seções '!F233,IF('Propriedades geométricas VI'!$C$3=30,'Seções '!B233)))</f>
        <v>8.6299999999999955</v>
      </c>
      <c r="C236" s="79">
        <f>IF($C$3=20,'Seções '!K233,IF('Propriedades geométricas VI'!$C$3=25,'Seções '!G233,IF('Propriedades geométricas VI'!$C$3=30,'Seções '!C233)))</f>
        <v>19.66</v>
      </c>
    </row>
    <row r="237" spans="2:3" x14ac:dyDescent="0.25">
      <c r="B237" s="79">
        <f>IF($C$3=20,'Seções '!J234,IF('Propriedades geométricas VI'!$C$3=25,'Seções '!F234,IF('Propriedades geométricas VI'!$C$3=30,'Seções '!B234)))</f>
        <v>8.0699999999999932</v>
      </c>
      <c r="C237" s="79">
        <f>IF($C$3=20,'Seções '!K234,IF('Propriedades geométricas VI'!$C$3=25,'Seções '!G234,IF('Propriedades geométricas VI'!$C$3=30,'Seções '!C234)))</f>
        <v>18.84</v>
      </c>
    </row>
    <row r="238" spans="2:3" x14ac:dyDescent="0.25">
      <c r="B238" s="79">
        <f>IF($C$3=20,'Seções '!J235,IF('Propriedades geométricas VI'!$C$3=25,'Seções '!F235,IF('Propriedades geométricas VI'!$C$3=30,'Seções '!B235)))</f>
        <v>7.5799999999999983</v>
      </c>
      <c r="C238" s="79">
        <f>IF($C$3=20,'Seções '!K235,IF('Propriedades geométricas VI'!$C$3=25,'Seções '!G235,IF('Propriedades geométricas VI'!$C$3=30,'Seções '!C235)))</f>
        <v>17.760000000000002</v>
      </c>
    </row>
    <row r="239" spans="2:3" x14ac:dyDescent="0.25">
      <c r="B239" s="79">
        <f>IF($C$3=20,'Seções '!J236,IF('Propriedades geométricas VI'!$C$3=25,'Seções '!F236,IF('Propriedades geométricas VI'!$C$3=30,'Seções '!B236)))</f>
        <v>7.3199999999999932</v>
      </c>
      <c r="C239" s="79">
        <f>IF($C$3=20,'Seções '!K236,IF('Propriedades geométricas VI'!$C$3=25,'Seções '!G236,IF('Propriedades geométricas VI'!$C$3=30,'Seções '!C236)))</f>
        <v>16.66</v>
      </c>
    </row>
    <row r="240" spans="2:3" x14ac:dyDescent="0.25">
      <c r="B240" s="79">
        <f>IF($C$3=20,'Seções '!J237,IF('Propriedades geométricas VI'!$C$3=25,'Seções '!F237,IF('Propriedades geométricas VI'!$C$3=30,'Seções '!B237)))</f>
        <v>7.25</v>
      </c>
      <c r="C240" s="79">
        <f>IF($C$3=20,'Seções '!K237,IF('Propriedades geométricas VI'!$C$3=25,'Seções '!G237,IF('Propriedades geométricas VI'!$C$3=30,'Seções '!C237)))</f>
        <v>15.75</v>
      </c>
    </row>
    <row r="241" spans="2:3" x14ac:dyDescent="0.25">
      <c r="B241" s="79">
        <f>IF($C$3=20,'Seções '!J238,IF('Propriedades geométricas VI'!$C$3=25,'Seções '!F238,IF('Propriedades geométricas VI'!$C$3=30,'Seções '!B238)))</f>
        <v>7.25</v>
      </c>
      <c r="C241" s="79">
        <f>IF($C$3=20,'Seções '!K238,IF('Propriedades geométricas VI'!$C$3=25,'Seções '!G238,IF('Propriedades geométricas VI'!$C$3=30,'Seções '!C238)))</f>
        <v>5.8</v>
      </c>
    </row>
    <row r="242" spans="2:3" x14ac:dyDescent="0.25">
      <c r="B242" s="79">
        <f>IF($C$3=20,'Seções '!J239,IF('Propriedades geométricas VI'!$C$3=25,'Seções '!F239,IF('Propriedades geométricas VI'!$C$3=30,'Seções '!B239)))</f>
        <v>10.4</v>
      </c>
      <c r="C242" s="79">
        <f>IF($C$3=20,'Seções '!K239,IF('Propriedades geométricas VI'!$C$3=25,'Seções '!G239,IF('Propriedades geométricas VI'!$C$3=30,'Seções '!C239)))</f>
        <v>3</v>
      </c>
    </row>
    <row r="243" spans="2:3" x14ac:dyDescent="0.25">
      <c r="B243" s="79">
        <f>IF($C$3=20,'Seções '!J240,IF('Propriedades geométricas VI'!$C$3=25,'Seções '!F240,IF('Propriedades geométricas VI'!$C$3=30,'Seções '!B240)))</f>
        <v>13.5</v>
      </c>
      <c r="C243" s="79">
        <f>IF($C$3=20,'Seções '!K240,IF('Propriedades geométricas VI'!$C$3=25,'Seções '!G240,IF('Propriedades geométricas VI'!$C$3=30,'Seções '!C240)))</f>
        <v>3</v>
      </c>
    </row>
    <row r="244" spans="2:3" x14ac:dyDescent="0.25">
      <c r="B244" s="79">
        <f>IF($C$3=20,'Seções '!J241,IF('Propriedades geométricas VI'!$C$3=25,'Seções '!F241,IF('Propriedades geométricas VI'!$C$3=30,'Seções '!B241)))</f>
        <v>13.5</v>
      </c>
      <c r="C244" s="79">
        <f>IF($C$3=20,'Seções '!K241,IF('Propriedades geométricas VI'!$C$3=25,'Seções '!G241,IF('Propriedades geométricas VI'!$C$3=30,'Seções '!C241)))</f>
        <v>0</v>
      </c>
    </row>
    <row r="245" spans="2:3" x14ac:dyDescent="0.25">
      <c r="B245" s="79">
        <f>IF($C$3=20,'Seções '!J242,IF('Propriedades geométricas VI'!$C$3=25,'Seções '!F242,IF('Propriedades geométricas VI'!$C$3=30,'Seções '!B242)))</f>
        <v>0.95</v>
      </c>
      <c r="C245" s="79">
        <f>IF($C$3=20,'Seções '!K242,IF('Propriedades geométricas VI'!$C$3=25,'Seções '!G242,IF('Propriedades geométricas VI'!$C$3=30,'Seções '!C242)))</f>
        <v>0</v>
      </c>
    </row>
    <row r="246" spans="2:3" x14ac:dyDescent="0.25">
      <c r="B246" s="79">
        <f>IF($C$3=20,'Seções '!J243,IF('Propriedades geométricas VI'!$C$3=25,'Seções '!F243,IF('Propriedades geométricas VI'!$C$3=30,'Seções '!B243)))</f>
        <v>0</v>
      </c>
      <c r="C246" s="79">
        <f>IF($C$3=20,'Seções '!K243,IF('Propriedades geométricas VI'!$C$3=25,'Seções '!G243,IF('Propriedades geométricas VI'!$C$3=30,'Seções '!C243)))</f>
        <v>0</v>
      </c>
    </row>
    <row r="247" spans="2:3" x14ac:dyDescent="0.25">
      <c r="B247" s="79">
        <f>IF($C$3=20,'Seções '!J244,IF('Propriedades geométricas VI'!$C$3=25,'Seções '!F244,IF('Propriedades geométricas VI'!$C$3=30,'Seções '!B244)))</f>
        <v>0</v>
      </c>
      <c r="C247" s="79">
        <f>IF($C$3=20,'Seções '!K244,IF('Propriedades geométricas VI'!$C$3=25,'Seções '!G244,IF('Propriedades geométricas VI'!$C$3=30,'Seções '!C244)))</f>
        <v>0</v>
      </c>
    </row>
    <row r="248" spans="2:3" x14ac:dyDescent="0.25">
      <c r="B248" s="79">
        <f>IF($C$3=20,'Seções '!J245,IF('Propriedades geométricas VI'!$C$3=25,'Seções '!F245,IF('Propriedades geométricas VI'!$C$3=30,'Seções '!B245)))</f>
        <v>0</v>
      </c>
      <c r="C248" s="79">
        <f>IF($C$3=20,'Seções '!K245,IF('Propriedades geométricas VI'!$C$3=25,'Seções '!G245,IF('Propriedades geométricas VI'!$C$3=30,'Seções '!C245)))</f>
        <v>0</v>
      </c>
    </row>
    <row r="249" spans="2:3" x14ac:dyDescent="0.25">
      <c r="B249" s="79">
        <f>IF($C$3=20,'Seções '!J246,IF('Propriedades geométricas VI'!$C$3=25,'Seções '!F246,IF('Propriedades geométricas VI'!$C$3=30,'Seções '!B246)))</f>
        <v>0</v>
      </c>
      <c r="C249" s="79">
        <f>IF($C$3=20,'Seções '!K246,IF('Propriedades geométricas VI'!$C$3=25,'Seções '!G246,IF('Propriedades geométricas VI'!$C$3=30,'Seções '!C246)))</f>
        <v>0</v>
      </c>
    </row>
    <row r="250" spans="2:3" x14ac:dyDescent="0.25">
      <c r="B250" s="79">
        <f>IF($C$3=20,'Seções '!J247,IF('Propriedades geométricas VI'!$C$3=25,'Seções '!F247,IF('Propriedades geométricas VI'!$C$3=30,'Seções '!B247)))</f>
        <v>0</v>
      </c>
      <c r="C250" s="79">
        <f>IF($C$3=20,'Seções '!K247,IF('Propriedades geométricas VI'!$C$3=25,'Seções '!G247,IF('Propriedades geométricas VI'!$C$3=30,'Seções '!C247)))</f>
        <v>0</v>
      </c>
    </row>
    <row r="251" spans="2:3" x14ac:dyDescent="0.25">
      <c r="B251" s="79">
        <f>IF($C$3=20,'Seções '!J248,IF('Propriedades geométricas VI'!$C$3=25,'Seções '!F248,IF('Propriedades geométricas VI'!$C$3=30,'Seções '!B248)))</f>
        <v>0</v>
      </c>
      <c r="C251" s="79">
        <f>IF($C$3=20,'Seções '!K248,IF('Propriedades geométricas VI'!$C$3=25,'Seções '!G248,IF('Propriedades geométricas VI'!$C$3=30,'Seções '!C248)))</f>
        <v>0</v>
      </c>
    </row>
    <row r="252" spans="2:3" x14ac:dyDescent="0.25">
      <c r="B252" s="79">
        <f>IF($C$3=20,'Seções '!J249,IF('Propriedades geométricas VI'!$C$3=25,'Seções '!F249,IF('Propriedades geométricas VI'!$C$3=30,'Seções '!B249)))</f>
        <v>0</v>
      </c>
      <c r="C252" s="79">
        <f>IF($C$3=20,'Seções '!K249,IF('Propriedades geométricas VI'!$C$3=25,'Seções '!G249,IF('Propriedades geométricas VI'!$C$3=30,'Seções '!C249)))</f>
        <v>0</v>
      </c>
    </row>
    <row r="253" spans="2:3" x14ac:dyDescent="0.25">
      <c r="B253" s="79">
        <f>IF($C$3=20,'Seções '!J250,IF('Propriedades geométricas VI'!$C$3=25,'Seções '!F250,IF('Propriedades geométricas VI'!$C$3=30,'Seções '!B250)))</f>
        <v>0</v>
      </c>
      <c r="C253" s="79">
        <f>IF($C$3=20,'Seções '!K250,IF('Propriedades geométricas VI'!$C$3=25,'Seções '!G250,IF('Propriedades geométricas VI'!$C$3=30,'Seções '!C250)))</f>
        <v>0</v>
      </c>
    </row>
    <row r="254" spans="2:3" x14ac:dyDescent="0.25">
      <c r="B254" s="79">
        <f>IF($C$3=20,'Seções '!J251,IF('Propriedades geométricas VI'!$C$3=25,'Seções '!F251,IF('Propriedades geométricas VI'!$C$3=30,'Seções '!B251)))</f>
        <v>0</v>
      </c>
      <c r="C254" s="79">
        <f>IF($C$3=20,'Seções '!K251,IF('Propriedades geométricas VI'!$C$3=25,'Seções '!G251,IF('Propriedades geométricas VI'!$C$3=30,'Seções '!C251)))</f>
        <v>0</v>
      </c>
    </row>
    <row r="255" spans="2:3" x14ac:dyDescent="0.25">
      <c r="B255" s="79">
        <f>IF($C$3=20,'Seções '!J252,IF('Propriedades geométricas VI'!$C$3=25,'Seções '!F252,IF('Propriedades geométricas VI'!$C$3=30,'Seções '!B252)))</f>
        <v>0</v>
      </c>
      <c r="C255" s="79">
        <f>IF($C$3=20,'Seções '!K252,IF('Propriedades geométricas VI'!$C$3=25,'Seções '!G252,IF('Propriedades geométricas VI'!$C$3=30,'Seções '!C252)))</f>
        <v>0</v>
      </c>
    </row>
    <row r="256" spans="2:3" x14ac:dyDescent="0.25">
      <c r="B256" s="79">
        <f>IF($C$3=20,'Seções '!J253,IF('Propriedades geométricas VI'!$C$3=25,'Seções '!F253,IF('Propriedades geométricas VI'!$C$3=30,'Seções '!B253)))</f>
        <v>0</v>
      </c>
      <c r="C256" s="79">
        <f>IF($C$3=20,'Seções '!K253,IF('Propriedades geométricas VI'!$C$3=25,'Seções '!G253,IF('Propriedades geométricas VI'!$C$3=30,'Seções '!C253)))</f>
        <v>0</v>
      </c>
    </row>
    <row r="257" spans="2:3" x14ac:dyDescent="0.25">
      <c r="B257" s="79">
        <f>IF($C$3=20,'Seções '!J254,IF('Propriedades geométricas VI'!$C$3=25,'Seções '!F254,IF('Propriedades geométricas VI'!$C$3=30,'Seções '!B254)))</f>
        <v>0</v>
      </c>
      <c r="C257" s="79">
        <f>IF($C$3=20,'Seções '!K254,IF('Propriedades geométricas VI'!$C$3=25,'Seções '!G254,IF('Propriedades geométricas VI'!$C$3=30,'Seções '!C254)))</f>
        <v>0</v>
      </c>
    </row>
    <row r="258" spans="2:3" x14ac:dyDescent="0.25">
      <c r="B258" s="79">
        <f>IF($C$3=20,'Seções '!J255,IF('Propriedades geométricas VI'!$C$3=25,'Seções '!F255,IF('Propriedades geométricas VI'!$C$3=30,'Seções '!B255)))</f>
        <v>0</v>
      </c>
      <c r="C258" s="79">
        <f>IF($C$3=20,'Seções '!K255,IF('Propriedades geométricas VI'!$C$3=25,'Seções '!G255,IF('Propriedades geométricas VI'!$C$3=30,'Seções '!C255)))</f>
        <v>0</v>
      </c>
    </row>
  </sheetData>
  <mergeCells count="3">
    <mergeCell ref="E4:J4"/>
    <mergeCell ref="L4:N4"/>
    <mergeCell ref="E13:J13"/>
  </mergeCells>
  <dataValidations disablePrompts="1" count="2">
    <dataValidation type="whole" operator="equal" allowBlank="1" showInputMessage="1" showErrorMessage="1" sqref="B6:C6" xr:uid="{EB7DD0A0-8507-47BB-A496-8ADD8CD07A1B}">
      <formula1>0</formula1>
    </dataValidation>
    <dataValidation type="list" allowBlank="1" showInputMessage="1" showErrorMessage="1" sqref="B2" xr:uid="{1C3218EE-28BE-4834-A376-1D4C8CE9DF44}">
      <formula1>"m,cm,mm,ft,in"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D728-CEFD-42C7-9B47-50778B40B47C}">
  <dimension ref="A1:X254"/>
  <sheetViews>
    <sheetView zoomScale="85" zoomScaleNormal="85" workbookViewId="0">
      <selection activeCell="M17" sqref="M17"/>
    </sheetView>
  </sheetViews>
  <sheetFormatPr defaultRowHeight="15" x14ac:dyDescent="0.25"/>
  <cols>
    <col min="6" max="6" width="11.7109375" customWidth="1"/>
    <col min="13" max="13" width="15.85546875" customWidth="1"/>
    <col min="17" max="17" width="17.28515625" bestFit="1" customWidth="1"/>
    <col min="20" max="20" width="11.7109375" customWidth="1"/>
  </cols>
  <sheetData>
    <row r="1" spans="1:24" ht="15.75" x14ac:dyDescent="0.25">
      <c r="A1" s="49"/>
      <c r="B1" s="49" t="s">
        <v>369</v>
      </c>
      <c r="C1" s="50"/>
      <c r="D1" s="50"/>
      <c r="E1" s="50"/>
      <c r="F1" s="50"/>
      <c r="G1" s="50"/>
      <c r="H1" s="50"/>
      <c r="I1" s="51"/>
      <c r="J1" s="50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x14ac:dyDescent="0.25">
      <c r="A2" s="53" t="s">
        <v>370</v>
      </c>
      <c r="B2" s="54" t="s">
        <v>80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4" ht="15.75" thickBot="1" x14ac:dyDescent="0.3">
      <c r="A3" s="52"/>
      <c r="B3" s="52"/>
      <c r="C3" s="52">
        <f>'Propriedades geométricas VI'!C3</f>
        <v>25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15.75" thickBot="1" x14ac:dyDescent="0.3">
      <c r="A4" s="55" t="s">
        <v>371</v>
      </c>
      <c r="B4" s="56"/>
      <c r="C4" s="57"/>
      <c r="D4" s="52"/>
      <c r="E4" s="902" t="s">
        <v>372</v>
      </c>
      <c r="F4" s="903"/>
      <c r="G4" s="903"/>
      <c r="H4" s="903"/>
      <c r="I4" s="903"/>
      <c r="J4" s="904"/>
      <c r="K4" s="58"/>
      <c r="L4" s="905" t="s">
        <v>373</v>
      </c>
      <c r="M4" s="906"/>
      <c r="N4" s="907"/>
      <c r="O4" s="58"/>
      <c r="P4" s="58"/>
      <c r="Q4" s="59" t="s">
        <v>374</v>
      </c>
      <c r="R4" s="59"/>
      <c r="S4" s="59"/>
      <c r="T4" s="59"/>
      <c r="U4" s="59"/>
      <c r="V4" s="59" t="s">
        <v>375</v>
      </c>
      <c r="W4" s="59">
        <f ca="1">MAX(X)-MIN(X)</f>
        <v>124.5</v>
      </c>
      <c r="X4" s="52"/>
    </row>
    <row r="5" spans="1:24" x14ac:dyDescent="0.25">
      <c r="A5" s="60"/>
      <c r="B5" s="61" t="s">
        <v>376</v>
      </c>
      <c r="C5" s="61" t="s">
        <v>377</v>
      </c>
      <c r="D5" s="52"/>
      <c r="E5" s="62" t="s">
        <v>378</v>
      </c>
      <c r="F5" s="63">
        <f ca="1">IF(F11=0,0,IF(F9-F10=0,45,DEGREES(1/2*ATAN(-2*F11/(F9-F10)))))</f>
        <v>1.0306678193926293E-5</v>
      </c>
      <c r="G5" s="64" t="s">
        <v>379</v>
      </c>
      <c r="H5" s="65" t="s">
        <v>380</v>
      </c>
      <c r="I5" s="52">
        <f ca="1">MAX(X)-MIN(X)</f>
        <v>124.5</v>
      </c>
      <c r="J5" s="66" t="str">
        <f>$B$2</f>
        <v>cm</v>
      </c>
      <c r="K5" s="67" t="s">
        <v>381</v>
      </c>
      <c r="L5" s="68" t="s">
        <v>3</v>
      </c>
      <c r="M5" s="69">
        <f ca="1">I6</f>
        <v>30</v>
      </c>
      <c r="N5" s="70" t="str">
        <f>B2</f>
        <v>cm</v>
      </c>
      <c r="O5" s="67"/>
      <c r="P5" s="67"/>
      <c r="Q5" s="71" cm="1">
        <f t="array" aca="1" ref="Q5" ca="1">SUM((OFFSET(X,1,0)-X)*(Y+OFFSET(Y,1,0))/24*((OFFSET(Y,1,0)+Y)^2+(OFFSET(Y,1,0)-Y)^2))</f>
        <v>721650.68632660026</v>
      </c>
      <c r="R5" s="59" t="str">
        <f>$B$2&amp;"^4"</f>
        <v>cm^4</v>
      </c>
      <c r="S5" s="59" t="s">
        <v>382</v>
      </c>
      <c r="T5" s="72">
        <f ca="1">+(F9+F10)/2-SQRT((F9-F10)^2/4+F11^2)</f>
        <v>199263.10332046193</v>
      </c>
      <c r="U5" s="59" t="str">
        <f>$B$2&amp;"^4"</f>
        <v>cm^4</v>
      </c>
      <c r="V5" s="59" t="s">
        <v>383</v>
      </c>
      <c r="W5" s="59">
        <f ca="1">MAX(Y)-MIN(Y)</f>
        <v>30</v>
      </c>
      <c r="X5" s="52"/>
    </row>
    <row r="6" spans="1:24" x14ac:dyDescent="0.25">
      <c r="A6" s="73">
        <v>1</v>
      </c>
      <c r="B6" s="74">
        <v>0</v>
      </c>
      <c r="C6" s="74">
        <v>0</v>
      </c>
      <c r="E6" s="65" t="s">
        <v>384</v>
      </c>
      <c r="F6" s="75">
        <f t="array" aca="1" ref="F6" ca="1">SUM((Y-OFFSET(Y,1,0))*(X+OFFSET(X,1,0)))/2</f>
        <v>1982.47578156034</v>
      </c>
      <c r="G6" s="64" t="str">
        <f>$B$2 &amp; "^2"</f>
        <v>cm^2</v>
      </c>
      <c r="H6" s="65" t="s">
        <v>385</v>
      </c>
      <c r="I6" s="52">
        <f ca="1">MAX(Y)-MIN(Y)</f>
        <v>30</v>
      </c>
      <c r="J6" s="66" t="str">
        <f>$B$2</f>
        <v>cm</v>
      </c>
      <c r="K6" s="67" t="s">
        <v>386</v>
      </c>
      <c r="L6" s="76" t="s">
        <v>109</v>
      </c>
      <c r="M6" s="77">
        <f ca="1">ABS(F6)</f>
        <v>1982.47578156034</v>
      </c>
      <c r="N6" s="78" t="str">
        <f>CONCATENATE(B2,"²")</f>
        <v>cm²</v>
      </c>
      <c r="O6" s="67"/>
      <c r="P6" s="67"/>
      <c r="Q6" s="71">
        <f t="array" aca="1" ref="Q6" ca="1">-SUM((OFFSET(Y,1,0)-Y)*(X+OFFSET(X,1,0))/24*((OFFSET(X,1,0)+X)^2+(OFFSET(X,1,0)-X)^2))</f>
        <v>10031373.42449512</v>
      </c>
      <c r="R6" s="59" t="str">
        <f>B2&amp;"^4"</f>
        <v>cm^4</v>
      </c>
      <c r="S6" s="59" t="s">
        <v>387</v>
      </c>
      <c r="T6" s="72">
        <f ca="1">+(F9+F10)/2+SQRT((F9-F10)^2/4+F11^2)</f>
        <v>2349159.1343371868</v>
      </c>
      <c r="U6" s="59" t="str">
        <f>$B$2&amp;"^4"</f>
        <v>cm^4</v>
      </c>
      <c r="V6" s="59" t="s">
        <v>388</v>
      </c>
      <c r="W6" s="59"/>
      <c r="X6" s="52"/>
    </row>
    <row r="7" spans="1:24" x14ac:dyDescent="0.25">
      <c r="A7" s="73">
        <f t="shared" ref="A7:A40" si="0">1+A6</f>
        <v>2</v>
      </c>
      <c r="B7" s="79">
        <f>IF($C$3=20,'Seções Compostas'!X4,IF($C$3=25,'Seções Compostas'!M4,IF('Propriedades geométricas LA '!$C$3=30,'Seções Compostas'!B4)))</f>
        <v>0.95</v>
      </c>
      <c r="C7" s="79">
        <f>IF($C$3=20,'Seções Compostas'!Y4,IF($C$3=25,'Seções Compostas'!N4,IF('Propriedades geométricas LA '!$C$3=30,'Seções Compostas'!C4)))</f>
        <v>0</v>
      </c>
      <c r="D7" s="52"/>
      <c r="E7" s="65" t="s">
        <v>389</v>
      </c>
      <c r="F7" s="80">
        <f t="array" aca="1" ref="F7" ca="1">SUM((Y-OFFSET(Y,1,0))/8*((X+OFFSET(X,1,0))^2+(OFFSET(X,1,0)-X)^2/3))/$F$6</f>
        <v>62.249986758980704</v>
      </c>
      <c r="G7" s="64" t="str">
        <f>B2</f>
        <v>cm</v>
      </c>
      <c r="H7" s="65" t="s">
        <v>390</v>
      </c>
      <c r="I7" s="81">
        <f ca="1">F9/ABS(MAX(Y)-$F$8)</f>
        <v>14473.718963591526</v>
      </c>
      <c r="J7" s="64" t="str">
        <f>$B$2&amp;"^3"</f>
        <v>cm^3</v>
      </c>
      <c r="K7" s="67" t="s">
        <v>391</v>
      </c>
      <c r="L7" s="82" t="s">
        <v>392</v>
      </c>
      <c r="M7" s="83">
        <f ca="1">F8</f>
        <v>16.232764100106174</v>
      </c>
      <c r="N7" s="84" t="str">
        <f>B2</f>
        <v>cm</v>
      </c>
      <c r="O7" s="67"/>
      <c r="P7" s="67"/>
      <c r="Q7" s="71">
        <f t="array" aca="1" ref="Q7" ca="1">SUM(((OFFSET(Y,1,0)-Y)^2*(OFFSET(X,1,0)+X)*(OFFSET(X,1,0)^2+X^2)/8+(OFFSET(Y,1,0)-Y)*(OFFSET(X,1,0)*Y-X*OFFSET(Y,1,0))*(OFFSET(X,1,0)^2+OFFSET(X,1,0)*X+X^2)/3+(OFFSET(X,1,0)*Y-X*OFFSET(Y,1,0))^2*(OFFSET(X,1,0)+X)/4)*IF(OFFSET(X,1,0)=X,0,1/(OFFSET(X,1,0)-X)))</f>
        <v>2003271.0512161008</v>
      </c>
      <c r="R7" s="59" t="str">
        <f>B2&amp;"^4"</f>
        <v>cm^4</v>
      </c>
      <c r="S7" s="59" t="s">
        <v>393</v>
      </c>
      <c r="T7" s="59"/>
      <c r="U7" s="59"/>
      <c r="V7" s="59" t="s">
        <v>394</v>
      </c>
      <c r="W7" s="59"/>
      <c r="X7" s="52"/>
    </row>
    <row r="8" spans="1:24" x14ac:dyDescent="0.25">
      <c r="A8" s="73">
        <f t="shared" si="0"/>
        <v>3</v>
      </c>
      <c r="B8" s="79">
        <f>IF($C$3=20,'Seções Compostas'!X5,IF($C$3=25,'Seções Compostas'!M5,IF('Propriedades geométricas LA '!$C$3=30,'Seções Compostas'!B5)))</f>
        <v>0.19</v>
      </c>
      <c r="C8" s="79">
        <f>IF($C$3=20,'Seções Compostas'!Y5,IF($C$3=25,'Seções Compostas'!N5,IF('Propriedades geométricas LA '!$C$3=30,'Seções Compostas'!C5)))</f>
        <v>0.76</v>
      </c>
      <c r="D8" s="52"/>
      <c r="E8" s="65" t="s">
        <v>395</v>
      </c>
      <c r="F8" s="80">
        <f t="array" aca="1" ref="F8" ca="1">SUM((OFFSET(X,1,0)-X)/8*((Y+OFFSET(Y,1,0))^2+(OFFSET(Y,1,0)-Y)^2/3))/$F$6</f>
        <v>16.232764100106174</v>
      </c>
      <c r="G8" s="64" t="str">
        <f>B2</f>
        <v>cm</v>
      </c>
      <c r="H8" s="65" t="s">
        <v>396</v>
      </c>
      <c r="I8" s="81">
        <f ca="1">F9/ABS(MIN(Y)-$F$8)</f>
        <v>12275.364940418742</v>
      </c>
      <c r="J8" s="64" t="str">
        <f>$B$2&amp;"^3"</f>
        <v>cm^3</v>
      </c>
      <c r="K8" s="58"/>
      <c r="L8" s="85" t="s">
        <v>397</v>
      </c>
      <c r="M8" s="83">
        <f ca="1">I6-M7</f>
        <v>13.767235899893826</v>
      </c>
      <c r="N8" s="84" t="str">
        <f>B2</f>
        <v>cm</v>
      </c>
      <c r="O8" s="58"/>
      <c r="P8" s="58"/>
      <c r="Q8" s="59"/>
      <c r="R8" s="59"/>
      <c r="S8" s="86" t="s">
        <v>183</v>
      </c>
      <c r="T8" s="86" t="s">
        <v>398</v>
      </c>
      <c r="U8" s="59"/>
      <c r="V8" s="86" t="s">
        <v>183</v>
      </c>
      <c r="W8" s="86" t="s">
        <v>398</v>
      </c>
      <c r="X8" s="52"/>
    </row>
    <row r="9" spans="1:24" x14ac:dyDescent="0.25">
      <c r="A9" s="73">
        <f t="shared" si="0"/>
        <v>4</v>
      </c>
      <c r="B9" s="79">
        <f>IF($C$3=20,'Seções Compostas'!X6,IF($C$3=25,'Seções Compostas'!M6,IF('Propriedades geométricas LA '!$C$3=30,'Seções Compostas'!B6)))</f>
        <v>0</v>
      </c>
      <c r="C9" s="79">
        <f>IF($C$3=20,'Seções Compostas'!Y6,IF($C$3=25,'Seções Compostas'!N6,IF('Propriedades geométricas LA '!$C$3=30,'Seções Compostas'!C6)))</f>
        <v>2.2000000000000002</v>
      </c>
      <c r="D9" s="52"/>
      <c r="E9" s="65" t="s">
        <v>399</v>
      </c>
      <c r="F9" s="81">
        <f ca="1">Q5-F6*F8^2</f>
        <v>199263.10332053131</v>
      </c>
      <c r="G9" s="64" t="str">
        <f>$B$2&amp;"^4"</f>
        <v>cm^4</v>
      </c>
      <c r="H9" s="65" t="s">
        <v>400</v>
      </c>
      <c r="I9" s="81">
        <f ca="1">F10/ABS(MIN(X)-F7)</f>
        <v>37737.504160966069</v>
      </c>
      <c r="J9" s="64" t="str">
        <f>$B$2&amp;"^3"</f>
        <v>cm^3</v>
      </c>
      <c r="K9" s="58"/>
      <c r="L9" s="85" t="s">
        <v>401</v>
      </c>
      <c r="M9" s="83">
        <f ca="1">ABS(F9)</f>
        <v>199263.10332053131</v>
      </c>
      <c r="N9" s="87" t="str">
        <f>CONCATENATE(B2,"4")</f>
        <v>cm4</v>
      </c>
      <c r="O9" s="58"/>
      <c r="P9" s="58"/>
      <c r="Q9" s="59"/>
      <c r="R9" s="59"/>
      <c r="S9" s="88">
        <f ca="1">MIN(X)</f>
        <v>0</v>
      </c>
      <c r="T9" s="89">
        <f ca="1">(S9-$F$7)*TAN(RADIANS($F$5))+$F$8</f>
        <v>16.232752902238083</v>
      </c>
      <c r="U9" s="59"/>
      <c r="V9" s="90">
        <f ca="1">IF(W4&gt;=W5,MIN(X),(MAX(X)+MIN(X)-W5)/2)</f>
        <v>0</v>
      </c>
      <c r="W9" s="90">
        <f ca="1">IF(W4&gt;=W5,(MAX(Y)+MIN(Y)-W4)/2,MIN(Y))</f>
        <v>-47.25</v>
      </c>
      <c r="X9" s="52"/>
    </row>
    <row r="10" spans="1:24" x14ac:dyDescent="0.25">
      <c r="A10" s="73">
        <f t="shared" si="0"/>
        <v>5</v>
      </c>
      <c r="B10" s="79">
        <f>IF($C$3=20,'Seções Compostas'!X7,IF($C$3=25,'Seções Compostas'!M7,IF('Propriedades geométricas LA '!$C$3=30,'Seções Compostas'!B7)))</f>
        <v>3</v>
      </c>
      <c r="C10" s="79">
        <f>IF($C$3=20,'Seções Compostas'!Y7,IF($C$3=25,'Seções Compostas'!N7,IF('Propriedades geométricas LA '!$C$3=30,'Seções Compostas'!C7)))</f>
        <v>5</v>
      </c>
      <c r="D10" s="52"/>
      <c r="E10" s="65" t="s">
        <v>402</v>
      </c>
      <c r="F10" s="81">
        <f ca="1">Q6-F6*F7^2</f>
        <v>2349159.134337117</v>
      </c>
      <c r="G10" s="64" t="str">
        <f>$B$2&amp;"^4"</f>
        <v>cm^4</v>
      </c>
      <c r="H10" s="65" t="s">
        <v>403</v>
      </c>
      <c r="I10" s="81">
        <f ca="1">F10/ABS(MAX(X)-F7)</f>
        <v>37737.488106896526</v>
      </c>
      <c r="J10" s="64" t="str">
        <f>$B$2&amp;"^3"</f>
        <v>cm^3</v>
      </c>
      <c r="K10" s="58"/>
      <c r="L10" s="85" t="s">
        <v>404</v>
      </c>
      <c r="M10" s="83">
        <f ca="1">ABS(I8)</f>
        <v>12275.364940418742</v>
      </c>
      <c r="N10" s="87" t="str">
        <f>CONCATENATE(B2,"³")</f>
        <v>cm³</v>
      </c>
      <c r="O10" s="58"/>
      <c r="P10" s="58"/>
      <c r="Q10" s="59"/>
      <c r="R10" s="59"/>
      <c r="S10" s="88">
        <f ca="1">MAX(X)</f>
        <v>124.5</v>
      </c>
      <c r="T10" s="89">
        <f ca="1">(S10-$F$7)*TAN(RADIANS($F$5))+$F$8</f>
        <v>16.232775297979028</v>
      </c>
      <c r="U10" s="59"/>
      <c r="V10" s="88">
        <f ca="1">IF(W4&gt;=W5,MAX(X),(MAX(X)+MIN(X)+W5)/2)</f>
        <v>124.5</v>
      </c>
      <c r="W10" s="90">
        <f ca="1">IF(W4&gt;=W5,(MAX(Y)+MIN(Y)+W4)/2,MAX(Y))</f>
        <v>77.25</v>
      </c>
      <c r="X10" s="52"/>
    </row>
    <row r="11" spans="1:24" ht="15.75" thickBot="1" x14ac:dyDescent="0.3">
      <c r="A11" s="73">
        <f t="shared" si="0"/>
        <v>6</v>
      </c>
      <c r="B11" s="79">
        <f>IF($C$3=20,'Seções Compostas'!X8,IF($C$3=25,'Seções Compostas'!M8,IF('Propriedades geométricas LA '!$C$3=30,'Seções Compostas'!B8)))</f>
        <v>3</v>
      </c>
      <c r="C11" s="79">
        <f>IF($C$3=20,'Seções Compostas'!Y8,IF($C$3=25,'Seções Compostas'!N8,IF('Propriedades geométricas LA '!$C$3=30,'Seções Compostas'!C8)))</f>
        <v>19</v>
      </c>
      <c r="D11" s="52"/>
      <c r="E11" s="91" t="s">
        <v>405</v>
      </c>
      <c r="F11" s="92">
        <f ca="1">+Q7-F6*F7*F8</f>
        <v>0.38673505675978959</v>
      </c>
      <c r="G11" s="93" t="str">
        <f>$B$2&amp;"^4"</f>
        <v>cm^4</v>
      </c>
      <c r="H11" s="94"/>
      <c r="I11" s="95">
        <f ca="1">35-F8</f>
        <v>18.767235899893826</v>
      </c>
      <c r="J11" s="93"/>
      <c r="K11" s="58"/>
      <c r="L11" s="96" t="s">
        <v>406</v>
      </c>
      <c r="M11" s="97">
        <f ca="1">ABS(I7)</f>
        <v>14473.718963591526</v>
      </c>
      <c r="N11" s="98" t="str">
        <f>CONCATENATE(B2,"³")</f>
        <v>cm³</v>
      </c>
      <c r="O11" s="58"/>
      <c r="P11" s="58"/>
      <c r="Q11" s="58"/>
      <c r="R11" s="58"/>
      <c r="S11" s="99"/>
      <c r="T11" s="99"/>
      <c r="U11" s="100"/>
      <c r="V11" s="100"/>
      <c r="W11" s="100"/>
      <c r="X11" s="52"/>
    </row>
    <row r="12" spans="1:24" x14ac:dyDescent="0.25">
      <c r="A12" s="73">
        <f t="shared" si="0"/>
        <v>7</v>
      </c>
      <c r="B12" s="79">
        <f>IF($C$3=20,'Seções Compostas'!X9,IF($C$3=25,'Seções Compostas'!M9,IF('Propriedades geométricas LA '!$C$3=30,'Seções Compostas'!B9)))</f>
        <v>1.65</v>
      </c>
      <c r="C12" s="79">
        <f>IF($C$3=20,'Seções Compostas'!Y9,IF($C$3=25,'Seções Compostas'!N9,IF('Propriedades geométricas LA '!$C$3=30,'Seções Compostas'!C9)))</f>
        <v>21.5</v>
      </c>
      <c r="D12" s="52"/>
      <c r="E12" s="52"/>
      <c r="F12" s="52"/>
      <c r="G12" s="52"/>
      <c r="H12" s="52"/>
      <c r="I12" s="52">
        <f ca="1">F9/I11</f>
        <v>10617.605298053435</v>
      </c>
      <c r="J12" s="52"/>
      <c r="K12" s="58"/>
      <c r="L12" s="58"/>
      <c r="M12" s="58"/>
      <c r="N12" s="58"/>
      <c r="O12" s="58"/>
      <c r="P12" s="58"/>
      <c r="Q12" s="58"/>
      <c r="R12" s="58"/>
      <c r="S12" s="99">
        <f ca="1">(T12-$F$8)*TAN(RADIANS(-$F$5))+$F$7</f>
        <v>62.249989679019095</v>
      </c>
      <c r="T12" s="99">
        <f ca="1">MIN(Y)</f>
        <v>0</v>
      </c>
      <c r="U12" s="101"/>
      <c r="V12" s="58"/>
      <c r="W12" s="102"/>
      <c r="X12" s="52"/>
    </row>
    <row r="13" spans="1:24" x14ac:dyDescent="0.25">
      <c r="A13" s="73">
        <f t="shared" si="0"/>
        <v>8</v>
      </c>
      <c r="B13" s="79">
        <f>IF($C$3=20,'Seções Compostas'!X10,IF($C$3=25,'Seções Compostas'!M10,IF('Propriedades geométricas LA '!$C$3=30,'Seções Compostas'!B10)))</f>
        <v>1.65</v>
      </c>
      <c r="C13" s="79">
        <f>IF($C$3=20,'Seções Compostas'!Y10,IF($C$3=25,'Seções Compostas'!N10,IF('Propriedades geométricas LA '!$C$3=30,'Seções Compostas'!C10)))</f>
        <v>25</v>
      </c>
      <c r="D13" s="52"/>
      <c r="E13" s="908" t="s">
        <v>407</v>
      </c>
      <c r="F13" s="903"/>
      <c r="G13" s="903"/>
      <c r="H13" s="903"/>
      <c r="I13" s="903"/>
      <c r="J13" s="904"/>
      <c r="K13" s="58"/>
      <c r="L13" s="58"/>
      <c r="M13" s="58"/>
      <c r="N13" s="58"/>
      <c r="O13" s="58"/>
      <c r="P13" s="58"/>
      <c r="Q13" s="103"/>
      <c r="R13" s="58"/>
      <c r="S13" s="99">
        <f ca="1">(T13-$F$8)*TAN(RADIANS(-$F$5))+$F$7</f>
        <v>62.24998428245501</v>
      </c>
      <c r="T13" s="99">
        <f ca="1">MAX(Y)</f>
        <v>30</v>
      </c>
      <c r="U13" s="101"/>
      <c r="V13" s="58"/>
      <c r="W13" s="102"/>
      <c r="X13" s="52"/>
    </row>
    <row r="14" spans="1:24" x14ac:dyDescent="0.25">
      <c r="A14" s="73">
        <f t="shared" si="0"/>
        <v>9</v>
      </c>
      <c r="B14" s="79">
        <f>IF($C$3=20,'Seções Compostas'!X11,IF($C$3=25,'Seções Compostas'!M11,IF('Propriedades geométricas LA '!$C$3=30,'Seções Compostas'!B11)))</f>
        <v>15.309441843966107</v>
      </c>
      <c r="C14" s="79">
        <f>IF($C$3=20,'Seções Compostas'!Y11,IF($C$3=25,'Seções Compostas'!N11,IF('Propriedades geométricas LA '!$C$3=30,'Seções Compostas'!C11)))</f>
        <v>25</v>
      </c>
      <c r="D14" s="52"/>
      <c r="E14" s="62" t="s">
        <v>378</v>
      </c>
      <c r="F14" s="80">
        <f ca="1">F5</f>
        <v>1.0306678193926293E-5</v>
      </c>
      <c r="G14" s="64" t="s">
        <v>408</v>
      </c>
      <c r="H14" s="65" t="s">
        <v>409</v>
      </c>
      <c r="I14" s="81">
        <f t="array" aca="1" ref="I14" ca="1">ABS(F15/MAX(SQRT((X-$F$7)^2+(Y-$F$8)^2)*SIN(ATAN2(X-$F$7,Y-$F$8)-RADIANS($F$5))))</f>
        <v>14473.710086359681</v>
      </c>
      <c r="J14" s="64" t="str">
        <f>$B$2&amp;"^3"</f>
        <v>cm^3</v>
      </c>
      <c r="K14" s="52"/>
      <c r="L14" s="52">
        <v>0</v>
      </c>
      <c r="M14" s="80">
        <f ca="1">F8</f>
        <v>16.232764100106174</v>
      </c>
      <c r="N14" s="52"/>
      <c r="O14" s="52"/>
      <c r="P14" s="52"/>
      <c r="Q14" s="104"/>
      <c r="R14" s="105"/>
      <c r="S14" s="80"/>
      <c r="T14" s="80"/>
      <c r="U14" s="52"/>
      <c r="V14" s="52"/>
      <c r="W14" s="106"/>
      <c r="X14" s="52"/>
    </row>
    <row r="15" spans="1:24" x14ac:dyDescent="0.25">
      <c r="A15" s="73">
        <f t="shared" si="0"/>
        <v>10</v>
      </c>
      <c r="B15" s="79">
        <f>IF($C$3=20,'Seções Compostas'!X12,IF($C$3=25,'Seções Compostas'!M12,IF('Propriedades geométricas LA '!$C$3=30,'Seções Compostas'!B12)))</f>
        <v>15.309441843966107</v>
      </c>
      <c r="C15" s="79">
        <f>IF($C$3=20,'Seções Compostas'!Y12,IF($C$3=25,'Seções Compostas'!N12,IF('Propriedades geométricas LA '!$C$3=30,'Seções Compostas'!C12)))</f>
        <v>30</v>
      </c>
      <c r="D15" s="52"/>
      <c r="E15" s="65" t="s">
        <v>410</v>
      </c>
      <c r="F15" s="107">
        <f ca="1">F9*COS(RADIANS(F14))^2+F10*SIN(RADIANS(F14))^2-F11*SIN(2*RADIANS(F14))</f>
        <v>199263.10332046173</v>
      </c>
      <c r="G15" s="64" t="str">
        <f>$B$2&amp;"^4"</f>
        <v>cm^4</v>
      </c>
      <c r="H15" s="65" t="s">
        <v>411</v>
      </c>
      <c r="I15" s="81">
        <f t="array" aca="1" ref="I15" ca="1">ABS(F15/MIN(SQRT((X-$F$7)^2+(Y-$F$8)^2)*SIN(ATAN2(X-$F$7,Y-$F$8)-RADIANS($F$5))))</f>
        <v>12275.356601715759</v>
      </c>
      <c r="J15" s="64" t="str">
        <f>$B$2&amp;"^3"</f>
        <v>cm^3</v>
      </c>
      <c r="K15" s="52"/>
      <c r="L15" s="52">
        <v>124.5</v>
      </c>
      <c r="M15" s="80">
        <f ca="1">F8</f>
        <v>16.232764100106174</v>
      </c>
      <c r="N15" s="52"/>
      <c r="O15" s="52"/>
      <c r="P15" s="52"/>
      <c r="Q15" s="108"/>
      <c r="R15" s="109"/>
      <c r="S15" s="52"/>
      <c r="T15" s="52"/>
      <c r="U15" s="109"/>
      <c r="V15" s="52"/>
      <c r="W15" s="52"/>
      <c r="X15" s="52"/>
    </row>
    <row r="16" spans="1:24" x14ac:dyDescent="0.25">
      <c r="A16" s="73">
        <f t="shared" si="0"/>
        <v>11</v>
      </c>
      <c r="B16" s="79">
        <f>IF($C$3=20,'Seções Compostas'!X13,IF($C$3=25,'Seções Compostas'!M13,IF('Propriedades geométricas LA '!$C$3=30,'Seções Compostas'!B13)))</f>
        <v>109.19055815603389</v>
      </c>
      <c r="C16" s="79">
        <f>IF($C$3=20,'Seções Compostas'!Y13,IF($C$3=25,'Seções Compostas'!N13,IF('Propriedades geométricas LA '!$C$3=30,'Seções Compostas'!C13)))</f>
        <v>30</v>
      </c>
      <c r="D16" s="52"/>
      <c r="E16" s="65" t="s">
        <v>412</v>
      </c>
      <c r="F16" s="107">
        <f ca="1">F10*COS(RADIANS(F14))^2+F9*SIN(RADIANS(F14))^2+F11*SIN(2*RADIANS(F14))</f>
        <v>2349159.1343371863</v>
      </c>
      <c r="G16" s="64" t="str">
        <f>$B$2&amp;"^4"</f>
        <v>cm^4</v>
      </c>
      <c r="H16" s="65" t="s">
        <v>413</v>
      </c>
      <c r="I16" s="81">
        <f t="array" aca="1" ref="I16" ca="1">ABS($F$16/MIN(SQRT((X-$F$7)^2+(Y-$F$8)^2)*COS(ATAN2(X-$F$7,Y-$F$8)-RADIANS($F$5))))</f>
        <v>37737.502390767324</v>
      </c>
      <c r="J16" s="64" t="str">
        <f>$B$2&amp;"^3"</f>
        <v>cm^3</v>
      </c>
      <c r="K16" s="52"/>
      <c r="L16" s="52" t="s">
        <v>1123</v>
      </c>
      <c r="M16" s="80">
        <f>B18-B12</f>
        <v>121.19999999999999</v>
      </c>
      <c r="N16" s="52"/>
      <c r="O16" s="52"/>
      <c r="P16" s="52"/>
      <c r="Q16" s="108"/>
      <c r="R16" s="109"/>
      <c r="S16" s="52"/>
      <c r="T16" s="52"/>
      <c r="U16" s="109"/>
      <c r="V16" s="52"/>
      <c r="W16" s="52"/>
      <c r="X16" s="52"/>
    </row>
    <row r="17" spans="1:24" x14ac:dyDescent="0.25">
      <c r="A17" s="73">
        <f t="shared" si="0"/>
        <v>12</v>
      </c>
      <c r="B17" s="79">
        <f>IF($C$3=20,'Seções Compostas'!X14,IF($C$3=25,'Seções Compostas'!M14,IF('Propriedades geométricas LA '!$C$3=30,'Seções Compostas'!B14)))</f>
        <v>109.19055815603389</v>
      </c>
      <c r="C17" s="79">
        <f>IF($C$3=20,'Seções Compostas'!Y14,IF($C$3=25,'Seções Compostas'!N14,IF('Propriedades geométricas LA '!$C$3=30,'Seções Compostas'!C14)))</f>
        <v>25</v>
      </c>
      <c r="D17" s="52"/>
      <c r="E17" s="65" t="s">
        <v>414</v>
      </c>
      <c r="F17" s="81">
        <f ca="1">+(F9-F10)/2*SIN(RADIANS(F14)*2)+F11*COS(2*RADIANS(F14))</f>
        <v>0</v>
      </c>
      <c r="G17" s="64" t="str">
        <f>$B$2&amp;"^4"</f>
        <v>cm^4</v>
      </c>
      <c r="H17" s="65" t="s">
        <v>415</v>
      </c>
      <c r="I17" s="81">
        <f t="array" aca="1" ref="I17" ca="1">ABS($F$16/MAX(SQRT((X-$F$7)^2+(Y-$F$8)^2)*COS(ATAN2(X-$F$7,Y-$F$8)-RADIANS($F$5))))</f>
        <v>37737.489637185179</v>
      </c>
      <c r="J17" s="64" t="str">
        <f>$B$2&amp;"^3"</f>
        <v>cm^3</v>
      </c>
      <c r="K17" s="52"/>
      <c r="L17" s="52"/>
      <c r="M17" s="52"/>
      <c r="N17" s="52"/>
      <c r="O17" s="52"/>
      <c r="P17" s="52"/>
      <c r="Q17" s="108"/>
      <c r="R17" s="110"/>
      <c r="S17" s="111"/>
      <c r="T17" s="52"/>
      <c r="U17" s="52"/>
      <c r="V17" s="52"/>
      <c r="W17" s="52"/>
      <c r="X17" s="52"/>
    </row>
    <row r="18" spans="1:24" x14ac:dyDescent="0.25">
      <c r="A18" s="73">
        <f t="shared" si="0"/>
        <v>13</v>
      </c>
      <c r="B18" s="79">
        <f>IF($C$3=20,'Seções Compostas'!X15,IF($C$3=25,'Seções Compostas'!M15,IF('Propriedades geométricas LA '!$C$3=30,'Seções Compostas'!B15)))</f>
        <v>122.85</v>
      </c>
      <c r="C18" s="79">
        <f>IF($C$3=20,'Seções Compostas'!Y15,IF($C$3=25,'Seções Compostas'!N15,IF('Propriedades geométricas LA '!$C$3=30,'Seções Compostas'!C15)))</f>
        <v>25</v>
      </c>
      <c r="D18" s="52"/>
      <c r="E18" s="91" t="s">
        <v>416</v>
      </c>
      <c r="F18" s="92">
        <f ca="1">+F15+F16</f>
        <v>2548422.237657648</v>
      </c>
      <c r="G18" s="93" t="str">
        <f>$B$2&amp;"^4"</f>
        <v>cm^4</v>
      </c>
      <c r="H18" s="94"/>
      <c r="I18" s="112"/>
      <c r="J18" s="93"/>
      <c r="K18" s="52"/>
      <c r="L18" s="52"/>
      <c r="M18" s="52"/>
      <c r="N18" s="52"/>
      <c r="O18" s="52"/>
      <c r="P18" s="52"/>
      <c r="Q18" s="52"/>
      <c r="R18" s="52"/>
      <c r="S18" s="52"/>
      <c r="T18" s="111"/>
      <c r="U18" s="111"/>
      <c r="V18" s="52"/>
      <c r="W18" s="52"/>
      <c r="X18" s="52"/>
    </row>
    <row r="19" spans="1:24" x14ac:dyDescent="0.25">
      <c r="A19" s="73">
        <f t="shared" si="0"/>
        <v>14</v>
      </c>
      <c r="B19" s="79">
        <f>IF($C$3=20,'Seções Compostas'!X16,IF($C$3=25,'Seções Compostas'!M16,IF('Propriedades geométricas LA '!$C$3=30,'Seções Compostas'!B16)))</f>
        <v>122.85</v>
      </c>
      <c r="C19" s="79">
        <f>IF($C$3=20,'Seções Compostas'!Y16,IF($C$3=25,'Seções Compostas'!N16,IF('Propriedades geométricas LA '!$C$3=30,'Seções Compostas'!C16)))</f>
        <v>21.5</v>
      </c>
      <c r="D19" s="75"/>
      <c r="E19" s="52"/>
      <c r="F19" s="52"/>
      <c r="G19" s="52"/>
      <c r="H19" s="52"/>
      <c r="I19" s="52"/>
      <c r="J19" s="52"/>
      <c r="K19" s="113"/>
      <c r="L19" s="52"/>
      <c r="M19" s="113"/>
      <c r="N19" s="113"/>
      <c r="O19" s="52"/>
      <c r="P19" s="52"/>
      <c r="Q19" s="52"/>
      <c r="R19" s="52"/>
      <c r="S19" s="52"/>
      <c r="T19" s="75"/>
      <c r="U19" s="80"/>
      <c r="V19" s="75"/>
      <c r="W19" s="52"/>
      <c r="X19" s="52"/>
    </row>
    <row r="20" spans="1:24" x14ac:dyDescent="0.25">
      <c r="A20" s="73">
        <f t="shared" si="0"/>
        <v>15</v>
      </c>
      <c r="B20" s="79">
        <f>IF($C$3=20,'Seções Compostas'!X17,IF($C$3=25,'Seções Compostas'!M17,IF('Propriedades geométricas LA '!$C$3=30,'Seções Compostas'!B17)))</f>
        <v>121.5</v>
      </c>
      <c r="C20" s="79">
        <f>IF($C$3=20,'Seções Compostas'!Y17,IF($C$3=25,'Seções Compostas'!N17,IF('Propriedades geométricas LA '!$C$3=30,'Seções Compostas'!C17)))</f>
        <v>19</v>
      </c>
      <c r="D20" s="75"/>
      <c r="E20" s="52"/>
      <c r="F20" s="52"/>
      <c r="G20" s="52"/>
      <c r="H20" s="52"/>
      <c r="I20" s="52"/>
      <c r="J20" s="52"/>
      <c r="K20" s="113"/>
      <c r="L20" s="52"/>
      <c r="M20" s="113"/>
      <c r="N20" s="113"/>
      <c r="O20" s="52"/>
      <c r="P20" s="52"/>
      <c r="Q20" s="52"/>
      <c r="R20" s="52"/>
      <c r="S20" s="52"/>
      <c r="T20" s="75"/>
      <c r="U20" s="80"/>
      <c r="V20" s="75"/>
      <c r="W20" s="52"/>
      <c r="X20" s="80"/>
    </row>
    <row r="21" spans="1:24" x14ac:dyDescent="0.25">
      <c r="A21" s="73">
        <f t="shared" si="0"/>
        <v>16</v>
      </c>
      <c r="B21" s="79">
        <f>IF($C$3=20,'Seções Compostas'!X18,IF($C$3=25,'Seções Compostas'!M18,IF('Propriedades geométricas LA '!$C$3=30,'Seções Compostas'!B18)))</f>
        <v>121.5</v>
      </c>
      <c r="C21" s="79">
        <f>IF($C$3=20,'Seções Compostas'!Y18,IF($C$3=25,'Seções Compostas'!N18,IF('Propriedades geométricas LA '!$C$3=30,'Seções Compostas'!C18)))</f>
        <v>5</v>
      </c>
      <c r="D21" s="75"/>
      <c r="E21" s="52"/>
      <c r="F21" s="52"/>
      <c r="G21" s="52"/>
      <c r="H21" s="52"/>
      <c r="I21" s="52"/>
      <c r="J21" s="52"/>
      <c r="K21" s="113"/>
      <c r="L21" s="52"/>
      <c r="M21" s="113"/>
      <c r="N21" s="113"/>
      <c r="O21" s="52"/>
      <c r="P21" s="52"/>
      <c r="Q21" s="52"/>
      <c r="R21" s="52"/>
      <c r="S21" s="52"/>
      <c r="T21" s="113"/>
      <c r="U21" s="113"/>
      <c r="V21" s="75"/>
      <c r="W21" s="52"/>
      <c r="X21" s="80"/>
    </row>
    <row r="22" spans="1:24" x14ac:dyDescent="0.25">
      <c r="A22" s="73">
        <f t="shared" si="0"/>
        <v>17</v>
      </c>
      <c r="B22" s="79">
        <f>IF($C$3=20,'Seções Compostas'!X19,IF($C$3=25,'Seções Compostas'!M19,IF('Propriedades geométricas LA '!$C$3=30,'Seções Compostas'!B19)))</f>
        <v>124.5</v>
      </c>
      <c r="C22" s="79">
        <f>IF($C$3=20,'Seções Compostas'!Y19,IF($C$3=25,'Seções Compostas'!N19,IF('Propriedades geométricas LA '!$C$3=30,'Seções Compostas'!C19)))</f>
        <v>2.2000000000000002</v>
      </c>
      <c r="D22" s="75"/>
      <c r="E22" s="52"/>
      <c r="F22" s="52"/>
      <c r="G22" s="52"/>
      <c r="H22" s="52"/>
      <c r="I22" s="52"/>
      <c r="J22" s="52"/>
      <c r="K22" s="113"/>
      <c r="L22" s="52"/>
      <c r="M22" s="113"/>
      <c r="N22" s="113"/>
      <c r="O22" s="52"/>
      <c r="P22" s="52"/>
      <c r="Q22" s="52"/>
      <c r="R22" s="52"/>
      <c r="S22" s="52"/>
      <c r="T22" s="113"/>
      <c r="U22" s="113"/>
      <c r="V22" s="75"/>
      <c r="W22" s="52"/>
      <c r="X22" s="80"/>
    </row>
    <row r="23" spans="1:24" x14ac:dyDescent="0.25">
      <c r="A23" s="73">
        <f t="shared" si="0"/>
        <v>18</v>
      </c>
      <c r="B23" s="79">
        <f>IF($C$3=20,'Seções Compostas'!X20,IF($C$3=25,'Seções Compostas'!M20,IF('Propriedades geométricas LA '!$C$3=30,'Seções Compostas'!B20)))</f>
        <v>124.31</v>
      </c>
      <c r="C23" s="79">
        <f>IF($C$3=20,'Seções Compostas'!Y20,IF($C$3=25,'Seções Compostas'!N20,IF('Propriedades geométricas LA '!$C$3=30,'Seções Compostas'!C20)))</f>
        <v>0.76</v>
      </c>
      <c r="D23" s="8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113"/>
      <c r="V23" s="75"/>
      <c r="W23" s="52"/>
      <c r="X23" s="80"/>
    </row>
    <row r="24" spans="1:24" x14ac:dyDescent="0.25">
      <c r="A24" s="73">
        <f t="shared" si="0"/>
        <v>19</v>
      </c>
      <c r="B24" s="79">
        <f>IF($C$3=20,'Seções Compostas'!X21,IF($C$3=25,'Seções Compostas'!M21,IF('Propriedades geométricas LA '!$C$3=30,'Seções Compostas'!B21)))</f>
        <v>123.55</v>
      </c>
      <c r="C24" s="79">
        <f>IF($C$3=20,'Seções Compostas'!Y21,IF($C$3=25,'Seções Compostas'!N21,IF('Propriedades geométricas LA '!$C$3=30,'Seções Compostas'!C21)))</f>
        <v>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113"/>
      <c r="V24" s="52"/>
      <c r="W24" s="52"/>
      <c r="X24" s="52"/>
    </row>
    <row r="25" spans="1:24" x14ac:dyDescent="0.25">
      <c r="A25" s="73">
        <f t="shared" si="0"/>
        <v>20</v>
      </c>
      <c r="B25" s="79">
        <f>IF($C$3=20,'Seções Compostas'!X22,IF($C$3=25,'Seções Compostas'!M22,IF('Propriedades geométricas LA '!$C$3=30,'Seções Compostas'!B22)))</f>
        <v>111.05</v>
      </c>
      <c r="C25" s="79">
        <f>IF($C$3=20,'Seções Compostas'!Y22,IF($C$3=25,'Seções Compostas'!N22,IF('Propriedades geométricas LA '!$C$3=30,'Seções Compostas'!C22)))</f>
        <v>0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113"/>
      <c r="V25" s="52"/>
      <c r="W25" s="52"/>
      <c r="X25" s="52"/>
    </row>
    <row r="26" spans="1:24" x14ac:dyDescent="0.25">
      <c r="A26" s="73">
        <f t="shared" si="0"/>
        <v>21</v>
      </c>
      <c r="B26" s="79">
        <f>IF($C$3=20,'Seções Compostas'!X23,IF($C$3=25,'Seções Compostas'!M23,IF('Propriedades geométricas LA '!$C$3=30,'Seções Compostas'!B23)))</f>
        <v>111.05</v>
      </c>
      <c r="C26" s="79">
        <f>IF($C$3=20,'Seções Compostas'!Y23,IF($C$3=25,'Seções Compostas'!N23,IF('Propriedades geométricas LA '!$C$3=30,'Seções Compostas'!C23)))</f>
        <v>3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114"/>
      <c r="R26" s="114"/>
      <c r="S26" s="114"/>
      <c r="T26" s="52"/>
      <c r="U26" s="113"/>
      <c r="V26" s="52"/>
      <c r="W26" s="52"/>
      <c r="X26" s="52"/>
    </row>
    <row r="27" spans="1:24" x14ac:dyDescent="0.25">
      <c r="A27" s="73">
        <f t="shared" si="0"/>
        <v>22</v>
      </c>
      <c r="B27" s="79">
        <f>IF($C$3=20,'Seções Compostas'!X24,IF($C$3=25,'Seções Compostas'!M24,IF('Propriedades geométricas LA '!$C$3=30,'Seções Compostas'!B24)))</f>
        <v>114.1</v>
      </c>
      <c r="C27" s="79">
        <f>IF($C$3=20,'Seções Compostas'!Y24,IF($C$3=25,'Seções Compostas'!N24,IF('Propriedades geométricas LA '!$C$3=30,'Seções Compostas'!C24)))</f>
        <v>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114"/>
      <c r="R27" s="114"/>
      <c r="S27" s="114"/>
      <c r="T27" s="52"/>
      <c r="U27" s="113"/>
      <c r="V27" s="52"/>
      <c r="W27" s="52"/>
      <c r="X27" s="52"/>
    </row>
    <row r="28" spans="1:24" x14ac:dyDescent="0.25">
      <c r="A28" s="73">
        <f t="shared" si="0"/>
        <v>23</v>
      </c>
      <c r="B28" s="79">
        <f>IF($C$3=20,'Seções Compostas'!X25,IF($C$3=25,'Seções Compostas'!M25,IF('Propriedades geométricas LA '!$C$3=30,'Seções Compostas'!B25)))</f>
        <v>117.25</v>
      </c>
      <c r="C28" s="79">
        <f>IF($C$3=20,'Seções Compostas'!Y25,IF($C$3=25,'Seções Compostas'!N25,IF('Propriedades geométricas LA '!$C$3=30,'Seções Compostas'!C25)))</f>
        <v>5.8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114"/>
      <c r="R28" s="114"/>
      <c r="S28" s="114"/>
      <c r="T28" s="52"/>
      <c r="U28" s="113"/>
      <c r="V28" s="52"/>
      <c r="W28" s="52"/>
      <c r="X28" s="52"/>
    </row>
    <row r="29" spans="1:24" x14ac:dyDescent="0.25">
      <c r="A29" s="73">
        <f t="shared" si="0"/>
        <v>24</v>
      </c>
      <c r="B29" s="79">
        <f>IF($C$3=20,'Seções Compostas'!X26,IF($C$3=25,'Seções Compostas'!M26,IF('Propriedades geométricas LA '!$C$3=30,'Seções Compostas'!B26)))</f>
        <v>117.25</v>
      </c>
      <c r="C29" s="79">
        <f>IF($C$3=20,'Seções Compostas'!Y26,IF($C$3=25,'Seções Compostas'!N26,IF('Propriedades geométricas LA '!$C$3=30,'Seções Compostas'!C26)))</f>
        <v>15.75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114"/>
      <c r="R29" s="114"/>
      <c r="S29" s="114"/>
      <c r="T29" s="52"/>
      <c r="U29" s="113"/>
      <c r="V29" s="52"/>
      <c r="W29" s="52"/>
      <c r="X29" s="52"/>
    </row>
    <row r="30" spans="1:24" x14ac:dyDescent="0.25">
      <c r="A30" s="73">
        <f t="shared" si="0"/>
        <v>25</v>
      </c>
      <c r="B30" s="79">
        <f>IF($C$3=20,'Seções Compostas'!X27,IF($C$3=25,'Seções Compostas'!M27,IF('Propriedades geométricas LA '!$C$3=30,'Seções Compostas'!B27)))</f>
        <v>117.18</v>
      </c>
      <c r="C30" s="79">
        <f>IF($C$3=20,'Seções Compostas'!Y27,IF($C$3=25,'Seções Compostas'!N27,IF('Propriedades geométricas LA '!$C$3=30,'Seções Compostas'!C27)))</f>
        <v>16.66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113"/>
      <c r="V30" s="52"/>
      <c r="W30" s="52"/>
      <c r="X30" s="52"/>
    </row>
    <row r="31" spans="1:24" x14ac:dyDescent="0.25">
      <c r="A31" s="73">
        <f t="shared" si="0"/>
        <v>26</v>
      </c>
      <c r="B31" s="79">
        <f>IF($C$3=20,'Seções Compostas'!X28,IF($C$3=25,'Seções Compostas'!M28,IF('Propriedades geométricas LA '!$C$3=30,'Seções Compostas'!B28)))</f>
        <v>116.92</v>
      </c>
      <c r="C31" s="79">
        <f>IF($C$3=20,'Seções Compostas'!Y28,IF($C$3=25,'Seções Compostas'!N28,IF('Propriedades geométricas LA '!$C$3=30,'Seções Compostas'!C28)))</f>
        <v>17.760000000000002</v>
      </c>
      <c r="D31" s="80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113"/>
      <c r="V31" s="52"/>
      <c r="W31" s="52"/>
      <c r="X31" s="52"/>
    </row>
    <row r="32" spans="1:24" x14ac:dyDescent="0.25">
      <c r="A32" s="73">
        <f t="shared" si="0"/>
        <v>27</v>
      </c>
      <c r="B32" s="79">
        <f>IF($C$3=20,'Seções Compostas'!X29,IF($C$3=25,'Seções Compostas'!M29,IF('Propriedades geométricas LA '!$C$3=30,'Seções Compostas'!B29)))</f>
        <v>116.43</v>
      </c>
      <c r="C32" s="79">
        <f>IF($C$3=20,'Seções Compostas'!Y29,IF($C$3=25,'Seções Compostas'!N29,IF('Propriedades geométricas LA '!$C$3=30,'Seções Compostas'!C29)))</f>
        <v>18.84</v>
      </c>
      <c r="D32" s="80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x14ac:dyDescent="0.25">
      <c r="A33" s="73">
        <f t="shared" si="0"/>
        <v>28</v>
      </c>
      <c r="B33" s="79">
        <f>IF($C$3=20,'Seções Compostas'!X30,IF($C$3=25,'Seções Compostas'!M30,IF('Propriedades geométricas LA '!$C$3=30,'Seções Compostas'!B30)))</f>
        <v>115.87</v>
      </c>
      <c r="C33" s="79">
        <f>IF($C$3=20,'Seções Compostas'!Y30,IF($C$3=25,'Seções Compostas'!N30,IF('Propriedades geométricas LA '!$C$3=30,'Seções Compostas'!C30)))</f>
        <v>19.66</v>
      </c>
      <c r="D33" s="80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x14ac:dyDescent="0.25">
      <c r="A34" s="73">
        <f t="shared" si="0"/>
        <v>29</v>
      </c>
      <c r="B34" s="79">
        <f>IF($C$3=20,'Seções Compostas'!X31,IF($C$3=25,'Seções Compostas'!M31,IF('Propriedades geométricas LA '!$C$3=30,'Seções Compostas'!B31)))</f>
        <v>115.23</v>
      </c>
      <c r="C34" s="79">
        <f>IF($C$3=20,'Seções Compostas'!Y31,IF($C$3=25,'Seções Compostas'!N31,IF('Propriedades geométricas LA '!$C$3=30,'Seções Compostas'!C31)))</f>
        <v>20.350000000000001</v>
      </c>
      <c r="D34" s="80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25">
      <c r="A35" s="73">
        <f t="shared" si="0"/>
        <v>30</v>
      </c>
      <c r="B35" s="79">
        <f>IF($C$3=20,'Seções Compostas'!X32,IF($C$3=25,'Seções Compostas'!M32,IF('Propriedades geométricas LA '!$C$3=30,'Seções Compostas'!B32)))</f>
        <v>114.55</v>
      </c>
      <c r="C35" s="79">
        <f>IF($C$3=20,'Seções Compostas'!Y32,IF($C$3=25,'Seções Compostas'!N32,IF('Propriedades geométricas LA '!$C$3=30,'Seções Compostas'!C32)))</f>
        <v>20.89</v>
      </c>
      <c r="D35" s="80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spans="1:24" x14ac:dyDescent="0.25">
      <c r="A36" s="73">
        <f t="shared" si="0"/>
        <v>31</v>
      </c>
      <c r="B36" s="79">
        <f>IF($C$3=20,'Seções Compostas'!X33,IF($C$3=25,'Seções Compostas'!M33,IF('Propriedades geométricas LA '!$C$3=30,'Seções Compostas'!B33)))</f>
        <v>113.9</v>
      </c>
      <c r="C36" s="79">
        <f>IF($C$3=20,'Seções Compostas'!Y33,IF($C$3=25,'Seções Compostas'!N33,IF('Propriedades geométricas LA '!$C$3=30,'Seções Compostas'!C33)))</f>
        <v>21.29</v>
      </c>
      <c r="D36" s="80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4" x14ac:dyDescent="0.25">
      <c r="A37" s="73">
        <f t="shared" si="0"/>
        <v>32</v>
      </c>
      <c r="B37" s="79">
        <f>IF($C$3=20,'Seções Compostas'!X34,IF($C$3=25,'Seções Compostas'!M34,IF('Propriedades geométricas LA '!$C$3=30,'Seções Compostas'!B34)))</f>
        <v>113.18</v>
      </c>
      <c r="C37" s="79">
        <f>IF($C$3=20,'Seções Compostas'!Y34,IF($C$3=25,'Seções Compostas'!N34,IF('Propriedades geométricas LA '!$C$3=30,'Seções Compostas'!C34)))</f>
        <v>21.61</v>
      </c>
      <c r="D37" s="80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spans="1:24" x14ac:dyDescent="0.25">
      <c r="A38" s="73">
        <f t="shared" si="0"/>
        <v>33</v>
      </c>
      <c r="B38" s="79">
        <f>IF($C$3=20,'Seções Compostas'!X35,IF($C$3=25,'Seções Compostas'!M35,IF('Propriedades geométricas LA '!$C$3=30,'Seções Compostas'!B35)))</f>
        <v>112.59</v>
      </c>
      <c r="C38" s="79">
        <f>IF($C$3=20,'Seções Compostas'!Y35,IF($C$3=25,'Seções Compostas'!N35,IF('Propriedades geométricas LA '!$C$3=30,'Seções Compostas'!C35)))</f>
        <v>21.79</v>
      </c>
      <c r="D38" s="80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spans="1:24" x14ac:dyDescent="0.25">
      <c r="A39" s="73">
        <f t="shared" si="0"/>
        <v>34</v>
      </c>
      <c r="B39" s="79">
        <f>IF($C$3=20,'Seções Compostas'!X36,IF($C$3=25,'Seções Compostas'!M36,IF('Propriedades geométricas LA '!$C$3=30,'Seções Compostas'!B36)))</f>
        <v>111.97</v>
      </c>
      <c r="C39" s="79">
        <f>IF($C$3=20,'Seções Compostas'!Y36,IF($C$3=25,'Seções Compostas'!N36,IF('Propriedades geométricas LA '!$C$3=30,'Seções Compostas'!C36)))</f>
        <v>21.92</v>
      </c>
      <c r="D39" s="80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spans="1:24" x14ac:dyDescent="0.25">
      <c r="A40" s="73">
        <f t="shared" si="0"/>
        <v>35</v>
      </c>
      <c r="B40" s="79">
        <f>IF($C$3=20,'Seções Compostas'!X37,IF($C$3=25,'Seções Compostas'!M37,IF('Propriedades geométricas LA '!$C$3=30,'Seções Compostas'!B37)))</f>
        <v>111.3</v>
      </c>
      <c r="C40" s="79">
        <f>IF($C$3=20,'Seções Compostas'!Y37,IF($C$3=25,'Seções Compostas'!N37,IF('Propriedades geométricas LA '!$C$3=30,'Seções Compostas'!C37)))</f>
        <v>21.99</v>
      </c>
      <c r="D40" s="80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73">
        <v>36</v>
      </c>
      <c r="B41" s="79">
        <f>IF($C$3=20,'Seções Compostas'!X38,IF($C$3=25,'Seções Compostas'!M38,IF('Propriedades geométricas LA '!$C$3=30,'Seções Compostas'!B38)))</f>
        <v>110.7</v>
      </c>
      <c r="C41" s="79">
        <f>IF($C$3=20,'Seções Compostas'!Y38,IF($C$3=25,'Seções Compostas'!N38,IF('Propriedades geométricas LA '!$C$3=30,'Seções Compostas'!C38)))</f>
        <v>21.99</v>
      </c>
      <c r="D41" s="80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73">
        <f t="shared" ref="A42:A79" si="1">1+A41</f>
        <v>37</v>
      </c>
      <c r="B42" s="79">
        <f>IF($C$3=20,'Seções Compostas'!X39,IF($C$3=25,'Seções Compostas'!M39,IF('Propriedades geométricas LA '!$C$3=30,'Seções Compostas'!B39)))</f>
        <v>110.03</v>
      </c>
      <c r="C42" s="79">
        <f>IF($C$3=20,'Seções Compostas'!Y39,IF($C$3=25,'Seções Compostas'!N39,IF('Propriedades geométricas LA '!$C$3=30,'Seções Compostas'!C39)))</f>
        <v>21.92</v>
      </c>
      <c r="D42" s="80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73">
        <f t="shared" si="1"/>
        <v>38</v>
      </c>
      <c r="B43" s="79">
        <f>IF($C$3=20,'Seções Compostas'!X40,IF($C$3=25,'Seções Compostas'!M40,IF('Propriedades geométricas LA '!$C$3=30,'Seções Compostas'!B40)))</f>
        <v>109.41</v>
      </c>
      <c r="C43" s="79">
        <f>IF($C$3=20,'Seções Compostas'!Y40,IF($C$3=25,'Seções Compostas'!N40,IF('Propriedades geométricas LA '!$C$3=30,'Seções Compostas'!C40)))</f>
        <v>21.79</v>
      </c>
      <c r="D43" s="80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73">
        <f t="shared" si="1"/>
        <v>39</v>
      </c>
      <c r="B44" s="79">
        <f>IF($C$3=20,'Seções Compostas'!X41,IF($C$3=25,'Seções Compostas'!M41,IF('Propriedades geométricas LA '!$C$3=30,'Seções Compostas'!B41)))</f>
        <v>108.82</v>
      </c>
      <c r="C44" s="79">
        <f>IF($C$3=20,'Seções Compostas'!Y41,IF($C$3=25,'Seções Compostas'!N41,IF('Propriedades geométricas LA '!$C$3=30,'Seções Compostas'!C41)))</f>
        <v>21.61</v>
      </c>
      <c r="D44" s="80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73">
        <f t="shared" si="1"/>
        <v>40</v>
      </c>
      <c r="B45" s="79">
        <f>IF($C$3=20,'Seções Compostas'!X42,IF($C$3=25,'Seções Compostas'!M42,IF('Propriedades geométricas LA '!$C$3=30,'Seções Compostas'!B42)))</f>
        <v>108.1</v>
      </c>
      <c r="C45" s="79">
        <f>IF($C$3=20,'Seções Compostas'!Y42,IF($C$3=25,'Seções Compostas'!N42,IF('Propriedades geométricas LA '!$C$3=30,'Seções Compostas'!C42)))</f>
        <v>21.29</v>
      </c>
      <c r="D45" s="80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73">
        <f t="shared" si="1"/>
        <v>41</v>
      </c>
      <c r="B46" s="79">
        <f>IF($C$3=20,'Seções Compostas'!X43,IF($C$3=25,'Seções Compostas'!M43,IF('Propriedades geométricas LA '!$C$3=30,'Seções Compostas'!B43)))</f>
        <v>107.45</v>
      </c>
      <c r="C46" s="79">
        <f>IF($C$3=20,'Seções Compostas'!Y43,IF($C$3=25,'Seções Compostas'!N43,IF('Propriedades geométricas LA '!$C$3=30,'Seções Compostas'!C43)))</f>
        <v>20.89</v>
      </c>
      <c r="D46" s="80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73">
        <f t="shared" si="1"/>
        <v>42</v>
      </c>
      <c r="B47" s="79">
        <f>IF($C$3=20,'Seções Compostas'!X44,IF($C$3=25,'Seções Compostas'!M44,IF('Propriedades geométricas LA '!$C$3=30,'Seções Compostas'!B44)))</f>
        <v>106.77</v>
      </c>
      <c r="C47" s="79">
        <f>IF($C$3=20,'Seções Compostas'!Y44,IF($C$3=25,'Seções Compostas'!N44,IF('Propriedades geométricas LA '!$C$3=30,'Seções Compostas'!C44)))</f>
        <v>20.350000000000001</v>
      </c>
      <c r="D47" s="80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73">
        <f t="shared" si="1"/>
        <v>43</v>
      </c>
      <c r="B48" s="79">
        <f>IF($C$3=20,'Seções Compostas'!X45,IF($C$3=25,'Seções Compostas'!M45,IF('Propriedades geométricas LA '!$C$3=30,'Seções Compostas'!B45)))</f>
        <v>106.13</v>
      </c>
      <c r="C48" s="79">
        <f>IF($C$3=20,'Seções Compostas'!Y45,IF($C$3=25,'Seções Compostas'!N45,IF('Propriedades geométricas LA '!$C$3=30,'Seções Compostas'!C45)))</f>
        <v>19.66</v>
      </c>
      <c r="D48" s="80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73">
        <f t="shared" si="1"/>
        <v>44</v>
      </c>
      <c r="B49" s="79">
        <f>IF($C$3=20,'Seções Compostas'!X46,IF($C$3=25,'Seções Compostas'!M46,IF('Propriedades geométricas LA '!$C$3=30,'Seções Compostas'!B46)))</f>
        <v>105.57</v>
      </c>
      <c r="C49" s="79">
        <f>IF($C$3=20,'Seções Compostas'!Y46,IF($C$3=25,'Seções Compostas'!N46,IF('Propriedades geométricas LA '!$C$3=30,'Seções Compostas'!C46)))</f>
        <v>18.84</v>
      </c>
      <c r="D49" s="80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73">
        <f t="shared" si="1"/>
        <v>45</v>
      </c>
      <c r="B50" s="79">
        <f>IF($C$3=20,'Seções Compostas'!X47,IF($C$3=25,'Seções Compostas'!M47,IF('Propriedades geométricas LA '!$C$3=30,'Seções Compostas'!B47)))</f>
        <v>105.08</v>
      </c>
      <c r="C50" s="79">
        <f>IF($C$3=20,'Seções Compostas'!Y47,IF($C$3=25,'Seções Compostas'!N47,IF('Propriedades geométricas LA '!$C$3=30,'Seções Compostas'!C47)))</f>
        <v>17.760000000000002</v>
      </c>
      <c r="D50" s="80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73">
        <f t="shared" si="1"/>
        <v>46</v>
      </c>
      <c r="B51" s="79">
        <f>IF($C$3=20,'Seções Compostas'!X48,IF($C$3=25,'Seções Compostas'!M48,IF('Propriedades geométricas LA '!$C$3=30,'Seções Compostas'!B48)))</f>
        <v>104.82</v>
      </c>
      <c r="C51" s="79">
        <f>IF($C$3=20,'Seções Compostas'!Y48,IF($C$3=25,'Seções Compostas'!N48,IF('Propriedades geométricas LA '!$C$3=30,'Seções Compostas'!C48)))</f>
        <v>16.66</v>
      </c>
      <c r="D51" s="80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73">
        <f t="shared" si="1"/>
        <v>47</v>
      </c>
      <c r="B52" s="79">
        <f>IF($C$3=20,'Seções Compostas'!X49,IF($C$3=25,'Seções Compostas'!M49,IF('Propriedades geométricas LA '!$C$3=30,'Seções Compostas'!B49)))</f>
        <v>104.75</v>
      </c>
      <c r="C52" s="79">
        <f>IF($C$3=20,'Seções Compostas'!Y49,IF($C$3=25,'Seções Compostas'!N49,IF('Propriedades geométricas LA '!$C$3=30,'Seções Compostas'!C49)))</f>
        <v>15.75</v>
      </c>
      <c r="D52" s="80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73">
        <f t="shared" si="1"/>
        <v>48</v>
      </c>
      <c r="B53" s="79">
        <f>IF($C$3=20,'Seções Compostas'!X50,IF($C$3=25,'Seções Compostas'!M50,IF('Propriedades geométricas LA '!$C$3=30,'Seções Compostas'!B50)))</f>
        <v>104.75</v>
      </c>
      <c r="C53" s="79">
        <f>IF($C$3=20,'Seções Compostas'!Y50,IF($C$3=25,'Seções Compostas'!N50,IF('Propriedades geométricas LA '!$C$3=30,'Seções Compostas'!C50)))</f>
        <v>5.8</v>
      </c>
      <c r="D53" s="80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73">
        <f t="shared" si="1"/>
        <v>49</v>
      </c>
      <c r="B54" s="79">
        <f>IF($C$3=20,'Seções Compostas'!X51,IF($C$3=25,'Seções Compostas'!M51,IF('Propriedades geométricas LA '!$C$3=30,'Seções Compostas'!B51)))</f>
        <v>107.9</v>
      </c>
      <c r="C54" s="79">
        <f>IF($C$3=20,'Seções Compostas'!Y51,IF($C$3=25,'Seções Compostas'!N51,IF('Propriedades geométricas LA '!$C$3=30,'Seções Compostas'!C51)))</f>
        <v>3</v>
      </c>
      <c r="D54" s="80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73">
        <f t="shared" si="1"/>
        <v>50</v>
      </c>
      <c r="B55" s="79">
        <f>IF($C$3=20,'Seções Compostas'!X52,IF($C$3=25,'Seções Compostas'!M52,IF('Propriedades geométricas LA '!$C$3=30,'Seções Compostas'!B52)))</f>
        <v>111</v>
      </c>
      <c r="C55" s="79">
        <f>IF($C$3=20,'Seções Compostas'!Y52,IF($C$3=25,'Seções Compostas'!N52,IF('Propriedades geométricas LA '!$C$3=30,'Seções Compostas'!C52)))</f>
        <v>3</v>
      </c>
      <c r="D55" s="80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73">
        <f t="shared" si="1"/>
        <v>51</v>
      </c>
      <c r="B56" s="79">
        <f>IF($C$3=20,'Seções Compostas'!X53,IF($C$3=25,'Seções Compostas'!M53,IF('Propriedades geométricas LA '!$C$3=30,'Seções Compostas'!B53)))</f>
        <v>111</v>
      </c>
      <c r="C56" s="79">
        <f>IF($C$3=20,'Seções Compostas'!Y53,IF($C$3=25,'Seções Compostas'!N53,IF('Propriedades geométricas LA '!$C$3=30,'Seções Compostas'!C53)))</f>
        <v>0</v>
      </c>
      <c r="D56" s="80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73">
        <f t="shared" si="1"/>
        <v>52</v>
      </c>
      <c r="B57" s="79">
        <f>IF($C$3=20,'Seções Compostas'!X54,IF($C$3=25,'Seções Compostas'!M54,IF('Propriedades geométricas LA '!$C$3=30,'Seções Compostas'!B54)))</f>
        <v>94.8</v>
      </c>
      <c r="C57" s="79">
        <f>IF($C$3=20,'Seções Compostas'!Y54,IF($C$3=25,'Seções Compostas'!N54,IF('Propriedades geométricas LA '!$C$3=30,'Seções Compostas'!C54)))</f>
        <v>0</v>
      </c>
      <c r="D57" s="80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73">
        <f t="shared" si="1"/>
        <v>53</v>
      </c>
      <c r="B58" s="79">
        <f>IF($C$3=20,'Seções Compostas'!X55,IF($C$3=25,'Seções Compostas'!M55,IF('Propriedades geométricas LA '!$C$3=30,'Seções Compostas'!B55)))</f>
        <v>94.8</v>
      </c>
      <c r="C58" s="79">
        <f>IF($C$3=20,'Seções Compostas'!Y55,IF($C$3=25,'Seções Compostas'!N55,IF('Propriedades geométricas LA '!$C$3=30,'Seções Compostas'!C55)))</f>
        <v>3</v>
      </c>
      <c r="D58" s="80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73">
        <f t="shared" si="1"/>
        <v>54</v>
      </c>
      <c r="B59" s="79">
        <f>IF($C$3=20,'Seções Compostas'!X56,IF($C$3=25,'Seções Compostas'!M56,IF('Propriedades geométricas LA '!$C$3=30,'Seções Compostas'!B56)))</f>
        <v>97.85</v>
      </c>
      <c r="C59" s="79">
        <f>IF($C$3=20,'Seções Compostas'!Y56,IF($C$3=25,'Seções Compostas'!N56,IF('Propriedades geométricas LA '!$C$3=30,'Seções Compostas'!C56)))</f>
        <v>3</v>
      </c>
      <c r="D59" s="80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73">
        <f t="shared" si="1"/>
        <v>55</v>
      </c>
      <c r="B60" s="79">
        <f>IF($C$3=20,'Seções Compostas'!X57,IF($C$3=25,'Seções Compostas'!M57,IF('Propriedades geométricas LA '!$C$3=30,'Seções Compostas'!B57)))</f>
        <v>101</v>
      </c>
      <c r="C60" s="79">
        <f>IF($C$3=20,'Seções Compostas'!Y57,IF($C$3=25,'Seções Compostas'!N57,IF('Propriedades geométricas LA '!$C$3=30,'Seções Compostas'!C57)))</f>
        <v>5.8</v>
      </c>
      <c r="D60" s="80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73">
        <f t="shared" si="1"/>
        <v>56</v>
      </c>
      <c r="B61" s="79">
        <f>IF($C$3=20,'Seções Compostas'!X58,IF($C$3=25,'Seções Compostas'!M58,IF('Propriedades geométricas LA '!$C$3=30,'Seções Compostas'!B58)))</f>
        <v>101</v>
      </c>
      <c r="C61" s="79">
        <f>IF($C$3=20,'Seções Compostas'!Y58,IF($C$3=25,'Seções Compostas'!N58,IF('Propriedades geométricas LA '!$C$3=30,'Seções Compostas'!C58)))</f>
        <v>15.75</v>
      </c>
      <c r="D61" s="80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73">
        <f t="shared" si="1"/>
        <v>57</v>
      </c>
      <c r="B62" s="79">
        <f>IF($C$3=20,'Seções Compostas'!X59,IF($C$3=25,'Seções Compostas'!M59,IF('Propriedades geométricas LA '!$C$3=30,'Seções Compostas'!B59)))</f>
        <v>100.93</v>
      </c>
      <c r="C62" s="79">
        <f>IF($C$3=20,'Seções Compostas'!Y59,IF($C$3=25,'Seções Compostas'!N59,IF('Propriedades geométricas LA '!$C$3=30,'Seções Compostas'!C59)))</f>
        <v>16.66</v>
      </c>
      <c r="D62" s="80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73">
        <f t="shared" si="1"/>
        <v>58</v>
      </c>
      <c r="B63" s="79">
        <f>IF($C$3=20,'Seções Compostas'!X60,IF($C$3=25,'Seções Compostas'!M60,IF('Propriedades geométricas LA '!$C$3=30,'Seções Compostas'!B60)))</f>
        <v>100.67</v>
      </c>
      <c r="C63" s="79">
        <f>IF($C$3=20,'Seções Compostas'!Y60,IF($C$3=25,'Seções Compostas'!N60,IF('Propriedades geométricas LA '!$C$3=30,'Seções Compostas'!C60)))</f>
        <v>17.760000000000002</v>
      </c>
      <c r="D63" s="80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73">
        <f t="shared" si="1"/>
        <v>59</v>
      </c>
      <c r="B64" s="79">
        <f>IF($C$3=20,'Seções Compostas'!X61,IF($C$3=25,'Seções Compostas'!M61,IF('Propriedades geométricas LA '!$C$3=30,'Seções Compostas'!B61)))</f>
        <v>100.18</v>
      </c>
      <c r="C64" s="79">
        <f>IF($C$3=20,'Seções Compostas'!Y61,IF($C$3=25,'Seções Compostas'!N61,IF('Propriedades geométricas LA '!$C$3=30,'Seções Compostas'!C61)))</f>
        <v>18.84</v>
      </c>
      <c r="D64" s="80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73">
        <f t="shared" si="1"/>
        <v>60</v>
      </c>
      <c r="B65" s="79">
        <f>IF($C$3=20,'Seções Compostas'!X62,IF($C$3=25,'Seções Compostas'!M62,IF('Propriedades geométricas LA '!$C$3=30,'Seções Compostas'!B62)))</f>
        <v>99.62</v>
      </c>
      <c r="C65" s="79">
        <f>IF($C$3=20,'Seções Compostas'!Y62,IF($C$3=25,'Seções Compostas'!N62,IF('Propriedades geométricas LA '!$C$3=30,'Seções Compostas'!C62)))</f>
        <v>19.66</v>
      </c>
      <c r="D65" s="80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73">
        <f t="shared" si="1"/>
        <v>61</v>
      </c>
      <c r="B66" s="79">
        <f>IF($C$3=20,'Seções Compostas'!X63,IF($C$3=25,'Seções Compostas'!M63,IF('Propriedades geométricas LA '!$C$3=30,'Seções Compostas'!B63)))</f>
        <v>98.98</v>
      </c>
      <c r="C66" s="79">
        <f>IF($C$3=20,'Seções Compostas'!Y63,IF($C$3=25,'Seções Compostas'!N63,IF('Propriedades geométricas LA '!$C$3=30,'Seções Compostas'!C63)))</f>
        <v>20.350000000000001</v>
      </c>
      <c r="D66" s="80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73">
        <f t="shared" si="1"/>
        <v>62</v>
      </c>
      <c r="B67" s="79">
        <f>IF($C$3=20,'Seções Compostas'!X64,IF($C$3=25,'Seções Compostas'!M64,IF('Propriedades geométricas LA '!$C$3=30,'Seções Compostas'!B64)))</f>
        <v>98.3</v>
      </c>
      <c r="C67" s="79">
        <f>IF($C$3=20,'Seções Compostas'!Y64,IF($C$3=25,'Seções Compostas'!N64,IF('Propriedades geométricas LA '!$C$3=30,'Seções Compostas'!C64)))</f>
        <v>20.89</v>
      </c>
      <c r="D67" s="80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73">
        <f t="shared" si="1"/>
        <v>63</v>
      </c>
      <c r="B68" s="79">
        <f>IF($C$3=20,'Seções Compostas'!X65,IF($C$3=25,'Seções Compostas'!M65,IF('Propriedades geométricas LA '!$C$3=30,'Seções Compostas'!B65)))</f>
        <v>97.65</v>
      </c>
      <c r="C68" s="79">
        <f>IF($C$3=20,'Seções Compostas'!Y65,IF($C$3=25,'Seções Compostas'!N65,IF('Propriedades geométricas LA '!$C$3=30,'Seções Compostas'!C65)))</f>
        <v>21.29</v>
      </c>
      <c r="D68" s="80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73">
        <f t="shared" si="1"/>
        <v>64</v>
      </c>
      <c r="B69" s="79">
        <f>IF($C$3=20,'Seções Compostas'!X66,IF($C$3=25,'Seções Compostas'!M66,IF('Propriedades geométricas LA '!$C$3=30,'Seções Compostas'!B66)))</f>
        <v>96.93</v>
      </c>
      <c r="C69" s="79">
        <f>IF($C$3=20,'Seções Compostas'!Y66,IF($C$3=25,'Seções Compostas'!N66,IF('Propriedades geométricas LA '!$C$3=30,'Seções Compostas'!C66)))</f>
        <v>21.61</v>
      </c>
      <c r="D69" s="80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73">
        <f t="shared" si="1"/>
        <v>65</v>
      </c>
      <c r="B70" s="79">
        <f>IF($C$3=20,'Seções Compostas'!X67,IF($C$3=25,'Seções Compostas'!M67,IF('Propriedades geométricas LA '!$C$3=30,'Seções Compostas'!B67)))</f>
        <v>96.34</v>
      </c>
      <c r="C70" s="79">
        <f>IF($C$3=20,'Seções Compostas'!Y67,IF($C$3=25,'Seções Compostas'!N67,IF('Propriedades geométricas LA '!$C$3=30,'Seções Compostas'!C67)))</f>
        <v>21.79</v>
      </c>
      <c r="D70" s="80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73">
        <f t="shared" si="1"/>
        <v>66</v>
      </c>
      <c r="B71" s="79">
        <f>IF($C$3=20,'Seções Compostas'!X68,IF($C$3=25,'Seções Compostas'!M68,IF('Propriedades geométricas LA '!$C$3=30,'Seções Compostas'!B68)))</f>
        <v>95.72</v>
      </c>
      <c r="C71" s="79">
        <f>IF($C$3=20,'Seções Compostas'!Y68,IF($C$3=25,'Seções Compostas'!N68,IF('Propriedades geométricas LA '!$C$3=30,'Seções Compostas'!C68)))</f>
        <v>21.92</v>
      </c>
      <c r="D71" s="80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73">
        <f t="shared" si="1"/>
        <v>67</v>
      </c>
      <c r="B72" s="79">
        <f>IF($C$3=20,'Seções Compostas'!X69,IF($C$3=25,'Seções Compostas'!M69,IF('Propriedades geométricas LA '!$C$3=30,'Seções Compostas'!B69)))</f>
        <v>95.05</v>
      </c>
      <c r="C72" s="79">
        <f>IF($C$3=20,'Seções Compostas'!Y69,IF($C$3=25,'Seções Compostas'!N69,IF('Propriedades geométricas LA '!$C$3=30,'Seções Compostas'!C69)))</f>
        <v>21.99</v>
      </c>
      <c r="D72" s="80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73">
        <f t="shared" si="1"/>
        <v>68</v>
      </c>
      <c r="B73" s="79">
        <f>IF($C$3=20,'Seções Compostas'!X70,IF($C$3=25,'Seções Compostas'!M70,IF('Propriedades geométricas LA '!$C$3=30,'Seções Compostas'!B70)))</f>
        <v>94.45</v>
      </c>
      <c r="C73" s="79">
        <f>IF($C$3=20,'Seções Compostas'!Y70,IF($C$3=25,'Seções Compostas'!N70,IF('Propriedades geométricas LA '!$C$3=30,'Seções Compostas'!C70)))</f>
        <v>21.99</v>
      </c>
      <c r="D73" s="80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73">
        <f t="shared" si="1"/>
        <v>69</v>
      </c>
      <c r="B74" s="79">
        <f>IF($C$3=20,'Seções Compostas'!X71,IF($C$3=25,'Seções Compostas'!M71,IF('Propriedades geométricas LA '!$C$3=30,'Seções Compostas'!B71)))</f>
        <v>93.78</v>
      </c>
      <c r="C74" s="79">
        <f>IF($C$3=20,'Seções Compostas'!Y71,IF($C$3=25,'Seções Compostas'!N71,IF('Propriedades geométricas LA '!$C$3=30,'Seções Compostas'!C71)))</f>
        <v>21.92</v>
      </c>
      <c r="D74" s="80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73">
        <f t="shared" si="1"/>
        <v>70</v>
      </c>
      <c r="B75" s="79">
        <f>IF($C$3=20,'Seções Compostas'!X72,IF($C$3=25,'Seções Compostas'!M72,IF('Propriedades geométricas LA '!$C$3=30,'Seções Compostas'!B72)))</f>
        <v>93.16</v>
      </c>
      <c r="C75" s="79">
        <f>IF($C$3=20,'Seções Compostas'!Y72,IF($C$3=25,'Seções Compostas'!N72,IF('Propriedades geométricas LA '!$C$3=30,'Seções Compostas'!C72)))</f>
        <v>21.79</v>
      </c>
      <c r="D75" s="80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73">
        <f t="shared" si="1"/>
        <v>71</v>
      </c>
      <c r="B76" s="79">
        <f>IF($C$3=20,'Seções Compostas'!X73,IF($C$3=25,'Seções Compostas'!M73,IF('Propriedades geométricas LA '!$C$3=30,'Seções Compostas'!B73)))</f>
        <v>92.57</v>
      </c>
      <c r="C76" s="79">
        <f>IF($C$3=20,'Seções Compostas'!Y73,IF($C$3=25,'Seções Compostas'!N73,IF('Propriedades geométricas LA '!$C$3=30,'Seções Compostas'!C73)))</f>
        <v>21.61</v>
      </c>
      <c r="D76" s="80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73">
        <f t="shared" si="1"/>
        <v>72</v>
      </c>
      <c r="B77" s="79">
        <f>IF($C$3=20,'Seções Compostas'!X74,IF($C$3=25,'Seções Compostas'!M74,IF('Propriedades geométricas LA '!$C$3=30,'Seções Compostas'!B74)))</f>
        <v>91.85</v>
      </c>
      <c r="C77" s="79">
        <f>IF($C$3=20,'Seções Compostas'!Y74,IF($C$3=25,'Seções Compostas'!N74,IF('Propriedades geométricas LA '!$C$3=30,'Seções Compostas'!C74)))</f>
        <v>21.29</v>
      </c>
      <c r="D77" s="80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73">
        <f t="shared" si="1"/>
        <v>73</v>
      </c>
      <c r="B78" s="79">
        <f>IF($C$3=20,'Seções Compostas'!X75,IF($C$3=25,'Seções Compostas'!M75,IF('Propriedades geométricas LA '!$C$3=30,'Seções Compostas'!B75)))</f>
        <v>91.2</v>
      </c>
      <c r="C78" s="79">
        <f>IF($C$3=20,'Seções Compostas'!Y75,IF($C$3=25,'Seções Compostas'!N75,IF('Propriedades geométricas LA '!$C$3=30,'Seções Compostas'!C75)))</f>
        <v>20.89</v>
      </c>
      <c r="D78" s="80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73">
        <f t="shared" si="1"/>
        <v>74</v>
      </c>
      <c r="B79" s="79">
        <f>IF($C$3=20,'Seções Compostas'!X76,IF($C$3=25,'Seções Compostas'!M76,IF('Propriedades geométricas LA '!$C$3=30,'Seções Compostas'!B76)))</f>
        <v>90.52</v>
      </c>
      <c r="C79" s="79">
        <f>IF($C$3=20,'Seções Compostas'!Y76,IF($C$3=25,'Seções Compostas'!N76,IF('Propriedades geométricas LA '!$C$3=30,'Seções Compostas'!C76)))</f>
        <v>20.350000000000001</v>
      </c>
      <c r="D79" s="80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B80" s="79">
        <f>IF($C$3=20,'Seções Compostas'!X77,IF($C$3=25,'Seções Compostas'!M77,IF('Propriedades geométricas LA '!$C$3=30,'Seções Compostas'!B77)))</f>
        <v>89.88</v>
      </c>
      <c r="C80" s="79">
        <f>IF($C$3=20,'Seções Compostas'!Y77,IF($C$3=25,'Seções Compostas'!N77,IF('Propriedades geométricas LA '!$C$3=30,'Seções Compostas'!C77)))</f>
        <v>19.66</v>
      </c>
      <c r="D80" s="80"/>
    </row>
    <row r="81" spans="2:4" x14ac:dyDescent="0.25">
      <c r="B81" s="79">
        <f>IF($C$3=20,'Seções Compostas'!X78,IF($C$3=25,'Seções Compostas'!M78,IF('Propriedades geométricas LA '!$C$3=30,'Seções Compostas'!B78)))</f>
        <v>89.32</v>
      </c>
      <c r="C81" s="79">
        <f>IF($C$3=20,'Seções Compostas'!Y78,IF($C$3=25,'Seções Compostas'!N78,IF('Propriedades geométricas LA '!$C$3=30,'Seções Compostas'!C78)))</f>
        <v>18.84</v>
      </c>
      <c r="D81" s="80"/>
    </row>
    <row r="82" spans="2:4" x14ac:dyDescent="0.25">
      <c r="B82" s="79">
        <f>IF($C$3=20,'Seções Compostas'!X79,IF($C$3=25,'Seções Compostas'!M79,IF('Propriedades geométricas LA '!$C$3=30,'Seções Compostas'!B79)))</f>
        <v>88.83</v>
      </c>
      <c r="C82" s="79">
        <f>IF($C$3=20,'Seções Compostas'!Y79,IF($C$3=25,'Seções Compostas'!N79,IF('Propriedades geométricas LA '!$C$3=30,'Seções Compostas'!C79)))</f>
        <v>17.760000000000002</v>
      </c>
      <c r="D82" s="80"/>
    </row>
    <row r="83" spans="2:4" x14ac:dyDescent="0.25">
      <c r="B83" s="79">
        <f>IF($C$3=20,'Seções Compostas'!X80,IF($C$3=25,'Seções Compostas'!M80,IF('Propriedades geométricas LA '!$C$3=30,'Seções Compostas'!B80)))</f>
        <v>88.57</v>
      </c>
      <c r="C83" s="79">
        <f>IF($C$3=20,'Seções Compostas'!Y80,IF($C$3=25,'Seções Compostas'!N80,IF('Propriedades geométricas LA '!$C$3=30,'Seções Compostas'!C80)))</f>
        <v>16.66</v>
      </c>
      <c r="D83" s="80"/>
    </row>
    <row r="84" spans="2:4" x14ac:dyDescent="0.25">
      <c r="B84" s="79">
        <f>IF($C$3=20,'Seções Compostas'!X81,IF($C$3=25,'Seções Compostas'!M81,IF('Propriedades geométricas LA '!$C$3=30,'Seções Compostas'!B81)))</f>
        <v>88.5</v>
      </c>
      <c r="C84" s="79">
        <f>IF($C$3=20,'Seções Compostas'!Y81,IF($C$3=25,'Seções Compostas'!N81,IF('Propriedades geométricas LA '!$C$3=30,'Seções Compostas'!C81)))</f>
        <v>15.75</v>
      </c>
      <c r="D84" s="80"/>
    </row>
    <row r="85" spans="2:4" x14ac:dyDescent="0.25">
      <c r="B85" s="79">
        <f>IF($C$3=20,'Seções Compostas'!X82,IF($C$3=25,'Seções Compostas'!M82,IF('Propriedades geométricas LA '!$C$3=30,'Seções Compostas'!B82)))</f>
        <v>88.5</v>
      </c>
      <c r="C85" s="79">
        <f>IF($C$3=20,'Seções Compostas'!Y82,IF($C$3=25,'Seções Compostas'!N82,IF('Propriedades geométricas LA '!$C$3=30,'Seções Compostas'!C82)))</f>
        <v>5.8</v>
      </c>
      <c r="D85" s="80"/>
    </row>
    <row r="86" spans="2:4" x14ac:dyDescent="0.25">
      <c r="B86" s="79">
        <f>IF($C$3=20,'Seções Compostas'!X83,IF($C$3=25,'Seções Compostas'!M83,IF('Propriedades geométricas LA '!$C$3=30,'Seções Compostas'!B83)))</f>
        <v>91.65</v>
      </c>
      <c r="C86" s="79">
        <f>IF($C$3=20,'Seções Compostas'!Y83,IF($C$3=25,'Seções Compostas'!N83,IF('Propriedades geométricas LA '!$C$3=30,'Seções Compostas'!C83)))</f>
        <v>3</v>
      </c>
      <c r="D86" s="80"/>
    </row>
    <row r="87" spans="2:4" x14ac:dyDescent="0.25">
      <c r="B87" s="79">
        <f>IF($C$3=20,'Seções Compostas'!X84,IF($C$3=25,'Seções Compostas'!M84,IF('Propriedades geométricas LA '!$C$3=30,'Seções Compostas'!B84)))</f>
        <v>94.75</v>
      </c>
      <c r="C87" s="79">
        <f>IF($C$3=20,'Seções Compostas'!Y84,IF($C$3=25,'Seções Compostas'!N84,IF('Propriedades geométricas LA '!$C$3=30,'Seções Compostas'!C84)))</f>
        <v>3</v>
      </c>
      <c r="D87" s="80"/>
    </row>
    <row r="88" spans="2:4" x14ac:dyDescent="0.25">
      <c r="B88" s="79">
        <f>IF($C$3=20,'Seções Compostas'!X85,IF($C$3=25,'Seções Compostas'!M85,IF('Propriedades geométricas LA '!$C$3=30,'Seções Compostas'!B85)))</f>
        <v>94.75</v>
      </c>
      <c r="C88" s="79">
        <f>IF($C$3=20,'Seções Compostas'!Y85,IF($C$3=25,'Seções Compostas'!N85,IF('Propriedades geométricas LA '!$C$3=30,'Seções Compostas'!C85)))</f>
        <v>0</v>
      </c>
      <c r="D88" s="80"/>
    </row>
    <row r="89" spans="2:4" x14ac:dyDescent="0.25">
      <c r="B89" s="79">
        <f>IF($C$3=20,'Seções Compostas'!X86,IF($C$3=25,'Seções Compostas'!M86,IF('Propriedades geométricas LA '!$C$3=30,'Seções Compostas'!B86)))</f>
        <v>78.55</v>
      </c>
      <c r="C89" s="79">
        <f>IF($C$3=20,'Seções Compostas'!Y86,IF($C$3=25,'Seções Compostas'!N86,IF('Propriedades geométricas LA '!$C$3=30,'Seções Compostas'!C86)))</f>
        <v>0</v>
      </c>
      <c r="D89" s="80"/>
    </row>
    <row r="90" spans="2:4" x14ac:dyDescent="0.25">
      <c r="B90" s="79">
        <f>IF($C$3=20,'Seções Compostas'!X87,IF($C$3=25,'Seções Compostas'!M87,IF('Propriedades geométricas LA '!$C$3=30,'Seções Compostas'!B87)))</f>
        <v>78.55</v>
      </c>
      <c r="C90" s="79">
        <f>IF($C$3=20,'Seções Compostas'!Y87,IF($C$3=25,'Seções Compostas'!N87,IF('Propriedades geométricas LA '!$C$3=30,'Seções Compostas'!C87)))</f>
        <v>3</v>
      </c>
      <c r="D90" s="80"/>
    </row>
    <row r="91" spans="2:4" x14ac:dyDescent="0.25">
      <c r="B91" s="79">
        <f>IF($C$3=20,'Seções Compostas'!X88,IF($C$3=25,'Seções Compostas'!M88,IF('Propriedades geométricas LA '!$C$3=30,'Seções Compostas'!B88)))</f>
        <v>81.599999999999994</v>
      </c>
      <c r="C91" s="79">
        <f>IF($C$3=20,'Seções Compostas'!Y88,IF($C$3=25,'Seções Compostas'!N88,IF('Propriedades geométricas LA '!$C$3=30,'Seções Compostas'!C88)))</f>
        <v>3</v>
      </c>
      <c r="D91" s="80"/>
    </row>
    <row r="92" spans="2:4" x14ac:dyDescent="0.25">
      <c r="B92" s="79">
        <f>IF($C$3=20,'Seções Compostas'!X89,IF($C$3=25,'Seções Compostas'!M89,IF('Propriedades geométricas LA '!$C$3=30,'Seções Compostas'!B89)))</f>
        <v>84.75</v>
      </c>
      <c r="C92" s="79">
        <f>IF($C$3=20,'Seções Compostas'!Y89,IF($C$3=25,'Seções Compostas'!N89,IF('Propriedades geométricas LA '!$C$3=30,'Seções Compostas'!C89)))</f>
        <v>5.8</v>
      </c>
      <c r="D92" s="80"/>
    </row>
    <row r="93" spans="2:4" x14ac:dyDescent="0.25">
      <c r="B93" s="79">
        <f>IF($C$3=20,'Seções Compostas'!X90,IF($C$3=25,'Seções Compostas'!M90,IF('Propriedades geométricas LA '!$C$3=30,'Seções Compostas'!B90)))</f>
        <v>84.75</v>
      </c>
      <c r="C93" s="79">
        <f>IF($C$3=20,'Seções Compostas'!Y90,IF($C$3=25,'Seções Compostas'!N90,IF('Propriedades geométricas LA '!$C$3=30,'Seções Compostas'!C90)))</f>
        <v>15.75</v>
      </c>
      <c r="D93" s="80"/>
    </row>
    <row r="94" spans="2:4" x14ac:dyDescent="0.25">
      <c r="B94" s="79">
        <f>IF($C$3=20,'Seções Compostas'!X91,IF($C$3=25,'Seções Compostas'!M91,IF('Propriedades geométricas LA '!$C$3=30,'Seções Compostas'!B91)))</f>
        <v>84.68</v>
      </c>
      <c r="C94" s="79">
        <f>IF($C$3=20,'Seções Compostas'!Y91,IF($C$3=25,'Seções Compostas'!N91,IF('Propriedades geométricas LA '!$C$3=30,'Seções Compostas'!C91)))</f>
        <v>16.66</v>
      </c>
      <c r="D94" s="80"/>
    </row>
    <row r="95" spans="2:4" x14ac:dyDescent="0.25">
      <c r="B95" s="79">
        <f>IF($C$3=20,'Seções Compostas'!X92,IF($C$3=25,'Seções Compostas'!M92,IF('Propriedades geométricas LA '!$C$3=30,'Seções Compostas'!B92)))</f>
        <v>84.42</v>
      </c>
      <c r="C95" s="79">
        <f>IF($C$3=20,'Seções Compostas'!Y92,IF($C$3=25,'Seções Compostas'!N92,IF('Propriedades geométricas LA '!$C$3=30,'Seções Compostas'!C92)))</f>
        <v>17.760000000000002</v>
      </c>
      <c r="D95" s="80"/>
    </row>
    <row r="96" spans="2:4" x14ac:dyDescent="0.25">
      <c r="B96" s="79">
        <f>IF($C$3=20,'Seções Compostas'!X93,IF($C$3=25,'Seções Compostas'!M93,IF('Propriedades geométricas LA '!$C$3=30,'Seções Compostas'!B93)))</f>
        <v>83.93</v>
      </c>
      <c r="C96" s="79">
        <f>IF($C$3=20,'Seções Compostas'!Y93,IF($C$3=25,'Seções Compostas'!N93,IF('Propriedades geométricas LA '!$C$3=30,'Seções Compostas'!C93)))</f>
        <v>18.84</v>
      </c>
    </row>
    <row r="97" spans="2:3" x14ac:dyDescent="0.25">
      <c r="B97" s="79">
        <f>IF($C$3=20,'Seções Compostas'!X94,IF($C$3=25,'Seções Compostas'!M94,IF('Propriedades geométricas LA '!$C$3=30,'Seções Compostas'!B94)))</f>
        <v>83.37</v>
      </c>
      <c r="C97" s="79">
        <f>IF($C$3=20,'Seções Compostas'!Y94,IF($C$3=25,'Seções Compostas'!N94,IF('Propriedades geométricas LA '!$C$3=30,'Seções Compostas'!C94)))</f>
        <v>19.66</v>
      </c>
    </row>
    <row r="98" spans="2:3" x14ac:dyDescent="0.25">
      <c r="B98" s="79">
        <f>IF($C$3=20,'Seções Compostas'!X95,IF($C$3=25,'Seções Compostas'!M95,IF('Propriedades geométricas LA '!$C$3=30,'Seções Compostas'!B95)))</f>
        <v>82.73</v>
      </c>
      <c r="C98" s="79">
        <f>IF($C$3=20,'Seções Compostas'!Y95,IF($C$3=25,'Seções Compostas'!N95,IF('Propriedades geométricas LA '!$C$3=30,'Seções Compostas'!C95)))</f>
        <v>20.350000000000001</v>
      </c>
    </row>
    <row r="99" spans="2:3" x14ac:dyDescent="0.25">
      <c r="B99" s="79">
        <f>IF($C$3=20,'Seções Compostas'!X96,IF($C$3=25,'Seções Compostas'!M96,IF('Propriedades geométricas LA '!$C$3=30,'Seções Compostas'!B96)))</f>
        <v>82.05</v>
      </c>
      <c r="C99" s="79">
        <f>IF($C$3=20,'Seções Compostas'!Y96,IF($C$3=25,'Seções Compostas'!N96,IF('Propriedades geométricas LA '!$C$3=30,'Seções Compostas'!C96)))</f>
        <v>20.89</v>
      </c>
    </row>
    <row r="100" spans="2:3" x14ac:dyDescent="0.25">
      <c r="B100" s="79">
        <f>IF($C$3=20,'Seções Compostas'!X97,IF($C$3=25,'Seções Compostas'!M97,IF('Propriedades geométricas LA '!$C$3=30,'Seções Compostas'!B97)))</f>
        <v>81.400000000000006</v>
      </c>
      <c r="C100" s="79">
        <f>IF($C$3=20,'Seções Compostas'!Y97,IF($C$3=25,'Seções Compostas'!N97,IF('Propriedades geométricas LA '!$C$3=30,'Seções Compostas'!C97)))</f>
        <v>21.29</v>
      </c>
    </row>
    <row r="101" spans="2:3" x14ac:dyDescent="0.25">
      <c r="B101" s="79">
        <f>IF($C$3=20,'Seções Compostas'!X98,IF($C$3=25,'Seções Compostas'!M98,IF('Propriedades geométricas LA '!$C$3=30,'Seções Compostas'!B98)))</f>
        <v>80.680000000000007</v>
      </c>
      <c r="C101" s="79">
        <f>IF($C$3=20,'Seções Compostas'!Y98,IF($C$3=25,'Seções Compostas'!N98,IF('Propriedades geométricas LA '!$C$3=30,'Seções Compostas'!C98)))</f>
        <v>21.61</v>
      </c>
    </row>
    <row r="102" spans="2:3" x14ac:dyDescent="0.25">
      <c r="B102" s="79">
        <f>IF($C$3=20,'Seções Compostas'!X99,IF($C$3=25,'Seções Compostas'!M99,IF('Propriedades geométricas LA '!$C$3=30,'Seções Compostas'!B99)))</f>
        <v>80.09</v>
      </c>
      <c r="C102" s="79">
        <f>IF($C$3=20,'Seções Compostas'!Y99,IF($C$3=25,'Seções Compostas'!N99,IF('Propriedades geométricas LA '!$C$3=30,'Seções Compostas'!C99)))</f>
        <v>21.79</v>
      </c>
    </row>
    <row r="103" spans="2:3" x14ac:dyDescent="0.25">
      <c r="B103" s="79">
        <f>IF($C$3=20,'Seções Compostas'!X100,IF($C$3=25,'Seções Compostas'!M100,IF('Propriedades geométricas LA '!$C$3=30,'Seções Compostas'!B100)))</f>
        <v>79.47</v>
      </c>
      <c r="C103" s="79">
        <f>IF($C$3=20,'Seções Compostas'!Y100,IF($C$3=25,'Seções Compostas'!N100,IF('Propriedades geométricas LA '!$C$3=30,'Seções Compostas'!C100)))</f>
        <v>21.92</v>
      </c>
    </row>
    <row r="104" spans="2:3" x14ac:dyDescent="0.25">
      <c r="B104" s="79">
        <f>IF($C$3=20,'Seções Compostas'!X101,IF($C$3=25,'Seções Compostas'!M101,IF('Propriedades geométricas LA '!$C$3=30,'Seções Compostas'!B101)))</f>
        <v>78.8</v>
      </c>
      <c r="C104" s="79">
        <f>IF($C$3=20,'Seções Compostas'!Y101,IF($C$3=25,'Seções Compostas'!N101,IF('Propriedades geométricas LA '!$C$3=30,'Seções Compostas'!C101)))</f>
        <v>21.99</v>
      </c>
    </row>
    <row r="105" spans="2:3" x14ac:dyDescent="0.25">
      <c r="B105" s="79">
        <f>IF($C$3=20,'Seções Compostas'!X102,IF($C$3=25,'Seções Compostas'!M102,IF('Propriedades geométricas LA '!$C$3=30,'Seções Compostas'!B102)))</f>
        <v>78.2</v>
      </c>
      <c r="C105" s="79">
        <f>IF($C$3=20,'Seções Compostas'!Y102,IF($C$3=25,'Seções Compostas'!N102,IF('Propriedades geométricas LA '!$C$3=30,'Seções Compostas'!C102)))</f>
        <v>21.99</v>
      </c>
    </row>
    <row r="106" spans="2:3" x14ac:dyDescent="0.25">
      <c r="B106" s="79">
        <f>IF($C$3=20,'Seções Compostas'!X103,IF($C$3=25,'Seções Compostas'!M103,IF('Propriedades geométricas LA '!$C$3=30,'Seções Compostas'!B103)))</f>
        <v>77.53</v>
      </c>
      <c r="C106" s="79">
        <f>IF($C$3=20,'Seções Compostas'!Y103,IF($C$3=25,'Seções Compostas'!N103,IF('Propriedades geométricas LA '!$C$3=30,'Seções Compostas'!C103)))</f>
        <v>21.92</v>
      </c>
    </row>
    <row r="107" spans="2:3" x14ac:dyDescent="0.25">
      <c r="B107" s="79">
        <f>IF($C$3=20,'Seções Compostas'!X104,IF($C$3=25,'Seções Compostas'!M104,IF('Propriedades geométricas LA '!$C$3=30,'Seções Compostas'!B104)))</f>
        <v>76.91</v>
      </c>
      <c r="C107" s="79">
        <f>IF($C$3=20,'Seções Compostas'!Y104,IF($C$3=25,'Seções Compostas'!N104,IF('Propriedades geométricas LA '!$C$3=30,'Seções Compostas'!C104)))</f>
        <v>21.79</v>
      </c>
    </row>
    <row r="108" spans="2:3" x14ac:dyDescent="0.25">
      <c r="B108" s="79">
        <f>IF($C$3=20,'Seções Compostas'!X105,IF($C$3=25,'Seções Compostas'!M105,IF('Propriedades geométricas LA '!$C$3=30,'Seções Compostas'!B105)))</f>
        <v>76.319999999999993</v>
      </c>
      <c r="C108" s="79">
        <f>IF($C$3=20,'Seções Compostas'!Y105,IF($C$3=25,'Seções Compostas'!N105,IF('Propriedades geométricas LA '!$C$3=30,'Seções Compostas'!C105)))</f>
        <v>21.61</v>
      </c>
    </row>
    <row r="109" spans="2:3" x14ac:dyDescent="0.25">
      <c r="B109" s="79">
        <f>IF($C$3=20,'Seções Compostas'!X106,IF($C$3=25,'Seções Compostas'!M106,IF('Propriedades geométricas LA '!$C$3=30,'Seções Compostas'!B106)))</f>
        <v>75.599999999999994</v>
      </c>
      <c r="C109" s="79">
        <f>IF($C$3=20,'Seções Compostas'!Y106,IF($C$3=25,'Seções Compostas'!N106,IF('Propriedades geométricas LA '!$C$3=30,'Seções Compostas'!C106)))</f>
        <v>21.29</v>
      </c>
    </row>
    <row r="110" spans="2:3" x14ac:dyDescent="0.25">
      <c r="B110" s="79">
        <f>IF($C$3=20,'Seções Compostas'!X107,IF($C$3=25,'Seções Compostas'!M107,IF('Propriedades geométricas LA '!$C$3=30,'Seções Compostas'!B107)))</f>
        <v>74.95</v>
      </c>
      <c r="C110" s="79">
        <f>IF($C$3=20,'Seções Compostas'!Y107,IF($C$3=25,'Seções Compostas'!N107,IF('Propriedades geométricas LA '!$C$3=30,'Seções Compostas'!C107)))</f>
        <v>20.89</v>
      </c>
    </row>
    <row r="111" spans="2:3" x14ac:dyDescent="0.25">
      <c r="B111" s="79">
        <f>IF($C$3=20,'Seções Compostas'!X108,IF($C$3=25,'Seções Compostas'!M108,IF('Propriedades geométricas LA '!$C$3=30,'Seções Compostas'!B108)))</f>
        <v>74.27</v>
      </c>
      <c r="C111" s="79">
        <f>IF($C$3=20,'Seções Compostas'!Y108,IF($C$3=25,'Seções Compostas'!N108,IF('Propriedades geométricas LA '!$C$3=30,'Seções Compostas'!C108)))</f>
        <v>20.350000000000001</v>
      </c>
    </row>
    <row r="112" spans="2:3" x14ac:dyDescent="0.25">
      <c r="B112" s="79">
        <f>IF($C$3=20,'Seções Compostas'!X109,IF($C$3=25,'Seções Compostas'!M109,IF('Propriedades geométricas LA '!$C$3=30,'Seções Compostas'!B109)))</f>
        <v>73.63</v>
      </c>
      <c r="C112" s="79">
        <f>IF($C$3=20,'Seções Compostas'!Y109,IF($C$3=25,'Seções Compostas'!N109,IF('Propriedades geométricas LA '!$C$3=30,'Seções Compostas'!C109)))</f>
        <v>19.66</v>
      </c>
    </row>
    <row r="113" spans="2:3" x14ac:dyDescent="0.25">
      <c r="B113" s="79">
        <f>IF($C$3=20,'Seções Compostas'!X110,IF($C$3=25,'Seções Compostas'!M110,IF('Propriedades geométricas LA '!$C$3=30,'Seções Compostas'!B110)))</f>
        <v>73.069999999999993</v>
      </c>
      <c r="C113" s="79">
        <f>IF($C$3=20,'Seções Compostas'!Y110,IF($C$3=25,'Seções Compostas'!N110,IF('Propriedades geométricas LA '!$C$3=30,'Seções Compostas'!C110)))</f>
        <v>18.84</v>
      </c>
    </row>
    <row r="114" spans="2:3" x14ac:dyDescent="0.25">
      <c r="B114" s="79">
        <f>IF($C$3=20,'Seções Compostas'!X111,IF($C$3=25,'Seções Compostas'!M111,IF('Propriedades geométricas LA '!$C$3=30,'Seções Compostas'!B111)))</f>
        <v>72.58</v>
      </c>
      <c r="C114" s="79">
        <f>IF($C$3=20,'Seções Compostas'!Y111,IF($C$3=25,'Seções Compostas'!N111,IF('Propriedades geométricas LA '!$C$3=30,'Seções Compostas'!C111)))</f>
        <v>17.760000000000002</v>
      </c>
    </row>
    <row r="115" spans="2:3" x14ac:dyDescent="0.25">
      <c r="B115" s="79">
        <f>IF($C$3=20,'Seções Compostas'!X112,IF($C$3=25,'Seções Compostas'!M112,IF('Propriedades geométricas LA '!$C$3=30,'Seções Compostas'!B112)))</f>
        <v>72.319999999999993</v>
      </c>
      <c r="C115" s="79">
        <f>IF($C$3=20,'Seções Compostas'!Y112,IF($C$3=25,'Seções Compostas'!N112,IF('Propriedades geométricas LA '!$C$3=30,'Seções Compostas'!C112)))</f>
        <v>16.66</v>
      </c>
    </row>
    <row r="116" spans="2:3" x14ac:dyDescent="0.25">
      <c r="B116" s="79">
        <f>IF($C$3=20,'Seções Compostas'!X113,IF($C$3=25,'Seções Compostas'!M113,IF('Propriedades geométricas LA '!$C$3=30,'Seções Compostas'!B113)))</f>
        <v>72.25</v>
      </c>
      <c r="C116" s="79">
        <f>IF($C$3=20,'Seções Compostas'!Y113,IF($C$3=25,'Seções Compostas'!N113,IF('Propriedades geométricas LA '!$C$3=30,'Seções Compostas'!C113)))</f>
        <v>15.75</v>
      </c>
    </row>
    <row r="117" spans="2:3" x14ac:dyDescent="0.25">
      <c r="B117" s="79">
        <f>IF($C$3=20,'Seções Compostas'!X114,IF($C$3=25,'Seções Compostas'!M114,IF('Propriedades geométricas LA '!$C$3=30,'Seções Compostas'!B114)))</f>
        <v>72.25</v>
      </c>
      <c r="C117" s="79">
        <f>IF($C$3=20,'Seções Compostas'!Y114,IF($C$3=25,'Seções Compostas'!N114,IF('Propriedades geométricas LA '!$C$3=30,'Seções Compostas'!C114)))</f>
        <v>5.8</v>
      </c>
    </row>
    <row r="118" spans="2:3" x14ac:dyDescent="0.25">
      <c r="B118" s="79">
        <f>IF($C$3=20,'Seções Compostas'!X115,IF($C$3=25,'Seções Compostas'!M115,IF('Propriedades geométricas LA '!$C$3=30,'Seções Compostas'!B115)))</f>
        <v>75.400000000000006</v>
      </c>
      <c r="C118" s="79">
        <f>IF($C$3=20,'Seções Compostas'!Y115,IF($C$3=25,'Seções Compostas'!N115,IF('Propriedades geométricas LA '!$C$3=30,'Seções Compostas'!C115)))</f>
        <v>3</v>
      </c>
    </row>
    <row r="119" spans="2:3" x14ac:dyDescent="0.25">
      <c r="B119" s="79">
        <f>IF($C$3=20,'Seções Compostas'!X116,IF($C$3=25,'Seções Compostas'!M116,IF('Propriedades geométricas LA '!$C$3=30,'Seções Compostas'!B116)))</f>
        <v>78.5</v>
      </c>
      <c r="C119" s="79">
        <f>IF($C$3=20,'Seções Compostas'!Y116,IF($C$3=25,'Seções Compostas'!N116,IF('Propriedades geométricas LA '!$C$3=30,'Seções Compostas'!C116)))</f>
        <v>3</v>
      </c>
    </row>
    <row r="120" spans="2:3" x14ac:dyDescent="0.25">
      <c r="B120" s="79">
        <f>IF($C$3=20,'Seções Compostas'!X117,IF($C$3=25,'Seções Compostas'!M117,IF('Propriedades geométricas LA '!$C$3=30,'Seções Compostas'!B117)))</f>
        <v>78.5</v>
      </c>
      <c r="C120" s="79">
        <f>IF($C$3=20,'Seções Compostas'!Y117,IF($C$3=25,'Seções Compostas'!N117,IF('Propriedades geométricas LA '!$C$3=30,'Seções Compostas'!C117)))</f>
        <v>0</v>
      </c>
    </row>
    <row r="121" spans="2:3" x14ac:dyDescent="0.25">
      <c r="B121" s="79">
        <f>IF($C$3=20,'Seções Compostas'!X118,IF($C$3=25,'Seções Compostas'!M118,IF('Propriedades geométricas LA '!$C$3=30,'Seções Compostas'!B118)))</f>
        <v>62.3</v>
      </c>
      <c r="C121" s="79">
        <f>IF($C$3=20,'Seções Compostas'!Y118,IF($C$3=25,'Seções Compostas'!N118,IF('Propriedades geométricas LA '!$C$3=30,'Seções Compostas'!C118)))</f>
        <v>0</v>
      </c>
    </row>
    <row r="122" spans="2:3" x14ac:dyDescent="0.25">
      <c r="B122" s="79">
        <f>IF($C$3=20,'Seções Compostas'!X119,IF($C$3=25,'Seções Compostas'!M119,IF('Propriedades geométricas LA '!$C$3=30,'Seções Compostas'!B119)))</f>
        <v>62.3</v>
      </c>
      <c r="C122" s="79">
        <f>IF($C$3=20,'Seções Compostas'!Y119,IF($C$3=25,'Seções Compostas'!N119,IF('Propriedades geométricas LA '!$C$3=30,'Seções Compostas'!C119)))</f>
        <v>3</v>
      </c>
    </row>
    <row r="123" spans="2:3" x14ac:dyDescent="0.25">
      <c r="B123" s="79">
        <f>IF($C$3=20,'Seções Compostas'!X120,IF($C$3=25,'Seções Compostas'!M120,IF('Propriedades geométricas LA '!$C$3=30,'Seções Compostas'!B120)))</f>
        <v>65.349999999999994</v>
      </c>
      <c r="C123" s="79">
        <f>IF($C$3=20,'Seções Compostas'!Y120,IF($C$3=25,'Seções Compostas'!N120,IF('Propriedades geométricas LA '!$C$3=30,'Seções Compostas'!C120)))</f>
        <v>3</v>
      </c>
    </row>
    <row r="124" spans="2:3" x14ac:dyDescent="0.25">
      <c r="B124" s="79">
        <f>IF($C$3=20,'Seções Compostas'!X121,IF($C$3=25,'Seções Compostas'!M121,IF('Propriedades geométricas LA '!$C$3=30,'Seções Compostas'!B121)))</f>
        <v>68.5</v>
      </c>
      <c r="C124" s="79">
        <f>IF($C$3=20,'Seções Compostas'!Y121,IF($C$3=25,'Seções Compostas'!N121,IF('Propriedades geométricas LA '!$C$3=30,'Seções Compostas'!C121)))</f>
        <v>5.8</v>
      </c>
    </row>
    <row r="125" spans="2:3" x14ac:dyDescent="0.25">
      <c r="B125" s="79">
        <f>IF($C$3=20,'Seções Compostas'!X122,IF($C$3=25,'Seções Compostas'!M122,IF('Propriedades geométricas LA '!$C$3=30,'Seções Compostas'!B122)))</f>
        <v>68.5</v>
      </c>
      <c r="C125" s="79">
        <f>IF($C$3=20,'Seções Compostas'!Y122,IF($C$3=25,'Seções Compostas'!N122,IF('Propriedades geométricas LA '!$C$3=30,'Seções Compostas'!C122)))</f>
        <v>15.75</v>
      </c>
    </row>
    <row r="126" spans="2:3" x14ac:dyDescent="0.25">
      <c r="B126" s="79">
        <f>IF($C$3=20,'Seções Compostas'!X123,IF($C$3=25,'Seções Compostas'!M123,IF('Propriedades geométricas LA '!$C$3=30,'Seções Compostas'!B123)))</f>
        <v>68.430000000000007</v>
      </c>
      <c r="C126" s="79">
        <f>IF($C$3=20,'Seções Compostas'!Y123,IF($C$3=25,'Seções Compostas'!N123,IF('Propriedades geométricas LA '!$C$3=30,'Seções Compostas'!C123)))</f>
        <v>16.66</v>
      </c>
    </row>
    <row r="127" spans="2:3" x14ac:dyDescent="0.25">
      <c r="B127" s="79">
        <f>IF($C$3=20,'Seções Compostas'!X124,IF($C$3=25,'Seções Compostas'!M124,IF('Propriedades geométricas LA '!$C$3=30,'Seções Compostas'!B124)))</f>
        <v>68.17</v>
      </c>
      <c r="C127" s="79">
        <f>IF($C$3=20,'Seções Compostas'!Y124,IF($C$3=25,'Seções Compostas'!N124,IF('Propriedades geométricas LA '!$C$3=30,'Seções Compostas'!C124)))</f>
        <v>17.760000000000002</v>
      </c>
    </row>
    <row r="128" spans="2:3" x14ac:dyDescent="0.25">
      <c r="B128" s="79">
        <f>IF($C$3=20,'Seções Compostas'!X125,IF($C$3=25,'Seções Compostas'!M125,IF('Propriedades geométricas LA '!$C$3=30,'Seções Compostas'!B125)))</f>
        <v>67.680000000000007</v>
      </c>
      <c r="C128" s="79">
        <f>IF($C$3=20,'Seções Compostas'!Y125,IF($C$3=25,'Seções Compostas'!N125,IF('Propriedades geométricas LA '!$C$3=30,'Seções Compostas'!C125)))</f>
        <v>18.84</v>
      </c>
    </row>
    <row r="129" spans="2:3" x14ac:dyDescent="0.25">
      <c r="B129" s="79">
        <f>IF($C$3=20,'Seções Compostas'!X126,IF($C$3=25,'Seções Compostas'!M126,IF('Propriedades geométricas LA '!$C$3=30,'Seções Compostas'!B126)))</f>
        <v>67.12</v>
      </c>
      <c r="C129" s="79">
        <f>IF($C$3=20,'Seções Compostas'!Y126,IF($C$3=25,'Seções Compostas'!N126,IF('Propriedades geométricas LA '!$C$3=30,'Seções Compostas'!C126)))</f>
        <v>19.66</v>
      </c>
    </row>
    <row r="130" spans="2:3" x14ac:dyDescent="0.25">
      <c r="B130" s="79">
        <f>IF($C$3=20,'Seções Compostas'!X127,IF($C$3=25,'Seções Compostas'!M127,IF('Propriedades geométricas LA '!$C$3=30,'Seções Compostas'!B127)))</f>
        <v>66.48</v>
      </c>
      <c r="C130" s="79">
        <f>IF($C$3=20,'Seções Compostas'!Y127,IF($C$3=25,'Seções Compostas'!N127,IF('Propriedades geométricas LA '!$C$3=30,'Seções Compostas'!C127)))</f>
        <v>20.350000000000001</v>
      </c>
    </row>
    <row r="131" spans="2:3" x14ac:dyDescent="0.25">
      <c r="B131" s="79">
        <f>IF($C$3=20,'Seções Compostas'!X128,IF($C$3=25,'Seções Compostas'!M128,IF('Propriedades geométricas LA '!$C$3=30,'Seções Compostas'!B128)))</f>
        <v>65.8</v>
      </c>
      <c r="C131" s="79">
        <f>IF($C$3=20,'Seções Compostas'!Y128,IF($C$3=25,'Seções Compostas'!N128,IF('Propriedades geométricas LA '!$C$3=30,'Seções Compostas'!C128)))</f>
        <v>20.89</v>
      </c>
    </row>
    <row r="132" spans="2:3" x14ac:dyDescent="0.25">
      <c r="B132" s="79">
        <f>IF($C$3=20,'Seções Compostas'!X129,IF($C$3=25,'Seções Compostas'!M129,IF('Propriedades geométricas LA '!$C$3=30,'Seções Compostas'!B129)))</f>
        <v>65.150000000000006</v>
      </c>
      <c r="C132" s="79">
        <f>IF($C$3=20,'Seções Compostas'!Y129,IF($C$3=25,'Seções Compostas'!N129,IF('Propriedades geométricas LA '!$C$3=30,'Seções Compostas'!C129)))</f>
        <v>21.29</v>
      </c>
    </row>
    <row r="133" spans="2:3" x14ac:dyDescent="0.25">
      <c r="B133" s="79">
        <f>IF($C$3=20,'Seções Compostas'!X130,IF($C$3=25,'Seções Compostas'!M130,IF('Propriedades geométricas LA '!$C$3=30,'Seções Compostas'!B130)))</f>
        <v>64.430000000000007</v>
      </c>
      <c r="C133" s="79">
        <f>IF($C$3=20,'Seções Compostas'!Y130,IF($C$3=25,'Seções Compostas'!N130,IF('Propriedades geométricas LA '!$C$3=30,'Seções Compostas'!C130)))</f>
        <v>21.61</v>
      </c>
    </row>
    <row r="134" spans="2:3" x14ac:dyDescent="0.25">
      <c r="B134" s="79">
        <f>IF($C$3=20,'Seções Compostas'!X131,IF($C$3=25,'Seções Compostas'!M131,IF('Propriedades geométricas LA '!$C$3=30,'Seções Compostas'!B131)))</f>
        <v>63.84</v>
      </c>
      <c r="C134" s="79">
        <f>IF($C$3=20,'Seções Compostas'!Y131,IF($C$3=25,'Seções Compostas'!N131,IF('Propriedades geométricas LA '!$C$3=30,'Seções Compostas'!C131)))</f>
        <v>21.79</v>
      </c>
    </row>
    <row r="135" spans="2:3" x14ac:dyDescent="0.25">
      <c r="B135" s="79">
        <f>IF($C$3=20,'Seções Compostas'!X132,IF($C$3=25,'Seções Compostas'!M132,IF('Propriedades geométricas LA '!$C$3=30,'Seções Compostas'!B132)))</f>
        <v>63.22</v>
      </c>
      <c r="C135" s="79">
        <f>IF($C$3=20,'Seções Compostas'!Y132,IF($C$3=25,'Seções Compostas'!N132,IF('Propriedades geométricas LA '!$C$3=30,'Seções Compostas'!C132)))</f>
        <v>21.92</v>
      </c>
    </row>
    <row r="136" spans="2:3" x14ac:dyDescent="0.25">
      <c r="B136" s="79">
        <f>IF($C$3=20,'Seções Compostas'!X133,IF($C$3=25,'Seções Compostas'!M133,IF('Propriedades geométricas LA '!$C$3=30,'Seções Compostas'!B133)))</f>
        <v>62.55</v>
      </c>
      <c r="C136" s="79">
        <f>IF($C$3=20,'Seções Compostas'!Y133,IF($C$3=25,'Seções Compostas'!N133,IF('Propriedades geométricas LA '!$C$3=30,'Seções Compostas'!C133)))</f>
        <v>21.99</v>
      </c>
    </row>
    <row r="137" spans="2:3" x14ac:dyDescent="0.25">
      <c r="B137" s="79">
        <f>IF($C$3=20,'Seções Compostas'!X134,IF($C$3=25,'Seções Compostas'!M134,IF('Propriedades geométricas LA '!$C$3=30,'Seções Compostas'!B134)))</f>
        <v>61.95</v>
      </c>
      <c r="C137" s="79">
        <f>IF($C$3=20,'Seções Compostas'!Y134,IF($C$3=25,'Seções Compostas'!N134,IF('Propriedades geométricas LA '!$C$3=30,'Seções Compostas'!C134)))</f>
        <v>21.99</v>
      </c>
    </row>
    <row r="138" spans="2:3" x14ac:dyDescent="0.25">
      <c r="B138" s="79">
        <f>IF($C$3=20,'Seções Compostas'!X135,IF($C$3=25,'Seções Compostas'!M135,IF('Propriedades geométricas LA '!$C$3=30,'Seções Compostas'!B135)))</f>
        <v>61.28</v>
      </c>
      <c r="C138" s="79">
        <f>IF($C$3=20,'Seções Compostas'!Y135,IF($C$3=25,'Seções Compostas'!N135,IF('Propriedades geométricas LA '!$C$3=30,'Seções Compostas'!C135)))</f>
        <v>21.92</v>
      </c>
    </row>
    <row r="139" spans="2:3" x14ac:dyDescent="0.25">
      <c r="B139" s="79">
        <f>IF($C$3=20,'Seções Compostas'!X136,IF($C$3=25,'Seções Compostas'!M136,IF('Propriedades geométricas LA '!$C$3=30,'Seções Compostas'!B136)))</f>
        <v>60.66</v>
      </c>
      <c r="C139" s="79">
        <f>IF($C$3=20,'Seções Compostas'!Y136,IF($C$3=25,'Seções Compostas'!N136,IF('Propriedades geométricas LA '!$C$3=30,'Seções Compostas'!C136)))</f>
        <v>21.79</v>
      </c>
    </row>
    <row r="140" spans="2:3" x14ac:dyDescent="0.25">
      <c r="B140" s="79">
        <f>IF($C$3=20,'Seções Compostas'!X137,IF($C$3=25,'Seções Compostas'!M137,IF('Propriedades geométricas LA '!$C$3=30,'Seções Compostas'!B137)))</f>
        <v>60.069999999999993</v>
      </c>
      <c r="C140" s="79">
        <f>IF($C$3=20,'Seções Compostas'!Y137,IF($C$3=25,'Seções Compostas'!N137,IF('Propriedades geométricas LA '!$C$3=30,'Seções Compostas'!C137)))</f>
        <v>21.61</v>
      </c>
    </row>
    <row r="141" spans="2:3" x14ac:dyDescent="0.25">
      <c r="B141" s="79">
        <f>IF($C$3=20,'Seções Compostas'!X138,IF($C$3=25,'Seções Compostas'!M138,IF('Propriedades geométricas LA '!$C$3=30,'Seções Compostas'!B138)))</f>
        <v>59.349999999999994</v>
      </c>
      <c r="C141" s="79">
        <f>IF($C$3=20,'Seções Compostas'!Y138,IF($C$3=25,'Seções Compostas'!N138,IF('Propriedades geométricas LA '!$C$3=30,'Seções Compostas'!C138)))</f>
        <v>21.29</v>
      </c>
    </row>
    <row r="142" spans="2:3" x14ac:dyDescent="0.25">
      <c r="B142" s="79">
        <f>IF($C$3=20,'Seções Compostas'!X139,IF($C$3=25,'Seções Compostas'!M139,IF('Propriedades geométricas LA '!$C$3=30,'Seções Compostas'!B139)))</f>
        <v>58.7</v>
      </c>
      <c r="C142" s="79">
        <f>IF($C$3=20,'Seções Compostas'!Y139,IF($C$3=25,'Seções Compostas'!N139,IF('Propriedades geométricas LA '!$C$3=30,'Seções Compostas'!C139)))</f>
        <v>20.89</v>
      </c>
    </row>
    <row r="143" spans="2:3" x14ac:dyDescent="0.25">
      <c r="B143" s="79">
        <f>IF($C$3=20,'Seções Compostas'!X140,IF($C$3=25,'Seções Compostas'!M140,IF('Propriedades geométricas LA '!$C$3=30,'Seções Compostas'!B140)))</f>
        <v>58.019999999999996</v>
      </c>
      <c r="C143" s="79">
        <f>IF($C$3=20,'Seções Compostas'!Y140,IF($C$3=25,'Seções Compostas'!N140,IF('Propriedades geométricas LA '!$C$3=30,'Seções Compostas'!C140)))</f>
        <v>20.350000000000001</v>
      </c>
    </row>
    <row r="144" spans="2:3" x14ac:dyDescent="0.25">
      <c r="B144" s="79">
        <f>IF($C$3=20,'Seções Compostas'!X141,IF($C$3=25,'Seções Compostas'!M141,IF('Propriedades geométricas LA '!$C$3=30,'Seções Compostas'!B141)))</f>
        <v>57.379999999999995</v>
      </c>
      <c r="C144" s="79">
        <f>IF($C$3=20,'Seções Compostas'!Y141,IF($C$3=25,'Seções Compostas'!N141,IF('Propriedades geométricas LA '!$C$3=30,'Seções Compostas'!C141)))</f>
        <v>19.66</v>
      </c>
    </row>
    <row r="145" spans="2:3" x14ac:dyDescent="0.25">
      <c r="B145" s="79">
        <f>IF($C$3=20,'Seções Compostas'!X142,IF($C$3=25,'Seções Compostas'!M142,IF('Propriedades geométricas LA '!$C$3=30,'Seções Compostas'!B142)))</f>
        <v>56.819999999999993</v>
      </c>
      <c r="C145" s="79">
        <f>IF($C$3=20,'Seções Compostas'!Y142,IF($C$3=25,'Seções Compostas'!N142,IF('Propriedades geométricas LA '!$C$3=30,'Seções Compostas'!C142)))</f>
        <v>18.84</v>
      </c>
    </row>
    <row r="146" spans="2:3" x14ac:dyDescent="0.25">
      <c r="B146" s="79">
        <f>IF($C$3=20,'Seções Compostas'!X143,IF($C$3=25,'Seções Compostas'!M143,IF('Propriedades geométricas LA '!$C$3=30,'Seções Compostas'!B143)))</f>
        <v>56.33</v>
      </c>
      <c r="C146" s="79">
        <f>IF($C$3=20,'Seções Compostas'!Y143,IF($C$3=25,'Seções Compostas'!N143,IF('Propriedades geométricas LA '!$C$3=30,'Seções Compostas'!C143)))</f>
        <v>17.760000000000002</v>
      </c>
    </row>
    <row r="147" spans="2:3" x14ac:dyDescent="0.25">
      <c r="B147" s="79">
        <f>IF($C$3=20,'Seções Compostas'!X144,IF($C$3=25,'Seções Compostas'!M144,IF('Propriedades geométricas LA '!$C$3=30,'Seções Compostas'!B144)))</f>
        <v>56.069999999999993</v>
      </c>
      <c r="C147" s="79">
        <f>IF($C$3=20,'Seções Compostas'!Y144,IF($C$3=25,'Seções Compostas'!N144,IF('Propriedades geométricas LA '!$C$3=30,'Seções Compostas'!C144)))</f>
        <v>16.66</v>
      </c>
    </row>
    <row r="148" spans="2:3" x14ac:dyDescent="0.25">
      <c r="B148" s="79">
        <f>IF($C$3=20,'Seções Compostas'!X145,IF($C$3=25,'Seções Compostas'!M145,IF('Propriedades geométricas LA '!$C$3=30,'Seções Compostas'!B145)))</f>
        <v>56</v>
      </c>
      <c r="C148" s="79">
        <f>IF($C$3=20,'Seções Compostas'!Y145,IF($C$3=25,'Seções Compostas'!N145,IF('Propriedades geométricas LA '!$C$3=30,'Seções Compostas'!C145)))</f>
        <v>15.75</v>
      </c>
    </row>
    <row r="149" spans="2:3" x14ac:dyDescent="0.25">
      <c r="B149" s="79">
        <f>IF($C$3=20,'Seções Compostas'!X146,IF($C$3=25,'Seções Compostas'!M146,IF('Propriedades geométricas LA '!$C$3=30,'Seções Compostas'!B146)))</f>
        <v>56</v>
      </c>
      <c r="C149" s="79">
        <f>IF($C$3=20,'Seções Compostas'!Y146,IF($C$3=25,'Seções Compostas'!N146,IF('Propriedades geométricas LA '!$C$3=30,'Seções Compostas'!C146)))</f>
        <v>5.8</v>
      </c>
    </row>
    <row r="150" spans="2:3" x14ac:dyDescent="0.25">
      <c r="B150" s="79">
        <f>IF($C$3=20,'Seções Compostas'!X147,IF($C$3=25,'Seções Compostas'!M147,IF('Propriedades geométricas LA '!$C$3=30,'Seções Compostas'!B147)))</f>
        <v>59.150000000000006</v>
      </c>
      <c r="C150" s="79">
        <f>IF($C$3=20,'Seções Compostas'!Y147,IF($C$3=25,'Seções Compostas'!N147,IF('Propriedades geométricas LA '!$C$3=30,'Seções Compostas'!C147)))</f>
        <v>3</v>
      </c>
    </row>
    <row r="151" spans="2:3" x14ac:dyDescent="0.25">
      <c r="B151" s="79">
        <f>IF($C$3=20,'Seções Compostas'!X148,IF($C$3=25,'Seções Compostas'!M148,IF('Propriedades geométricas LA '!$C$3=30,'Seções Compostas'!B148)))</f>
        <v>62.25</v>
      </c>
      <c r="C151" s="79">
        <f>IF($C$3=20,'Seções Compostas'!Y148,IF($C$3=25,'Seções Compostas'!N148,IF('Propriedades geométricas LA '!$C$3=30,'Seções Compostas'!C148)))</f>
        <v>3</v>
      </c>
    </row>
    <row r="152" spans="2:3" x14ac:dyDescent="0.25">
      <c r="B152" s="79">
        <f>IF($C$3=20,'Seções Compostas'!X149,IF($C$3=25,'Seções Compostas'!M149,IF('Propriedades geométricas LA '!$C$3=30,'Seções Compostas'!B149)))</f>
        <v>62.25</v>
      </c>
      <c r="C152" s="79">
        <f>IF($C$3=20,'Seções Compostas'!Y149,IF($C$3=25,'Seções Compostas'!N149,IF('Propriedades geométricas LA '!$C$3=30,'Seções Compostas'!C149)))</f>
        <v>0</v>
      </c>
    </row>
    <row r="153" spans="2:3" x14ac:dyDescent="0.25">
      <c r="B153" s="79">
        <f>IF($C$3=20,'Seções Compostas'!X150,IF($C$3=25,'Seções Compostas'!M150,IF('Propriedades geométricas LA '!$C$3=30,'Seções Compostas'!B150)))</f>
        <v>46.05</v>
      </c>
      <c r="C153" s="79">
        <f>IF($C$3=20,'Seções Compostas'!Y150,IF($C$3=25,'Seções Compostas'!N150,IF('Propriedades geométricas LA '!$C$3=30,'Seções Compostas'!C150)))</f>
        <v>0</v>
      </c>
    </row>
    <row r="154" spans="2:3" x14ac:dyDescent="0.25">
      <c r="B154" s="79">
        <f>IF($C$3=20,'Seções Compostas'!X151,IF($C$3=25,'Seções Compostas'!M151,IF('Propriedades geométricas LA '!$C$3=30,'Seções Compostas'!B151)))</f>
        <v>46.05</v>
      </c>
      <c r="C154" s="79">
        <f>IF($C$3=20,'Seções Compostas'!Y151,IF($C$3=25,'Seções Compostas'!N151,IF('Propriedades geométricas LA '!$C$3=30,'Seções Compostas'!C151)))</f>
        <v>3</v>
      </c>
    </row>
    <row r="155" spans="2:3" x14ac:dyDescent="0.25">
      <c r="B155" s="79">
        <f>IF($C$3=20,'Seções Compostas'!X152,IF($C$3=25,'Seções Compostas'!M152,IF('Propriedades geométricas LA '!$C$3=30,'Seções Compostas'!B152)))</f>
        <v>49.099999999999994</v>
      </c>
      <c r="C155" s="79">
        <f>IF($C$3=20,'Seções Compostas'!Y152,IF($C$3=25,'Seções Compostas'!N152,IF('Propriedades geométricas LA '!$C$3=30,'Seções Compostas'!C152)))</f>
        <v>3</v>
      </c>
    </row>
    <row r="156" spans="2:3" x14ac:dyDescent="0.25">
      <c r="B156" s="79">
        <f>IF($C$3=20,'Seções Compostas'!X153,IF($C$3=25,'Seções Compostas'!M153,IF('Propriedades geométricas LA '!$C$3=30,'Seções Compostas'!B153)))</f>
        <v>52.25</v>
      </c>
      <c r="C156" s="79">
        <f>IF($C$3=20,'Seções Compostas'!Y153,IF($C$3=25,'Seções Compostas'!N153,IF('Propriedades geométricas LA '!$C$3=30,'Seções Compostas'!C153)))</f>
        <v>5.8</v>
      </c>
    </row>
    <row r="157" spans="2:3" x14ac:dyDescent="0.25">
      <c r="B157" s="79">
        <f>IF($C$3=20,'Seções Compostas'!X154,IF($C$3=25,'Seções Compostas'!M154,IF('Propriedades geométricas LA '!$C$3=30,'Seções Compostas'!B154)))</f>
        <v>52.25</v>
      </c>
      <c r="C157" s="79">
        <f>IF($C$3=20,'Seções Compostas'!Y154,IF($C$3=25,'Seções Compostas'!N154,IF('Propriedades geométricas LA '!$C$3=30,'Seções Compostas'!C154)))</f>
        <v>15.75</v>
      </c>
    </row>
    <row r="158" spans="2:3" x14ac:dyDescent="0.25">
      <c r="B158" s="79">
        <f>IF($C$3=20,'Seções Compostas'!X155,IF($C$3=25,'Seções Compostas'!M155,IF('Propriedades geométricas LA '!$C$3=30,'Seções Compostas'!B155)))</f>
        <v>52.180000000000007</v>
      </c>
      <c r="C158" s="79">
        <f>IF($C$3=20,'Seções Compostas'!Y155,IF($C$3=25,'Seções Compostas'!N155,IF('Propriedades geométricas LA '!$C$3=30,'Seções Compostas'!C155)))</f>
        <v>16.66</v>
      </c>
    </row>
    <row r="159" spans="2:3" x14ac:dyDescent="0.25">
      <c r="B159" s="79">
        <f>IF($C$3=20,'Seções Compostas'!X156,IF($C$3=25,'Seções Compostas'!M156,IF('Propriedades geométricas LA '!$C$3=30,'Seções Compostas'!B156)))</f>
        <v>51.92</v>
      </c>
      <c r="C159" s="79">
        <f>IF($C$3=20,'Seções Compostas'!Y156,IF($C$3=25,'Seções Compostas'!N156,IF('Propriedades geométricas LA '!$C$3=30,'Seções Compostas'!C156)))</f>
        <v>17.760000000000002</v>
      </c>
    </row>
    <row r="160" spans="2:3" x14ac:dyDescent="0.25">
      <c r="B160" s="79">
        <f>IF($C$3=20,'Seções Compostas'!X157,IF($C$3=25,'Seções Compostas'!M157,IF('Propriedades geométricas LA '!$C$3=30,'Seções Compostas'!B157)))</f>
        <v>51.430000000000007</v>
      </c>
      <c r="C160" s="79">
        <f>IF($C$3=20,'Seções Compostas'!Y157,IF($C$3=25,'Seções Compostas'!N157,IF('Propriedades geométricas LA '!$C$3=30,'Seções Compostas'!C157)))</f>
        <v>18.84</v>
      </c>
    </row>
    <row r="161" spans="2:3" x14ac:dyDescent="0.25">
      <c r="B161" s="79">
        <f>IF($C$3=20,'Seções Compostas'!X158,IF($C$3=25,'Seções Compostas'!M158,IF('Propriedades geométricas LA '!$C$3=30,'Seções Compostas'!B158)))</f>
        <v>50.870000000000005</v>
      </c>
      <c r="C161" s="79">
        <f>IF($C$3=20,'Seções Compostas'!Y158,IF($C$3=25,'Seções Compostas'!N158,IF('Propriedades geométricas LA '!$C$3=30,'Seções Compostas'!C158)))</f>
        <v>19.66</v>
      </c>
    </row>
    <row r="162" spans="2:3" x14ac:dyDescent="0.25">
      <c r="B162" s="79">
        <f>IF($C$3=20,'Seções Compostas'!X159,IF($C$3=25,'Seções Compostas'!M159,IF('Propriedades geométricas LA '!$C$3=30,'Seções Compostas'!B159)))</f>
        <v>50.230000000000004</v>
      </c>
      <c r="C162" s="79">
        <f>IF($C$3=20,'Seções Compostas'!Y159,IF($C$3=25,'Seções Compostas'!N159,IF('Propriedades geométricas LA '!$C$3=30,'Seções Compostas'!C159)))</f>
        <v>20.350000000000001</v>
      </c>
    </row>
    <row r="163" spans="2:3" x14ac:dyDescent="0.25">
      <c r="B163" s="79">
        <f>IF($C$3=20,'Seções Compostas'!X160,IF($C$3=25,'Seções Compostas'!M160,IF('Propriedades geométricas LA '!$C$3=30,'Seções Compostas'!B160)))</f>
        <v>49.55</v>
      </c>
      <c r="C163" s="79">
        <f>IF($C$3=20,'Seções Compostas'!Y160,IF($C$3=25,'Seções Compostas'!N160,IF('Propriedades geométricas LA '!$C$3=30,'Seções Compostas'!C160)))</f>
        <v>20.89</v>
      </c>
    </row>
    <row r="164" spans="2:3" x14ac:dyDescent="0.25">
      <c r="B164" s="79">
        <f>IF($C$3=20,'Seções Compostas'!X161,IF($C$3=25,'Seções Compostas'!M161,IF('Propriedades geométricas LA '!$C$3=30,'Seções Compostas'!B161)))</f>
        <v>48.900000000000006</v>
      </c>
      <c r="C164" s="79">
        <f>IF($C$3=20,'Seções Compostas'!Y161,IF($C$3=25,'Seções Compostas'!N161,IF('Propriedades geométricas LA '!$C$3=30,'Seções Compostas'!C161)))</f>
        <v>21.29</v>
      </c>
    </row>
    <row r="165" spans="2:3" x14ac:dyDescent="0.25">
      <c r="B165" s="79">
        <f>IF($C$3=20,'Seções Compostas'!X162,IF($C$3=25,'Seções Compostas'!M162,IF('Propriedades geométricas LA '!$C$3=30,'Seções Compostas'!B162)))</f>
        <v>48.180000000000007</v>
      </c>
      <c r="C165" s="79">
        <f>IF($C$3=20,'Seções Compostas'!Y162,IF($C$3=25,'Seções Compostas'!N162,IF('Propriedades geométricas LA '!$C$3=30,'Seções Compostas'!C162)))</f>
        <v>21.61</v>
      </c>
    </row>
    <row r="166" spans="2:3" x14ac:dyDescent="0.25">
      <c r="B166" s="79">
        <f>IF($C$3=20,'Seções Compostas'!X163,IF($C$3=25,'Seções Compostas'!M163,IF('Propriedades geométricas LA '!$C$3=30,'Seções Compostas'!B163)))</f>
        <v>47.59</v>
      </c>
      <c r="C166" s="79">
        <f>IF($C$3=20,'Seções Compostas'!Y163,IF($C$3=25,'Seções Compostas'!N163,IF('Propriedades geométricas LA '!$C$3=30,'Seções Compostas'!C163)))</f>
        <v>21.79</v>
      </c>
    </row>
    <row r="167" spans="2:3" x14ac:dyDescent="0.25">
      <c r="B167" s="79">
        <f>IF($C$3=20,'Seções Compostas'!X164,IF($C$3=25,'Seções Compostas'!M164,IF('Propriedades geométricas LA '!$C$3=30,'Seções Compostas'!B164)))</f>
        <v>46.97</v>
      </c>
      <c r="C167" s="79">
        <f>IF($C$3=20,'Seções Compostas'!Y164,IF($C$3=25,'Seções Compostas'!N164,IF('Propriedades geométricas LA '!$C$3=30,'Seções Compostas'!C164)))</f>
        <v>21.92</v>
      </c>
    </row>
    <row r="168" spans="2:3" x14ac:dyDescent="0.25">
      <c r="B168" s="79">
        <f>IF($C$3=20,'Seções Compostas'!X165,IF($C$3=25,'Seções Compostas'!M165,IF('Propriedades geométricas LA '!$C$3=30,'Seções Compostas'!B165)))</f>
        <v>46.3</v>
      </c>
      <c r="C168" s="79">
        <f>IF($C$3=20,'Seções Compostas'!Y165,IF($C$3=25,'Seções Compostas'!N165,IF('Propriedades geométricas LA '!$C$3=30,'Seções Compostas'!C165)))</f>
        <v>21.99</v>
      </c>
    </row>
    <row r="169" spans="2:3" x14ac:dyDescent="0.25">
      <c r="B169" s="79">
        <f>IF($C$3=20,'Seções Compostas'!X166,IF($C$3=25,'Seções Compostas'!M166,IF('Propriedades geométricas LA '!$C$3=30,'Seções Compostas'!B166)))</f>
        <v>45.7</v>
      </c>
      <c r="C169" s="79">
        <f>IF($C$3=20,'Seções Compostas'!Y166,IF($C$3=25,'Seções Compostas'!N166,IF('Propriedades geométricas LA '!$C$3=30,'Seções Compostas'!C166)))</f>
        <v>21.99</v>
      </c>
    </row>
    <row r="170" spans="2:3" x14ac:dyDescent="0.25">
      <c r="B170" s="79">
        <f>IF($C$3=20,'Seções Compostas'!X167,IF($C$3=25,'Seções Compostas'!M167,IF('Propriedades geométricas LA '!$C$3=30,'Seções Compostas'!B167)))</f>
        <v>45.03</v>
      </c>
      <c r="C170" s="79">
        <f>IF($C$3=20,'Seções Compostas'!Y167,IF($C$3=25,'Seções Compostas'!N167,IF('Propriedades geométricas LA '!$C$3=30,'Seções Compostas'!C167)))</f>
        <v>21.92</v>
      </c>
    </row>
    <row r="171" spans="2:3" x14ac:dyDescent="0.25">
      <c r="B171" s="79">
        <f>IF($C$3=20,'Seções Compostas'!X168,IF($C$3=25,'Seções Compostas'!M168,IF('Propriedades geométricas LA '!$C$3=30,'Seções Compostas'!B168)))</f>
        <v>44.41</v>
      </c>
      <c r="C171" s="79">
        <f>IF($C$3=20,'Seções Compostas'!Y168,IF($C$3=25,'Seções Compostas'!N168,IF('Propriedades geométricas LA '!$C$3=30,'Seções Compostas'!C168)))</f>
        <v>21.79</v>
      </c>
    </row>
    <row r="172" spans="2:3" x14ac:dyDescent="0.25">
      <c r="B172" s="79">
        <f>IF($C$3=20,'Seções Compostas'!X169,IF($C$3=25,'Seções Compostas'!M169,IF('Propriedades geométricas LA '!$C$3=30,'Seções Compostas'!B169)))</f>
        <v>43.819999999999993</v>
      </c>
      <c r="C172" s="79">
        <f>IF($C$3=20,'Seções Compostas'!Y169,IF($C$3=25,'Seções Compostas'!N169,IF('Propriedades geométricas LA '!$C$3=30,'Seções Compostas'!C169)))</f>
        <v>21.61</v>
      </c>
    </row>
    <row r="173" spans="2:3" x14ac:dyDescent="0.25">
      <c r="B173" s="79">
        <f>IF($C$3=20,'Seções Compostas'!X170,IF($C$3=25,'Seções Compostas'!M170,IF('Propriedades geométricas LA '!$C$3=30,'Seções Compostas'!B170)))</f>
        <v>43.099999999999994</v>
      </c>
      <c r="C173" s="79">
        <f>IF($C$3=20,'Seções Compostas'!Y170,IF($C$3=25,'Seções Compostas'!N170,IF('Propriedades geométricas LA '!$C$3=30,'Seções Compostas'!C170)))</f>
        <v>21.29</v>
      </c>
    </row>
    <row r="174" spans="2:3" x14ac:dyDescent="0.25">
      <c r="B174" s="79">
        <f>IF($C$3=20,'Seções Compostas'!X171,IF($C$3=25,'Seções Compostas'!M171,IF('Propriedades geométricas LA '!$C$3=30,'Seções Compostas'!B171)))</f>
        <v>42.45</v>
      </c>
      <c r="C174" s="79">
        <f>IF($C$3=20,'Seções Compostas'!Y171,IF($C$3=25,'Seções Compostas'!N171,IF('Propriedades geométricas LA '!$C$3=30,'Seções Compostas'!C171)))</f>
        <v>20.89</v>
      </c>
    </row>
    <row r="175" spans="2:3" x14ac:dyDescent="0.25">
      <c r="B175" s="79">
        <f>IF($C$3=20,'Seções Compostas'!X172,IF($C$3=25,'Seções Compostas'!M172,IF('Propriedades geométricas LA '!$C$3=30,'Seções Compostas'!B172)))</f>
        <v>41.769999999999996</v>
      </c>
      <c r="C175" s="79">
        <f>IF($C$3=20,'Seções Compostas'!Y172,IF($C$3=25,'Seções Compostas'!N172,IF('Propriedades geométricas LA '!$C$3=30,'Seções Compostas'!C172)))</f>
        <v>20.350000000000001</v>
      </c>
    </row>
    <row r="176" spans="2:3" x14ac:dyDescent="0.25">
      <c r="B176" s="79">
        <f>IF($C$3=20,'Seções Compostas'!X173,IF($C$3=25,'Seções Compostas'!M173,IF('Propriedades geométricas LA '!$C$3=30,'Seções Compostas'!B173)))</f>
        <v>41.129999999999995</v>
      </c>
      <c r="C176" s="79">
        <f>IF($C$3=20,'Seções Compostas'!Y173,IF($C$3=25,'Seções Compostas'!N173,IF('Propriedades geométricas LA '!$C$3=30,'Seções Compostas'!C173)))</f>
        <v>19.66</v>
      </c>
    </row>
    <row r="177" spans="2:3" x14ac:dyDescent="0.25">
      <c r="B177" s="79">
        <f>IF($C$3=20,'Seções Compostas'!X174,IF($C$3=25,'Seções Compostas'!M174,IF('Propriedades geométricas LA '!$C$3=30,'Seções Compostas'!B174)))</f>
        <v>40.569999999999993</v>
      </c>
      <c r="C177" s="79">
        <f>IF($C$3=20,'Seções Compostas'!Y174,IF($C$3=25,'Seções Compostas'!N174,IF('Propriedades geométricas LA '!$C$3=30,'Seções Compostas'!C174)))</f>
        <v>18.84</v>
      </c>
    </row>
    <row r="178" spans="2:3" x14ac:dyDescent="0.25">
      <c r="B178" s="79">
        <f>IF($C$3=20,'Seções Compostas'!X175,IF($C$3=25,'Seções Compostas'!M175,IF('Propriedades geométricas LA '!$C$3=30,'Seções Compostas'!B175)))</f>
        <v>40.08</v>
      </c>
      <c r="C178" s="79">
        <f>IF($C$3=20,'Seções Compostas'!Y175,IF($C$3=25,'Seções Compostas'!N175,IF('Propriedades geométricas LA '!$C$3=30,'Seções Compostas'!C175)))</f>
        <v>17.760000000000002</v>
      </c>
    </row>
    <row r="179" spans="2:3" x14ac:dyDescent="0.25">
      <c r="B179" s="79">
        <f>IF($C$3=20,'Seções Compostas'!X176,IF($C$3=25,'Seções Compostas'!M176,IF('Propriedades geométricas LA '!$C$3=30,'Seções Compostas'!B176)))</f>
        <v>39.819999999999993</v>
      </c>
      <c r="C179" s="79">
        <f>IF($C$3=20,'Seções Compostas'!Y176,IF($C$3=25,'Seções Compostas'!N176,IF('Propriedades geométricas LA '!$C$3=30,'Seções Compostas'!C176)))</f>
        <v>16.66</v>
      </c>
    </row>
    <row r="180" spans="2:3" x14ac:dyDescent="0.25">
      <c r="B180" s="79">
        <f>IF($C$3=20,'Seções Compostas'!X177,IF($C$3=25,'Seções Compostas'!M177,IF('Propriedades geométricas LA '!$C$3=30,'Seções Compostas'!B177)))</f>
        <v>39.75</v>
      </c>
      <c r="C180" s="79">
        <f>IF($C$3=20,'Seções Compostas'!Y177,IF($C$3=25,'Seções Compostas'!N177,IF('Propriedades geométricas LA '!$C$3=30,'Seções Compostas'!C177)))</f>
        <v>15.75</v>
      </c>
    </row>
    <row r="181" spans="2:3" x14ac:dyDescent="0.25">
      <c r="B181" s="79">
        <f>IF($C$3=20,'Seções Compostas'!X178,IF($C$3=25,'Seções Compostas'!M178,IF('Propriedades geométricas LA '!$C$3=30,'Seções Compostas'!B178)))</f>
        <v>39.75</v>
      </c>
      <c r="C181" s="79">
        <f>IF($C$3=20,'Seções Compostas'!Y178,IF($C$3=25,'Seções Compostas'!N178,IF('Propriedades geométricas LA '!$C$3=30,'Seções Compostas'!C178)))</f>
        <v>5.8</v>
      </c>
    </row>
    <row r="182" spans="2:3" x14ac:dyDescent="0.25">
      <c r="B182" s="79">
        <f>IF($C$3=20,'Seções Compostas'!X179,IF($C$3=25,'Seções Compostas'!M179,IF('Propriedades geométricas LA '!$C$3=30,'Seções Compostas'!B179)))</f>
        <v>42.900000000000006</v>
      </c>
      <c r="C182" s="79">
        <f>IF($C$3=20,'Seções Compostas'!Y179,IF($C$3=25,'Seções Compostas'!N179,IF('Propriedades geométricas LA '!$C$3=30,'Seções Compostas'!C179)))</f>
        <v>3</v>
      </c>
    </row>
    <row r="183" spans="2:3" x14ac:dyDescent="0.25">
      <c r="B183" s="79">
        <f>IF($C$3=20,'Seções Compostas'!X180,IF($C$3=25,'Seções Compostas'!M180,IF('Propriedades geométricas LA '!$C$3=30,'Seções Compostas'!B180)))</f>
        <v>46</v>
      </c>
      <c r="C183" s="79">
        <f>IF($C$3=20,'Seções Compostas'!Y180,IF($C$3=25,'Seções Compostas'!N180,IF('Propriedades geométricas LA '!$C$3=30,'Seções Compostas'!C180)))</f>
        <v>3</v>
      </c>
    </row>
    <row r="184" spans="2:3" x14ac:dyDescent="0.25">
      <c r="B184" s="79">
        <f>IF($C$3=20,'Seções Compostas'!X181,IF($C$3=25,'Seções Compostas'!M181,IF('Propriedades geométricas LA '!$C$3=30,'Seções Compostas'!B181)))</f>
        <v>46</v>
      </c>
      <c r="C184" s="79">
        <f>IF($C$3=20,'Seções Compostas'!Y181,IF($C$3=25,'Seções Compostas'!N181,IF('Propriedades geométricas LA '!$C$3=30,'Seções Compostas'!C181)))</f>
        <v>0</v>
      </c>
    </row>
    <row r="185" spans="2:3" x14ac:dyDescent="0.25">
      <c r="B185" s="79">
        <f>IF($C$3=20,'Seções Compostas'!X182,IF($C$3=25,'Seções Compostas'!M182,IF('Propriedades geométricas LA '!$C$3=30,'Seções Compostas'!B182)))</f>
        <v>29.799999999999997</v>
      </c>
      <c r="C185" s="79">
        <f>IF($C$3=20,'Seções Compostas'!Y182,IF($C$3=25,'Seções Compostas'!N182,IF('Propriedades geométricas LA '!$C$3=30,'Seções Compostas'!C182)))</f>
        <v>0</v>
      </c>
    </row>
    <row r="186" spans="2:3" x14ac:dyDescent="0.25">
      <c r="B186" s="79">
        <f>IF($C$3=20,'Seções Compostas'!X183,IF($C$3=25,'Seções Compostas'!M183,IF('Propriedades geométricas LA '!$C$3=30,'Seções Compostas'!B183)))</f>
        <v>29.799999999999997</v>
      </c>
      <c r="C186" s="79">
        <f>IF($C$3=20,'Seções Compostas'!Y183,IF($C$3=25,'Seções Compostas'!N183,IF('Propriedades geométricas LA '!$C$3=30,'Seções Compostas'!C183)))</f>
        <v>3</v>
      </c>
    </row>
    <row r="187" spans="2:3" x14ac:dyDescent="0.25">
      <c r="B187" s="79">
        <f>IF($C$3=20,'Seções Compostas'!X184,IF($C$3=25,'Seções Compostas'!M184,IF('Propriedades geométricas LA '!$C$3=30,'Seções Compostas'!B184)))</f>
        <v>32.849999999999994</v>
      </c>
      <c r="C187" s="79">
        <f>IF($C$3=20,'Seções Compostas'!Y184,IF($C$3=25,'Seções Compostas'!N184,IF('Propriedades geométricas LA '!$C$3=30,'Seções Compostas'!C184)))</f>
        <v>3</v>
      </c>
    </row>
    <row r="188" spans="2:3" x14ac:dyDescent="0.25">
      <c r="B188" s="79">
        <f>IF($C$3=20,'Seções Compostas'!X185,IF($C$3=25,'Seções Compostas'!M185,IF('Propriedades geométricas LA '!$C$3=30,'Seções Compostas'!B185)))</f>
        <v>36</v>
      </c>
      <c r="C188" s="79">
        <f>IF($C$3=20,'Seções Compostas'!Y185,IF($C$3=25,'Seções Compostas'!N185,IF('Propriedades geométricas LA '!$C$3=30,'Seções Compostas'!C185)))</f>
        <v>5.8</v>
      </c>
    </row>
    <row r="189" spans="2:3" x14ac:dyDescent="0.25">
      <c r="B189" s="79">
        <f>IF($C$3=20,'Seções Compostas'!X186,IF($C$3=25,'Seções Compostas'!M186,IF('Propriedades geométricas LA '!$C$3=30,'Seções Compostas'!B186)))</f>
        <v>36</v>
      </c>
      <c r="C189" s="79">
        <f>IF($C$3=20,'Seções Compostas'!Y186,IF($C$3=25,'Seções Compostas'!N186,IF('Propriedades geométricas LA '!$C$3=30,'Seções Compostas'!C186)))</f>
        <v>15.75</v>
      </c>
    </row>
    <row r="190" spans="2:3" x14ac:dyDescent="0.25">
      <c r="B190" s="79">
        <f>IF($C$3=20,'Seções Compostas'!X187,IF($C$3=25,'Seções Compostas'!M187,IF('Propriedades geométricas LA '!$C$3=30,'Seções Compostas'!B187)))</f>
        <v>35.930000000000007</v>
      </c>
      <c r="C190" s="79">
        <f>IF($C$3=20,'Seções Compostas'!Y187,IF($C$3=25,'Seções Compostas'!N187,IF('Propriedades geométricas LA '!$C$3=30,'Seções Compostas'!C187)))</f>
        <v>16.66</v>
      </c>
    </row>
    <row r="191" spans="2:3" x14ac:dyDescent="0.25">
      <c r="B191" s="79">
        <f>IF($C$3=20,'Seções Compostas'!X188,IF($C$3=25,'Seções Compostas'!M188,IF('Propriedades geométricas LA '!$C$3=30,'Seções Compostas'!B188)))</f>
        <v>35.67</v>
      </c>
      <c r="C191" s="79">
        <f>IF($C$3=20,'Seções Compostas'!Y188,IF($C$3=25,'Seções Compostas'!N188,IF('Propriedades geométricas LA '!$C$3=30,'Seções Compostas'!C188)))</f>
        <v>17.760000000000002</v>
      </c>
    </row>
    <row r="192" spans="2:3" x14ac:dyDescent="0.25">
      <c r="B192" s="79">
        <f>IF($C$3=20,'Seções Compostas'!X189,IF($C$3=25,'Seções Compostas'!M189,IF('Propriedades geométricas LA '!$C$3=30,'Seções Compostas'!B189)))</f>
        <v>35.180000000000007</v>
      </c>
      <c r="C192" s="79">
        <f>IF($C$3=20,'Seções Compostas'!Y189,IF($C$3=25,'Seções Compostas'!N189,IF('Propriedades geométricas LA '!$C$3=30,'Seções Compostas'!C189)))</f>
        <v>18.84</v>
      </c>
    </row>
    <row r="193" spans="2:3" x14ac:dyDescent="0.25">
      <c r="B193" s="79">
        <f>IF($C$3=20,'Seções Compostas'!X190,IF($C$3=25,'Seções Compostas'!M190,IF('Propriedades geométricas LA '!$C$3=30,'Seções Compostas'!B190)))</f>
        <v>34.620000000000005</v>
      </c>
      <c r="C193" s="79">
        <f>IF($C$3=20,'Seções Compostas'!Y190,IF($C$3=25,'Seções Compostas'!N190,IF('Propriedades geométricas LA '!$C$3=30,'Seções Compostas'!C190)))</f>
        <v>19.66</v>
      </c>
    </row>
    <row r="194" spans="2:3" x14ac:dyDescent="0.25">
      <c r="B194" s="79">
        <f>IF($C$3=20,'Seções Compostas'!X191,IF($C$3=25,'Seções Compostas'!M191,IF('Propriedades geométricas LA '!$C$3=30,'Seções Compostas'!B191)))</f>
        <v>33.980000000000004</v>
      </c>
      <c r="C194" s="79">
        <f>IF($C$3=20,'Seções Compostas'!Y191,IF($C$3=25,'Seções Compostas'!N191,IF('Propriedades geométricas LA '!$C$3=30,'Seções Compostas'!C191)))</f>
        <v>20.350000000000001</v>
      </c>
    </row>
    <row r="195" spans="2:3" x14ac:dyDescent="0.25">
      <c r="B195" s="79">
        <f>IF($C$3=20,'Seções Compostas'!X192,IF($C$3=25,'Seções Compostas'!M192,IF('Propriedades geométricas LA '!$C$3=30,'Seções Compostas'!B192)))</f>
        <v>33.299999999999997</v>
      </c>
      <c r="C195" s="79">
        <f>IF($C$3=20,'Seções Compostas'!Y192,IF($C$3=25,'Seções Compostas'!N192,IF('Propriedades geométricas LA '!$C$3=30,'Seções Compostas'!C192)))</f>
        <v>20.89</v>
      </c>
    </row>
    <row r="196" spans="2:3" x14ac:dyDescent="0.25">
      <c r="B196" s="79">
        <f>IF($C$3=20,'Seções Compostas'!X193,IF($C$3=25,'Seções Compostas'!M193,IF('Propriedades geométricas LA '!$C$3=30,'Seções Compostas'!B193)))</f>
        <v>32.650000000000006</v>
      </c>
      <c r="C196" s="79">
        <f>IF($C$3=20,'Seções Compostas'!Y193,IF($C$3=25,'Seções Compostas'!N193,IF('Propriedades geométricas LA '!$C$3=30,'Seções Compostas'!C193)))</f>
        <v>21.29</v>
      </c>
    </row>
    <row r="197" spans="2:3" x14ac:dyDescent="0.25">
      <c r="B197" s="79">
        <f>IF($C$3=20,'Seções Compostas'!X194,IF($C$3=25,'Seções Compostas'!M194,IF('Propriedades geométricas LA '!$C$3=30,'Seções Compostas'!B194)))</f>
        <v>31.930000000000007</v>
      </c>
      <c r="C197" s="79">
        <f>IF($C$3=20,'Seções Compostas'!Y194,IF($C$3=25,'Seções Compostas'!N194,IF('Propriedades geométricas LA '!$C$3=30,'Seções Compostas'!C194)))</f>
        <v>21.61</v>
      </c>
    </row>
    <row r="198" spans="2:3" x14ac:dyDescent="0.25">
      <c r="B198" s="79">
        <f>IF($C$3=20,'Seções Compostas'!X195,IF($C$3=25,'Seções Compostas'!M195,IF('Propriedades geométricas LA '!$C$3=30,'Seções Compostas'!B195)))</f>
        <v>31.340000000000003</v>
      </c>
      <c r="C198" s="79">
        <f>IF($C$3=20,'Seções Compostas'!Y195,IF($C$3=25,'Seções Compostas'!N195,IF('Propriedades geométricas LA '!$C$3=30,'Seções Compostas'!C195)))</f>
        <v>21.79</v>
      </c>
    </row>
    <row r="199" spans="2:3" x14ac:dyDescent="0.25">
      <c r="B199" s="79">
        <f>IF($C$3=20,'Seções Compostas'!X196,IF($C$3=25,'Seções Compostas'!M196,IF('Propriedades geométricas LA '!$C$3=30,'Seções Compostas'!B196)))</f>
        <v>30.72</v>
      </c>
      <c r="C199" s="79">
        <f>IF($C$3=20,'Seções Compostas'!Y196,IF($C$3=25,'Seções Compostas'!N196,IF('Propriedades geométricas LA '!$C$3=30,'Seções Compostas'!C196)))</f>
        <v>21.92</v>
      </c>
    </row>
    <row r="200" spans="2:3" x14ac:dyDescent="0.25">
      <c r="B200" s="79">
        <f>IF($C$3=20,'Seções Compostas'!X197,IF($C$3=25,'Seções Compostas'!M197,IF('Propriedades geométricas LA '!$C$3=30,'Seções Compostas'!B197)))</f>
        <v>30.049999999999997</v>
      </c>
      <c r="C200" s="79">
        <f>IF($C$3=20,'Seções Compostas'!Y197,IF($C$3=25,'Seções Compostas'!N197,IF('Propriedades geométricas LA '!$C$3=30,'Seções Compostas'!C197)))</f>
        <v>21.99</v>
      </c>
    </row>
    <row r="201" spans="2:3" x14ac:dyDescent="0.25">
      <c r="B201" s="79">
        <f>IF($C$3=20,'Seções Compostas'!X198,IF($C$3=25,'Seções Compostas'!M198,IF('Propriedades geométricas LA '!$C$3=30,'Seções Compostas'!B198)))</f>
        <v>29.450000000000003</v>
      </c>
      <c r="C201" s="79">
        <f>IF($C$3=20,'Seções Compostas'!Y198,IF($C$3=25,'Seções Compostas'!N198,IF('Propriedades geométricas LA '!$C$3=30,'Seções Compostas'!C198)))</f>
        <v>21.99</v>
      </c>
    </row>
    <row r="202" spans="2:3" x14ac:dyDescent="0.25">
      <c r="B202" s="79">
        <f>IF($C$3=20,'Seções Compostas'!X199,IF($C$3=25,'Seções Compostas'!M199,IF('Propriedades geométricas LA '!$C$3=30,'Seções Compostas'!B199)))</f>
        <v>28.78</v>
      </c>
      <c r="C202" s="79">
        <f>IF($C$3=20,'Seções Compostas'!Y199,IF($C$3=25,'Seções Compostas'!N199,IF('Propriedades geométricas LA '!$C$3=30,'Seções Compostas'!C199)))</f>
        <v>21.92</v>
      </c>
    </row>
    <row r="203" spans="2:3" x14ac:dyDescent="0.25">
      <c r="B203" s="79">
        <f>IF($C$3=20,'Seções Compostas'!X200,IF($C$3=25,'Seções Compostas'!M200,IF('Propriedades geométricas LA '!$C$3=30,'Seções Compostas'!B200)))</f>
        <v>28.159999999999997</v>
      </c>
      <c r="C203" s="79">
        <f>IF($C$3=20,'Seções Compostas'!Y200,IF($C$3=25,'Seções Compostas'!N200,IF('Propriedades geométricas LA '!$C$3=30,'Seções Compostas'!C200)))</f>
        <v>21.79</v>
      </c>
    </row>
    <row r="204" spans="2:3" x14ac:dyDescent="0.25">
      <c r="B204" s="79">
        <f>IF($C$3=20,'Seções Compostas'!X201,IF($C$3=25,'Seções Compostas'!M201,IF('Propriedades geométricas LA '!$C$3=30,'Seções Compostas'!B201)))</f>
        <v>27.569999999999993</v>
      </c>
      <c r="C204" s="79">
        <f>IF($C$3=20,'Seções Compostas'!Y201,IF($C$3=25,'Seções Compostas'!N201,IF('Propriedades geométricas LA '!$C$3=30,'Seções Compostas'!C201)))</f>
        <v>21.61</v>
      </c>
    </row>
    <row r="205" spans="2:3" x14ac:dyDescent="0.25">
      <c r="B205" s="79">
        <f>IF($C$3=20,'Seções Compostas'!X202,IF($C$3=25,'Seções Compostas'!M202,IF('Propriedades geométricas LA '!$C$3=30,'Seções Compostas'!B202)))</f>
        <v>26.849999999999994</v>
      </c>
      <c r="C205" s="79">
        <f>IF($C$3=20,'Seções Compostas'!Y202,IF($C$3=25,'Seções Compostas'!N202,IF('Propriedades geométricas LA '!$C$3=30,'Seções Compostas'!C202)))</f>
        <v>21.29</v>
      </c>
    </row>
    <row r="206" spans="2:3" x14ac:dyDescent="0.25">
      <c r="B206" s="79">
        <f>IF($C$3=20,'Seções Compostas'!X203,IF($C$3=25,'Seções Compostas'!M203,IF('Propriedades geométricas LA '!$C$3=30,'Seções Compostas'!B203)))</f>
        <v>26.200000000000003</v>
      </c>
      <c r="C206" s="79">
        <f>IF($C$3=20,'Seções Compostas'!Y203,IF($C$3=25,'Seções Compostas'!N203,IF('Propriedades geométricas LA '!$C$3=30,'Seções Compostas'!C203)))</f>
        <v>20.89</v>
      </c>
    </row>
    <row r="207" spans="2:3" x14ac:dyDescent="0.25">
      <c r="B207" s="79">
        <f>IF($C$3=20,'Seções Compostas'!X204,IF($C$3=25,'Seções Compostas'!M204,IF('Propriedades geométricas LA '!$C$3=30,'Seções Compostas'!B204)))</f>
        <v>25.519999999999996</v>
      </c>
      <c r="C207" s="79">
        <f>IF($C$3=20,'Seções Compostas'!Y204,IF($C$3=25,'Seções Compostas'!N204,IF('Propriedades geométricas LA '!$C$3=30,'Seções Compostas'!C204)))</f>
        <v>20.350000000000001</v>
      </c>
    </row>
    <row r="208" spans="2:3" x14ac:dyDescent="0.25">
      <c r="B208" s="79">
        <f>IF($C$3=20,'Seções Compostas'!X205,IF($C$3=25,'Seções Compostas'!M205,IF('Propriedades geométricas LA '!$C$3=30,'Seções Compostas'!B205)))</f>
        <v>24.879999999999995</v>
      </c>
      <c r="C208" s="79">
        <f>IF($C$3=20,'Seções Compostas'!Y205,IF($C$3=25,'Seções Compostas'!N205,IF('Propriedades geométricas LA '!$C$3=30,'Seções Compostas'!C205)))</f>
        <v>19.66</v>
      </c>
    </row>
    <row r="209" spans="2:3" x14ac:dyDescent="0.25">
      <c r="B209" s="79">
        <f>IF($C$3=20,'Seções Compostas'!X206,IF($C$3=25,'Seções Compostas'!M206,IF('Propriedades geométricas LA '!$C$3=30,'Seções Compostas'!B206)))</f>
        <v>24.319999999999993</v>
      </c>
      <c r="C209" s="79">
        <f>IF($C$3=20,'Seções Compostas'!Y206,IF($C$3=25,'Seções Compostas'!N206,IF('Propriedades geométricas LA '!$C$3=30,'Seções Compostas'!C206)))</f>
        <v>18.84</v>
      </c>
    </row>
    <row r="210" spans="2:3" x14ac:dyDescent="0.25">
      <c r="B210" s="79">
        <f>IF($C$3=20,'Seções Compostas'!X207,IF($C$3=25,'Seções Compostas'!M207,IF('Propriedades geométricas LA '!$C$3=30,'Seções Compostas'!B207)))</f>
        <v>23.83</v>
      </c>
      <c r="C210" s="79">
        <f>IF($C$3=20,'Seções Compostas'!Y207,IF($C$3=25,'Seções Compostas'!N207,IF('Propriedades geométricas LA '!$C$3=30,'Seções Compostas'!C207)))</f>
        <v>17.760000000000002</v>
      </c>
    </row>
    <row r="211" spans="2:3" x14ac:dyDescent="0.25">
      <c r="B211" s="79">
        <f>IF($C$3=20,'Seções Compostas'!X208,IF($C$3=25,'Seções Compostas'!M208,IF('Propriedades geométricas LA '!$C$3=30,'Seções Compostas'!B208)))</f>
        <v>23.569999999999993</v>
      </c>
      <c r="C211" s="79">
        <f>IF($C$3=20,'Seções Compostas'!Y208,IF($C$3=25,'Seções Compostas'!N208,IF('Propriedades geométricas LA '!$C$3=30,'Seções Compostas'!C208)))</f>
        <v>16.66</v>
      </c>
    </row>
    <row r="212" spans="2:3" x14ac:dyDescent="0.25">
      <c r="B212" s="79">
        <f>IF($C$3=20,'Seções Compostas'!X209,IF($C$3=25,'Seções Compostas'!M209,IF('Propriedades geométricas LA '!$C$3=30,'Seções Compostas'!B209)))</f>
        <v>23.5</v>
      </c>
      <c r="C212" s="79">
        <f>IF($C$3=20,'Seções Compostas'!Y209,IF($C$3=25,'Seções Compostas'!N209,IF('Propriedades geométricas LA '!$C$3=30,'Seções Compostas'!C209)))</f>
        <v>15.75</v>
      </c>
    </row>
    <row r="213" spans="2:3" x14ac:dyDescent="0.25">
      <c r="B213" s="79">
        <f>IF($C$3=20,'Seções Compostas'!X210,IF($C$3=25,'Seções Compostas'!M210,IF('Propriedades geométricas LA '!$C$3=30,'Seções Compostas'!B210)))</f>
        <v>23.5</v>
      </c>
      <c r="C213" s="79">
        <f>IF($C$3=20,'Seções Compostas'!Y210,IF($C$3=25,'Seções Compostas'!N210,IF('Propriedades geométricas LA '!$C$3=30,'Seções Compostas'!C210)))</f>
        <v>5.8</v>
      </c>
    </row>
    <row r="214" spans="2:3" x14ac:dyDescent="0.25">
      <c r="B214" s="79">
        <f>IF($C$3=20,'Seções Compostas'!X211,IF($C$3=25,'Seções Compostas'!M211,IF('Propriedades geométricas LA '!$C$3=30,'Seções Compostas'!B211)))</f>
        <v>26.650000000000006</v>
      </c>
      <c r="C214" s="79">
        <f>IF($C$3=20,'Seções Compostas'!Y211,IF($C$3=25,'Seções Compostas'!N211,IF('Propriedades geométricas LA '!$C$3=30,'Seções Compostas'!C211)))</f>
        <v>3</v>
      </c>
    </row>
    <row r="215" spans="2:3" x14ac:dyDescent="0.25">
      <c r="B215" s="79">
        <f>IF($C$3=20,'Seções Compostas'!X212,IF($C$3=25,'Seções Compostas'!M212,IF('Propriedades geométricas LA '!$C$3=30,'Seções Compostas'!B212)))</f>
        <v>29.75</v>
      </c>
      <c r="C215" s="79">
        <f>IF($C$3=20,'Seções Compostas'!Y212,IF($C$3=25,'Seções Compostas'!N212,IF('Propriedades geométricas LA '!$C$3=30,'Seções Compostas'!C212)))</f>
        <v>3</v>
      </c>
    </row>
    <row r="216" spans="2:3" x14ac:dyDescent="0.25">
      <c r="B216" s="79">
        <f>IF($C$3=20,'Seções Compostas'!X213,IF($C$3=25,'Seções Compostas'!M213,IF('Propriedades geométricas LA '!$C$3=30,'Seções Compostas'!B213)))</f>
        <v>29.75</v>
      </c>
      <c r="C216" s="79">
        <f>IF($C$3=20,'Seções Compostas'!Y213,IF($C$3=25,'Seções Compostas'!N213,IF('Propriedades geométricas LA '!$C$3=30,'Seções Compostas'!C213)))</f>
        <v>0</v>
      </c>
    </row>
    <row r="217" spans="2:3" x14ac:dyDescent="0.25">
      <c r="B217" s="79">
        <f>IF($C$3=20,'Seções Compostas'!X214,IF($C$3=25,'Seções Compostas'!M214,IF('Propriedades geométricas LA '!$C$3=30,'Seções Compostas'!B214)))</f>
        <v>13.549999999999997</v>
      </c>
      <c r="C217" s="79">
        <f>IF($C$3=20,'Seções Compostas'!Y214,IF($C$3=25,'Seções Compostas'!N214,IF('Propriedades geométricas LA '!$C$3=30,'Seções Compostas'!C214)))</f>
        <v>0</v>
      </c>
    </row>
    <row r="218" spans="2:3" x14ac:dyDescent="0.25">
      <c r="B218" s="79">
        <f>IF($C$3=20,'Seções Compostas'!X215,IF($C$3=25,'Seções Compostas'!M215,IF('Propriedades geométricas LA '!$C$3=30,'Seções Compostas'!B215)))</f>
        <v>13.549999999999997</v>
      </c>
      <c r="C218" s="79">
        <f>IF($C$3=20,'Seções Compostas'!Y215,IF($C$3=25,'Seções Compostas'!N215,IF('Propriedades geométricas LA '!$C$3=30,'Seções Compostas'!C215)))</f>
        <v>3</v>
      </c>
    </row>
    <row r="219" spans="2:3" x14ac:dyDescent="0.25">
      <c r="B219" s="79">
        <f>IF($C$3=20,'Seções Compostas'!X216,IF($C$3=25,'Seções Compostas'!M216,IF('Propriedades geométricas LA '!$C$3=30,'Seções Compostas'!B216)))</f>
        <v>16.599999999999994</v>
      </c>
      <c r="C219" s="79">
        <f>IF($C$3=20,'Seções Compostas'!Y216,IF($C$3=25,'Seções Compostas'!N216,IF('Propriedades geométricas LA '!$C$3=30,'Seções Compostas'!C216)))</f>
        <v>3</v>
      </c>
    </row>
    <row r="220" spans="2:3" x14ac:dyDescent="0.25">
      <c r="B220" s="79">
        <f>IF($C$3=20,'Seções Compostas'!X217,IF($C$3=25,'Seções Compostas'!M217,IF('Propriedades geométricas LA '!$C$3=30,'Seções Compostas'!B217)))</f>
        <v>19.75</v>
      </c>
      <c r="C220" s="79">
        <f>IF($C$3=20,'Seções Compostas'!Y217,IF($C$3=25,'Seções Compostas'!N217,IF('Propriedades geométricas LA '!$C$3=30,'Seções Compostas'!C217)))</f>
        <v>5.8</v>
      </c>
    </row>
    <row r="221" spans="2:3" x14ac:dyDescent="0.25">
      <c r="B221" s="79">
        <f>IF($C$3=20,'Seções Compostas'!X218,IF($C$3=25,'Seções Compostas'!M218,IF('Propriedades geométricas LA '!$C$3=30,'Seções Compostas'!B218)))</f>
        <v>19.75</v>
      </c>
      <c r="C221" s="79">
        <f>IF($C$3=20,'Seções Compostas'!Y218,IF($C$3=25,'Seções Compostas'!N218,IF('Propriedades geométricas LA '!$C$3=30,'Seções Compostas'!C218)))</f>
        <v>15.75</v>
      </c>
    </row>
    <row r="222" spans="2:3" x14ac:dyDescent="0.25">
      <c r="B222" s="79">
        <f>IF($C$3=20,'Seções Compostas'!X219,IF($C$3=25,'Seções Compostas'!M219,IF('Propriedades geométricas LA '!$C$3=30,'Seções Compostas'!B219)))</f>
        <v>19.680000000000007</v>
      </c>
      <c r="C222" s="79">
        <f>IF($C$3=20,'Seções Compostas'!Y219,IF($C$3=25,'Seções Compostas'!N219,IF('Propriedades geométricas LA '!$C$3=30,'Seções Compostas'!C219)))</f>
        <v>16.66</v>
      </c>
    </row>
    <row r="223" spans="2:3" x14ac:dyDescent="0.25">
      <c r="B223" s="79">
        <f>IF($C$3=20,'Seções Compostas'!X220,IF($C$3=25,'Seções Compostas'!M220,IF('Propriedades geométricas LA '!$C$3=30,'Seções Compostas'!B220)))</f>
        <v>19.420000000000002</v>
      </c>
      <c r="C223" s="79">
        <f>IF($C$3=20,'Seções Compostas'!Y220,IF($C$3=25,'Seções Compostas'!N220,IF('Propriedades geométricas LA '!$C$3=30,'Seções Compostas'!C220)))</f>
        <v>17.760000000000002</v>
      </c>
    </row>
    <row r="224" spans="2:3" x14ac:dyDescent="0.25">
      <c r="B224" s="79">
        <f>IF($C$3=20,'Seções Compostas'!X221,IF($C$3=25,'Seções Compostas'!M221,IF('Propriedades geométricas LA '!$C$3=30,'Seções Compostas'!B221)))</f>
        <v>18.930000000000007</v>
      </c>
      <c r="C224" s="79">
        <f>IF($C$3=20,'Seções Compostas'!Y221,IF($C$3=25,'Seções Compostas'!N221,IF('Propriedades geométricas LA '!$C$3=30,'Seções Compostas'!C221)))</f>
        <v>18.84</v>
      </c>
    </row>
    <row r="225" spans="2:3" x14ac:dyDescent="0.25">
      <c r="B225" s="79">
        <f>IF($C$3=20,'Seções Compostas'!X222,IF($C$3=25,'Seções Compostas'!M222,IF('Propriedades geométricas LA '!$C$3=30,'Seções Compostas'!B222)))</f>
        <v>18.370000000000005</v>
      </c>
      <c r="C225" s="79">
        <f>IF($C$3=20,'Seções Compostas'!Y222,IF($C$3=25,'Seções Compostas'!N222,IF('Propriedades geométricas LA '!$C$3=30,'Seções Compostas'!C222)))</f>
        <v>19.66</v>
      </c>
    </row>
    <row r="226" spans="2:3" x14ac:dyDescent="0.25">
      <c r="B226" s="79">
        <f>IF($C$3=20,'Seções Compostas'!X223,IF($C$3=25,'Seções Compostas'!M223,IF('Propriedades geométricas LA '!$C$3=30,'Seções Compostas'!B223)))</f>
        <v>17.730000000000004</v>
      </c>
      <c r="C226" s="79">
        <f>IF($C$3=20,'Seções Compostas'!Y223,IF($C$3=25,'Seções Compostas'!N223,IF('Propriedades geométricas LA '!$C$3=30,'Seções Compostas'!C223)))</f>
        <v>20.350000000000001</v>
      </c>
    </row>
    <row r="227" spans="2:3" x14ac:dyDescent="0.25">
      <c r="B227" s="79">
        <f>IF($C$3=20,'Seções Compostas'!X224,IF($C$3=25,'Seções Compostas'!M224,IF('Propriedades geométricas LA '!$C$3=30,'Seções Compostas'!B224)))</f>
        <v>17.049999999999997</v>
      </c>
      <c r="C227" s="79">
        <f>IF($C$3=20,'Seções Compostas'!Y224,IF($C$3=25,'Seções Compostas'!N224,IF('Propriedades geométricas LA '!$C$3=30,'Seções Compostas'!C224)))</f>
        <v>20.89</v>
      </c>
    </row>
    <row r="228" spans="2:3" x14ac:dyDescent="0.25">
      <c r="B228" s="79">
        <f>IF($C$3=20,'Seções Compostas'!X225,IF($C$3=25,'Seções Compostas'!M225,IF('Propriedades geométricas LA '!$C$3=30,'Seções Compostas'!B225)))</f>
        <v>16.400000000000006</v>
      </c>
      <c r="C228" s="79">
        <f>IF($C$3=20,'Seções Compostas'!Y225,IF($C$3=25,'Seções Compostas'!N225,IF('Propriedades geométricas LA '!$C$3=30,'Seções Compostas'!C225)))</f>
        <v>21.29</v>
      </c>
    </row>
    <row r="229" spans="2:3" x14ac:dyDescent="0.25">
      <c r="B229" s="79">
        <f>IF($C$3=20,'Seções Compostas'!X226,IF($C$3=25,'Seções Compostas'!M226,IF('Propriedades geométricas LA '!$C$3=30,'Seções Compostas'!B226)))</f>
        <v>15.680000000000007</v>
      </c>
      <c r="C229" s="79">
        <f>IF($C$3=20,'Seções Compostas'!Y226,IF($C$3=25,'Seções Compostas'!N226,IF('Propriedades geométricas LA '!$C$3=30,'Seções Compostas'!C226)))</f>
        <v>21.61</v>
      </c>
    </row>
    <row r="230" spans="2:3" x14ac:dyDescent="0.25">
      <c r="B230" s="79">
        <f>IF($C$3=20,'Seções Compostas'!X227,IF($C$3=25,'Seções Compostas'!M227,IF('Propriedades geométricas LA '!$C$3=30,'Seções Compostas'!B227)))</f>
        <v>15.090000000000003</v>
      </c>
      <c r="C230" s="79">
        <f>IF($C$3=20,'Seções Compostas'!Y227,IF($C$3=25,'Seções Compostas'!N227,IF('Propriedades geométricas LA '!$C$3=30,'Seções Compostas'!C227)))</f>
        <v>21.79</v>
      </c>
    </row>
    <row r="231" spans="2:3" x14ac:dyDescent="0.25">
      <c r="B231" s="79">
        <f>IF($C$3=20,'Seções Compostas'!X228,IF($C$3=25,'Seções Compostas'!M228,IF('Propriedades geométricas LA '!$C$3=30,'Seções Compostas'!B228)))</f>
        <v>14.469999999999999</v>
      </c>
      <c r="C231" s="79">
        <f>IF($C$3=20,'Seções Compostas'!Y228,IF($C$3=25,'Seções Compostas'!N228,IF('Propriedades geométricas LA '!$C$3=30,'Seções Compostas'!C228)))</f>
        <v>21.92</v>
      </c>
    </row>
    <row r="232" spans="2:3" x14ac:dyDescent="0.25">
      <c r="B232" s="79">
        <f>IF($C$3=20,'Seções Compostas'!X229,IF($C$3=25,'Seções Compostas'!M229,IF('Propriedades geométricas LA '!$C$3=30,'Seções Compostas'!B229)))</f>
        <v>13.799999999999997</v>
      </c>
      <c r="C232" s="79">
        <f>IF($C$3=20,'Seções Compostas'!Y229,IF($C$3=25,'Seções Compostas'!N229,IF('Propriedades geométricas LA '!$C$3=30,'Seções Compostas'!C229)))</f>
        <v>21.99</v>
      </c>
    </row>
    <row r="233" spans="2:3" x14ac:dyDescent="0.25">
      <c r="B233" s="79">
        <f>IF($C$3=20,'Seções Compostas'!X230,IF($C$3=25,'Seções Compostas'!M230,IF('Propriedades geométricas LA '!$C$3=30,'Seções Compostas'!B230)))</f>
        <v>13.200000000000003</v>
      </c>
      <c r="C233" s="79">
        <f>IF($C$3=20,'Seções Compostas'!Y230,IF($C$3=25,'Seções Compostas'!N230,IF('Propriedades geométricas LA '!$C$3=30,'Seções Compostas'!C230)))</f>
        <v>21.99</v>
      </c>
    </row>
    <row r="234" spans="2:3" x14ac:dyDescent="0.25">
      <c r="B234" s="79">
        <f>IF($C$3=20,'Seções Compostas'!X231,IF($C$3=25,'Seções Compostas'!M231,IF('Propriedades geométricas LA '!$C$3=30,'Seções Compostas'!B231)))</f>
        <v>12.530000000000001</v>
      </c>
      <c r="C234" s="79">
        <f>IF($C$3=20,'Seções Compostas'!Y231,IF($C$3=25,'Seções Compostas'!N231,IF('Propriedades geométricas LA '!$C$3=30,'Seções Compostas'!C231)))</f>
        <v>21.92</v>
      </c>
    </row>
    <row r="235" spans="2:3" x14ac:dyDescent="0.25">
      <c r="B235" s="79">
        <f>IF($C$3=20,'Seções Compostas'!X232,IF($C$3=25,'Seções Compostas'!M232,IF('Propriedades geométricas LA '!$C$3=30,'Seções Compostas'!B232)))</f>
        <v>11.909999999999997</v>
      </c>
      <c r="C235" s="79">
        <f>IF($C$3=20,'Seções Compostas'!Y232,IF($C$3=25,'Seções Compostas'!N232,IF('Propriedades geométricas LA '!$C$3=30,'Seções Compostas'!C232)))</f>
        <v>21.79</v>
      </c>
    </row>
    <row r="236" spans="2:3" x14ac:dyDescent="0.25">
      <c r="B236" s="79">
        <f>IF($C$3=20,'Seções Compostas'!X233,IF($C$3=25,'Seções Compostas'!M233,IF('Propriedades geométricas LA '!$C$3=30,'Seções Compostas'!B233)))</f>
        <v>11.319999999999993</v>
      </c>
      <c r="C236" s="79">
        <f>IF($C$3=20,'Seções Compostas'!Y233,IF($C$3=25,'Seções Compostas'!N233,IF('Propriedades geométricas LA '!$C$3=30,'Seções Compostas'!C233)))</f>
        <v>21.61</v>
      </c>
    </row>
    <row r="237" spans="2:3" x14ac:dyDescent="0.25">
      <c r="B237" s="79">
        <f>IF($C$3=20,'Seções Compostas'!X234,IF($C$3=25,'Seções Compostas'!M234,IF('Propriedades geométricas LA '!$C$3=30,'Seções Compostas'!B234)))</f>
        <v>10.599999999999994</v>
      </c>
      <c r="C237" s="79">
        <f>IF($C$3=20,'Seções Compostas'!Y234,IF($C$3=25,'Seções Compostas'!N234,IF('Propriedades geométricas LA '!$C$3=30,'Seções Compostas'!C234)))</f>
        <v>21.29</v>
      </c>
    </row>
    <row r="238" spans="2:3" x14ac:dyDescent="0.25">
      <c r="B238" s="79">
        <f>IF($C$3=20,'Seções Compostas'!X235,IF($C$3=25,'Seções Compostas'!M235,IF('Propriedades geométricas LA '!$C$3=30,'Seções Compostas'!B235)))</f>
        <v>9.9500000000000028</v>
      </c>
      <c r="C238" s="79">
        <f>IF($C$3=20,'Seções Compostas'!Y235,IF($C$3=25,'Seções Compostas'!N235,IF('Propriedades geométricas LA '!$C$3=30,'Seções Compostas'!C235)))</f>
        <v>20.89</v>
      </c>
    </row>
    <row r="239" spans="2:3" x14ac:dyDescent="0.25">
      <c r="B239" s="79">
        <f>IF($C$3=20,'Seções Compostas'!X236,IF($C$3=25,'Seções Compostas'!M236,IF('Propriedades geométricas LA '!$C$3=30,'Seções Compostas'!B236)))</f>
        <v>9.269999999999996</v>
      </c>
      <c r="C239" s="79">
        <f>IF($C$3=20,'Seções Compostas'!Y236,IF($C$3=25,'Seções Compostas'!N236,IF('Propriedades geométricas LA '!$C$3=30,'Seções Compostas'!C236)))</f>
        <v>20.350000000000001</v>
      </c>
    </row>
    <row r="240" spans="2:3" x14ac:dyDescent="0.25">
      <c r="B240" s="79">
        <f>IF($C$3=20,'Seções Compostas'!X237,IF($C$3=25,'Seções Compostas'!M237,IF('Propriedades geométricas LA '!$C$3=30,'Seções Compostas'!B237)))</f>
        <v>8.6299999999999955</v>
      </c>
      <c r="C240" s="79">
        <f>IF($C$3=20,'Seções Compostas'!Y237,IF($C$3=25,'Seções Compostas'!N237,IF('Propriedades geométricas LA '!$C$3=30,'Seções Compostas'!C237)))</f>
        <v>19.66</v>
      </c>
    </row>
    <row r="241" spans="2:3" x14ac:dyDescent="0.25">
      <c r="B241" s="79">
        <f>IF($C$3=20,'Seções Compostas'!X238,IF($C$3=25,'Seções Compostas'!M238,IF('Propriedades geométricas LA '!$C$3=30,'Seções Compostas'!B238)))</f>
        <v>8.0699999999999932</v>
      </c>
      <c r="C241" s="79">
        <f>IF($C$3=20,'Seções Compostas'!Y238,IF($C$3=25,'Seções Compostas'!N238,IF('Propriedades geométricas LA '!$C$3=30,'Seções Compostas'!C238)))</f>
        <v>18.84</v>
      </c>
    </row>
    <row r="242" spans="2:3" x14ac:dyDescent="0.25">
      <c r="B242" s="79">
        <f>IF($C$3=20,'Seções Compostas'!X239,IF($C$3=25,'Seções Compostas'!M239,IF('Propriedades geométricas LA '!$C$3=30,'Seções Compostas'!B239)))</f>
        <v>7.5799999999999983</v>
      </c>
      <c r="C242" s="79">
        <f>IF($C$3=20,'Seções Compostas'!Y239,IF($C$3=25,'Seções Compostas'!N239,IF('Propriedades geométricas LA '!$C$3=30,'Seções Compostas'!C239)))</f>
        <v>17.760000000000002</v>
      </c>
    </row>
    <row r="243" spans="2:3" x14ac:dyDescent="0.25">
      <c r="B243" s="79">
        <f>IF($C$3=20,'Seções Compostas'!X240,IF($C$3=25,'Seções Compostas'!M240,IF('Propriedades geométricas LA '!$C$3=30,'Seções Compostas'!B240)))</f>
        <v>7.3199999999999932</v>
      </c>
      <c r="C243" s="79">
        <f>IF($C$3=20,'Seções Compostas'!Y240,IF($C$3=25,'Seções Compostas'!N240,IF('Propriedades geométricas LA '!$C$3=30,'Seções Compostas'!C240)))</f>
        <v>16.66</v>
      </c>
    </row>
    <row r="244" spans="2:3" x14ac:dyDescent="0.25">
      <c r="B244" s="79">
        <f>IF($C$3=20,'Seções Compostas'!X241,IF($C$3=25,'Seções Compostas'!M241,IF('Propriedades geométricas LA '!$C$3=30,'Seções Compostas'!B241)))</f>
        <v>7.25</v>
      </c>
      <c r="C244" s="79">
        <f>IF($C$3=20,'Seções Compostas'!Y241,IF($C$3=25,'Seções Compostas'!N241,IF('Propriedades geométricas LA '!$C$3=30,'Seções Compostas'!C241)))</f>
        <v>15.75</v>
      </c>
    </row>
    <row r="245" spans="2:3" x14ac:dyDescent="0.25">
      <c r="B245" s="79">
        <f>IF($C$3=20,'Seções Compostas'!X242,IF($C$3=25,'Seções Compostas'!M242,IF('Propriedades geométricas LA '!$C$3=30,'Seções Compostas'!B242)))</f>
        <v>7.25</v>
      </c>
      <c r="C245" s="79">
        <f>IF($C$3=20,'Seções Compostas'!Y242,IF($C$3=25,'Seções Compostas'!N242,IF('Propriedades geométricas LA '!$C$3=30,'Seções Compostas'!C242)))</f>
        <v>5.8</v>
      </c>
    </row>
    <row r="246" spans="2:3" x14ac:dyDescent="0.25">
      <c r="B246" s="79">
        <f>IF($C$3=20,'Seções Compostas'!X243,IF($C$3=25,'Seções Compostas'!M243,IF('Propriedades geométricas LA '!$C$3=30,'Seções Compostas'!B243)))</f>
        <v>10.4</v>
      </c>
      <c r="C246" s="79">
        <f>IF($C$3=20,'Seções Compostas'!Y243,IF($C$3=25,'Seções Compostas'!N243,IF('Propriedades geométricas LA '!$C$3=30,'Seções Compostas'!C243)))</f>
        <v>3</v>
      </c>
    </row>
    <row r="247" spans="2:3" x14ac:dyDescent="0.25">
      <c r="B247" s="79">
        <f>IF($C$3=20,'Seções Compostas'!X244,IF($C$3=25,'Seções Compostas'!M244,IF('Propriedades geométricas LA '!$C$3=30,'Seções Compostas'!B244)))</f>
        <v>13.5</v>
      </c>
      <c r="C247" s="79">
        <f>IF($C$3=20,'Seções Compostas'!Y244,IF($C$3=25,'Seções Compostas'!N244,IF('Propriedades geométricas LA '!$C$3=30,'Seções Compostas'!C244)))</f>
        <v>3</v>
      </c>
    </row>
    <row r="248" spans="2:3" x14ac:dyDescent="0.25">
      <c r="B248" s="79">
        <f>IF($C$3=20,'Seções Compostas'!X245,IF($C$3=25,'Seções Compostas'!M245,IF('Propriedades geométricas LA '!$C$3=30,'Seções Compostas'!B245)))</f>
        <v>13.5</v>
      </c>
      <c r="C248" s="79">
        <f>IF($C$3=20,'Seções Compostas'!Y245,IF($C$3=25,'Seções Compostas'!N245,IF('Propriedades geométricas LA '!$C$3=30,'Seções Compostas'!C245)))</f>
        <v>0</v>
      </c>
    </row>
    <row r="249" spans="2:3" x14ac:dyDescent="0.25">
      <c r="B249" s="79">
        <f>IF($C$3=20,'Seções Compostas'!X246,IF($C$3=25,'Seções Compostas'!M246,IF('Propriedades geométricas LA '!$C$3=30,'Seções Compostas'!B246)))</f>
        <v>0.95</v>
      </c>
      <c r="C249" s="79">
        <f>IF($C$3=20,'Seções Compostas'!Y246,IF($C$3=25,'Seções Compostas'!N246,IF('Propriedades geométricas LA '!$C$3=30,'Seções Compostas'!C246)))</f>
        <v>0</v>
      </c>
    </row>
    <row r="250" spans="2:3" x14ac:dyDescent="0.25">
      <c r="B250" s="79"/>
      <c r="C250" s="79"/>
    </row>
    <row r="251" spans="2:3" x14ac:dyDescent="0.25">
      <c r="B251" s="79"/>
      <c r="C251" s="79"/>
    </row>
    <row r="252" spans="2:3" x14ac:dyDescent="0.25">
      <c r="B252" s="79"/>
      <c r="C252" s="79"/>
    </row>
    <row r="253" spans="2:3" x14ac:dyDescent="0.25">
      <c r="B253" s="79"/>
      <c r="C253" s="79"/>
    </row>
    <row r="254" spans="2:3" x14ac:dyDescent="0.25">
      <c r="B254" s="79"/>
      <c r="C254" s="79"/>
    </row>
  </sheetData>
  <mergeCells count="3">
    <mergeCell ref="E4:J4"/>
    <mergeCell ref="L4:N4"/>
    <mergeCell ref="E13:J13"/>
  </mergeCells>
  <dataValidations disablePrompts="1" count="2">
    <dataValidation type="list" allowBlank="1" showInputMessage="1" showErrorMessage="1" sqref="B2" xr:uid="{2CCCFC01-F5AA-427F-A36C-0ECF259DC170}">
      <formula1>"m,cm,mm,ft,in"</formula1>
    </dataValidation>
    <dataValidation type="whole" operator="equal" allowBlank="1" showInputMessage="1" showErrorMessage="1" sqref="B6:C6" xr:uid="{79CE1C48-AB0E-4E3F-900B-99497170D6AE}">
      <formula1>0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2E00-5CC6-4218-BC8E-4C28C5D1550B}">
  <dimension ref="A1:Z224"/>
  <sheetViews>
    <sheetView zoomScale="85" zoomScaleNormal="85" workbookViewId="0">
      <selection activeCell="M14" sqref="M14"/>
    </sheetView>
  </sheetViews>
  <sheetFormatPr defaultRowHeight="15" x14ac:dyDescent="0.25"/>
  <cols>
    <col min="6" max="6" width="11.7109375" customWidth="1"/>
    <col min="13" max="13" width="15.85546875" customWidth="1"/>
    <col min="17" max="17" width="17.28515625" bestFit="1" customWidth="1"/>
    <col min="19" max="19" width="10.28515625" customWidth="1"/>
    <col min="20" max="20" width="11.7109375" customWidth="1"/>
  </cols>
  <sheetData>
    <row r="1" spans="1:26" ht="15.75" x14ac:dyDescent="0.25">
      <c r="A1" s="49"/>
      <c r="B1" s="49" t="s">
        <v>369</v>
      </c>
      <c r="C1" s="50"/>
      <c r="D1" s="50"/>
      <c r="E1" s="50"/>
      <c r="F1" s="50"/>
      <c r="G1" s="50"/>
      <c r="H1" s="50"/>
      <c r="I1" s="51"/>
      <c r="J1" s="50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6" x14ac:dyDescent="0.25">
      <c r="A2" s="53" t="s">
        <v>370</v>
      </c>
      <c r="B2" s="54" t="s">
        <v>80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6" ht="15.75" thickBot="1" x14ac:dyDescent="0.3">
      <c r="A3" s="52"/>
      <c r="B3" s="52"/>
      <c r="C3" s="52">
        <f>'Propriedades geométricas VI'!C3</f>
        <v>25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6" ht="15.75" thickBot="1" x14ac:dyDescent="0.3">
      <c r="A4" s="55" t="s">
        <v>371</v>
      </c>
      <c r="B4" s="56"/>
      <c r="C4" s="57"/>
      <c r="D4" s="52"/>
      <c r="E4" s="902" t="s">
        <v>372</v>
      </c>
      <c r="F4" s="903"/>
      <c r="G4" s="903"/>
      <c r="H4" s="903"/>
      <c r="I4" s="903"/>
      <c r="J4" s="904"/>
      <c r="K4" s="58"/>
      <c r="L4" s="905" t="s">
        <v>373</v>
      </c>
      <c r="M4" s="906"/>
      <c r="N4" s="907"/>
      <c r="O4" s="58"/>
      <c r="P4" s="58"/>
      <c r="Q4" s="59" t="s">
        <v>374</v>
      </c>
      <c r="R4" s="59"/>
      <c r="S4" s="59"/>
      <c r="T4" s="59"/>
      <c r="U4" s="59"/>
      <c r="V4" s="59" t="s">
        <v>375</v>
      </c>
      <c r="W4" s="59">
        <f ca="1">MAX(X)-MIN(X)</f>
        <v>124.5</v>
      </c>
      <c r="X4" s="52"/>
    </row>
    <row r="5" spans="1:26" x14ac:dyDescent="0.25">
      <c r="A5" s="60"/>
      <c r="B5" s="61" t="s">
        <v>376</v>
      </c>
      <c r="C5" s="61" t="s">
        <v>377</v>
      </c>
      <c r="D5" s="52"/>
      <c r="E5" s="62" t="s">
        <v>378</v>
      </c>
      <c r="F5" s="63">
        <f ca="1">IF(F11=0,0,IF(F9-F10=0,45,DEGREES(1/2*ATAN(-2*F11/(F9-F10)))))</f>
        <v>3.329066397684787</v>
      </c>
      <c r="G5" s="64" t="s">
        <v>379</v>
      </c>
      <c r="H5" s="65" t="s">
        <v>380</v>
      </c>
      <c r="I5" s="52">
        <f ca="1">MAX(X)-MIN(X)</f>
        <v>124.5</v>
      </c>
      <c r="J5" s="66" t="str">
        <f>$B$2</f>
        <v>cm</v>
      </c>
      <c r="K5" s="67" t="s">
        <v>381</v>
      </c>
      <c r="L5" s="68" t="s">
        <v>3</v>
      </c>
      <c r="M5" s="69">
        <f ca="1">I6</f>
        <v>30</v>
      </c>
      <c r="N5" s="70" t="str">
        <f>B2</f>
        <v>cm</v>
      </c>
      <c r="O5" s="67"/>
      <c r="P5" s="67"/>
      <c r="Q5" s="71" cm="1">
        <f t="array" aca="1" ref="Q5" ca="1">SUM((OFFSET(X,1,0)-X)*(Y+OFFSET(Y,1,0))/24*((OFFSET(Y,1,0)+Y)^2+(OFFSET(Y,1,0)-Y)^2))</f>
        <v>709882.54141647776</v>
      </c>
      <c r="R5" s="59" t="str">
        <f>$B$2&amp;"^4"</f>
        <v>cm^4</v>
      </c>
      <c r="S5" s="59" t="s">
        <v>382</v>
      </c>
      <c r="T5" s="72">
        <f ca="1">+(F9+F10)/2-SQRT((F9-F10)^2/4+F11^2)</f>
        <v>30619.142540492001</v>
      </c>
      <c r="U5" s="59" t="str">
        <f>$B$2&amp;"^4"</f>
        <v>cm^4</v>
      </c>
      <c r="V5" s="59" t="s">
        <v>383</v>
      </c>
      <c r="W5" s="59">
        <f ca="1">MAX(Y)-MIN(Y)</f>
        <v>30</v>
      </c>
      <c r="X5" s="52"/>
    </row>
    <row r="6" spans="1:26" x14ac:dyDescent="0.25">
      <c r="A6" s="73">
        <v>1</v>
      </c>
      <c r="B6" s="74">
        <v>0</v>
      </c>
      <c r="C6" s="74">
        <v>0</v>
      </c>
      <c r="E6" s="65" t="s">
        <v>384</v>
      </c>
      <c r="F6" s="75">
        <f t="array" aca="1" ref="F6" ca="1">SUM((Y-OFFSET(Y,1,0))*(X+OFFSET(X,1,0)))/2</f>
        <v>1310.4572635697175</v>
      </c>
      <c r="G6" s="64" t="str">
        <f>$B$2 &amp; "^2"</f>
        <v>cm^2</v>
      </c>
      <c r="H6" s="65" t="s">
        <v>385</v>
      </c>
      <c r="I6" s="52">
        <f ca="1">MAX(Y)-MIN(Y)</f>
        <v>30</v>
      </c>
      <c r="J6" s="66" t="str">
        <f>$B$2</f>
        <v>cm</v>
      </c>
      <c r="K6" s="67" t="s">
        <v>386</v>
      </c>
      <c r="L6" s="76" t="s">
        <v>109</v>
      </c>
      <c r="M6" s="77">
        <f ca="1">ABS(F6)</f>
        <v>1310.4572635697175</v>
      </c>
      <c r="N6" s="78" t="str">
        <f>CONCATENATE(B2,"²")</f>
        <v>cm²</v>
      </c>
      <c r="O6" s="67"/>
      <c r="P6" s="67"/>
      <c r="Q6" s="71">
        <f t="array" aca="1" ref="Q6" ca="1">-SUM((OFFSET(Y,1,0)-Y)*(X+OFFSET(X,1,0))/24*((OFFSET(X,1,0)+X)^2+(OFFSET(X,1,0)-X)^2))</f>
        <v>5609854.6803722559</v>
      </c>
      <c r="R6" s="59" t="str">
        <f>B2&amp;"^4"</f>
        <v>cm^4</v>
      </c>
      <c r="S6" s="59" t="s">
        <v>387</v>
      </c>
      <c r="T6" s="72">
        <f ca="1">+(F9+F10)/2+SQRT((F9-F10)^2/4+F11^2)</f>
        <v>1653745.8468693313</v>
      </c>
      <c r="U6" s="59" t="str">
        <f>$B$2&amp;"^4"</f>
        <v>cm^4</v>
      </c>
      <c r="V6" s="59" t="s">
        <v>388</v>
      </c>
      <c r="W6" s="59"/>
      <c r="X6" s="52"/>
    </row>
    <row r="7" spans="1:26" x14ac:dyDescent="0.25">
      <c r="A7" s="73">
        <f t="shared" ref="A7:A40" si="0">1+A6</f>
        <v>2</v>
      </c>
      <c r="B7" s="79">
        <f>'Propriedades geométricas LA '!B7</f>
        <v>0.95</v>
      </c>
      <c r="C7" s="79">
        <f ca="1">IF('Propriedades geométricas LA '!C7&lt;$M$15,$M$15,'Propriedades geométricas LA '!C7)</f>
        <v>16.232764100106174</v>
      </c>
      <c r="D7" s="52"/>
      <c r="E7" s="65" t="s">
        <v>389</v>
      </c>
      <c r="F7" s="80">
        <f t="array" aca="1" ref="F7" ca="1">SUM((Y-OFFSET(Y,1,0))/8*((X+OFFSET(X,1,0))^2+(OFFSET(X,1,0)-X)^2/3))/$F$6</f>
        <v>54.98230095699833</v>
      </c>
      <c r="G7" s="64" t="str">
        <f>B2</f>
        <v>cm</v>
      </c>
      <c r="H7" s="65" t="s">
        <v>390</v>
      </c>
      <c r="I7" s="81">
        <f ca="1">F9/ABS(MAX(Y)-$F$8)</f>
        <v>4927.4439963571031</v>
      </c>
      <c r="J7" s="64" t="str">
        <f>$B$2&amp;"^3"</f>
        <v>cm^3</v>
      </c>
      <c r="K7" s="67" t="s">
        <v>391</v>
      </c>
      <c r="L7" s="82" t="s">
        <v>392</v>
      </c>
      <c r="M7" s="83">
        <f ca="1">F8</f>
        <v>22.675184227190925</v>
      </c>
      <c r="N7" s="84" t="str">
        <f>B2</f>
        <v>cm</v>
      </c>
      <c r="O7" s="67"/>
      <c r="P7" s="67"/>
      <c r="Q7" s="71">
        <f t="array" aca="1" ref="Q7" ca="1">SUM(((OFFSET(Y,1,0)-Y)^2*(OFFSET(X,1,0)+X)*(OFFSET(X,1,0)^2+X^2)/8+(OFFSET(Y,1,0)-Y)*(OFFSET(X,1,0)*Y-X*OFFSET(Y,1,0))*(OFFSET(X,1,0)^2+OFFSET(X,1,0)*X+X^2)/3+(OFFSET(X,1,0)*Y-X*OFFSET(Y,1,0))^2*(OFFSET(X,1,0)+X)/4)*IF(OFFSET(X,1,0)=X,0,1/(OFFSET(X,1,0)-X)))</f>
        <v>1727888.0616702558</v>
      </c>
      <c r="R7" s="59" t="str">
        <f>B2&amp;"^4"</f>
        <v>cm^4</v>
      </c>
      <c r="S7" s="59" t="s">
        <v>393</v>
      </c>
      <c r="T7" s="59"/>
      <c r="U7" s="59"/>
      <c r="V7" s="59" t="s">
        <v>394</v>
      </c>
      <c r="W7" s="59"/>
      <c r="X7" s="52"/>
    </row>
    <row r="8" spans="1:26" x14ac:dyDescent="0.25">
      <c r="A8" s="73">
        <f t="shared" si="0"/>
        <v>3</v>
      </c>
      <c r="B8" s="79">
        <f>'Propriedades geométricas LA '!B8</f>
        <v>0.19</v>
      </c>
      <c r="C8" s="79">
        <f ca="1">IF('Propriedades geométricas LA '!C8&lt;$M$15,$M$15,'Propriedades geométricas LA '!C8)</f>
        <v>16.232764100106174</v>
      </c>
      <c r="D8" s="52"/>
      <c r="E8" s="65" t="s">
        <v>395</v>
      </c>
      <c r="F8" s="80">
        <f t="array" aca="1" ref="F8" ca="1">SUM((OFFSET(X,1,0)-X)/8*((Y+OFFSET(Y,1,0))^2+(OFFSET(Y,1,0)-Y)^2/3))/$F$6</f>
        <v>22.675184227190925</v>
      </c>
      <c r="G8" s="64" t="str">
        <f>B2</f>
        <v>cm</v>
      </c>
      <c r="H8" s="65" t="s">
        <v>396</v>
      </c>
      <c r="I8" s="81">
        <f ca="1">F9/ABS(MIN(Y)-$F$8)</f>
        <v>1591.7233193135189</v>
      </c>
      <c r="J8" s="64" t="str">
        <f>$B$2&amp;"^3"</f>
        <v>cm^3</v>
      </c>
      <c r="K8" s="58"/>
      <c r="L8" s="85" t="s">
        <v>397</v>
      </c>
      <c r="M8" s="83">
        <f ca="1">I6-M7</f>
        <v>7.3248157728090746</v>
      </c>
      <c r="N8" s="84" t="str">
        <f>B2</f>
        <v>cm</v>
      </c>
      <c r="O8" s="58"/>
      <c r="P8" s="58"/>
      <c r="Q8" s="59"/>
      <c r="R8" s="59"/>
      <c r="S8" s="86" t="s">
        <v>183</v>
      </c>
      <c r="T8" s="86" t="s">
        <v>398</v>
      </c>
      <c r="U8" s="59"/>
      <c r="V8" s="86" t="s">
        <v>183</v>
      </c>
      <c r="W8" s="86" t="s">
        <v>398</v>
      </c>
      <c r="X8" s="52"/>
    </row>
    <row r="9" spans="1:26" x14ac:dyDescent="0.25">
      <c r="A9" s="73">
        <f t="shared" si="0"/>
        <v>4</v>
      </c>
      <c r="B9" s="79">
        <f>'Propriedades geométricas LA '!B9</f>
        <v>0</v>
      </c>
      <c r="C9" s="79">
        <f ca="1">IF('Propriedades geométricas LA '!C9&lt;$M$15,$M$15,'Propriedades geométricas LA '!C9)</f>
        <v>16.232764100106174</v>
      </c>
      <c r="D9" s="52"/>
      <c r="E9" s="65" t="s">
        <v>399</v>
      </c>
      <c r="F9" s="81">
        <f ca="1">Q5-F6*F8^2</f>
        <v>36092.619504149887</v>
      </c>
      <c r="G9" s="64" t="str">
        <f>$B$2&amp;"^4"</f>
        <v>cm^4</v>
      </c>
      <c r="H9" s="65" t="s">
        <v>400</v>
      </c>
      <c r="I9" s="81">
        <f ca="1">F10/ABS(MIN(X)-F7)</f>
        <v>29978.235563382252</v>
      </c>
      <c r="J9" s="64" t="str">
        <f>$B$2&amp;"^3"</f>
        <v>cm^3</v>
      </c>
      <c r="K9" s="58"/>
      <c r="L9" s="85" t="s">
        <v>401</v>
      </c>
      <c r="M9" s="83">
        <f ca="1">ABS(F9)</f>
        <v>36092.619504149887</v>
      </c>
      <c r="N9" s="87" t="str">
        <f>CONCATENATE(B2,"4")</f>
        <v>cm4</v>
      </c>
      <c r="O9" s="58"/>
      <c r="P9" s="58"/>
      <c r="Q9" s="59"/>
      <c r="R9" s="59"/>
      <c r="S9" s="88">
        <f ca="1">MIN(X)</f>
        <v>0</v>
      </c>
      <c r="T9" s="89">
        <f ca="1">(S9-$F$7)*TAN(RADIANS($F$5))+$F$8</f>
        <v>19.47693838671815</v>
      </c>
      <c r="U9" s="59"/>
      <c r="V9" s="90">
        <f ca="1">IF(W4&gt;=W5,MIN(X),(MAX(X)+MIN(X)-W5)/2)</f>
        <v>0</v>
      </c>
      <c r="W9" s="90">
        <f ca="1">IF(W4&gt;=W5,(MAX(Y)+MIN(Y)-W4)/2,MIN(Y))</f>
        <v>-47.25</v>
      </c>
      <c r="X9" s="52"/>
    </row>
    <row r="10" spans="1:26" x14ac:dyDescent="0.25">
      <c r="A10" s="73">
        <f t="shared" si="0"/>
        <v>5</v>
      </c>
      <c r="B10" s="79">
        <f>'Propriedades geométricas LA '!B10</f>
        <v>3</v>
      </c>
      <c r="C10" s="79">
        <f ca="1">IF('Propriedades geométricas LA '!C10&lt;$M$15,$M$15,'Propriedades geométricas LA '!C10)</f>
        <v>16.232764100106174</v>
      </c>
      <c r="D10" s="52"/>
      <c r="E10" s="65" t="s">
        <v>402</v>
      </c>
      <c r="F10" s="81">
        <f ca="1">Q6-F6*F7^2</f>
        <v>1648272.3699056734</v>
      </c>
      <c r="G10" s="64" t="str">
        <f>$B$2&amp;"^4"</f>
        <v>cm^4</v>
      </c>
      <c r="H10" s="65" t="s">
        <v>403</v>
      </c>
      <c r="I10" s="81">
        <f ca="1">F10/ABS(MAX(X)-F7)</f>
        <v>23710.111131355181</v>
      </c>
      <c r="J10" s="64" t="str">
        <f>$B$2&amp;"^3"</f>
        <v>cm^3</v>
      </c>
      <c r="K10" s="58"/>
      <c r="L10" s="85" t="s">
        <v>404</v>
      </c>
      <c r="M10" s="83">
        <f ca="1">ABS(I8)</f>
        <v>1591.7233193135189</v>
      </c>
      <c r="N10" s="87" t="str">
        <f>CONCATENATE(B2,"³")</f>
        <v>cm³</v>
      </c>
      <c r="O10" s="58"/>
      <c r="P10" s="58"/>
      <c r="Q10" s="59"/>
      <c r="R10" s="59"/>
      <c r="S10" s="88">
        <f ca="1">MAX(X)</f>
        <v>124.5</v>
      </c>
      <c r="T10" s="89">
        <f ca="1">(S10-$F$7)*TAN(RADIANS($F$5))+$F$8</f>
        <v>26.718934451056718</v>
      </c>
      <c r="U10" s="59"/>
      <c r="V10" s="88">
        <f ca="1">IF(W4&gt;=W5,MAX(X),(MAX(X)+MIN(X)+W5)/2)</f>
        <v>124.5</v>
      </c>
      <c r="W10" s="90">
        <f ca="1">IF(W4&gt;=W5,(MAX(Y)+MIN(Y)+W4)/2,MAX(Y))</f>
        <v>77.25</v>
      </c>
      <c r="X10" s="52"/>
    </row>
    <row r="11" spans="1:26" ht="15.75" thickBot="1" x14ac:dyDescent="0.3">
      <c r="A11" s="73">
        <f t="shared" si="0"/>
        <v>6</v>
      </c>
      <c r="B11" s="79">
        <f>'Propriedades geométricas LA '!B11</f>
        <v>3</v>
      </c>
      <c r="C11" s="79">
        <f ca="1">IF('Propriedades geométricas LA '!C11&lt;$M$15,$M$15,'Propriedades geométricas LA '!C11)</f>
        <v>19</v>
      </c>
      <c r="D11" s="52"/>
      <c r="E11" s="91" t="s">
        <v>405</v>
      </c>
      <c r="F11" s="92">
        <f ca="1">+Q7-F6*F7*F8</f>
        <v>94096.693221230758</v>
      </c>
      <c r="G11" s="93" t="str">
        <f>$B$2&amp;"^4"</f>
        <v>cm^4</v>
      </c>
      <c r="H11" s="94"/>
      <c r="I11" s="95"/>
      <c r="J11" s="93"/>
      <c r="K11" s="58"/>
      <c r="L11" s="96" t="s">
        <v>406</v>
      </c>
      <c r="M11" s="97">
        <f ca="1">ABS(I7)</f>
        <v>4927.4439963571031</v>
      </c>
      <c r="N11" s="98" t="str">
        <f>CONCATENATE(B2,"³")</f>
        <v>cm³</v>
      </c>
      <c r="O11" s="58"/>
      <c r="P11" s="58"/>
      <c r="Q11" s="58"/>
      <c r="R11" s="58"/>
      <c r="S11" s="99"/>
      <c r="T11" s="99"/>
      <c r="U11" s="100"/>
      <c r="V11" s="100"/>
      <c r="W11" s="100"/>
      <c r="X11" s="52"/>
    </row>
    <row r="12" spans="1:26" x14ac:dyDescent="0.25">
      <c r="A12" s="73">
        <f t="shared" si="0"/>
        <v>7</v>
      </c>
      <c r="B12" s="79">
        <f>'Propriedades geométricas LA '!B12</f>
        <v>1.65</v>
      </c>
      <c r="C12" s="79">
        <f ca="1">IF('Propriedades geométricas LA '!C12&lt;$M$15,$M$15,'Propriedades geométricas LA '!C12)</f>
        <v>21.5</v>
      </c>
      <c r="D12" s="52"/>
      <c r="E12" s="52"/>
      <c r="F12" s="52"/>
      <c r="G12" s="52"/>
      <c r="H12" s="52"/>
      <c r="I12" s="52"/>
      <c r="J12" s="52"/>
      <c r="K12" s="58"/>
      <c r="L12" s="58"/>
      <c r="M12" s="58"/>
      <c r="N12" s="58"/>
      <c r="O12" s="58"/>
      <c r="P12" s="58"/>
      <c r="Q12" s="58"/>
      <c r="R12" s="58"/>
      <c r="S12" s="99">
        <f ca="1">(T12-$F$8)*TAN(RADIANS(-$F$5))+$F$7</f>
        <v>56.301285655243056</v>
      </c>
      <c r="T12" s="99">
        <f ca="1">MIN(Y)</f>
        <v>0</v>
      </c>
      <c r="U12" s="101"/>
      <c r="V12" s="58"/>
      <c r="W12" s="102"/>
      <c r="X12" s="52"/>
    </row>
    <row r="13" spans="1:26" x14ac:dyDescent="0.25">
      <c r="A13" s="73">
        <f t="shared" si="0"/>
        <v>8</v>
      </c>
      <c r="B13" s="79">
        <f>'Propriedades geométricas LA '!B13</f>
        <v>1.65</v>
      </c>
      <c r="C13" s="79">
        <f ca="1">IF('Propriedades geométricas LA '!C13&lt;$M$15,$M$15,'Propriedades geométricas LA '!C13)</f>
        <v>25</v>
      </c>
      <c r="D13" s="52"/>
      <c r="E13" s="908" t="s">
        <v>407</v>
      </c>
      <c r="F13" s="903"/>
      <c r="G13" s="903"/>
      <c r="H13" s="903"/>
      <c r="I13" s="903"/>
      <c r="J13" s="904"/>
      <c r="K13" s="58"/>
      <c r="L13" s="58"/>
      <c r="M13" s="58"/>
      <c r="N13" s="58"/>
      <c r="O13" s="58"/>
      <c r="P13" s="58"/>
      <c r="Q13" t="s">
        <v>680</v>
      </c>
      <c r="R13" s="326">
        <f>Geometria!H1041</f>
        <v>0</v>
      </c>
      <c r="S13" s="99">
        <f ca="1">(T13-$F$8)*TAN(RADIANS(-$F$5))+$F$7</f>
        <v>54.556226362631357</v>
      </c>
      <c r="T13" s="99">
        <f ca="1">MAX(Y)</f>
        <v>30</v>
      </c>
      <c r="U13" s="101"/>
      <c r="V13" s="58"/>
      <c r="W13" s="102"/>
      <c r="X13" s="52"/>
    </row>
    <row r="14" spans="1:26" x14ac:dyDescent="0.25">
      <c r="A14" s="73">
        <f t="shared" si="0"/>
        <v>9</v>
      </c>
      <c r="B14" s="79">
        <f>'Propriedades geométricas LA '!B14</f>
        <v>15.309441843966107</v>
      </c>
      <c r="C14" s="79">
        <f ca="1">IF('Propriedades geométricas LA '!C14&lt;$M$15,$M$15,'Propriedades geométricas LA '!C14)</f>
        <v>25</v>
      </c>
      <c r="D14" s="52"/>
      <c r="E14" s="62" t="s">
        <v>378</v>
      </c>
      <c r="F14" s="80">
        <f ca="1">F5</f>
        <v>3.329066397684787</v>
      </c>
      <c r="G14" s="64" t="s">
        <v>408</v>
      </c>
      <c r="H14" s="65" t="s">
        <v>409</v>
      </c>
      <c r="I14" s="81">
        <f t="array" aca="1" ref="I14" ca="1">ABS(F15/MAX(SQRT((X-$F$7)^2+(Y-$F$8)^2)*SIN(ATAN2(X-$F$7,Y-$F$8)-RADIANS($F$5))))</f>
        <v>3184.0952753754432</v>
      </c>
      <c r="J14" s="64" t="str">
        <f>$B$2&amp;"^3"</f>
        <v>cm^3</v>
      </c>
      <c r="K14" s="52"/>
      <c r="L14" s="52">
        <v>0</v>
      </c>
      <c r="M14" s="80">
        <f ca="1">'Propriedades geométricas LA '!M14</f>
        <v>16.232764100106174</v>
      </c>
      <c r="N14" s="52"/>
      <c r="O14" s="52"/>
      <c r="P14" s="52"/>
      <c r="Q14" s="104"/>
      <c r="R14" s="105"/>
      <c r="S14" s="80"/>
      <c r="T14" s="80"/>
      <c r="U14" s="52"/>
      <c r="V14" s="52"/>
      <c r="W14" s="106"/>
      <c r="X14" s="52"/>
    </row>
    <row r="15" spans="1:26" x14ac:dyDescent="0.25">
      <c r="A15" s="73">
        <f t="shared" si="0"/>
        <v>10</v>
      </c>
      <c r="B15" s="79">
        <f>'Propriedades geométricas LA '!B15</f>
        <v>15.309441843966107</v>
      </c>
      <c r="C15" s="79">
        <f ca="1">IF('Propriedades geométricas LA '!C15&lt;$M$15,$M$15,'Propriedades geométricas LA '!C15)</f>
        <v>30</v>
      </c>
      <c r="D15" s="52"/>
      <c r="E15" s="65" t="s">
        <v>410</v>
      </c>
      <c r="F15" s="107">
        <f ca="1">F9*COS(RADIANS(F14))^2+F10*SIN(RADIANS(F14))^2-F11*SIN(2*RADIANS(F14))</f>
        <v>30619.142540491837</v>
      </c>
      <c r="G15" s="64" t="str">
        <f>$B$2&amp;"^4"</f>
        <v>cm^4</v>
      </c>
      <c r="H15" s="65" t="s">
        <v>411</v>
      </c>
      <c r="I15" s="81">
        <f t="array" aca="1" ref="I15" ca="1">ABS(F15/MIN(SQRT((X-$F$7)^2+(Y-$F$8)^2)*SIN(ATAN2(X-$F$7,Y-$F$8)-RADIANS($F$5))))</f>
        <v>1574.7290213183683</v>
      </c>
      <c r="J15" s="64" t="str">
        <f>$B$2&amp;"^3"</f>
        <v>cm^3</v>
      </c>
      <c r="K15" s="52"/>
      <c r="L15" s="52">
        <v>124.5</v>
      </c>
      <c r="M15" s="80">
        <f ca="1">M14</f>
        <v>16.232764100106174</v>
      </c>
      <c r="N15" s="52"/>
      <c r="O15" s="52"/>
      <c r="P15" s="52"/>
      <c r="S15" s="52"/>
      <c r="T15" s="52"/>
      <c r="U15" s="109"/>
      <c r="V15" s="52"/>
      <c r="W15" s="52"/>
      <c r="X15" s="52"/>
    </row>
    <row r="16" spans="1:26" x14ac:dyDescent="0.25">
      <c r="A16" s="73">
        <f t="shared" si="0"/>
        <v>11</v>
      </c>
      <c r="B16" s="79">
        <f>'Propriedades geométricas LA '!B16</f>
        <v>109.19055815603389</v>
      </c>
      <c r="C16" s="79">
        <f ca="1">IF('Propriedades geométricas LA '!C16&lt;$M$15,$M$15,'Propriedades geométricas LA '!C16)</f>
        <v>30</v>
      </c>
      <c r="D16" s="52"/>
      <c r="E16" s="65" t="s">
        <v>412</v>
      </c>
      <c r="F16" s="107">
        <f ca="1">F10*COS(RADIANS(F14))^2+F9*SIN(RADIANS(F14))^2+F11*SIN(2*RADIANS(F14))</f>
        <v>1653745.8468693313</v>
      </c>
      <c r="G16" s="64" t="str">
        <f>$B$2&amp;"^4"</f>
        <v>cm^4</v>
      </c>
      <c r="H16" s="65" t="s">
        <v>413</v>
      </c>
      <c r="I16" s="81">
        <f t="array" aca="1" ref="I16" ca="1">ABS($F$16/MIN(SQRT((X-$F$7)^2+(Y-$F$8)^2)*COS(ATAN2(X-$F$7,Y-$F$8)-RADIANS($F$5))))</f>
        <v>29422.796739841451</v>
      </c>
      <c r="J16" s="64" t="str">
        <f>$B$2&amp;"^3"</f>
        <v>cm^3</v>
      </c>
      <c r="K16" s="52"/>
      <c r="L16" s="52" t="s">
        <v>398</v>
      </c>
      <c r="M16" s="80">
        <f ca="1">F8-C7</f>
        <v>6.4424201270847519</v>
      </c>
      <c r="N16" s="52"/>
      <c r="O16" s="52"/>
      <c r="P16" s="52"/>
      <c r="Q16" s="108"/>
      <c r="R16" s="109"/>
      <c r="S16" s="52" t="s">
        <v>681</v>
      </c>
      <c r="T16" s="52" t="s">
        <v>682</v>
      </c>
      <c r="U16" s="52" t="s">
        <v>683</v>
      </c>
      <c r="V16" s="52" t="s">
        <v>684</v>
      </c>
      <c r="W16" s="52" t="s">
        <v>685</v>
      </c>
      <c r="X16" s="52" t="s">
        <v>686</v>
      </c>
      <c r="Y16" s="52" t="s">
        <v>687</v>
      </c>
      <c r="Z16" s="52"/>
    </row>
    <row r="17" spans="1:25" x14ac:dyDescent="0.25">
      <c r="A17" s="73">
        <f t="shared" si="0"/>
        <v>12</v>
      </c>
      <c r="B17" s="79">
        <f>'Propriedades geométricas LA '!B17</f>
        <v>109.19055815603389</v>
      </c>
      <c r="C17" s="79">
        <f ca="1">IF('Propriedades geométricas LA '!C17&lt;$M$15,$M$15,'Propriedades geométricas LA '!C17)</f>
        <v>25</v>
      </c>
      <c r="D17" s="52"/>
      <c r="E17" s="65" t="s">
        <v>414</v>
      </c>
      <c r="F17" s="81">
        <f ca="1">+(F9-F10)/2*SIN(RADIANS(F14)*2)+F11*COS(2*RADIANS(F14))</f>
        <v>0</v>
      </c>
      <c r="G17" s="64" t="str">
        <f>$B$2&amp;"^4"</f>
        <v>cm^4</v>
      </c>
      <c r="H17" s="65" t="s">
        <v>415</v>
      </c>
      <c r="I17" s="81">
        <f t="array" aca="1" ref="I17" ca="1">ABS($F$16/MAX(SQRT((X-$F$7)^2+(Y-$F$8)^2)*COS(ATAN2(X-$F$7,Y-$F$8)-RADIANS($F$5))))</f>
        <v>23958.20877144903</v>
      </c>
      <c r="J17" s="64" t="str">
        <f>$B$2&amp;"^3"</f>
        <v>cm^3</v>
      </c>
      <c r="K17" s="52"/>
      <c r="L17" s="52"/>
      <c r="M17" s="52"/>
      <c r="N17" s="52"/>
      <c r="O17" s="52"/>
      <c r="P17" s="52"/>
      <c r="Q17" s="108"/>
      <c r="R17" s="110"/>
      <c r="S17" s="327">
        <f>IF(R13&gt;0,"Preenchido",0)</f>
        <v>0</v>
      </c>
      <c r="T17" s="327">
        <f>IF(R13&gt;4,"Preenchido",0)</f>
        <v>0</v>
      </c>
      <c r="U17" s="327">
        <f>IF(R13&gt;3,"Preenchido",0)</f>
        <v>0</v>
      </c>
      <c r="V17" s="327">
        <f>IF(R13&gt;6,"Preenchido",0)</f>
        <v>0</v>
      </c>
      <c r="W17" s="327">
        <f>IF(R13&gt;2,"Preenchido",0)</f>
        <v>0</v>
      </c>
      <c r="X17" s="327">
        <f>IF(R13&gt;5,"Preenchido",0)</f>
        <v>0</v>
      </c>
      <c r="Y17" s="328">
        <f>IF(R13&gt;1,"Preenchido",0)</f>
        <v>0</v>
      </c>
    </row>
    <row r="18" spans="1:25" x14ac:dyDescent="0.25">
      <c r="A18" s="73">
        <f t="shared" si="0"/>
        <v>13</v>
      </c>
      <c r="B18" s="79">
        <f>'Propriedades geométricas LA '!B18</f>
        <v>122.85</v>
      </c>
      <c r="C18" s="79">
        <f ca="1">IF('Propriedades geométricas LA '!C18&lt;$M$15,$M$15,'Propriedades geométricas LA '!C18)</f>
        <v>25</v>
      </c>
      <c r="D18" s="52"/>
      <c r="E18" s="91" t="s">
        <v>416</v>
      </c>
      <c r="F18" s="92">
        <f ca="1">+F15+F16</f>
        <v>1684364.9894098232</v>
      </c>
      <c r="G18" s="93" t="str">
        <f>$B$2&amp;"^4"</f>
        <v>cm^4</v>
      </c>
      <c r="H18" s="94"/>
      <c r="I18" s="112"/>
      <c r="J18" s="93"/>
      <c r="K18" s="52"/>
      <c r="L18" s="52"/>
      <c r="M18" s="52"/>
      <c r="N18" s="52"/>
      <c r="O18" s="52"/>
      <c r="P18" s="52"/>
      <c r="Q18" s="52"/>
      <c r="R18" s="52"/>
      <c r="S18" s="52"/>
      <c r="T18" s="111"/>
      <c r="U18" s="111"/>
      <c r="V18" s="52"/>
      <c r="W18" s="52"/>
      <c r="X18" s="52"/>
    </row>
    <row r="19" spans="1:25" x14ac:dyDescent="0.25">
      <c r="A19" s="73">
        <f t="shared" si="0"/>
        <v>14</v>
      </c>
      <c r="B19" s="79">
        <f>'Propriedades geométricas LA '!B19</f>
        <v>122.85</v>
      </c>
      <c r="C19" s="79">
        <f ca="1">IF('Propriedades geométricas LA '!C19&lt;$M$15,$M$15,'Propriedades geométricas LA '!C19)</f>
        <v>21.5</v>
      </c>
      <c r="D19" s="75"/>
      <c r="E19" s="52"/>
      <c r="F19" s="52"/>
      <c r="G19" s="52"/>
      <c r="H19" s="52"/>
      <c r="I19" s="52"/>
      <c r="J19" s="52"/>
      <c r="K19" s="113"/>
      <c r="L19" s="52"/>
      <c r="M19" s="113"/>
      <c r="N19" s="113"/>
      <c r="O19" s="52"/>
      <c r="P19" s="52"/>
      <c r="Q19" s="52"/>
      <c r="R19" s="52"/>
      <c r="S19" s="52"/>
      <c r="T19" s="75"/>
      <c r="U19" s="80"/>
      <c r="V19" s="75"/>
      <c r="W19" s="52"/>
      <c r="X19" s="52"/>
    </row>
    <row r="20" spans="1:25" x14ac:dyDescent="0.25">
      <c r="A20" s="73">
        <f t="shared" si="0"/>
        <v>15</v>
      </c>
      <c r="B20" s="79">
        <f>'Propriedades geométricas LA '!B20</f>
        <v>121.5</v>
      </c>
      <c r="C20" s="79">
        <f ca="1">IF('Propriedades geométricas LA '!C20&lt;$M$15,$M$15,'Propriedades geométricas LA '!C20)</f>
        <v>19</v>
      </c>
      <c r="D20" s="75"/>
      <c r="E20" s="52"/>
      <c r="F20" s="52"/>
      <c r="G20" s="52"/>
      <c r="H20" s="52"/>
      <c r="I20" s="52"/>
      <c r="J20" s="52"/>
      <c r="K20" s="113"/>
      <c r="L20" s="52"/>
      <c r="M20" s="113"/>
      <c r="N20" s="113"/>
      <c r="O20" s="52"/>
      <c r="P20" s="52"/>
      <c r="Q20" s="52"/>
      <c r="R20" s="52"/>
      <c r="S20" s="52">
        <v>0</v>
      </c>
      <c r="T20" s="75"/>
      <c r="U20" s="80"/>
      <c r="V20" s="75"/>
      <c r="W20" s="52"/>
      <c r="X20" s="80"/>
    </row>
    <row r="21" spans="1:25" x14ac:dyDescent="0.25">
      <c r="A21" s="73">
        <f t="shared" si="0"/>
        <v>16</v>
      </c>
      <c r="B21" s="79">
        <f>'Propriedades geométricas LA '!B21</f>
        <v>121.5</v>
      </c>
      <c r="C21" s="79">
        <f ca="1">IF('Propriedades geométricas LA '!C21&lt;$M$15,$M$15,'Propriedades geométricas LA '!C21)</f>
        <v>16.232764100106174</v>
      </c>
      <c r="D21" s="75"/>
      <c r="E21" s="52"/>
      <c r="F21" s="52"/>
      <c r="G21" s="52"/>
      <c r="H21" s="52"/>
      <c r="I21" s="52"/>
      <c r="J21" s="52"/>
      <c r="K21" s="113"/>
      <c r="L21" s="52"/>
      <c r="M21" s="113"/>
      <c r="N21" s="113"/>
      <c r="O21" s="52"/>
      <c r="P21" s="52"/>
      <c r="Q21" s="52"/>
      <c r="R21" s="52"/>
      <c r="S21" s="52"/>
      <c r="T21" s="113"/>
      <c r="U21" s="113"/>
      <c r="V21" s="75"/>
      <c r="W21" s="52"/>
      <c r="X21" s="80"/>
    </row>
    <row r="22" spans="1:25" x14ac:dyDescent="0.25">
      <c r="A22" s="73">
        <f t="shared" si="0"/>
        <v>17</v>
      </c>
      <c r="B22" s="79">
        <f>'Propriedades geométricas LA '!B22</f>
        <v>124.5</v>
      </c>
      <c r="C22" s="79">
        <f ca="1">IF('Propriedades geométricas LA '!C22&lt;$M$15,$M$15,'Propriedades geométricas LA '!C22)</f>
        <v>16.232764100106174</v>
      </c>
      <c r="D22" s="75"/>
      <c r="E22" s="52"/>
      <c r="F22" s="52"/>
      <c r="G22" s="52"/>
      <c r="H22" s="52"/>
      <c r="I22" s="52"/>
      <c r="J22" s="52"/>
      <c r="K22" s="113"/>
      <c r="L22" s="52"/>
      <c r="M22" s="113"/>
      <c r="N22" s="113"/>
      <c r="O22" s="52"/>
      <c r="P22" s="52"/>
      <c r="Q22" s="52"/>
      <c r="R22" s="52"/>
      <c r="S22" s="52"/>
      <c r="T22" s="113"/>
      <c r="U22" s="113"/>
      <c r="V22" s="75"/>
      <c r="W22" s="52"/>
      <c r="X22" s="80"/>
    </row>
    <row r="23" spans="1:25" x14ac:dyDescent="0.25">
      <c r="A23" s="73">
        <f t="shared" si="0"/>
        <v>18</v>
      </c>
      <c r="B23" s="79">
        <f>'Propriedades geométricas LA '!B23</f>
        <v>124.31</v>
      </c>
      <c r="C23" s="79">
        <f ca="1">IF('Propriedades geométricas LA '!C23&lt;$M$15,$M$15,'Propriedades geométricas LA '!C23)</f>
        <v>16.232764100106174</v>
      </c>
      <c r="D23" s="8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113"/>
      <c r="V23" s="75"/>
      <c r="W23" s="52"/>
      <c r="X23" s="80"/>
    </row>
    <row r="24" spans="1:25" x14ac:dyDescent="0.25">
      <c r="A24" s="73">
        <f t="shared" si="0"/>
        <v>19</v>
      </c>
      <c r="B24" s="79">
        <f>'Propriedades geométricas LA '!B24</f>
        <v>123.55</v>
      </c>
      <c r="C24" s="79">
        <f ca="1">IF('Propriedades geométricas LA '!C24&lt;$M$15,$M$15,'Propriedades geométricas LA '!C24)</f>
        <v>16.232764100106174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113"/>
      <c r="V24" s="52"/>
      <c r="W24" s="52"/>
      <c r="X24" s="52"/>
    </row>
    <row r="25" spans="1:25" x14ac:dyDescent="0.25">
      <c r="A25" s="73">
        <f t="shared" si="0"/>
        <v>20</v>
      </c>
      <c r="B25" s="79">
        <f>'Propriedades geométricas LA '!B25</f>
        <v>111.05</v>
      </c>
      <c r="C25" s="79">
        <f ca="1">IF('Propriedades geométricas LA '!C25&lt;$M$15,$M$15,'Propriedades geométricas LA '!C25)</f>
        <v>16.232764100106174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113"/>
      <c r="V25" s="52"/>
      <c r="W25" s="52"/>
      <c r="X25" s="52"/>
    </row>
    <row r="26" spans="1:25" x14ac:dyDescent="0.25">
      <c r="A26" s="73">
        <f t="shared" si="0"/>
        <v>21</v>
      </c>
      <c r="B26" s="79">
        <f>'Propriedades geométricas LA '!B26</f>
        <v>111.05</v>
      </c>
      <c r="C26" s="79">
        <f ca="1">IF('Propriedades geométricas LA '!C26&lt;$M$15,$M$15,'Propriedades geométricas LA '!C26)</f>
        <v>16.232764100106174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114"/>
      <c r="R26" s="114"/>
      <c r="S26" s="114"/>
      <c r="T26" s="52"/>
      <c r="U26" s="113"/>
      <c r="V26" s="52"/>
      <c r="W26" s="52"/>
      <c r="X26" s="52"/>
    </row>
    <row r="27" spans="1:25" x14ac:dyDescent="0.25">
      <c r="A27" s="73">
        <f t="shared" si="0"/>
        <v>22</v>
      </c>
      <c r="B27" s="79">
        <f>'Propriedades geométricas LA '!B27</f>
        <v>114.1</v>
      </c>
      <c r="C27" s="79">
        <f ca="1">IF('Propriedades geométricas LA '!C27&lt;$M$15,$M$15,'Propriedades geométricas LA '!C27)</f>
        <v>16.232764100106174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114"/>
      <c r="R27" s="114"/>
      <c r="S27" s="114"/>
      <c r="T27" s="52"/>
      <c r="U27" s="113"/>
      <c r="V27" s="52"/>
      <c r="W27" s="52"/>
      <c r="X27" s="52"/>
    </row>
    <row r="28" spans="1:25" x14ac:dyDescent="0.25">
      <c r="A28" s="73">
        <f t="shared" si="0"/>
        <v>23</v>
      </c>
      <c r="B28" s="79">
        <f>'Propriedades geométricas LA '!B28</f>
        <v>117.25</v>
      </c>
      <c r="C28" s="217">
        <f ca="1">IF($Y$17="Preenchido",$M$15,(IF('Propriedades geométricas LA '!C28&lt;$M$15,$M$15,'Propriedades geométricas LA '!C28)))</f>
        <v>16.232764100106174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114"/>
      <c r="R28" s="114"/>
      <c r="S28" s="114"/>
      <c r="T28" s="52"/>
      <c r="U28" s="113"/>
      <c r="V28" s="52"/>
      <c r="W28" s="52"/>
      <c r="X28" s="52"/>
    </row>
    <row r="29" spans="1:25" x14ac:dyDescent="0.25">
      <c r="A29" s="73">
        <f t="shared" si="0"/>
        <v>24</v>
      </c>
      <c r="B29" s="79">
        <f>'Propriedades geométricas LA '!B29</f>
        <v>117.25</v>
      </c>
      <c r="C29" s="217">
        <f ca="1">IF($Y$17="Preenchido",$M$15,(IF('Propriedades geométricas LA '!C29&lt;$M$15,$M$15,'Propriedades geométricas LA '!C29)))</f>
        <v>16.232764100106174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114"/>
      <c r="R29" s="114"/>
      <c r="S29" s="114"/>
      <c r="T29" s="52"/>
      <c r="U29" s="113"/>
      <c r="V29" s="52"/>
      <c r="W29" s="52"/>
      <c r="X29" s="52"/>
    </row>
    <row r="30" spans="1:25" x14ac:dyDescent="0.25">
      <c r="A30" s="73">
        <f t="shared" si="0"/>
        <v>25</v>
      </c>
      <c r="B30" s="79">
        <f>'Propriedades geométricas LA '!B30</f>
        <v>117.18</v>
      </c>
      <c r="C30" s="217">
        <f ca="1">IF($Y$17="Preenchido",$M$15,(IF('Propriedades geométricas LA '!C30&lt;$M$15,$M$15,'Propriedades geométricas LA '!C30)))</f>
        <v>16.66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113"/>
      <c r="V30" s="52"/>
      <c r="W30" s="52"/>
      <c r="X30" s="52"/>
    </row>
    <row r="31" spans="1:25" x14ac:dyDescent="0.25">
      <c r="A31" s="73">
        <f t="shared" si="0"/>
        <v>26</v>
      </c>
      <c r="B31" s="79">
        <f>'Propriedades geométricas LA '!B31</f>
        <v>116.92</v>
      </c>
      <c r="C31" s="217">
        <f ca="1">IF($Y$17="Preenchido",$M$15,(IF('Propriedades geométricas LA '!C31&lt;$M$15,$M$15,'Propriedades geométricas LA '!C31)))</f>
        <v>17.760000000000002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113"/>
      <c r="V31" s="52"/>
      <c r="W31" s="52"/>
      <c r="X31" s="52"/>
    </row>
    <row r="32" spans="1:25" x14ac:dyDescent="0.25">
      <c r="A32" s="73">
        <f t="shared" si="0"/>
        <v>27</v>
      </c>
      <c r="B32" s="79">
        <f>'Propriedades geométricas LA '!B32</f>
        <v>116.43</v>
      </c>
      <c r="C32" s="217">
        <f ca="1">IF($Y$17="Preenchido",$M$15,(IF('Propriedades geométricas LA '!C32&lt;$M$15,$M$15,'Propriedades geométricas LA '!C32)))</f>
        <v>18.84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x14ac:dyDescent="0.25">
      <c r="A33" s="73">
        <f t="shared" si="0"/>
        <v>28</v>
      </c>
      <c r="B33" s="79">
        <f>'Propriedades geométricas LA '!B33</f>
        <v>115.87</v>
      </c>
      <c r="C33" s="217">
        <f ca="1">IF($Y$17="Preenchido",$M$15,(IF('Propriedades geométricas LA '!C33&lt;$M$15,$M$15,'Propriedades geométricas LA '!C33)))</f>
        <v>19.66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x14ac:dyDescent="0.25">
      <c r="A34" s="73">
        <f t="shared" si="0"/>
        <v>29</v>
      </c>
      <c r="B34" s="79">
        <f>'Propriedades geométricas LA '!B34</f>
        <v>115.23</v>
      </c>
      <c r="C34" s="217">
        <f ca="1">IF($Y$17="Preenchido",$M$15,(IF('Propriedades geométricas LA '!C34&lt;$M$15,$M$15,'Propriedades geométricas LA '!C34)))</f>
        <v>20.350000000000001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25">
      <c r="A35" s="73">
        <f t="shared" si="0"/>
        <v>30</v>
      </c>
      <c r="B35" s="79">
        <f>'Propriedades geométricas LA '!B35</f>
        <v>114.55</v>
      </c>
      <c r="C35" s="217">
        <f ca="1">IF($Y$17="Preenchido",$M$15,(IF('Propriedades geométricas LA '!C35&lt;$M$15,$M$15,'Propriedades geométricas LA '!C35)))</f>
        <v>20.89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spans="1:24" x14ac:dyDescent="0.25">
      <c r="A36" s="73">
        <f t="shared" si="0"/>
        <v>31</v>
      </c>
      <c r="B36" s="79">
        <f>'Propriedades geométricas LA '!B36</f>
        <v>113.9</v>
      </c>
      <c r="C36" s="217">
        <f ca="1">IF($Y$17="Preenchido",$M$15,(IF('Propriedades geométricas LA '!C36&lt;$M$15,$M$15,'Propriedades geométricas LA '!C36)))</f>
        <v>21.29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4" x14ac:dyDescent="0.25">
      <c r="A37" s="73">
        <f t="shared" si="0"/>
        <v>32</v>
      </c>
      <c r="B37" s="79">
        <f>'Propriedades geométricas LA '!B37</f>
        <v>113.18</v>
      </c>
      <c r="C37" s="217">
        <f ca="1">IF($Y$17="Preenchido",$M$15,(IF('Propriedades geométricas LA '!C37&lt;$M$15,$M$15,'Propriedades geométricas LA '!C37)))</f>
        <v>21.61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spans="1:24" x14ac:dyDescent="0.25">
      <c r="A38" s="73">
        <f t="shared" si="0"/>
        <v>33</v>
      </c>
      <c r="B38" s="79">
        <f>'Propriedades geométricas LA '!B38</f>
        <v>112.59</v>
      </c>
      <c r="C38" s="217">
        <f ca="1">IF($Y$17="Preenchido",$M$15,(IF('Propriedades geométricas LA '!C38&lt;$M$15,$M$15,'Propriedades geométricas LA '!C38)))</f>
        <v>21.79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spans="1:24" x14ac:dyDescent="0.25">
      <c r="A39" s="73">
        <f t="shared" si="0"/>
        <v>34</v>
      </c>
      <c r="B39" s="79">
        <f>'Propriedades geométricas LA '!B39</f>
        <v>111.97</v>
      </c>
      <c r="C39" s="217">
        <f ca="1">IF($Y$17="Preenchido",$M$15,(IF('Propriedades geométricas LA '!C39&lt;$M$15,$M$15,'Propriedades geométricas LA '!C39)))</f>
        <v>21.92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spans="1:24" x14ac:dyDescent="0.25">
      <c r="A40" s="73">
        <f t="shared" si="0"/>
        <v>35</v>
      </c>
      <c r="B40" s="79">
        <f>'Propriedades geométricas LA '!B40</f>
        <v>111.3</v>
      </c>
      <c r="C40" s="217">
        <f ca="1">IF($Y$17="Preenchido",$M$15,IF('Propriedades geométricas LA '!C40&lt;$M$15,$M$15,'Propriedades geométricas LA '!C40))</f>
        <v>21.99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73">
        <v>36</v>
      </c>
      <c r="B41" s="79">
        <f>'Propriedades geométricas LA '!B41</f>
        <v>110.7</v>
      </c>
      <c r="C41" s="217">
        <f ca="1">IF($Y$17="Preenchido",$M$15,IF('Propriedades geométricas LA '!C41&lt;$M$15,$M$15,'Propriedades geométricas LA '!C41))</f>
        <v>21.99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73">
        <f t="shared" ref="A42:A79" si="1">1+A41</f>
        <v>37</v>
      </c>
      <c r="B42" s="79">
        <f>'Propriedades geométricas LA '!B42</f>
        <v>110.03</v>
      </c>
      <c r="C42" s="217">
        <f ca="1">IF($Y$17="Preenchido",$M$15,IF('Propriedades geométricas LA '!C42&lt;$M$15,$M$15,'Propriedades geométricas LA '!C42))</f>
        <v>21.92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73">
        <f t="shared" si="1"/>
        <v>38</v>
      </c>
      <c r="B43" s="79">
        <f>'Propriedades geométricas LA '!B43</f>
        <v>109.41</v>
      </c>
      <c r="C43" s="217">
        <f ca="1">IF($Y$17="Preenchido",$M$15,IF('Propriedades geométricas LA '!C43&lt;$M$15,$M$15,'Propriedades geométricas LA '!C43))</f>
        <v>21.79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73">
        <f t="shared" si="1"/>
        <v>39</v>
      </c>
      <c r="B44" s="79">
        <f>'Propriedades geométricas LA '!B44</f>
        <v>108.82</v>
      </c>
      <c r="C44" s="217">
        <f ca="1">IF($Y$17="Preenchido",$M$15,IF('Propriedades geométricas LA '!C44&lt;$M$15,$M$15,'Propriedades geométricas LA '!C44))</f>
        <v>21.61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73">
        <f t="shared" si="1"/>
        <v>40</v>
      </c>
      <c r="B45" s="79">
        <f>'Propriedades geométricas LA '!B45</f>
        <v>108.1</v>
      </c>
      <c r="C45" s="217">
        <f ca="1">IF($Y$17="Preenchido",$M$15,IF('Propriedades geométricas LA '!C45&lt;$M$15,$M$15,'Propriedades geométricas LA '!C45))</f>
        <v>21.29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73">
        <f t="shared" si="1"/>
        <v>41</v>
      </c>
      <c r="B46" s="79">
        <f>'Propriedades geométricas LA '!B46</f>
        <v>107.45</v>
      </c>
      <c r="C46" s="217">
        <f ca="1">IF($Y$17="Preenchido",$M$15,IF('Propriedades geométricas LA '!C46&lt;$M$15,$M$15,'Propriedades geométricas LA '!C46))</f>
        <v>20.89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73">
        <f t="shared" si="1"/>
        <v>42</v>
      </c>
      <c r="B47" s="79">
        <f>'Propriedades geométricas LA '!B47</f>
        <v>106.77</v>
      </c>
      <c r="C47" s="217">
        <f ca="1">IF($Y$17="Preenchido",$M$15,IF('Propriedades geométricas LA '!C47&lt;$M$15,$M$15,'Propriedades geométricas LA '!C47))</f>
        <v>20.350000000000001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73">
        <f t="shared" si="1"/>
        <v>43</v>
      </c>
      <c r="B48" s="79">
        <f>'Propriedades geométricas LA '!B48</f>
        <v>106.13</v>
      </c>
      <c r="C48" s="79">
        <f ca="1">IF('Propriedades geométricas LA '!C48&lt;$M$15,$M$15,'Propriedades geométricas LA '!C48)</f>
        <v>19.66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73">
        <f t="shared" si="1"/>
        <v>44</v>
      </c>
      <c r="B49" s="79">
        <f>'Propriedades geométricas LA '!B49</f>
        <v>105.57</v>
      </c>
      <c r="C49" s="79">
        <f ca="1">IF('Propriedades geométricas LA '!C49&lt;$M$15,$M$15,'Propriedades geométricas LA '!C49)</f>
        <v>18.84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73">
        <f t="shared" si="1"/>
        <v>45</v>
      </c>
      <c r="B50" s="79">
        <f>'Propriedades geométricas LA '!B50</f>
        <v>105.08</v>
      </c>
      <c r="C50" s="79">
        <f ca="1">IF('Propriedades geométricas LA '!C50&lt;$M$15,$M$15,'Propriedades geométricas LA '!C50)</f>
        <v>17.760000000000002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73">
        <f t="shared" si="1"/>
        <v>46</v>
      </c>
      <c r="B51" s="79">
        <f>'Propriedades geométricas LA '!B51</f>
        <v>104.82</v>
      </c>
      <c r="C51" s="79">
        <f ca="1">IF('Propriedades geométricas LA '!C51&lt;$M$15,$M$15,'Propriedades geométricas LA '!C51)</f>
        <v>16.66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73">
        <f t="shared" si="1"/>
        <v>47</v>
      </c>
      <c r="B52" s="79">
        <f>'Propriedades geométricas LA '!B52</f>
        <v>104.75</v>
      </c>
      <c r="C52" s="79">
        <f ca="1">IF('Propriedades geométricas LA '!C52&lt;$M$15,$M$15,'Propriedades geométricas LA '!C52)</f>
        <v>16.232764100106174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73">
        <f t="shared" si="1"/>
        <v>48</v>
      </c>
      <c r="B53" s="79">
        <f>'Propriedades geométricas LA '!B53</f>
        <v>104.75</v>
      </c>
      <c r="C53" s="79">
        <f ca="1">IF('Propriedades geométricas LA '!C53&lt;$M$15,$M$15,'Propriedades geométricas LA '!C53)</f>
        <v>16.232764100106174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73">
        <f t="shared" si="1"/>
        <v>49</v>
      </c>
      <c r="B54" s="79">
        <f>'Propriedades geométricas LA '!B54</f>
        <v>107.9</v>
      </c>
      <c r="C54" s="79">
        <f ca="1">IF('Propriedades geométricas LA '!C54&lt;$M$15,$M$15,'Propriedades geométricas LA '!C54)</f>
        <v>16.232764100106174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73">
        <f t="shared" si="1"/>
        <v>50</v>
      </c>
      <c r="B55" s="79">
        <f>'Propriedades geométricas LA '!B55</f>
        <v>111</v>
      </c>
      <c r="C55" s="79">
        <f ca="1">IF('Propriedades geométricas LA '!C55&lt;$M$15,$M$15,'Propriedades geométricas LA '!C55)</f>
        <v>16.232764100106174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73">
        <f t="shared" si="1"/>
        <v>51</v>
      </c>
      <c r="B56" s="79">
        <f>'Propriedades geométricas LA '!B56</f>
        <v>111</v>
      </c>
      <c r="C56" s="217">
        <f ca="1">IF($X$17="Preenchido",$M$15,IF('Propriedades geométricas LA '!C56&lt;$M$15,$M$15,'Propriedades geométricas LA '!C56))</f>
        <v>16.232764100106174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73">
        <f t="shared" si="1"/>
        <v>52</v>
      </c>
      <c r="B57" s="79">
        <f>'Propriedades geométricas LA '!B57</f>
        <v>94.8</v>
      </c>
      <c r="C57" s="217">
        <f ca="1">IF($X$17="Preenchido",$M$15,IF('Propriedades geométricas LA '!C57&lt;$M$15,$M$15,'Propriedades geométricas LA '!C57))</f>
        <v>16.232764100106174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73">
        <f t="shared" si="1"/>
        <v>53</v>
      </c>
      <c r="B58" s="79">
        <f>'Propriedades geométricas LA '!B58</f>
        <v>94.8</v>
      </c>
      <c r="C58" s="217">
        <f ca="1">IF($X$17="Preenchido",$M$15,IF('Propriedades geométricas LA '!C58&lt;$M$15,$M$15,'Propriedades geométricas LA '!C58))</f>
        <v>16.232764100106174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73">
        <f t="shared" si="1"/>
        <v>54</v>
      </c>
      <c r="B59" s="79">
        <f>'Propriedades geométricas LA '!B59</f>
        <v>97.85</v>
      </c>
      <c r="C59" s="217">
        <f ca="1">IF($X$17="Preenchido",$M$15,IF('Propriedades geométricas LA '!C59&lt;$M$15,$M$15,'Propriedades geométricas LA '!C59))</f>
        <v>16.232764100106174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73">
        <f t="shared" si="1"/>
        <v>55</v>
      </c>
      <c r="B60" s="79">
        <f>'Propriedades geométricas LA '!B60</f>
        <v>101</v>
      </c>
      <c r="C60" s="217">
        <f ca="1">IF($X$17="Preenchido",$M$15,IF('Propriedades geométricas LA '!C60&lt;$M$15,$M$15,'Propriedades geométricas LA '!C60))</f>
        <v>16.232764100106174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73">
        <f t="shared" si="1"/>
        <v>56</v>
      </c>
      <c r="B61" s="79">
        <f>'Propriedades geométricas LA '!B61</f>
        <v>101</v>
      </c>
      <c r="C61" s="217">
        <f ca="1">IF($X$17="Preenchido",$M$15,IF('Propriedades geométricas LA '!C61&lt;$M$15,$M$15,'Propriedades geométricas LA '!C61))</f>
        <v>16.232764100106174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73">
        <f t="shared" si="1"/>
        <v>57</v>
      </c>
      <c r="B62" s="79">
        <f>'Propriedades geométricas LA '!B62</f>
        <v>100.93</v>
      </c>
      <c r="C62" s="217">
        <f ca="1">IF($X$17="Preenchido",$M$15,IF('Propriedades geométricas LA '!C62&lt;$M$15,$M$15,'Propriedades geométricas LA '!C62))</f>
        <v>16.66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73">
        <f t="shared" si="1"/>
        <v>58</v>
      </c>
      <c r="B63" s="79">
        <f>'Propriedades geométricas LA '!B63</f>
        <v>100.67</v>
      </c>
      <c r="C63" s="217">
        <f ca="1">IF($X$17="Preenchido",$M$15,IF('Propriedades geométricas LA '!C63&lt;$M$15,$M$15,'Propriedades geométricas LA '!C63))</f>
        <v>17.760000000000002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73">
        <f t="shared" si="1"/>
        <v>59</v>
      </c>
      <c r="B64" s="79">
        <f>'Propriedades geométricas LA '!B64</f>
        <v>100.18</v>
      </c>
      <c r="C64" s="217">
        <f ca="1">IF($X$17="Preenchido",$M$15,IF('Propriedades geométricas LA '!C64&lt;$M$15,$M$15,'Propriedades geométricas LA '!C64))</f>
        <v>18.84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73">
        <f t="shared" si="1"/>
        <v>60</v>
      </c>
      <c r="B65" s="79">
        <f>'Propriedades geométricas LA '!B65</f>
        <v>99.62</v>
      </c>
      <c r="C65" s="217">
        <f ca="1">IF($X$17="Preenchido",$M$15,IF('Propriedades geométricas LA '!C65&lt;$M$15,$M$15,'Propriedades geométricas LA '!C65))</f>
        <v>19.66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73">
        <f t="shared" si="1"/>
        <v>61</v>
      </c>
      <c r="B66" s="79">
        <f>'Propriedades geométricas LA '!B66</f>
        <v>98.98</v>
      </c>
      <c r="C66" s="217">
        <f ca="1">IF($X$17="Preenchido",$M$15,IF('Propriedades geométricas LA '!C66&lt;$M$15,$M$15,'Propriedades geométricas LA '!C66))</f>
        <v>20.350000000000001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73">
        <f t="shared" si="1"/>
        <v>62</v>
      </c>
      <c r="B67" s="79">
        <f>'Propriedades geométricas LA '!B67</f>
        <v>98.3</v>
      </c>
      <c r="C67" s="217">
        <f ca="1">IF($X$17="Preenchido",$M$15,IF('Propriedades geométricas LA '!C67&lt;$M$15,$M$15,'Propriedades geométricas LA '!C67))</f>
        <v>20.89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73">
        <f t="shared" si="1"/>
        <v>63</v>
      </c>
      <c r="B68" s="79">
        <f>'Propriedades geométricas LA '!B68</f>
        <v>97.65</v>
      </c>
      <c r="C68" s="217">
        <f ca="1">IF($X$17="Preenchido",$M$15,IF('Propriedades geométricas LA '!C68&lt;$M$15,$M$15,'Propriedades geométricas LA '!C68))</f>
        <v>21.29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73">
        <f t="shared" si="1"/>
        <v>64</v>
      </c>
      <c r="B69" s="79">
        <f>'Propriedades geométricas LA '!B69</f>
        <v>96.93</v>
      </c>
      <c r="C69" s="217">
        <f ca="1">IF($X$17="Preenchido",$M$15,IF('Propriedades geométricas LA '!C69&lt;$M$15,$M$15,'Propriedades geométricas LA '!C69))</f>
        <v>21.61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73">
        <f t="shared" si="1"/>
        <v>65</v>
      </c>
      <c r="B70" s="79">
        <f>'Propriedades geométricas LA '!B70</f>
        <v>96.34</v>
      </c>
      <c r="C70" s="217">
        <f ca="1">IF($X$17="Preenchido",$M$15,IF('Propriedades geométricas LA '!C70&lt;$M$15,$M$15,'Propriedades geométricas LA '!C70))</f>
        <v>21.79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73">
        <f t="shared" si="1"/>
        <v>66</v>
      </c>
      <c r="B71" s="79">
        <f>'Propriedades geométricas LA '!B71</f>
        <v>95.72</v>
      </c>
      <c r="C71" s="217">
        <f ca="1">IF($X$17="Preenchido",$M$15,IF('Propriedades geométricas LA '!C71&lt;$M$15,$M$15,'Propriedades geométricas LA '!C71))</f>
        <v>21.92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73">
        <f t="shared" si="1"/>
        <v>67</v>
      </c>
      <c r="B72" s="79">
        <f>'Propriedades geométricas LA '!B72</f>
        <v>95.05</v>
      </c>
      <c r="C72" s="217">
        <f ca="1">IF($X$17="Preenchido",$M$15,IF('Propriedades geométricas LA '!C72&lt;$M$15,$M$15,'Propriedades geométricas LA '!C72))</f>
        <v>21.99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73">
        <f t="shared" si="1"/>
        <v>68</v>
      </c>
      <c r="B73" s="79">
        <f>'Propriedades geométricas LA '!B73</f>
        <v>94.45</v>
      </c>
      <c r="C73" s="217">
        <f ca="1">IF($X$17="Preenchido",$M$15,IF('Propriedades geométricas LA '!C73&lt;$M$15,$M$15,'Propriedades geométricas LA '!C73))</f>
        <v>21.99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73">
        <f t="shared" si="1"/>
        <v>69</v>
      </c>
      <c r="B74" s="79">
        <f>'Propriedades geométricas LA '!B74</f>
        <v>93.78</v>
      </c>
      <c r="C74" s="217">
        <f ca="1">IF($X$17="Preenchido",$M$15,IF('Propriedades geométricas LA '!C74&lt;$M$15,$M$15,'Propriedades geométricas LA '!C74))</f>
        <v>21.92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73">
        <f t="shared" si="1"/>
        <v>70</v>
      </c>
      <c r="B75" s="79">
        <f>'Propriedades geométricas LA '!B75</f>
        <v>93.16</v>
      </c>
      <c r="C75" s="217">
        <f ca="1">IF($X$17="Preenchido",$M$15,IF('Propriedades geométricas LA '!C75&lt;$M$15,$M$15,'Propriedades geométricas LA '!C75))</f>
        <v>21.79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73">
        <f t="shared" si="1"/>
        <v>71</v>
      </c>
      <c r="B76" s="79">
        <f>'Propriedades geométricas LA '!B76</f>
        <v>92.57</v>
      </c>
      <c r="C76" s="79">
        <f ca="1">IF('Propriedades geométricas LA '!C76&lt;$M$15,$M$15,'Propriedades geométricas LA '!C76)</f>
        <v>21.61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73">
        <f t="shared" si="1"/>
        <v>72</v>
      </c>
      <c r="B77" s="79">
        <f>'Propriedades geométricas LA '!B77</f>
        <v>91.85</v>
      </c>
      <c r="C77" s="79">
        <f ca="1">IF('Propriedades geométricas LA '!C77&lt;$M$15,$M$15,'Propriedades geométricas LA '!C77)</f>
        <v>21.29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73">
        <f t="shared" si="1"/>
        <v>73</v>
      </c>
      <c r="B78" s="79">
        <f>'Propriedades geométricas LA '!B78</f>
        <v>91.2</v>
      </c>
      <c r="C78" s="79">
        <f ca="1">IF('Propriedades geométricas LA '!C78&lt;$M$15,$M$15,'Propriedades geométricas LA '!C78)</f>
        <v>20.89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73">
        <f t="shared" si="1"/>
        <v>74</v>
      </c>
      <c r="B79" s="79">
        <f>'Propriedades geométricas LA '!B79</f>
        <v>90.52</v>
      </c>
      <c r="C79" s="79">
        <f ca="1">IF('Propriedades geométricas LA '!C79&lt;$M$15,$M$15,'Propriedades geométricas LA '!C79)</f>
        <v>20.350000000000001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B80" s="79">
        <f>'Propriedades geométricas LA '!B80</f>
        <v>89.88</v>
      </c>
      <c r="C80" s="79">
        <f ca="1">IF('Propriedades geométricas LA '!C80&lt;$M$15,$M$15,'Propriedades geométricas LA '!C80)</f>
        <v>19.66</v>
      </c>
    </row>
    <row r="81" spans="2:3" x14ac:dyDescent="0.25">
      <c r="B81" s="79">
        <f>'Propriedades geométricas LA '!B81</f>
        <v>89.32</v>
      </c>
      <c r="C81" s="79">
        <f ca="1">IF('Propriedades geométricas LA '!C81&lt;$M$15,$M$15,'Propriedades geométricas LA '!C81)</f>
        <v>18.84</v>
      </c>
    </row>
    <row r="82" spans="2:3" x14ac:dyDescent="0.25">
      <c r="B82" s="79">
        <f>'Propriedades geométricas LA '!B82</f>
        <v>88.83</v>
      </c>
      <c r="C82" s="79">
        <f ca="1">IF('Propriedades geométricas LA '!C82&lt;$M$15,$M$15,'Propriedades geométricas LA '!C82)</f>
        <v>17.760000000000002</v>
      </c>
    </row>
    <row r="83" spans="2:3" x14ac:dyDescent="0.25">
      <c r="B83" s="79">
        <f>'Propriedades geométricas LA '!B83</f>
        <v>88.57</v>
      </c>
      <c r="C83" s="79">
        <f ca="1">IF('Propriedades geométricas LA '!C83&lt;$M$15,$M$15,'Propriedades geométricas LA '!C83)</f>
        <v>16.66</v>
      </c>
    </row>
    <row r="84" spans="2:3" x14ac:dyDescent="0.25">
      <c r="B84" s="79">
        <f>'Propriedades geométricas LA '!B84</f>
        <v>88.5</v>
      </c>
      <c r="C84" s="217">
        <f ca="1">IF($W$17="Preenchido",$M$15,IF('Propriedades geométricas LA '!C84&lt;$M$15,$M$15,'Propriedades geométricas LA '!C84))</f>
        <v>16.232764100106174</v>
      </c>
    </row>
    <row r="85" spans="2:3" x14ac:dyDescent="0.25">
      <c r="B85" s="79">
        <f>'Propriedades geométricas LA '!B85</f>
        <v>88.5</v>
      </c>
      <c r="C85" s="217">
        <f ca="1">IF($W$17="Preenchido",$M$15,IF('Propriedades geométricas LA '!C85&lt;$M$15,$M$15,'Propriedades geométricas LA '!C85))</f>
        <v>16.232764100106174</v>
      </c>
    </row>
    <row r="86" spans="2:3" x14ac:dyDescent="0.25">
      <c r="B86" s="79">
        <f>'Propriedades geométricas LA '!B86</f>
        <v>91.65</v>
      </c>
      <c r="C86" s="217">
        <f ca="1">IF($W$17="Preenchido",$M$15,IF('Propriedades geométricas LA '!C86&lt;$M$15,$M$15,'Propriedades geométricas LA '!C86))</f>
        <v>16.232764100106174</v>
      </c>
    </row>
    <row r="87" spans="2:3" x14ac:dyDescent="0.25">
      <c r="B87" s="79">
        <f>'Propriedades geométricas LA '!B87</f>
        <v>94.75</v>
      </c>
      <c r="C87" s="217">
        <f ca="1">IF($W$17="Preenchido",$M$15,IF('Propriedades geométricas LA '!C87&lt;$M$15,$M$15,'Propriedades geométricas LA '!C87))</f>
        <v>16.232764100106174</v>
      </c>
    </row>
    <row r="88" spans="2:3" x14ac:dyDescent="0.25">
      <c r="B88" s="79">
        <f>'Propriedades geométricas LA '!B88</f>
        <v>94.75</v>
      </c>
      <c r="C88" s="217">
        <f ca="1">IF($W$17="Preenchido",$M$15,IF('Propriedades geométricas LA '!C88&lt;$M$15,$M$15,'Propriedades geométricas LA '!C88))</f>
        <v>16.232764100106174</v>
      </c>
    </row>
    <row r="89" spans="2:3" x14ac:dyDescent="0.25">
      <c r="B89" s="79">
        <f>'Propriedades geométricas LA '!B89</f>
        <v>78.55</v>
      </c>
      <c r="C89" s="217">
        <f ca="1">IF($W$17="Preenchido",$M$15,IF('Propriedades geométricas LA '!C89&lt;$M$15,$M$15,'Propriedades geométricas LA '!C89))</f>
        <v>16.232764100106174</v>
      </c>
    </row>
    <row r="90" spans="2:3" x14ac:dyDescent="0.25">
      <c r="B90" s="79">
        <f>'Propriedades geométricas LA '!B90</f>
        <v>78.55</v>
      </c>
      <c r="C90" s="217">
        <f ca="1">IF($W$17="Preenchido",$M$15,IF('Propriedades geométricas LA '!C90&lt;$M$15,$M$15,'Propriedades geométricas LA '!C90))</f>
        <v>16.232764100106174</v>
      </c>
    </row>
    <row r="91" spans="2:3" x14ac:dyDescent="0.25">
      <c r="B91" s="79">
        <f>'Propriedades geométricas LA '!B91</f>
        <v>81.599999999999994</v>
      </c>
      <c r="C91" s="217">
        <f ca="1">IF($W$17="Preenchido",$M$15,IF('Propriedades geométricas LA '!C91&lt;$M$15,$M$15,'Propriedades geométricas LA '!C91))</f>
        <v>16.232764100106174</v>
      </c>
    </row>
    <row r="92" spans="2:3" x14ac:dyDescent="0.25">
      <c r="B92" s="79">
        <f>'Propriedades geométricas LA '!B92</f>
        <v>84.75</v>
      </c>
      <c r="C92" s="217">
        <f ca="1">IF($W$17="Preenchido",$M$15,IF('Propriedades geométricas LA '!C92&lt;$M$15,$M$15,'Propriedades geométricas LA '!C92))</f>
        <v>16.232764100106174</v>
      </c>
    </row>
    <row r="93" spans="2:3" x14ac:dyDescent="0.25">
      <c r="B93" s="79">
        <f>'Propriedades geométricas LA '!B93</f>
        <v>84.75</v>
      </c>
      <c r="C93" s="217">
        <f ca="1">IF($W$17="Preenchido",$M$15,IF('Propriedades geométricas LA '!C93&lt;$M$15,$M$15,'Propriedades geométricas LA '!C93))</f>
        <v>16.232764100106174</v>
      </c>
    </row>
    <row r="94" spans="2:3" x14ac:dyDescent="0.25">
      <c r="B94" s="79">
        <f>'Propriedades geométricas LA '!B94</f>
        <v>84.68</v>
      </c>
      <c r="C94" s="217">
        <f ca="1">IF($W$17="Preenchido",$M$15,IF('Propriedades geométricas LA '!C94&lt;$M$15,$M$15,'Propriedades geométricas LA '!C94))</f>
        <v>16.66</v>
      </c>
    </row>
    <row r="95" spans="2:3" x14ac:dyDescent="0.25">
      <c r="B95" s="79">
        <f>'Propriedades geométricas LA '!B95</f>
        <v>84.42</v>
      </c>
      <c r="C95" s="217">
        <f ca="1">IF($W$17="Preenchido",$M$15,IF('Propriedades geométricas LA '!C95&lt;$M$15,$M$15,'Propriedades geométricas LA '!C95))</f>
        <v>17.760000000000002</v>
      </c>
    </row>
    <row r="96" spans="2:3" x14ac:dyDescent="0.25">
      <c r="B96" s="79">
        <f>'Propriedades geométricas LA '!B96</f>
        <v>83.93</v>
      </c>
      <c r="C96" s="217">
        <f ca="1">IF($W$17="Preenchido",$M$15,IF('Propriedades geométricas LA '!C96&lt;$M$15,$M$15,'Propriedades geométricas LA '!C96))</f>
        <v>18.84</v>
      </c>
    </row>
    <row r="97" spans="2:3" x14ac:dyDescent="0.25">
      <c r="B97" s="79">
        <f>'Propriedades geométricas LA '!B97</f>
        <v>83.37</v>
      </c>
      <c r="C97" s="217">
        <f ca="1">IF($W$17="Preenchido",$M$15,IF('Propriedades geométricas LA '!C97&lt;$M$15,$M$15,'Propriedades geométricas LA '!C97))</f>
        <v>19.66</v>
      </c>
    </row>
    <row r="98" spans="2:3" x14ac:dyDescent="0.25">
      <c r="B98" s="79">
        <f>'Propriedades geométricas LA '!B98</f>
        <v>82.73</v>
      </c>
      <c r="C98" s="217">
        <f ca="1">IF($W$17="Preenchido",$M$15,IF('Propriedades geométricas LA '!C98&lt;$M$15,$M$15,'Propriedades geométricas LA '!C98))</f>
        <v>20.350000000000001</v>
      </c>
    </row>
    <row r="99" spans="2:3" x14ac:dyDescent="0.25">
      <c r="B99" s="79">
        <f>'Propriedades geométricas LA '!B99</f>
        <v>82.05</v>
      </c>
      <c r="C99" s="217">
        <f ca="1">IF($W$17="Preenchido",$M$15,IF('Propriedades geométricas LA '!C99&lt;$M$15,$M$15,'Propriedades geométricas LA '!C99))</f>
        <v>20.89</v>
      </c>
    </row>
    <row r="100" spans="2:3" x14ac:dyDescent="0.25">
      <c r="B100" s="79">
        <f>'Propriedades geométricas LA '!B100</f>
        <v>81.400000000000006</v>
      </c>
      <c r="C100" s="217">
        <f ca="1">IF($W$17="Preenchido",$M$15,IF('Propriedades geométricas LA '!C100&lt;$M$15,$M$15,'Propriedades geométricas LA '!C100))</f>
        <v>21.29</v>
      </c>
    </row>
    <row r="101" spans="2:3" x14ac:dyDescent="0.25">
      <c r="B101" s="79">
        <f>'Propriedades geométricas LA '!B101</f>
        <v>80.680000000000007</v>
      </c>
      <c r="C101" s="217">
        <f ca="1">IF($W$17="Preenchido",$M$15,IF('Propriedades geométricas LA '!C101&lt;$M$15,$M$15,'Propriedades geométricas LA '!C101))</f>
        <v>21.61</v>
      </c>
    </row>
    <row r="102" spans="2:3" x14ac:dyDescent="0.25">
      <c r="B102" s="79">
        <f>'Propriedades geométricas LA '!B102</f>
        <v>80.09</v>
      </c>
      <c r="C102" s="217">
        <f ca="1">IF($W$17="Preenchido",$M$15,IF('Propriedades geométricas LA '!C102&lt;$M$15,$M$15,'Propriedades geométricas LA '!C102))</f>
        <v>21.79</v>
      </c>
    </row>
    <row r="103" spans="2:3" x14ac:dyDescent="0.25">
      <c r="B103" s="79">
        <f>'Propriedades geométricas LA '!B103</f>
        <v>79.47</v>
      </c>
      <c r="C103" s="217">
        <f ca="1">IF($W$17="Preenchido",$M$15,IF('Propriedades geométricas LA '!C103&lt;$M$15,$M$15,'Propriedades geométricas LA '!C103))</f>
        <v>21.92</v>
      </c>
    </row>
    <row r="104" spans="2:3" x14ac:dyDescent="0.25">
      <c r="B104" s="79">
        <f>'Propriedades geométricas LA '!B104</f>
        <v>78.8</v>
      </c>
      <c r="C104" s="79">
        <f ca="1">IF('Propriedades geométricas LA '!C104&lt;$M$15,$M$15,'Propriedades geométricas LA '!C104)</f>
        <v>21.99</v>
      </c>
    </row>
    <row r="105" spans="2:3" x14ac:dyDescent="0.25">
      <c r="B105" s="79">
        <f>'Propriedades geométricas LA '!B105</f>
        <v>78.2</v>
      </c>
      <c r="C105" s="79">
        <f ca="1">IF('Propriedades geométricas LA '!C105&lt;$M$15,$M$15,'Propriedades geométricas LA '!C105)</f>
        <v>21.99</v>
      </c>
    </row>
    <row r="106" spans="2:3" x14ac:dyDescent="0.25">
      <c r="B106" s="79">
        <f>'Propriedades geométricas LA '!B106</f>
        <v>77.53</v>
      </c>
      <c r="C106" s="79">
        <f ca="1">IF('Propriedades geométricas LA '!C106&lt;$M$15,$M$15,'Propriedades geométricas LA '!C106)</f>
        <v>21.92</v>
      </c>
    </row>
    <row r="107" spans="2:3" x14ac:dyDescent="0.25">
      <c r="B107" s="79">
        <f>'Propriedades geométricas LA '!B107</f>
        <v>76.91</v>
      </c>
      <c r="C107" s="79">
        <f ca="1">IF('Propriedades geométricas LA '!C107&lt;$M$15,$M$15,'Propriedades geométricas LA '!C107)</f>
        <v>21.79</v>
      </c>
    </row>
    <row r="108" spans="2:3" x14ac:dyDescent="0.25">
      <c r="B108" s="79">
        <f>'Propriedades geométricas LA '!B108</f>
        <v>76.319999999999993</v>
      </c>
      <c r="C108" s="79">
        <f ca="1">IF('Propriedades geométricas LA '!C108&lt;$M$15,$M$15,'Propriedades geométricas LA '!C108)</f>
        <v>21.61</v>
      </c>
    </row>
    <row r="109" spans="2:3" x14ac:dyDescent="0.25">
      <c r="B109" s="79">
        <f>'Propriedades geométricas LA '!B109</f>
        <v>75.599999999999994</v>
      </c>
      <c r="C109" s="79">
        <f ca="1">IF('Propriedades geométricas LA '!C109&lt;$M$15,$M$15,'Propriedades geométricas LA '!C109)</f>
        <v>21.29</v>
      </c>
    </row>
    <row r="110" spans="2:3" x14ac:dyDescent="0.25">
      <c r="B110" s="79">
        <f>'Propriedades geométricas LA '!B110</f>
        <v>74.95</v>
      </c>
      <c r="C110" s="79">
        <f ca="1">IF('Propriedades geométricas LA '!C110&lt;$M$15,$M$15,'Propriedades geométricas LA '!C110)</f>
        <v>20.89</v>
      </c>
    </row>
    <row r="111" spans="2:3" x14ac:dyDescent="0.25">
      <c r="B111" s="79">
        <f>'Propriedades geométricas LA '!B111</f>
        <v>74.27</v>
      </c>
      <c r="C111" s="79">
        <f ca="1">IF('Propriedades geométricas LA '!C111&lt;$M$15,$M$15,'Propriedades geométricas LA '!C111)</f>
        <v>20.350000000000001</v>
      </c>
    </row>
    <row r="112" spans="2:3" x14ac:dyDescent="0.25">
      <c r="B112" s="79">
        <f>'Propriedades geométricas LA '!B112</f>
        <v>73.63</v>
      </c>
      <c r="C112" s="217">
        <f ca="1">IF($V$17="Preenchido",$M$15,IF('Propriedades geométricas LA '!C112&lt;$M$15,$M$15,'Propriedades geométricas LA '!C112))</f>
        <v>19.66</v>
      </c>
    </row>
    <row r="113" spans="2:3" x14ac:dyDescent="0.25">
      <c r="B113" s="79">
        <f>'Propriedades geométricas LA '!B113</f>
        <v>73.069999999999993</v>
      </c>
      <c r="C113" s="217">
        <f ca="1">IF($V$17="Preenchido",$M$15,IF('Propriedades geométricas LA '!C113&lt;$M$15,$M$15,'Propriedades geométricas LA '!C113))</f>
        <v>18.84</v>
      </c>
    </row>
    <row r="114" spans="2:3" x14ac:dyDescent="0.25">
      <c r="B114" s="79">
        <f>'Propriedades geométricas LA '!B114</f>
        <v>72.58</v>
      </c>
      <c r="C114" s="217">
        <f ca="1">IF($V$17="Preenchido",$M$15,IF('Propriedades geométricas LA '!C114&lt;$M$15,$M$15,'Propriedades geométricas LA '!C114))</f>
        <v>17.760000000000002</v>
      </c>
    </row>
    <row r="115" spans="2:3" x14ac:dyDescent="0.25">
      <c r="B115" s="79">
        <f>'Propriedades geométricas LA '!B115</f>
        <v>72.319999999999993</v>
      </c>
      <c r="C115" s="217">
        <f ca="1">IF($V$17="Preenchido",$M$15,IF('Propriedades geométricas LA '!C115&lt;$M$15,$M$15,'Propriedades geométricas LA '!C115))</f>
        <v>16.66</v>
      </c>
    </row>
    <row r="116" spans="2:3" x14ac:dyDescent="0.25">
      <c r="B116" s="79">
        <f>'Propriedades geométricas LA '!B116</f>
        <v>72.25</v>
      </c>
      <c r="C116" s="217">
        <f ca="1">IF($V$17="Preenchido",$M$15,IF('Propriedades geométricas LA '!C116&lt;$M$15,$M$15,'Propriedades geométricas LA '!C116))</f>
        <v>16.232764100106174</v>
      </c>
    </row>
    <row r="117" spans="2:3" x14ac:dyDescent="0.25">
      <c r="B117" s="79">
        <f>'Propriedades geométricas LA '!B117</f>
        <v>72.25</v>
      </c>
      <c r="C117" s="217">
        <f ca="1">IF($V$17="Preenchido",$M$15,IF('Propriedades geométricas LA '!C117&lt;$M$15,$M$15,'Propriedades geométricas LA '!C117))</f>
        <v>16.232764100106174</v>
      </c>
    </row>
    <row r="118" spans="2:3" x14ac:dyDescent="0.25">
      <c r="B118" s="79">
        <f>'Propriedades geométricas LA '!B118</f>
        <v>75.400000000000006</v>
      </c>
      <c r="C118" s="217">
        <f ca="1">IF($V$17="Preenchido",$M$15,IF('Propriedades geométricas LA '!C118&lt;$M$15,$M$15,'Propriedades geométricas LA '!C118))</f>
        <v>16.232764100106174</v>
      </c>
    </row>
    <row r="119" spans="2:3" x14ac:dyDescent="0.25">
      <c r="B119" s="79">
        <f>'Propriedades geométricas LA '!B119</f>
        <v>78.5</v>
      </c>
      <c r="C119" s="217">
        <f ca="1">IF($V$17="Preenchido",$M$15,IF('Propriedades geométricas LA '!C119&lt;$M$15,$M$15,'Propriedades geométricas LA '!C119))</f>
        <v>16.232764100106174</v>
      </c>
    </row>
    <row r="120" spans="2:3" x14ac:dyDescent="0.25">
      <c r="B120" s="79">
        <f>'Propriedades geométricas LA '!B120</f>
        <v>78.5</v>
      </c>
      <c r="C120" s="217">
        <f ca="1">IF($V$17="Preenchido",$M$15,IF('Propriedades geométricas LA '!C120&lt;$M$15,$M$15,'Propriedades geométricas LA '!C120))</f>
        <v>16.232764100106174</v>
      </c>
    </row>
    <row r="121" spans="2:3" x14ac:dyDescent="0.25">
      <c r="B121" s="79">
        <f>'Propriedades geométricas LA '!B121</f>
        <v>62.3</v>
      </c>
      <c r="C121" s="217">
        <f ca="1">IF($V$17="Preenchido",$M$15,IF('Propriedades geométricas LA '!C121&lt;$M$15,$M$15,'Propriedades geométricas LA '!C121))</f>
        <v>16.232764100106174</v>
      </c>
    </row>
    <row r="122" spans="2:3" x14ac:dyDescent="0.25">
      <c r="B122" s="79">
        <f>'Propriedades geométricas LA '!B122</f>
        <v>62.3</v>
      </c>
      <c r="C122" s="217">
        <f ca="1">IF($V$17="Preenchido",$M$15,IF('Propriedades geométricas LA '!C122&lt;$M$15,$M$15,'Propriedades geométricas LA '!C122))</f>
        <v>16.232764100106174</v>
      </c>
    </row>
    <row r="123" spans="2:3" x14ac:dyDescent="0.25">
      <c r="B123" s="79">
        <f>'Propriedades geométricas LA '!B123</f>
        <v>65.349999999999994</v>
      </c>
      <c r="C123" s="217">
        <f ca="1">IF($V$17="Preenchido",$M$15,IF('Propriedades geométricas LA '!C123&lt;$M$15,$M$15,'Propriedades geométricas LA '!C123))</f>
        <v>16.232764100106174</v>
      </c>
    </row>
    <row r="124" spans="2:3" x14ac:dyDescent="0.25">
      <c r="B124" s="79">
        <f>'Propriedades geométricas LA '!B124</f>
        <v>68.5</v>
      </c>
      <c r="C124" s="217">
        <f ca="1">IF($V$17="Preenchido",$M$15,IF('Propriedades geométricas LA '!C124&lt;$M$15,$M$15,'Propriedades geométricas LA '!C124))</f>
        <v>16.232764100106174</v>
      </c>
    </row>
    <row r="125" spans="2:3" x14ac:dyDescent="0.25">
      <c r="B125" s="79">
        <f>'Propriedades geométricas LA '!B125</f>
        <v>68.5</v>
      </c>
      <c r="C125" s="217">
        <f ca="1">IF($V$17="Preenchido",$M$15,IF('Propriedades geométricas LA '!C125&lt;$M$15,$M$15,'Propriedades geométricas LA '!C125))</f>
        <v>16.232764100106174</v>
      </c>
    </row>
    <row r="126" spans="2:3" x14ac:dyDescent="0.25">
      <c r="B126" s="79">
        <f>'Propriedades geométricas LA '!B126</f>
        <v>68.430000000000007</v>
      </c>
      <c r="C126" s="217">
        <f ca="1">IF($V$17="Preenchido",$M$15,IF('Propriedades geométricas LA '!C126&lt;$M$15,$M$15,'Propriedades geométricas LA '!C126))</f>
        <v>16.66</v>
      </c>
    </row>
    <row r="127" spans="2:3" x14ac:dyDescent="0.25">
      <c r="B127" s="79">
        <f>'Propriedades geométricas LA '!B127</f>
        <v>68.17</v>
      </c>
      <c r="C127" s="217">
        <f ca="1">IF($V$17="Preenchido",$M$15,IF('Propriedades geométricas LA '!C127&lt;$M$15,$M$15,'Propriedades geométricas LA '!C127))</f>
        <v>17.760000000000002</v>
      </c>
    </row>
    <row r="128" spans="2:3" x14ac:dyDescent="0.25">
      <c r="B128" s="79">
        <f>'Propriedades geométricas LA '!B128</f>
        <v>67.680000000000007</v>
      </c>
      <c r="C128" s="217">
        <f ca="1">IF($V$17="Preenchido",$M$15,IF('Propriedades geométricas LA '!C128&lt;$M$15,$M$15,'Propriedades geométricas LA '!C128))</f>
        <v>18.84</v>
      </c>
    </row>
    <row r="129" spans="2:3" x14ac:dyDescent="0.25">
      <c r="B129" s="79">
        <f>'Propriedades geométricas LA '!B129</f>
        <v>67.12</v>
      </c>
      <c r="C129" s="217">
        <f ca="1">IF($V$17="Preenchido",$M$15,IF('Propriedades geométricas LA '!C129&lt;$M$15,$M$15,'Propriedades geométricas LA '!C129))</f>
        <v>19.66</v>
      </c>
    </row>
    <row r="130" spans="2:3" x14ac:dyDescent="0.25">
      <c r="B130" s="79">
        <f>'Propriedades geométricas LA '!B130</f>
        <v>66.48</v>
      </c>
      <c r="C130" s="217">
        <f ca="1">IF($V$17="Preenchido",$M$15,IF('Propriedades geométricas LA '!C130&lt;$M$15,$M$15,'Propriedades geométricas LA '!C130))</f>
        <v>20.350000000000001</v>
      </c>
    </row>
    <row r="131" spans="2:3" x14ac:dyDescent="0.25">
      <c r="B131" s="79">
        <f>'Propriedades geométricas LA '!B131</f>
        <v>65.8</v>
      </c>
      <c r="C131" s="217">
        <f ca="1">IF($V$17="Preenchido",$M$15,IF('Propriedades geométricas LA '!C131&lt;$M$15,$M$15,'Propriedades geométricas LA '!C131))</f>
        <v>20.89</v>
      </c>
    </row>
    <row r="132" spans="2:3" x14ac:dyDescent="0.25">
      <c r="B132" s="79">
        <f>'Propriedades geométricas LA '!B132</f>
        <v>65.150000000000006</v>
      </c>
      <c r="C132" s="79">
        <f ca="1">IF('Propriedades geométricas LA '!C132&lt;$M$15,$M$15,'Propriedades geométricas LA '!C132)</f>
        <v>21.29</v>
      </c>
    </row>
    <row r="133" spans="2:3" x14ac:dyDescent="0.25">
      <c r="B133" s="79">
        <f>'Propriedades geométricas LA '!B133</f>
        <v>64.430000000000007</v>
      </c>
      <c r="C133" s="79">
        <f ca="1">IF('Propriedades geométricas LA '!C133&lt;$M$15,$M$15,'Propriedades geométricas LA '!C133)</f>
        <v>21.61</v>
      </c>
    </row>
    <row r="134" spans="2:3" x14ac:dyDescent="0.25">
      <c r="B134" s="79">
        <f>'Propriedades geométricas LA '!B134</f>
        <v>63.84</v>
      </c>
      <c r="C134" s="79">
        <f ca="1">IF('Propriedades geométricas LA '!C134&lt;$M$15,$M$15,'Propriedades geométricas LA '!C134)</f>
        <v>21.79</v>
      </c>
    </row>
    <row r="135" spans="2:3" x14ac:dyDescent="0.25">
      <c r="B135" s="79">
        <f>'Propriedades geométricas LA '!B135</f>
        <v>63.22</v>
      </c>
      <c r="C135" s="79">
        <f ca="1">IF('Propriedades geométricas LA '!C135&lt;$M$15,$M$15,'Propriedades geométricas LA '!C135)</f>
        <v>21.92</v>
      </c>
    </row>
    <row r="136" spans="2:3" x14ac:dyDescent="0.25">
      <c r="B136" s="79">
        <f>'Propriedades geométricas LA '!B136</f>
        <v>62.55</v>
      </c>
      <c r="C136" s="79">
        <f ca="1">IF('Propriedades geométricas LA '!C136&lt;$M$15,$M$15,'Propriedades geométricas LA '!C136)</f>
        <v>21.99</v>
      </c>
    </row>
    <row r="137" spans="2:3" x14ac:dyDescent="0.25">
      <c r="B137" s="79">
        <f>'Propriedades geométricas LA '!B137</f>
        <v>61.95</v>
      </c>
      <c r="C137" s="79">
        <f ca="1">IF('Propriedades geométricas LA '!C137&lt;$M$15,$M$15,'Propriedades geométricas LA '!C137)</f>
        <v>21.99</v>
      </c>
    </row>
    <row r="138" spans="2:3" x14ac:dyDescent="0.25">
      <c r="B138" s="79">
        <f>'Propriedades geométricas LA '!B138</f>
        <v>61.28</v>
      </c>
      <c r="C138" s="79">
        <f ca="1">IF('Propriedades geométricas LA '!C138&lt;$M$15,$M$15,'Propriedades geométricas LA '!C138)</f>
        <v>21.92</v>
      </c>
    </row>
    <row r="139" spans="2:3" x14ac:dyDescent="0.25">
      <c r="B139" s="79">
        <f>'Propriedades geométricas LA '!B139</f>
        <v>60.66</v>
      </c>
      <c r="C139" s="79">
        <f ca="1">IF('Propriedades geométricas LA '!C139&lt;$M$15,$M$15,'Propriedades geométricas LA '!C139)</f>
        <v>21.79</v>
      </c>
    </row>
    <row r="140" spans="2:3" x14ac:dyDescent="0.25">
      <c r="B140" s="79">
        <f>'Propriedades geométricas LA '!B140</f>
        <v>60.069999999999993</v>
      </c>
      <c r="C140" s="217">
        <f ca="1">IF($U$17="Preenchido",$M$15,IF('Propriedades geométricas LA '!C140&lt;$M$15,$M$15,'Propriedades geométricas LA '!C140))</f>
        <v>21.61</v>
      </c>
    </row>
    <row r="141" spans="2:3" x14ac:dyDescent="0.25">
      <c r="B141" s="79">
        <f>'Propriedades geométricas LA '!B141</f>
        <v>59.349999999999994</v>
      </c>
      <c r="C141" s="217">
        <f ca="1">IF($U$17="Preenchido",$M$15,IF('Propriedades geométricas LA '!C141&lt;$M$15,$M$15,'Propriedades geométricas LA '!C141))</f>
        <v>21.29</v>
      </c>
    </row>
    <row r="142" spans="2:3" x14ac:dyDescent="0.25">
      <c r="B142" s="79">
        <f>'Propriedades geométricas LA '!B142</f>
        <v>58.7</v>
      </c>
      <c r="C142" s="217">
        <f ca="1">IF($U$17="Preenchido",$M$15,IF('Propriedades geométricas LA '!C142&lt;$M$15,$M$15,'Propriedades geométricas LA '!C142))</f>
        <v>20.89</v>
      </c>
    </row>
    <row r="143" spans="2:3" x14ac:dyDescent="0.25">
      <c r="B143" s="79">
        <f>'Propriedades geométricas LA '!B143</f>
        <v>58.019999999999996</v>
      </c>
      <c r="C143" s="217">
        <f ca="1">IF($U$17="Preenchido",$M$15,IF('Propriedades geométricas LA '!C143&lt;$M$15,$M$15,'Propriedades geométricas LA '!C143))</f>
        <v>20.350000000000001</v>
      </c>
    </row>
    <row r="144" spans="2:3" x14ac:dyDescent="0.25">
      <c r="B144" s="79">
        <f>'Propriedades geométricas LA '!B144</f>
        <v>57.379999999999995</v>
      </c>
      <c r="C144" s="217">
        <f ca="1">IF($U$17="Preenchido",$M$15,IF('Propriedades geométricas LA '!C144&lt;$M$15,$M$15,'Propriedades geométricas LA '!C144))</f>
        <v>19.66</v>
      </c>
    </row>
    <row r="145" spans="2:3" x14ac:dyDescent="0.25">
      <c r="B145" s="79">
        <f>'Propriedades geométricas LA '!B145</f>
        <v>56.819999999999993</v>
      </c>
      <c r="C145" s="217">
        <f ca="1">IF($U$17="Preenchido",$M$15,IF('Propriedades geométricas LA '!C145&lt;$M$15,$M$15,'Propriedades geométricas LA '!C145))</f>
        <v>18.84</v>
      </c>
    </row>
    <row r="146" spans="2:3" x14ac:dyDescent="0.25">
      <c r="B146" s="79">
        <f>'Propriedades geométricas LA '!B146</f>
        <v>56.33</v>
      </c>
      <c r="C146" s="217">
        <f ca="1">IF($U$17="Preenchido",$M$15,IF('Propriedades geométricas LA '!C146&lt;$M$15,$M$15,'Propriedades geométricas LA '!C146))</f>
        <v>17.760000000000002</v>
      </c>
    </row>
    <row r="147" spans="2:3" x14ac:dyDescent="0.25">
      <c r="B147" s="79">
        <f>'Propriedades geométricas LA '!B147</f>
        <v>56.069999999999993</v>
      </c>
      <c r="C147" s="217">
        <f ca="1">IF($U$17="Preenchido",$M$15,IF('Propriedades geométricas LA '!C147&lt;$M$15,$M$15,'Propriedades geométricas LA '!C147))</f>
        <v>16.66</v>
      </c>
    </row>
    <row r="148" spans="2:3" x14ac:dyDescent="0.25">
      <c r="B148" s="79">
        <f>'Propriedades geométricas LA '!B148</f>
        <v>56</v>
      </c>
      <c r="C148" s="217">
        <f ca="1">IF($U$17="Preenchido",$M$15,IF('Propriedades geométricas LA '!C148&lt;$M$15,$M$15,'Propriedades geométricas LA '!C148))</f>
        <v>16.232764100106174</v>
      </c>
    </row>
    <row r="149" spans="2:3" x14ac:dyDescent="0.25">
      <c r="B149" s="79">
        <f>'Propriedades geométricas LA '!B149</f>
        <v>56</v>
      </c>
      <c r="C149" s="217">
        <f ca="1">IF($U$17="Preenchido",$M$15,IF('Propriedades geométricas LA '!C149&lt;$M$15,$M$15,'Propriedades geométricas LA '!C149))</f>
        <v>16.232764100106174</v>
      </c>
    </row>
    <row r="150" spans="2:3" x14ac:dyDescent="0.25">
      <c r="B150" s="79">
        <f>'Propriedades geométricas LA '!B150</f>
        <v>59.150000000000006</v>
      </c>
      <c r="C150" s="217">
        <f ca="1">IF($U$17="Preenchido",$M$15,IF('Propriedades geométricas LA '!C150&lt;$M$15,$M$15,'Propriedades geométricas LA '!C150))</f>
        <v>16.232764100106174</v>
      </c>
    </row>
    <row r="151" spans="2:3" x14ac:dyDescent="0.25">
      <c r="B151" s="79">
        <f>'Propriedades geométricas LA '!B151</f>
        <v>62.25</v>
      </c>
      <c r="C151" s="217">
        <f ca="1">IF($U$17="Preenchido",$M$15,IF('Propriedades geométricas LA '!C151&lt;$M$15,$M$15,'Propriedades geométricas LA '!C151))</f>
        <v>16.232764100106174</v>
      </c>
    </row>
    <row r="152" spans="2:3" x14ac:dyDescent="0.25">
      <c r="B152" s="79">
        <f>'Propriedades geométricas LA '!B152</f>
        <v>62.25</v>
      </c>
      <c r="C152" s="217">
        <f ca="1">IF($U$17="Preenchido",$M$15,IF('Propriedades geométricas LA '!C152&lt;$M$15,$M$15,'Propriedades geométricas LA '!C152))</f>
        <v>16.232764100106174</v>
      </c>
    </row>
    <row r="153" spans="2:3" x14ac:dyDescent="0.25">
      <c r="B153" s="79">
        <f>'Propriedades geométricas LA '!B153</f>
        <v>46.05</v>
      </c>
      <c r="C153" s="217">
        <f ca="1">IF($U$17="Preenchido",$M$15,IF('Propriedades geométricas LA '!C153&lt;$M$15,$M$15,'Propriedades geométricas LA '!C153))</f>
        <v>16.232764100106174</v>
      </c>
    </row>
    <row r="154" spans="2:3" x14ac:dyDescent="0.25">
      <c r="B154" s="79">
        <f>'Propriedades geométricas LA '!B154</f>
        <v>46.05</v>
      </c>
      <c r="C154" s="217">
        <f ca="1">IF($U$17="Preenchido",$M$15,IF('Propriedades geométricas LA '!C154&lt;$M$15,$M$15,'Propriedades geométricas LA '!C154))</f>
        <v>16.232764100106174</v>
      </c>
    </row>
    <row r="155" spans="2:3" x14ac:dyDescent="0.25">
      <c r="B155" s="79">
        <f>'Propriedades geométricas LA '!B155</f>
        <v>49.099999999999994</v>
      </c>
      <c r="C155" s="217">
        <f ca="1">IF($U$17="Preenchido",$M$15,IF('Propriedades geométricas LA '!C155&lt;$M$15,$M$15,'Propriedades geométricas LA '!C155))</f>
        <v>16.232764100106174</v>
      </c>
    </row>
    <row r="156" spans="2:3" x14ac:dyDescent="0.25">
      <c r="B156" s="79">
        <f>'Propriedades geométricas LA '!B156</f>
        <v>52.25</v>
      </c>
      <c r="C156" s="217">
        <f ca="1">IF($U$17="Preenchido",$M$15,IF('Propriedades geométricas LA '!C156&lt;$M$15,$M$15,'Propriedades geométricas LA '!C156))</f>
        <v>16.232764100106174</v>
      </c>
    </row>
    <row r="157" spans="2:3" x14ac:dyDescent="0.25">
      <c r="B157" s="79">
        <f>'Propriedades geométricas LA '!B157</f>
        <v>52.25</v>
      </c>
      <c r="C157" s="217">
        <f ca="1">IF($U$17="Preenchido",$M$15,IF('Propriedades geométricas LA '!C157&lt;$M$15,$M$15,'Propriedades geométricas LA '!C157))</f>
        <v>16.232764100106174</v>
      </c>
    </row>
    <row r="158" spans="2:3" x14ac:dyDescent="0.25">
      <c r="B158" s="79">
        <f>'Propriedades geométricas LA '!B158</f>
        <v>52.180000000000007</v>
      </c>
      <c r="C158" s="217">
        <f ca="1">IF($U$17="Preenchido",$M$15,IF('Propriedades geométricas LA '!C158&lt;$M$15,$M$15,'Propriedades geométricas LA '!C158))</f>
        <v>16.66</v>
      </c>
    </row>
    <row r="159" spans="2:3" x14ac:dyDescent="0.25">
      <c r="B159" s="79">
        <f>'Propriedades geométricas LA '!B159</f>
        <v>51.92</v>
      </c>
      <c r="C159" s="217">
        <f ca="1">IF($U$17="Preenchido",$M$15,IF('Propriedades geométricas LA '!C159&lt;$M$15,$M$15,'Propriedades geométricas LA '!C159))</f>
        <v>17.760000000000002</v>
      </c>
    </row>
    <row r="160" spans="2:3" x14ac:dyDescent="0.25">
      <c r="B160" s="79">
        <f>'Propriedades geométricas LA '!B160</f>
        <v>51.430000000000007</v>
      </c>
      <c r="C160" s="79">
        <f ca="1">IF('Propriedades geométricas LA '!C160&lt;$M$15,$M$15,'Propriedades geométricas LA '!C160)</f>
        <v>18.84</v>
      </c>
    </row>
    <row r="161" spans="2:3" x14ac:dyDescent="0.25">
      <c r="B161" s="79">
        <f>'Propriedades geométricas LA '!B161</f>
        <v>50.870000000000005</v>
      </c>
      <c r="C161" s="79">
        <f ca="1">IF('Propriedades geométricas LA '!C161&lt;$M$15,$M$15,'Propriedades geométricas LA '!C161)</f>
        <v>19.66</v>
      </c>
    </row>
    <row r="162" spans="2:3" x14ac:dyDescent="0.25">
      <c r="B162" s="79">
        <f>'Propriedades geométricas LA '!B162</f>
        <v>50.230000000000004</v>
      </c>
      <c r="C162" s="79">
        <f ca="1">IF('Propriedades geométricas LA '!C162&lt;$M$15,$M$15,'Propriedades geométricas LA '!C162)</f>
        <v>20.350000000000001</v>
      </c>
    </row>
    <row r="163" spans="2:3" x14ac:dyDescent="0.25">
      <c r="B163" s="79">
        <f>'Propriedades geométricas LA '!B163</f>
        <v>49.55</v>
      </c>
      <c r="C163" s="79">
        <f ca="1">IF('Propriedades geométricas LA '!C163&lt;$M$15,$M$15,'Propriedades geométricas LA '!C163)</f>
        <v>20.89</v>
      </c>
    </row>
    <row r="164" spans="2:3" x14ac:dyDescent="0.25">
      <c r="B164" s="79">
        <f>'Propriedades geométricas LA '!B164</f>
        <v>48.900000000000006</v>
      </c>
      <c r="C164" s="79">
        <f ca="1">IF('Propriedades geométricas LA '!C164&lt;$M$15,$M$15,'Propriedades geométricas LA '!C164)</f>
        <v>21.29</v>
      </c>
    </row>
    <row r="165" spans="2:3" x14ac:dyDescent="0.25">
      <c r="B165" s="79">
        <f>'Propriedades geométricas LA '!B165</f>
        <v>48.180000000000007</v>
      </c>
      <c r="C165" s="79">
        <f ca="1">IF('Propriedades geométricas LA '!C165&lt;$M$15,$M$15,'Propriedades geométricas LA '!C165)</f>
        <v>21.61</v>
      </c>
    </row>
    <row r="166" spans="2:3" x14ac:dyDescent="0.25">
      <c r="B166" s="79">
        <f>'Propriedades geométricas LA '!B166</f>
        <v>47.59</v>
      </c>
      <c r="C166" s="79">
        <f ca="1">IF('Propriedades geométricas LA '!C166&lt;$M$15,$M$15,'Propriedades geométricas LA '!C166)</f>
        <v>21.79</v>
      </c>
    </row>
    <row r="167" spans="2:3" x14ac:dyDescent="0.25">
      <c r="B167" s="79">
        <f>'Propriedades geométricas LA '!B167</f>
        <v>46.97</v>
      </c>
      <c r="C167" s="79">
        <f ca="1">IF('Propriedades geométricas LA '!C167&lt;$M$15,$M$15,'Propriedades geométricas LA '!C167)</f>
        <v>21.92</v>
      </c>
    </row>
    <row r="168" spans="2:3" x14ac:dyDescent="0.25">
      <c r="B168" s="79">
        <f>'Propriedades geométricas LA '!B168</f>
        <v>46.3</v>
      </c>
      <c r="C168" s="217">
        <f ca="1">IF($T$17="Preenchido",$M$15,IF('Propriedades geométricas LA '!C168&lt;$M$15,$M$15,'Propriedades geométricas LA '!C168))</f>
        <v>21.99</v>
      </c>
    </row>
    <row r="169" spans="2:3" x14ac:dyDescent="0.25">
      <c r="B169" s="79">
        <f>'Propriedades geométricas LA '!B169</f>
        <v>45.7</v>
      </c>
      <c r="C169" s="217">
        <f ca="1">IF($T$17="Preenchido",$M$15,IF('Propriedades geométricas LA '!C169&lt;$M$15,$M$15,'Propriedades geométricas LA '!C169))</f>
        <v>21.99</v>
      </c>
    </row>
    <row r="170" spans="2:3" x14ac:dyDescent="0.25">
      <c r="B170" s="79">
        <f>'Propriedades geométricas LA '!B170</f>
        <v>45.03</v>
      </c>
      <c r="C170" s="217">
        <f ca="1">IF($T$17="Preenchido",$M$15,IF('Propriedades geométricas LA '!C170&lt;$M$15,$M$15,'Propriedades geométricas LA '!C170))</f>
        <v>21.92</v>
      </c>
    </row>
    <row r="171" spans="2:3" x14ac:dyDescent="0.25">
      <c r="B171" s="79">
        <f>'Propriedades geométricas LA '!B171</f>
        <v>44.41</v>
      </c>
      <c r="C171" s="217">
        <f ca="1">IF($T$17="Preenchido",$M$15,IF('Propriedades geométricas LA '!C171&lt;$M$15,$M$15,'Propriedades geométricas LA '!C171))</f>
        <v>21.79</v>
      </c>
    </row>
    <row r="172" spans="2:3" x14ac:dyDescent="0.25">
      <c r="B172" s="79">
        <f>'Propriedades geométricas LA '!B172</f>
        <v>43.819999999999993</v>
      </c>
      <c r="C172" s="217">
        <f ca="1">IF($T$17="Preenchido",$M$15,IF('Propriedades geométricas LA '!C172&lt;$M$15,$M$15,'Propriedades geométricas LA '!C172))</f>
        <v>21.61</v>
      </c>
    </row>
    <row r="173" spans="2:3" x14ac:dyDescent="0.25">
      <c r="B173" s="79">
        <f>'Propriedades geométricas LA '!B173</f>
        <v>43.099999999999994</v>
      </c>
      <c r="C173" s="217">
        <f ca="1">IF($T$17="Preenchido",$M$15,IF('Propriedades geométricas LA '!C173&lt;$M$15,$M$15,'Propriedades geométricas LA '!C173))</f>
        <v>21.29</v>
      </c>
    </row>
    <row r="174" spans="2:3" x14ac:dyDescent="0.25">
      <c r="B174" s="79">
        <f>'Propriedades geométricas LA '!B174</f>
        <v>42.45</v>
      </c>
      <c r="C174" s="217">
        <f ca="1">IF($T$17="Preenchido",$M$15,IF('Propriedades geométricas LA '!C174&lt;$M$15,$M$15,'Propriedades geométricas LA '!C174))</f>
        <v>20.89</v>
      </c>
    </row>
    <row r="175" spans="2:3" x14ac:dyDescent="0.25">
      <c r="B175" s="79">
        <f>'Propriedades geométricas LA '!B175</f>
        <v>41.769999999999996</v>
      </c>
      <c r="C175" s="217">
        <f ca="1">IF($T$17="Preenchido",$M$15,IF('Propriedades geométricas LA '!C175&lt;$M$15,$M$15,'Propriedades geométricas LA '!C175))</f>
        <v>20.350000000000001</v>
      </c>
    </row>
    <row r="176" spans="2:3" x14ac:dyDescent="0.25">
      <c r="B176" s="79">
        <f>'Propriedades geométricas LA '!B176</f>
        <v>41.129999999999995</v>
      </c>
      <c r="C176" s="217">
        <f ca="1">IF($T$17="Preenchido",$M$15,IF('Propriedades geométricas LA '!C176&lt;$M$15,$M$15,'Propriedades geométricas LA '!C176))</f>
        <v>19.66</v>
      </c>
    </row>
    <row r="177" spans="2:3" x14ac:dyDescent="0.25">
      <c r="B177" s="79">
        <f>'Propriedades geométricas LA '!B177</f>
        <v>40.569999999999993</v>
      </c>
      <c r="C177" s="217">
        <f ca="1">IF($T$17="Preenchido",$M$15,IF('Propriedades geométricas LA '!C177&lt;$M$15,$M$15,'Propriedades geométricas LA '!C177))</f>
        <v>18.84</v>
      </c>
    </row>
    <row r="178" spans="2:3" x14ac:dyDescent="0.25">
      <c r="B178" s="79">
        <f>'Propriedades geométricas LA '!B178</f>
        <v>40.08</v>
      </c>
      <c r="C178" s="217">
        <f ca="1">IF($T$17="Preenchido",$M$15,IF('Propriedades geométricas LA '!C178&lt;$M$15,$M$15,'Propriedades geométricas LA '!C178))</f>
        <v>17.760000000000002</v>
      </c>
    </row>
    <row r="179" spans="2:3" x14ac:dyDescent="0.25">
      <c r="B179" s="79">
        <f>'Propriedades geométricas LA '!B179</f>
        <v>39.819999999999993</v>
      </c>
      <c r="C179" s="217">
        <f ca="1">IF($T$17="Preenchido",$M$15,IF('Propriedades geométricas LA '!C179&lt;$M$15,$M$15,'Propriedades geométricas LA '!C179))</f>
        <v>16.66</v>
      </c>
    </row>
    <row r="180" spans="2:3" x14ac:dyDescent="0.25">
      <c r="B180" s="79">
        <f>'Propriedades geométricas LA '!B180</f>
        <v>39.75</v>
      </c>
      <c r="C180" s="217">
        <f ca="1">IF($T$17="Preenchido",$M$15,IF('Propriedades geométricas LA '!C180&lt;$M$15,$M$15,'Propriedades geométricas LA '!C180))</f>
        <v>16.232764100106174</v>
      </c>
    </row>
    <row r="181" spans="2:3" x14ac:dyDescent="0.25">
      <c r="B181" s="79">
        <f>'Propriedades geométricas LA '!B181</f>
        <v>39.75</v>
      </c>
      <c r="C181" s="217">
        <f ca="1">IF($T$17="Preenchido",$M$15,IF('Propriedades geométricas LA '!C181&lt;$M$15,$M$15,'Propriedades geométricas LA '!C181))</f>
        <v>16.232764100106174</v>
      </c>
    </row>
    <row r="182" spans="2:3" x14ac:dyDescent="0.25">
      <c r="B182" s="79">
        <f>'Propriedades geométricas LA '!B182</f>
        <v>42.900000000000006</v>
      </c>
      <c r="C182" s="217">
        <f ca="1">IF($T$17="Preenchido",$M$15,IF('Propriedades geométricas LA '!C182&lt;$M$15,$M$15,'Propriedades geométricas LA '!C182))</f>
        <v>16.232764100106174</v>
      </c>
    </row>
    <row r="183" spans="2:3" x14ac:dyDescent="0.25">
      <c r="B183" s="79">
        <f>'Propriedades geométricas LA '!B183</f>
        <v>46</v>
      </c>
      <c r="C183" s="217">
        <f ca="1">IF($T$17="Preenchido",$M$15,IF('Propriedades geométricas LA '!C183&lt;$M$15,$M$15,'Propriedades geométricas LA '!C183))</f>
        <v>16.232764100106174</v>
      </c>
    </row>
    <row r="184" spans="2:3" x14ac:dyDescent="0.25">
      <c r="B184" s="79">
        <f>'Propriedades geométricas LA '!B184</f>
        <v>46</v>
      </c>
      <c r="C184" s="217">
        <f ca="1">IF($T$17="Preenchido",$M$15,IF('Propriedades geométricas LA '!C184&lt;$M$15,$M$15,'Propriedades geométricas LA '!C184))</f>
        <v>16.232764100106174</v>
      </c>
    </row>
    <row r="185" spans="2:3" x14ac:dyDescent="0.25">
      <c r="B185" s="79">
        <f>'Propriedades geométricas LA '!B185</f>
        <v>29.799999999999997</v>
      </c>
      <c r="C185" s="217">
        <f ca="1">IF($T$17="Preenchido",$M$15,IF('Propriedades geométricas LA '!C185&lt;$M$15,$M$15,'Propriedades geométricas LA '!C185))</f>
        <v>16.232764100106174</v>
      </c>
    </row>
    <row r="186" spans="2:3" x14ac:dyDescent="0.25">
      <c r="B186" s="79">
        <f>'Propriedades geométricas LA '!B186</f>
        <v>29.799999999999997</v>
      </c>
      <c r="C186" s="217">
        <f ca="1">IF($T$17="Preenchido",$M$15,IF('Propriedades geométricas LA '!C186&lt;$M$15,$M$15,'Propriedades geométricas LA '!C186))</f>
        <v>16.232764100106174</v>
      </c>
    </row>
    <row r="187" spans="2:3" x14ac:dyDescent="0.25">
      <c r="B187" s="79">
        <f>'Propriedades geométricas LA '!B187</f>
        <v>32.849999999999994</v>
      </c>
      <c r="C187" s="217">
        <f ca="1">IF($T$17="Preenchido",$M$15,IF('Propriedades geométricas LA '!C187&lt;$M$15,$M$15,'Propriedades geométricas LA '!C187))</f>
        <v>16.232764100106174</v>
      </c>
    </row>
    <row r="188" spans="2:3" x14ac:dyDescent="0.25">
      <c r="B188" s="79">
        <f>'Propriedades geométricas LA '!B188</f>
        <v>36</v>
      </c>
      <c r="C188" s="79">
        <f ca="1">IF('Propriedades geométricas LA '!C188&lt;$M$15,$M$15,'Propriedades geométricas LA '!C188)</f>
        <v>16.232764100106174</v>
      </c>
    </row>
    <row r="189" spans="2:3" x14ac:dyDescent="0.25">
      <c r="B189" s="79">
        <f>'Propriedades geométricas LA '!B189</f>
        <v>36</v>
      </c>
      <c r="C189" s="79">
        <f ca="1">IF('Propriedades geométricas LA '!C189&lt;$M$15,$M$15,'Propriedades geométricas LA '!C189)</f>
        <v>16.232764100106174</v>
      </c>
    </row>
    <row r="190" spans="2:3" x14ac:dyDescent="0.25">
      <c r="B190" s="79">
        <f>'Propriedades geométricas LA '!B190</f>
        <v>35.930000000000007</v>
      </c>
      <c r="C190" s="79">
        <f ca="1">IF('Propriedades geométricas LA '!C190&lt;$M$15,$M$15,'Propriedades geométricas LA '!C190)</f>
        <v>16.66</v>
      </c>
    </row>
    <row r="191" spans="2:3" x14ac:dyDescent="0.25">
      <c r="B191" s="79">
        <f>'Propriedades geométricas LA '!B191</f>
        <v>35.67</v>
      </c>
      <c r="C191" s="79">
        <f ca="1">IF('Propriedades geométricas LA '!C191&lt;$M$15,$M$15,'Propriedades geométricas LA '!C191)</f>
        <v>17.760000000000002</v>
      </c>
    </row>
    <row r="192" spans="2:3" x14ac:dyDescent="0.25">
      <c r="B192" s="79">
        <f>'Propriedades geométricas LA '!B192</f>
        <v>35.180000000000007</v>
      </c>
      <c r="C192" s="79">
        <f ca="1">IF('Propriedades geométricas LA '!C192&lt;$M$15,$M$15,'Propriedades geométricas LA '!C192)</f>
        <v>18.84</v>
      </c>
    </row>
    <row r="193" spans="2:3" x14ac:dyDescent="0.25">
      <c r="B193" s="79">
        <f>'Propriedades geométricas LA '!B193</f>
        <v>34.620000000000005</v>
      </c>
      <c r="C193" s="79">
        <f ca="1">IF('Propriedades geométricas LA '!C193&lt;$M$15,$M$15,'Propriedades geométricas LA '!C193)</f>
        <v>19.66</v>
      </c>
    </row>
    <row r="194" spans="2:3" x14ac:dyDescent="0.25">
      <c r="B194" s="79">
        <f>'Propriedades geométricas LA '!B194</f>
        <v>33.980000000000004</v>
      </c>
      <c r="C194" s="79">
        <f ca="1">IF('Propriedades geométricas LA '!C194&lt;$M$15,$M$15,'Propriedades geométricas LA '!C194)</f>
        <v>20.350000000000001</v>
      </c>
    </row>
    <row r="195" spans="2:3" x14ac:dyDescent="0.25">
      <c r="B195" s="79">
        <f>'Propriedades geométricas LA '!B195</f>
        <v>33.299999999999997</v>
      </c>
      <c r="C195" s="79">
        <f ca="1">IF('Propriedades geométricas LA '!C195&lt;$M$15,$M$15,'Propriedades geométricas LA '!C195)</f>
        <v>20.89</v>
      </c>
    </row>
    <row r="196" spans="2:3" x14ac:dyDescent="0.25">
      <c r="B196" s="79">
        <f>'Propriedades geométricas LA '!B196</f>
        <v>32.650000000000006</v>
      </c>
      <c r="C196" s="217">
        <f ca="1">IF($S$17="Preenchido",$M$15,IF('Propriedades geométricas LA '!C196&lt;$M$15,$M$15,'Propriedades geométricas LA '!C196))</f>
        <v>21.29</v>
      </c>
    </row>
    <row r="197" spans="2:3" x14ac:dyDescent="0.25">
      <c r="B197" s="79">
        <f>'Propriedades geométricas LA '!B197</f>
        <v>31.930000000000007</v>
      </c>
      <c r="C197" s="217">
        <f ca="1">IF($S$17="Preenchido",$M$15,IF('Propriedades geométricas LA '!C197&lt;$M$15,$M$15,'Propriedades geométricas LA '!C197))</f>
        <v>21.61</v>
      </c>
    </row>
    <row r="198" spans="2:3" x14ac:dyDescent="0.25">
      <c r="B198" s="79">
        <f>'Propriedades geométricas LA '!B198</f>
        <v>31.340000000000003</v>
      </c>
      <c r="C198" s="217">
        <f ca="1">IF($S$17="Preenchido",$M$15,IF('Propriedades geométricas LA '!C198&lt;$M$15,$M$15,'Propriedades geométricas LA '!C198))</f>
        <v>21.79</v>
      </c>
    </row>
    <row r="199" spans="2:3" x14ac:dyDescent="0.25">
      <c r="B199" s="79">
        <f>'Propriedades geométricas LA '!B199</f>
        <v>30.72</v>
      </c>
      <c r="C199" s="217">
        <f ca="1">IF($S$17="Preenchido",$M$15,IF('Propriedades geométricas LA '!C199&lt;$M$15,$M$15,'Propriedades geométricas LA '!C199))</f>
        <v>21.92</v>
      </c>
    </row>
    <row r="200" spans="2:3" x14ac:dyDescent="0.25">
      <c r="B200" s="79">
        <f>'Propriedades geométricas LA '!B200</f>
        <v>30.049999999999997</v>
      </c>
      <c r="C200" s="217">
        <f ca="1">IF($S$17="Preenchido",$M$15,IF('Propriedades geométricas LA '!C200&lt;$M$15,$M$15,'Propriedades geométricas LA '!C200))</f>
        <v>21.99</v>
      </c>
    </row>
    <row r="201" spans="2:3" x14ac:dyDescent="0.25">
      <c r="B201" s="79">
        <f>'Propriedades geométricas LA '!B201</f>
        <v>29.450000000000003</v>
      </c>
      <c r="C201" s="217">
        <f ca="1">IF($S$17="Preenchido",$M$15,IF('Propriedades geométricas LA '!C201&lt;$M$15,$M$15,'Propriedades geométricas LA '!C201))</f>
        <v>21.99</v>
      </c>
    </row>
    <row r="202" spans="2:3" x14ac:dyDescent="0.25">
      <c r="B202" s="79">
        <f>'Propriedades geométricas LA '!B202</f>
        <v>28.78</v>
      </c>
      <c r="C202" s="217">
        <f ca="1">IF($S$17="Preenchido",$M$15,IF('Propriedades geométricas LA '!C202&lt;$M$15,$M$15,'Propriedades geométricas LA '!C202))</f>
        <v>21.92</v>
      </c>
    </row>
    <row r="203" spans="2:3" x14ac:dyDescent="0.25">
      <c r="B203" s="79">
        <f>'Propriedades geométricas LA '!B203</f>
        <v>28.159999999999997</v>
      </c>
      <c r="C203" s="217">
        <f ca="1">IF($S$17="Preenchido",$M$15,IF('Propriedades geométricas LA '!C203&lt;$M$15,$M$15,'Propriedades geométricas LA '!C203))</f>
        <v>21.79</v>
      </c>
    </row>
    <row r="204" spans="2:3" x14ac:dyDescent="0.25">
      <c r="B204" s="79">
        <f>'Propriedades geométricas LA '!B204</f>
        <v>27.569999999999993</v>
      </c>
      <c r="C204" s="217">
        <f ca="1">IF($S$17="Preenchido",$M$15,IF('Propriedades geométricas LA '!C204&lt;$M$15,$M$15,'Propriedades geométricas LA '!C204))</f>
        <v>21.61</v>
      </c>
    </row>
    <row r="205" spans="2:3" x14ac:dyDescent="0.25">
      <c r="B205" s="79">
        <f>'Propriedades geométricas LA '!B205</f>
        <v>26.849999999999994</v>
      </c>
      <c r="C205" s="217">
        <f ca="1">IF($S$17="Preenchido",$M$15,IF('Propriedades geométricas LA '!C205&lt;$M$15,$M$15,'Propriedades geométricas LA '!C205))</f>
        <v>21.29</v>
      </c>
    </row>
    <row r="206" spans="2:3" x14ac:dyDescent="0.25">
      <c r="B206" s="79">
        <f>'Propriedades geométricas LA '!B206</f>
        <v>26.200000000000003</v>
      </c>
      <c r="C206" s="217">
        <f ca="1">IF($S$17="Preenchido",$M$15,IF('Propriedades geométricas LA '!C206&lt;$M$15,$M$15,'Propriedades geométricas LA '!C206))</f>
        <v>20.89</v>
      </c>
    </row>
    <row r="207" spans="2:3" x14ac:dyDescent="0.25">
      <c r="B207" s="79">
        <f>'Propriedades geométricas LA '!B207</f>
        <v>25.519999999999996</v>
      </c>
      <c r="C207" s="217">
        <f ca="1">IF($S$17="Preenchido",$M$15,IF('Propriedades geométricas LA '!C207&lt;$M$15,$M$15,'Propriedades geométricas LA '!C207))</f>
        <v>20.350000000000001</v>
      </c>
    </row>
    <row r="208" spans="2:3" x14ac:dyDescent="0.25">
      <c r="B208" s="79">
        <f>'Propriedades geométricas LA '!B208</f>
        <v>24.879999999999995</v>
      </c>
      <c r="C208" s="217">
        <f ca="1">IF($S$17="Preenchido",$M$15,IF('Propriedades geométricas LA '!C208&lt;$M$15,$M$15,'Propriedades geométricas LA '!C208))</f>
        <v>19.66</v>
      </c>
    </row>
    <row r="209" spans="2:3" x14ac:dyDescent="0.25">
      <c r="B209" s="79">
        <f>'Propriedades geométricas LA '!B209</f>
        <v>24.319999999999993</v>
      </c>
      <c r="C209" s="217">
        <f ca="1">IF($S$17="Preenchido",$M$15,IF('Propriedades geométricas LA '!C209&lt;$M$15,$M$15,'Propriedades geométricas LA '!C209))</f>
        <v>18.84</v>
      </c>
    </row>
    <row r="210" spans="2:3" x14ac:dyDescent="0.25">
      <c r="B210" s="79">
        <f>'Propriedades geométricas LA '!B210</f>
        <v>23.83</v>
      </c>
      <c r="C210" s="217">
        <f ca="1">IF($S$17="Preenchido",$M$15,IF('Propriedades geométricas LA '!C210&lt;$M$15,$M$15,'Propriedades geométricas LA '!C210))</f>
        <v>17.760000000000002</v>
      </c>
    </row>
    <row r="211" spans="2:3" x14ac:dyDescent="0.25">
      <c r="B211" s="79">
        <f>'Propriedades geométricas LA '!B211</f>
        <v>23.569999999999993</v>
      </c>
      <c r="C211" s="217">
        <f ca="1">IF($S$17="Preenchido",$M$15,IF('Propriedades geométricas LA '!C211&lt;$M$15,$M$15,'Propriedades geométricas LA '!C211))</f>
        <v>16.66</v>
      </c>
    </row>
    <row r="212" spans="2:3" x14ac:dyDescent="0.25">
      <c r="B212" s="79">
        <f>'Propriedades geométricas LA '!B212</f>
        <v>23.5</v>
      </c>
      <c r="C212" s="217">
        <f ca="1">IF($S$17="Preenchido",$M$15,IF('Propriedades geométricas LA '!C212&lt;$M$15,$M$15,'Propriedades geométricas LA '!C212))</f>
        <v>16.232764100106174</v>
      </c>
    </row>
    <row r="213" spans="2:3" x14ac:dyDescent="0.25">
      <c r="B213" s="79">
        <f>'Propriedades geométricas LA '!B213</f>
        <v>23.5</v>
      </c>
      <c r="C213" s="217">
        <f ca="1">IF($S$17="Preenchido",$M$15,IF('Propriedades geométricas LA '!C213&lt;$M$15,$M$15,'Propriedades geométricas LA '!C213))</f>
        <v>16.232764100106174</v>
      </c>
    </row>
    <row r="214" spans="2:3" x14ac:dyDescent="0.25">
      <c r="B214" s="79">
        <f>'Propriedades geométricas LA '!B214</f>
        <v>26.650000000000006</v>
      </c>
      <c r="C214" s="217">
        <f ca="1">IF($S$17="Preenchido",$M$15,IF('Propriedades geométricas LA '!C214&lt;$M$15,$M$15,'Propriedades geométricas LA '!C214))</f>
        <v>16.232764100106174</v>
      </c>
    </row>
    <row r="215" spans="2:3" x14ac:dyDescent="0.25">
      <c r="B215" s="79">
        <f>'Propriedades geométricas LA '!B215</f>
        <v>29.75</v>
      </c>
      <c r="C215" s="217">
        <f ca="1">IF($S$17="Preenchido",$M$15,IF('Propriedades geométricas LA '!C215&lt;$M$15,$M$15,'Propriedades geométricas LA '!C215))</f>
        <v>16.232764100106174</v>
      </c>
    </row>
    <row r="216" spans="2:3" x14ac:dyDescent="0.25">
      <c r="B216" s="79">
        <f>'Propriedades geométricas LA '!B216</f>
        <v>29.75</v>
      </c>
      <c r="C216" s="79">
        <f ca="1">IF('Propriedades geométricas LA '!C216&lt;$M$15,$M$15,'Propriedades geométricas LA '!C216)</f>
        <v>16.232764100106174</v>
      </c>
    </row>
    <row r="217" spans="2:3" x14ac:dyDescent="0.25">
      <c r="B217" s="79">
        <f>'Propriedades geométricas LA '!B217</f>
        <v>13.549999999999997</v>
      </c>
      <c r="C217" s="79">
        <f ca="1">IF('Propriedades geométricas LA '!C217&lt;$M$15,$M$15,'Propriedades geométricas LA '!C217)</f>
        <v>16.232764100106174</v>
      </c>
    </row>
    <row r="218" spans="2:3" x14ac:dyDescent="0.25">
      <c r="B218" s="79">
        <f>'Propriedades geométricas LA '!B218</f>
        <v>13.549999999999997</v>
      </c>
      <c r="C218" s="79">
        <f ca="1">IF('Propriedades geométricas LA '!C218&lt;$M$15,$M$15,'Propriedades geométricas LA '!C218)</f>
        <v>16.232764100106174</v>
      </c>
    </row>
    <row r="219" spans="2:3" x14ac:dyDescent="0.25">
      <c r="B219" s="79">
        <f>'Propriedades geométricas LA '!B219</f>
        <v>16.599999999999994</v>
      </c>
      <c r="C219" s="79">
        <f ca="1">IF('Propriedades geométricas LA '!C219&lt;$M$15,$M$15,'Propriedades geométricas LA '!C219)</f>
        <v>16.232764100106174</v>
      </c>
    </row>
    <row r="220" spans="2:3" x14ac:dyDescent="0.25">
      <c r="B220" s="79">
        <f>'Propriedades geométricas LA '!B220</f>
        <v>19.75</v>
      </c>
      <c r="C220" s="79">
        <f ca="1">IF('Propriedades geométricas LA '!C220&lt;$M$15,$M$15,'Propriedades geométricas LA '!C220)</f>
        <v>16.232764100106174</v>
      </c>
    </row>
    <row r="221" spans="2:3" x14ac:dyDescent="0.25">
      <c r="B221" s="79">
        <f>'Propriedades geométricas LA '!B221</f>
        <v>19.75</v>
      </c>
      <c r="C221" s="79">
        <f ca="1">IF('Propriedades geométricas LA '!C221&lt;$M$15,$M$15,'Propriedades geométricas LA '!C221)</f>
        <v>16.232764100106174</v>
      </c>
    </row>
    <row r="222" spans="2:3" x14ac:dyDescent="0.25">
      <c r="B222" s="79">
        <f>'Propriedades geométricas LA '!B222</f>
        <v>19.680000000000007</v>
      </c>
      <c r="C222" s="79">
        <f ca="1">IF('Propriedades geométricas LA '!C222&lt;$M$15,$M$15,'Propriedades geométricas LA '!C222)</f>
        <v>16.66</v>
      </c>
    </row>
    <row r="223" spans="2:3" x14ac:dyDescent="0.25">
      <c r="B223" s="79">
        <f>'Propriedades geométricas LA '!B223</f>
        <v>19.420000000000002</v>
      </c>
      <c r="C223" s="79">
        <f ca="1">IF('Propriedades geométricas LA '!C223&lt;$M$15,$M$15,'Propriedades geométricas LA '!C223)</f>
        <v>17.760000000000002</v>
      </c>
    </row>
    <row r="224" spans="2:3" x14ac:dyDescent="0.25">
      <c r="B224" s="79">
        <f>'Propriedades geométricas LA '!B224</f>
        <v>18.930000000000007</v>
      </c>
      <c r="C224" s="79">
        <f ca="1">IF('Propriedades geométricas LA '!C224&lt;$M$15,$M$15,'Propriedades geométricas LA '!C224)</f>
        <v>18.84</v>
      </c>
    </row>
  </sheetData>
  <mergeCells count="3">
    <mergeCell ref="E4:J4"/>
    <mergeCell ref="L4:N4"/>
    <mergeCell ref="E13:J13"/>
  </mergeCells>
  <phoneticPr fontId="5" type="noConversion"/>
  <dataValidations disablePrompts="1" count="2">
    <dataValidation type="list" allowBlank="1" showInputMessage="1" showErrorMessage="1" sqref="B2" xr:uid="{4E1EF5D7-C22B-4D5A-BF0E-0869D17BB3B5}">
      <formula1>"m,cm,mm,ft,in"</formula1>
    </dataValidation>
    <dataValidation type="whole" operator="equal" allowBlank="1" showInputMessage="1" showErrorMessage="1" sqref="B6:C6" xr:uid="{479900B8-C20E-4850-AFEC-792B9E2780CF}">
      <formula1>0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6E3A-3056-4E7A-A2C9-449B38AB011B}">
  <dimension ref="A1:X224"/>
  <sheetViews>
    <sheetView zoomScale="85" zoomScaleNormal="85" workbookViewId="0">
      <selection activeCell="C7" sqref="C7"/>
    </sheetView>
  </sheetViews>
  <sheetFormatPr defaultRowHeight="15" x14ac:dyDescent="0.25"/>
  <cols>
    <col min="6" max="6" width="11.7109375" customWidth="1"/>
    <col min="13" max="13" width="15.85546875" customWidth="1"/>
    <col min="17" max="17" width="17.28515625" bestFit="1" customWidth="1"/>
    <col min="20" max="20" width="11.7109375" customWidth="1"/>
  </cols>
  <sheetData>
    <row r="1" spans="1:24" ht="15.75" x14ac:dyDescent="0.25">
      <c r="A1" s="49"/>
      <c r="B1" s="49" t="s">
        <v>369</v>
      </c>
      <c r="C1" s="50"/>
      <c r="D1" s="50"/>
      <c r="E1" s="50"/>
      <c r="F1" s="50"/>
      <c r="G1" s="50"/>
      <c r="H1" s="50"/>
      <c r="I1" s="51"/>
      <c r="J1" s="50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x14ac:dyDescent="0.25">
      <c r="A2" s="53" t="s">
        <v>370</v>
      </c>
      <c r="B2" s="54" t="s">
        <v>80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4" ht="15.75" thickBot="1" x14ac:dyDescent="0.3">
      <c r="A3" s="52"/>
      <c r="B3" s="52"/>
      <c r="C3" s="52">
        <f>'Propriedades geométricas VI'!C3</f>
        <v>25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15.75" thickBot="1" x14ac:dyDescent="0.3">
      <c r="A4" s="55" t="s">
        <v>371</v>
      </c>
      <c r="B4" s="56"/>
      <c r="C4" s="57"/>
      <c r="D4" s="52"/>
      <c r="E4" s="902" t="s">
        <v>372</v>
      </c>
      <c r="F4" s="903"/>
      <c r="G4" s="903"/>
      <c r="H4" s="903"/>
      <c r="I4" s="903"/>
      <c r="J4" s="904"/>
      <c r="K4" s="58"/>
      <c r="L4" s="905" t="s">
        <v>373</v>
      </c>
      <c r="M4" s="906"/>
      <c r="N4" s="907"/>
      <c r="O4" s="58"/>
      <c r="P4" s="58"/>
      <c r="Q4" s="59" t="s">
        <v>374</v>
      </c>
      <c r="R4" s="59"/>
      <c r="S4" s="59"/>
      <c r="T4" s="59"/>
      <c r="U4" s="59"/>
      <c r="V4" s="59" t="s">
        <v>375</v>
      </c>
      <c r="W4" s="59">
        <f ca="1">MAX(X)-MIN(X)</f>
        <v>124.5</v>
      </c>
      <c r="X4" s="52"/>
    </row>
    <row r="5" spans="1:24" x14ac:dyDescent="0.25">
      <c r="A5" s="60"/>
      <c r="B5" s="61" t="s">
        <v>376</v>
      </c>
      <c r="C5" s="61" t="s">
        <v>377</v>
      </c>
      <c r="D5" s="52"/>
      <c r="E5" s="62" t="s">
        <v>378</v>
      </c>
      <c r="F5" s="63">
        <f ca="1">IF(F11=0,0,IF(F9-F10=0,45,DEGREES(1/2*ATAN(-2*F11/(F9-F10)))))</f>
        <v>3.329066397684787</v>
      </c>
      <c r="G5" s="64" t="s">
        <v>379</v>
      </c>
      <c r="H5" s="65" t="s">
        <v>380</v>
      </c>
      <c r="I5" s="52">
        <f ca="1">MAX(X)-MIN(X)</f>
        <v>124.5</v>
      </c>
      <c r="J5" s="66" t="str">
        <f>$B$2</f>
        <v>cm</v>
      </c>
      <c r="K5" s="67" t="s">
        <v>381</v>
      </c>
      <c r="L5" s="68" t="s">
        <v>3</v>
      </c>
      <c r="M5" s="69">
        <f ca="1">I6</f>
        <v>30</v>
      </c>
      <c r="N5" s="70" t="str">
        <f>B2</f>
        <v>cm</v>
      </c>
      <c r="O5" s="67"/>
      <c r="P5" s="67"/>
      <c r="Q5" s="71" cm="1">
        <f t="array" aca="1" ref="Q5" ca="1">SUM((OFFSET(X,1,0)-X)*(Y+OFFSET(Y,1,0))/24*((OFFSET(Y,1,0)+Y)^2+(OFFSET(Y,1,0)-Y)^2))</f>
        <v>709882.54141647776</v>
      </c>
      <c r="R5" s="59" t="str">
        <f>$B$2&amp;"^4"</f>
        <v>cm^4</v>
      </c>
      <c r="S5" s="59" t="s">
        <v>382</v>
      </c>
      <c r="T5" s="72">
        <f ca="1">+(F9+F10)/2-SQRT((F9-F10)^2/4+F11^2)</f>
        <v>30619.142540492001</v>
      </c>
      <c r="U5" s="59" t="str">
        <f>$B$2&amp;"^4"</f>
        <v>cm^4</v>
      </c>
      <c r="V5" s="59" t="s">
        <v>383</v>
      </c>
      <c r="W5" s="59">
        <f ca="1">MAX(Y)-MIN(Y)</f>
        <v>30</v>
      </c>
      <c r="X5" s="52"/>
    </row>
    <row r="6" spans="1:24" x14ac:dyDescent="0.25">
      <c r="A6" s="73">
        <v>1</v>
      </c>
      <c r="B6" s="74">
        <v>0</v>
      </c>
      <c r="C6" s="74">
        <v>0</v>
      </c>
      <c r="E6" s="65" t="s">
        <v>384</v>
      </c>
      <c r="F6" s="75">
        <f t="array" aca="1" ref="F6" ca="1">SUM((Y-OFFSET(Y,1,0))*(X+OFFSET(X,1,0)))/2</f>
        <v>1310.4572635697175</v>
      </c>
      <c r="G6" s="64" t="str">
        <f>$B$2 &amp; "^2"</f>
        <v>cm^2</v>
      </c>
      <c r="H6" s="65" t="s">
        <v>385</v>
      </c>
      <c r="I6" s="52">
        <f ca="1">MAX(Y)-MIN(Y)</f>
        <v>30</v>
      </c>
      <c r="J6" s="66" t="str">
        <f>$B$2</f>
        <v>cm</v>
      </c>
      <c r="K6" s="67" t="s">
        <v>386</v>
      </c>
      <c r="L6" s="76" t="s">
        <v>109</v>
      </c>
      <c r="M6" s="77">
        <f ca="1">ABS(F6)</f>
        <v>1310.4572635697175</v>
      </c>
      <c r="N6" s="78" t="str">
        <f>CONCATENATE(B2,"²")</f>
        <v>cm²</v>
      </c>
      <c r="O6" s="67"/>
      <c r="P6" s="67"/>
      <c r="Q6" s="71">
        <f t="array" aca="1" ref="Q6" ca="1">-SUM((OFFSET(Y,1,0)-Y)*(X+OFFSET(X,1,0))/24*((OFFSET(X,1,0)+X)^2+(OFFSET(X,1,0)-X)^2))</f>
        <v>5609854.6803722559</v>
      </c>
      <c r="R6" s="59" t="str">
        <f>B2&amp;"^4"</f>
        <v>cm^4</v>
      </c>
      <c r="S6" s="59" t="s">
        <v>387</v>
      </c>
      <c r="T6" s="72">
        <f ca="1">+(F9+F10)/2+SQRT((F9-F10)^2/4+F11^2)</f>
        <v>1653745.8468693313</v>
      </c>
      <c r="U6" s="59" t="str">
        <f>$B$2&amp;"^4"</f>
        <v>cm^4</v>
      </c>
      <c r="V6" s="59" t="s">
        <v>388</v>
      </c>
      <c r="W6" s="59"/>
      <c r="X6" s="52"/>
    </row>
    <row r="7" spans="1:24" x14ac:dyDescent="0.25">
      <c r="A7" s="73">
        <f t="shared" ref="A7:A40" si="0">1+A6</f>
        <v>2</v>
      </c>
      <c r="B7" s="79">
        <f>'Propriedades geométricas LA '!B7</f>
        <v>0.95</v>
      </c>
      <c r="C7" s="79">
        <f ca="1">IF('Propriedades geométricas LA '!C7&lt;$M$15,$M$15,'Propriedades geométricas LA '!C7)</f>
        <v>16.232764100106174</v>
      </c>
      <c r="D7" s="52"/>
      <c r="E7" s="65" t="s">
        <v>389</v>
      </c>
      <c r="F7" s="80">
        <f t="array" aca="1" ref="F7" ca="1">SUM((Y-OFFSET(Y,1,0))/8*((X+OFFSET(X,1,0))^2+(OFFSET(X,1,0)-X)^2/3))/$F$6</f>
        <v>54.98230095699833</v>
      </c>
      <c r="G7" s="64" t="str">
        <f>B2</f>
        <v>cm</v>
      </c>
      <c r="H7" s="65" t="s">
        <v>390</v>
      </c>
      <c r="I7" s="81">
        <f ca="1">F9/ABS(MAX(Y)-$F$8)</f>
        <v>4927.4439963571031</v>
      </c>
      <c r="J7" s="64" t="str">
        <f>$B$2&amp;"^3"</f>
        <v>cm^3</v>
      </c>
      <c r="K7" s="67" t="s">
        <v>391</v>
      </c>
      <c r="L7" s="82" t="s">
        <v>392</v>
      </c>
      <c r="M7" s="83">
        <f ca="1">F8</f>
        <v>22.675184227190925</v>
      </c>
      <c r="N7" s="84" t="str">
        <f>B2</f>
        <v>cm</v>
      </c>
      <c r="O7" s="67"/>
      <c r="P7" s="67"/>
      <c r="Q7" s="71">
        <f t="array" aca="1" ref="Q7" ca="1">SUM(((OFFSET(Y,1,0)-Y)^2*(OFFSET(X,1,0)+X)*(OFFSET(X,1,0)^2+X^2)/8+(OFFSET(Y,1,0)-Y)*(OFFSET(X,1,0)*Y-X*OFFSET(Y,1,0))*(OFFSET(X,1,0)^2+OFFSET(X,1,0)*X+X^2)/3+(OFFSET(X,1,0)*Y-X*OFFSET(Y,1,0))^2*(OFFSET(X,1,0)+X)/4)*IF(OFFSET(X,1,0)=X,0,1/(OFFSET(X,1,0)-X)))</f>
        <v>1727888.0616702558</v>
      </c>
      <c r="R7" s="59" t="str">
        <f>B2&amp;"^4"</f>
        <v>cm^4</v>
      </c>
      <c r="S7" s="59" t="s">
        <v>393</v>
      </c>
      <c r="T7" s="59"/>
      <c r="U7" s="59"/>
      <c r="V7" s="59" t="s">
        <v>394</v>
      </c>
      <c r="W7" s="59"/>
      <c r="X7" s="52"/>
    </row>
    <row r="8" spans="1:24" x14ac:dyDescent="0.25">
      <c r="A8" s="73">
        <f t="shared" si="0"/>
        <v>3</v>
      </c>
      <c r="B8" s="79">
        <f>'Propriedades geométricas LA '!B8</f>
        <v>0.19</v>
      </c>
      <c r="C8" s="79">
        <f ca="1">IF('Propriedades geométricas LA '!C8&lt;$M$15,$M$15,'Propriedades geométricas LA '!C8)</f>
        <v>16.232764100106174</v>
      </c>
      <c r="D8" s="52"/>
      <c r="E8" s="65" t="s">
        <v>395</v>
      </c>
      <c r="F8" s="80">
        <f t="array" aca="1" ref="F8" ca="1">SUM((OFFSET(X,1,0)-X)/8*((Y+OFFSET(Y,1,0))^2+(OFFSET(Y,1,0)-Y)^2/3))/$F$6</f>
        <v>22.675184227190925</v>
      </c>
      <c r="G8" s="64" t="str">
        <f>B2</f>
        <v>cm</v>
      </c>
      <c r="H8" s="65" t="s">
        <v>396</v>
      </c>
      <c r="I8" s="81">
        <f ca="1">F9/ABS(MIN(Y)-$F$8)</f>
        <v>1591.7233193135189</v>
      </c>
      <c r="J8" s="64" t="str">
        <f>$B$2&amp;"^3"</f>
        <v>cm^3</v>
      </c>
      <c r="K8" s="58"/>
      <c r="L8" s="85" t="s">
        <v>397</v>
      </c>
      <c r="M8" s="83">
        <f ca="1">I6-M7</f>
        <v>7.3248157728090746</v>
      </c>
      <c r="N8" s="84" t="str">
        <f>B2</f>
        <v>cm</v>
      </c>
      <c r="O8" s="58"/>
      <c r="P8" s="58"/>
      <c r="Q8" s="59"/>
      <c r="R8" s="59"/>
      <c r="S8" s="86" t="s">
        <v>183</v>
      </c>
      <c r="T8" s="86" t="s">
        <v>398</v>
      </c>
      <c r="U8" s="59"/>
      <c r="V8" s="86" t="s">
        <v>183</v>
      </c>
      <c r="W8" s="86" t="s">
        <v>398</v>
      </c>
      <c r="X8" s="52"/>
    </row>
    <row r="9" spans="1:24" x14ac:dyDescent="0.25">
      <c r="A9" s="73">
        <f t="shared" si="0"/>
        <v>4</v>
      </c>
      <c r="B9" s="79">
        <f>'Propriedades geométricas LA '!B9</f>
        <v>0</v>
      </c>
      <c r="C9" s="79">
        <f ca="1">IF('Propriedades geométricas LA '!C9&lt;$M$15,$M$15,'Propriedades geométricas LA '!C9)</f>
        <v>16.232764100106174</v>
      </c>
      <c r="D9" s="52"/>
      <c r="E9" s="65" t="s">
        <v>399</v>
      </c>
      <c r="F9" s="81">
        <f ca="1">Q5-F6*F8^2</f>
        <v>36092.619504149887</v>
      </c>
      <c r="G9" s="64" t="str">
        <f>$B$2&amp;"^4"</f>
        <v>cm^4</v>
      </c>
      <c r="H9" s="65" t="s">
        <v>400</v>
      </c>
      <c r="I9" s="81">
        <f ca="1">F10/ABS(MIN(X)-F7)</f>
        <v>29978.235563382252</v>
      </c>
      <c r="J9" s="64" t="str">
        <f>$B$2&amp;"^3"</f>
        <v>cm^3</v>
      </c>
      <c r="K9" s="58"/>
      <c r="L9" s="85" t="s">
        <v>401</v>
      </c>
      <c r="M9" s="83">
        <f ca="1">ABS(F9)</f>
        <v>36092.619504149887</v>
      </c>
      <c r="N9" s="87" t="str">
        <f>CONCATENATE(B2,"4")</f>
        <v>cm4</v>
      </c>
      <c r="O9" s="58"/>
      <c r="P9" s="58"/>
      <c r="Q9" s="59"/>
      <c r="R9" s="59"/>
      <c r="S9" s="88">
        <f ca="1">MIN(X)</f>
        <v>0</v>
      </c>
      <c r="T9" s="89">
        <f ca="1">(S9-$F$7)*TAN(RADIANS($F$5))+$F$8</f>
        <v>19.47693838671815</v>
      </c>
      <c r="U9" s="59"/>
      <c r="V9" s="90">
        <f ca="1">IF(W4&gt;=W5,MIN(X),(MAX(X)+MIN(X)-W5)/2)</f>
        <v>0</v>
      </c>
      <c r="W9" s="90">
        <f ca="1">IF(W4&gt;=W5,(MAX(Y)+MIN(Y)-W4)/2,MIN(Y))</f>
        <v>-47.25</v>
      </c>
      <c r="X9" s="52"/>
    </row>
    <row r="10" spans="1:24" x14ac:dyDescent="0.25">
      <c r="A10" s="73">
        <f t="shared" si="0"/>
        <v>5</v>
      </c>
      <c r="B10" s="79">
        <f>'Propriedades geométricas LA '!B10</f>
        <v>3</v>
      </c>
      <c r="C10" s="79">
        <f ca="1">IF('Propriedades geométricas LA '!C10&lt;$M$15,$M$15,'Propriedades geométricas LA '!C10)</f>
        <v>16.232764100106174</v>
      </c>
      <c r="D10" s="52"/>
      <c r="E10" s="65" t="s">
        <v>402</v>
      </c>
      <c r="F10" s="81">
        <f ca="1">Q6-F6*F7^2</f>
        <v>1648272.3699056734</v>
      </c>
      <c r="G10" s="64" t="str">
        <f>$B$2&amp;"^4"</f>
        <v>cm^4</v>
      </c>
      <c r="H10" s="65" t="s">
        <v>403</v>
      </c>
      <c r="I10" s="81">
        <f ca="1">F10/ABS(MAX(X)-F7)</f>
        <v>23710.111131355181</v>
      </c>
      <c r="J10" s="64" t="str">
        <f>$B$2&amp;"^3"</f>
        <v>cm^3</v>
      </c>
      <c r="K10" s="58"/>
      <c r="L10" s="85" t="s">
        <v>404</v>
      </c>
      <c r="M10" s="83">
        <f ca="1">ABS(I8)</f>
        <v>1591.7233193135189</v>
      </c>
      <c r="N10" s="87" t="str">
        <f>CONCATENATE(B2,"³")</f>
        <v>cm³</v>
      </c>
      <c r="O10" s="58"/>
      <c r="P10" s="58"/>
      <c r="Q10" s="59"/>
      <c r="R10" s="59"/>
      <c r="S10" s="88">
        <f ca="1">MAX(X)</f>
        <v>124.5</v>
      </c>
      <c r="T10" s="89">
        <f ca="1">(S10-$F$7)*TAN(RADIANS($F$5))+$F$8</f>
        <v>26.718934451056718</v>
      </c>
      <c r="U10" s="59"/>
      <c r="V10" s="88">
        <f ca="1">IF(W4&gt;=W5,MAX(X),(MAX(X)+MIN(X)+W5)/2)</f>
        <v>124.5</v>
      </c>
      <c r="W10" s="90">
        <f ca="1">IF(W4&gt;=W5,(MAX(Y)+MIN(Y)+W4)/2,MAX(Y))</f>
        <v>77.25</v>
      </c>
      <c r="X10" s="52"/>
    </row>
    <row r="11" spans="1:24" ht="15.75" thickBot="1" x14ac:dyDescent="0.3">
      <c r="A11" s="73">
        <f t="shared" si="0"/>
        <v>6</v>
      </c>
      <c r="B11" s="79">
        <f>'Propriedades geométricas LA '!B11</f>
        <v>3</v>
      </c>
      <c r="C11" s="79">
        <f ca="1">IF('Propriedades geométricas LA '!C11&lt;$M$15,$M$15,'Propriedades geométricas LA '!C11)</f>
        <v>19</v>
      </c>
      <c r="D11" s="52"/>
      <c r="E11" s="91" t="s">
        <v>405</v>
      </c>
      <c r="F11" s="92">
        <f ca="1">+Q7-F6*F7*F8</f>
        <v>94096.693221230758</v>
      </c>
      <c r="G11" s="93" t="str">
        <f>$B$2&amp;"^4"</f>
        <v>cm^4</v>
      </c>
      <c r="H11" s="94"/>
      <c r="I11" s="95"/>
      <c r="J11" s="93"/>
      <c r="K11" s="58"/>
      <c r="L11" s="96" t="s">
        <v>406</v>
      </c>
      <c r="M11" s="97">
        <f ca="1">ABS(I7)</f>
        <v>4927.4439963571031</v>
      </c>
      <c r="N11" s="98" t="str">
        <f>CONCATENATE(B2,"³")</f>
        <v>cm³</v>
      </c>
      <c r="O11" s="58"/>
      <c r="P11" s="58"/>
      <c r="Q11" s="58"/>
      <c r="R11" s="58"/>
      <c r="S11" s="99"/>
      <c r="T11" s="99"/>
      <c r="U11" s="100"/>
      <c r="V11" s="100"/>
      <c r="W11" s="100"/>
      <c r="X11" s="52"/>
    </row>
    <row r="12" spans="1:24" x14ac:dyDescent="0.25">
      <c r="A12" s="73">
        <f t="shared" si="0"/>
        <v>7</v>
      </c>
      <c r="B12" s="79">
        <f>'Propriedades geométricas LA '!B12</f>
        <v>1.65</v>
      </c>
      <c r="C12" s="79">
        <f ca="1">IF('Propriedades geométricas LA '!C12&lt;$M$15,$M$15,'Propriedades geométricas LA '!C12)</f>
        <v>21.5</v>
      </c>
      <c r="D12" s="52"/>
      <c r="E12" s="52"/>
      <c r="F12" s="52"/>
      <c r="G12" s="52"/>
      <c r="H12" s="52"/>
      <c r="I12" s="52"/>
      <c r="J12" s="52"/>
      <c r="K12" s="58"/>
      <c r="L12" s="58"/>
      <c r="M12" s="58"/>
      <c r="N12" s="58"/>
      <c r="O12" s="58"/>
      <c r="P12" s="58"/>
      <c r="Q12" s="58"/>
      <c r="R12" s="58"/>
      <c r="S12" s="99">
        <f ca="1">(T12-$F$8)*TAN(RADIANS(-$F$5))+$F$7</f>
        <v>56.301285655243056</v>
      </c>
      <c r="T12" s="99">
        <f ca="1">MIN(Y)</f>
        <v>0</v>
      </c>
      <c r="U12" s="101"/>
      <c r="V12" s="58"/>
      <c r="W12" s="102"/>
      <c r="X12" s="52"/>
    </row>
    <row r="13" spans="1:24" x14ac:dyDescent="0.25">
      <c r="A13" s="73">
        <f t="shared" si="0"/>
        <v>8</v>
      </c>
      <c r="B13" s="79">
        <f>'Propriedades geométricas LA '!B13</f>
        <v>1.65</v>
      </c>
      <c r="C13" s="79">
        <f ca="1">IF('Propriedades geométricas LA '!C13&lt;$M$15,$M$15,'Propriedades geométricas LA '!C13)</f>
        <v>25</v>
      </c>
      <c r="D13" s="52"/>
      <c r="E13" s="908" t="s">
        <v>407</v>
      </c>
      <c r="F13" s="903"/>
      <c r="G13" s="903"/>
      <c r="H13" s="903"/>
      <c r="I13" s="903"/>
      <c r="J13" s="904"/>
      <c r="K13" s="58"/>
      <c r="L13" s="58"/>
      <c r="M13" s="58"/>
      <c r="N13" s="58"/>
      <c r="O13" s="58"/>
      <c r="P13" s="58"/>
      <c r="Q13" s="103"/>
      <c r="R13" s="58"/>
      <c r="S13" s="99">
        <f ca="1">(T13-$F$8)*TAN(RADIANS(-$F$5))+$F$7</f>
        <v>54.556226362631357</v>
      </c>
      <c r="T13" s="99">
        <f ca="1">MAX(Y)</f>
        <v>30</v>
      </c>
      <c r="U13" s="101"/>
      <c r="V13" s="58"/>
      <c r="W13" s="102"/>
      <c r="X13" s="52"/>
    </row>
    <row r="14" spans="1:24" x14ac:dyDescent="0.25">
      <c r="A14" s="73">
        <f t="shared" si="0"/>
        <v>9</v>
      </c>
      <c r="B14" s="79">
        <f>'Propriedades geométricas LA '!B14</f>
        <v>15.309441843966107</v>
      </c>
      <c r="C14" s="79">
        <f ca="1">IF('Propriedades geométricas LA '!C14&lt;$M$15,$M$15,'Propriedades geométricas LA '!C14)</f>
        <v>25</v>
      </c>
      <c r="D14" s="52"/>
      <c r="E14" s="62" t="s">
        <v>378</v>
      </c>
      <c r="F14" s="80">
        <f ca="1">F5</f>
        <v>3.329066397684787</v>
      </c>
      <c r="G14" s="64" t="s">
        <v>408</v>
      </c>
      <c r="H14" s="65" t="s">
        <v>409</v>
      </c>
      <c r="I14" s="81">
        <f t="array" aca="1" ref="I14" ca="1">ABS(F15/MAX(SQRT((X-$F$7)^2+(Y-$F$8)^2)*SIN(ATAN2(X-$F$7,Y-$F$8)-RADIANS($F$5))))</f>
        <v>3184.0952753754432</v>
      </c>
      <c r="J14" s="64" t="str">
        <f>$B$2&amp;"^3"</f>
        <v>cm^3</v>
      </c>
      <c r="K14" s="52"/>
      <c r="L14" s="52">
        <v>0</v>
      </c>
      <c r="M14" s="80">
        <f ca="1">'Propriedades geométricas LA '!M14</f>
        <v>16.232764100106174</v>
      </c>
      <c r="N14" s="52"/>
      <c r="O14" s="52"/>
      <c r="P14" s="52"/>
      <c r="Q14" s="104"/>
      <c r="R14" s="105"/>
      <c r="S14" s="80"/>
      <c r="T14" s="80"/>
      <c r="U14" s="52"/>
      <c r="V14" s="52"/>
      <c r="W14" s="106"/>
      <c r="X14" s="52"/>
    </row>
    <row r="15" spans="1:24" x14ac:dyDescent="0.25">
      <c r="A15" s="73">
        <f t="shared" si="0"/>
        <v>10</v>
      </c>
      <c r="B15" s="79">
        <f>'Propriedades geométricas LA '!B15</f>
        <v>15.309441843966107</v>
      </c>
      <c r="C15" s="79">
        <f ca="1">IF('Propriedades geométricas LA '!C15&lt;$M$15,$M$15,'Propriedades geométricas LA '!C15)</f>
        <v>30</v>
      </c>
      <c r="D15" s="52"/>
      <c r="E15" s="65" t="s">
        <v>410</v>
      </c>
      <c r="F15" s="107">
        <f ca="1">F9*COS(RADIANS(F14))^2+F10*SIN(RADIANS(F14))^2-F11*SIN(2*RADIANS(F14))</f>
        <v>30619.142540491837</v>
      </c>
      <c r="G15" s="64" t="str">
        <f>$B$2&amp;"^4"</f>
        <v>cm^4</v>
      </c>
      <c r="H15" s="65" t="s">
        <v>411</v>
      </c>
      <c r="I15" s="81">
        <f t="array" aca="1" ref="I15" ca="1">ABS(F15/MIN(SQRT((X-$F$7)^2+(Y-$F$8)^2)*SIN(ATAN2(X-$F$7,Y-$F$8)-RADIANS($F$5))))</f>
        <v>1574.7290213183683</v>
      </c>
      <c r="J15" s="64" t="str">
        <f>$B$2&amp;"^3"</f>
        <v>cm^3</v>
      </c>
      <c r="K15" s="52"/>
      <c r="L15" s="52">
        <v>124.5</v>
      </c>
      <c r="M15" s="80">
        <f ca="1">M14</f>
        <v>16.232764100106174</v>
      </c>
      <c r="N15" s="52"/>
      <c r="O15" s="52"/>
      <c r="P15" s="52"/>
      <c r="Q15" s="108"/>
      <c r="R15" s="109"/>
      <c r="S15" s="52"/>
      <c r="T15" s="52"/>
      <c r="U15" s="109"/>
      <c r="V15" s="52"/>
      <c r="W15" s="52"/>
      <c r="X15" s="52"/>
    </row>
    <row r="16" spans="1:24" x14ac:dyDescent="0.25">
      <c r="A16" s="73">
        <f t="shared" si="0"/>
        <v>11</v>
      </c>
      <c r="B16" s="79">
        <f>'Propriedades geométricas LA '!B16</f>
        <v>109.19055815603389</v>
      </c>
      <c r="C16" s="79">
        <f ca="1">IF('Propriedades geométricas LA '!C16&lt;$M$15,$M$15,'Propriedades geométricas LA '!C16)</f>
        <v>30</v>
      </c>
      <c r="D16" s="52"/>
      <c r="E16" s="65" t="s">
        <v>412</v>
      </c>
      <c r="F16" s="107">
        <f ca="1">F10*COS(RADIANS(F14))^2+F9*SIN(RADIANS(F14))^2+F11*SIN(2*RADIANS(F14))</f>
        <v>1653745.8468693313</v>
      </c>
      <c r="G16" s="64" t="str">
        <f>$B$2&amp;"^4"</f>
        <v>cm^4</v>
      </c>
      <c r="H16" s="65" t="s">
        <v>413</v>
      </c>
      <c r="I16" s="81">
        <f t="array" aca="1" ref="I16" ca="1">ABS($F$16/MIN(SQRT((X-$F$7)^2+(Y-$F$8)^2)*COS(ATAN2(X-$F$7,Y-$F$8)-RADIANS($F$5))))</f>
        <v>29422.796739841451</v>
      </c>
      <c r="J16" s="64" t="str">
        <f>$B$2&amp;"^3"</f>
        <v>cm^3</v>
      </c>
      <c r="K16" s="52"/>
      <c r="L16" s="52" t="s">
        <v>398</v>
      </c>
      <c r="M16" s="80">
        <f ca="1">F8-C7</f>
        <v>6.4424201270847519</v>
      </c>
      <c r="N16" s="52"/>
      <c r="O16" s="52"/>
      <c r="P16" s="52"/>
      <c r="Q16" s="108"/>
      <c r="R16" s="109"/>
      <c r="S16" s="52"/>
      <c r="T16" s="52"/>
      <c r="U16" s="109"/>
      <c r="V16" s="52"/>
      <c r="W16" s="52"/>
      <c r="X16" s="52"/>
    </row>
    <row r="17" spans="1:24" x14ac:dyDescent="0.25">
      <c r="A17" s="73">
        <f t="shared" si="0"/>
        <v>12</v>
      </c>
      <c r="B17" s="79">
        <f>'Propriedades geométricas LA '!B17</f>
        <v>109.19055815603389</v>
      </c>
      <c r="C17" s="79">
        <f ca="1">IF('Propriedades geométricas LA '!C17&lt;$M$15,$M$15,'Propriedades geométricas LA '!C17)</f>
        <v>25</v>
      </c>
      <c r="D17" s="52"/>
      <c r="E17" s="65" t="s">
        <v>414</v>
      </c>
      <c r="F17" s="81">
        <f ca="1">+(F9-F10)/2*SIN(RADIANS(F14)*2)+F11*COS(2*RADIANS(F14))</f>
        <v>0</v>
      </c>
      <c r="G17" s="64" t="str">
        <f>$B$2&amp;"^4"</f>
        <v>cm^4</v>
      </c>
      <c r="H17" s="65" t="s">
        <v>415</v>
      </c>
      <c r="I17" s="81">
        <f t="array" aca="1" ref="I17" ca="1">ABS($F$16/MAX(SQRT((X-$F$7)^2+(Y-$F$8)^2)*COS(ATAN2(X-$F$7,Y-$F$8)-RADIANS($F$5))))</f>
        <v>23958.20877144903</v>
      </c>
      <c r="J17" s="64" t="str">
        <f>$B$2&amp;"^3"</f>
        <v>cm^3</v>
      </c>
      <c r="K17" s="52"/>
      <c r="L17" s="52"/>
      <c r="M17" s="52"/>
      <c r="N17" s="52"/>
      <c r="O17" s="52"/>
      <c r="P17" s="52"/>
      <c r="Q17" s="108"/>
      <c r="R17" s="110"/>
      <c r="S17" s="111"/>
      <c r="T17" s="52"/>
      <c r="U17" s="52"/>
      <c r="V17" s="52"/>
      <c r="W17" s="52"/>
      <c r="X17" s="52"/>
    </row>
    <row r="18" spans="1:24" x14ac:dyDescent="0.25">
      <c r="A18" s="73">
        <f t="shared" si="0"/>
        <v>13</v>
      </c>
      <c r="B18" s="79">
        <f>'Propriedades geométricas LA '!B18</f>
        <v>122.85</v>
      </c>
      <c r="C18" s="79">
        <f ca="1">IF('Propriedades geométricas LA '!C18&lt;$M$15,$M$15,'Propriedades geométricas LA '!C18)</f>
        <v>25</v>
      </c>
      <c r="D18" s="52"/>
      <c r="E18" s="91" t="s">
        <v>416</v>
      </c>
      <c r="F18" s="92">
        <f ca="1">+F15+F16</f>
        <v>1684364.9894098232</v>
      </c>
      <c r="G18" s="93" t="str">
        <f>$B$2&amp;"^4"</f>
        <v>cm^4</v>
      </c>
      <c r="H18" s="94"/>
      <c r="I18" s="112"/>
      <c r="J18" s="93"/>
      <c r="K18" s="52"/>
      <c r="L18" s="52"/>
      <c r="M18" s="52"/>
      <c r="N18" s="52"/>
      <c r="O18" s="52"/>
      <c r="P18" s="52"/>
      <c r="Q18" s="52"/>
      <c r="R18" s="52"/>
      <c r="S18" s="52"/>
      <c r="T18" s="111"/>
      <c r="U18" s="111"/>
      <c r="V18" s="52"/>
      <c r="W18" s="52"/>
      <c r="X18" s="52"/>
    </row>
    <row r="19" spans="1:24" x14ac:dyDescent="0.25">
      <c r="A19" s="73">
        <f t="shared" si="0"/>
        <v>14</v>
      </c>
      <c r="B19" s="79">
        <f>'Propriedades geométricas LA '!B19</f>
        <v>122.85</v>
      </c>
      <c r="C19" s="79">
        <f ca="1">IF('Propriedades geométricas LA '!C19&lt;$M$15,$M$15,'Propriedades geométricas LA '!C19)</f>
        <v>21.5</v>
      </c>
      <c r="D19" s="75"/>
      <c r="E19" s="52"/>
      <c r="F19" s="52"/>
      <c r="G19" s="52"/>
      <c r="H19" s="52"/>
      <c r="I19" s="52"/>
      <c r="J19" s="52"/>
      <c r="K19" s="113"/>
      <c r="L19" s="52"/>
      <c r="M19" s="113"/>
      <c r="N19" s="113"/>
      <c r="O19" s="52"/>
      <c r="P19" s="52"/>
      <c r="Q19" s="52"/>
      <c r="R19" s="52"/>
      <c r="S19" s="52"/>
      <c r="T19" s="75"/>
      <c r="U19" s="80"/>
      <c r="V19" s="75"/>
      <c r="W19" s="52"/>
      <c r="X19" s="52"/>
    </row>
    <row r="20" spans="1:24" x14ac:dyDescent="0.25">
      <c r="A20" s="73">
        <f t="shared" si="0"/>
        <v>15</v>
      </c>
      <c r="B20" s="79">
        <f>'Propriedades geométricas LA '!B20</f>
        <v>121.5</v>
      </c>
      <c r="C20" s="79">
        <f ca="1">IF('Propriedades geométricas LA '!C20&lt;$M$15,$M$15,'Propriedades geométricas LA '!C20)</f>
        <v>19</v>
      </c>
      <c r="D20" s="75"/>
      <c r="E20" s="52"/>
      <c r="F20" s="52"/>
      <c r="G20" s="52"/>
      <c r="H20" s="52"/>
      <c r="I20" s="52"/>
      <c r="J20" s="52"/>
      <c r="K20" s="113"/>
      <c r="L20" s="52"/>
      <c r="M20" s="113"/>
      <c r="N20" s="113"/>
      <c r="O20" s="52"/>
      <c r="P20" s="52"/>
      <c r="Q20" s="52"/>
      <c r="R20" s="52"/>
      <c r="S20" s="52"/>
      <c r="T20" s="75"/>
      <c r="U20" s="80"/>
      <c r="V20" s="75"/>
      <c r="W20" s="52"/>
      <c r="X20" s="80"/>
    </row>
    <row r="21" spans="1:24" x14ac:dyDescent="0.25">
      <c r="A21" s="73">
        <f t="shared" si="0"/>
        <v>16</v>
      </c>
      <c r="B21" s="79">
        <f>'Propriedades geométricas LA '!B21</f>
        <v>121.5</v>
      </c>
      <c r="C21" s="79">
        <f ca="1">IF('Propriedades geométricas LA '!C21&lt;$M$15,$M$15,'Propriedades geométricas LA '!C21)</f>
        <v>16.232764100106174</v>
      </c>
      <c r="D21" s="75"/>
      <c r="E21" s="52"/>
      <c r="F21" s="52"/>
      <c r="G21" s="52"/>
      <c r="H21" s="52"/>
      <c r="I21" s="52"/>
      <c r="J21" s="52"/>
      <c r="K21" s="113"/>
      <c r="L21" s="52"/>
      <c r="M21" s="113"/>
      <c r="N21" s="113"/>
      <c r="O21" s="52"/>
      <c r="P21" s="52"/>
      <c r="Q21" s="52"/>
      <c r="R21" s="52"/>
      <c r="S21" s="52"/>
      <c r="T21" s="113"/>
      <c r="U21" s="113"/>
      <c r="V21" s="75"/>
      <c r="W21" s="52"/>
      <c r="X21" s="80"/>
    </row>
    <row r="22" spans="1:24" x14ac:dyDescent="0.25">
      <c r="A22" s="73">
        <f t="shared" si="0"/>
        <v>17</v>
      </c>
      <c r="B22" s="79">
        <f>'Propriedades geométricas LA '!B22</f>
        <v>124.5</v>
      </c>
      <c r="C22" s="79">
        <f ca="1">IF('Propriedades geométricas LA '!C22&lt;$M$15,$M$15,'Propriedades geométricas LA '!C22)</f>
        <v>16.232764100106174</v>
      </c>
      <c r="D22" s="75"/>
      <c r="E22" s="52"/>
      <c r="F22" s="52"/>
      <c r="G22" s="52"/>
      <c r="H22" s="52"/>
      <c r="I22" s="52"/>
      <c r="J22" s="52"/>
      <c r="K22" s="113"/>
      <c r="L22" s="52"/>
      <c r="M22" s="113"/>
      <c r="N22" s="113"/>
      <c r="O22" s="52"/>
      <c r="P22" s="52"/>
      <c r="Q22" s="52"/>
      <c r="R22" s="52"/>
      <c r="S22" s="52"/>
      <c r="T22" s="113"/>
      <c r="U22" s="113"/>
      <c r="V22" s="75"/>
      <c r="W22" s="52"/>
      <c r="X22" s="80"/>
    </row>
    <row r="23" spans="1:24" x14ac:dyDescent="0.25">
      <c r="A23" s="73">
        <f t="shared" si="0"/>
        <v>18</v>
      </c>
      <c r="B23" s="79">
        <f>'Propriedades geométricas LA '!B23</f>
        <v>124.31</v>
      </c>
      <c r="C23" s="79">
        <f ca="1">IF('Propriedades geométricas LA '!C23&lt;$M$15,$M$15,'Propriedades geométricas LA '!C23)</f>
        <v>16.232764100106174</v>
      </c>
      <c r="D23" s="8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113"/>
      <c r="V23" s="75"/>
      <c r="W23" s="52"/>
      <c r="X23" s="80"/>
    </row>
    <row r="24" spans="1:24" x14ac:dyDescent="0.25">
      <c r="A24" s="73">
        <f t="shared" si="0"/>
        <v>19</v>
      </c>
      <c r="B24" s="79">
        <f>'Propriedades geométricas LA '!B24</f>
        <v>123.55</v>
      </c>
      <c r="C24" s="79">
        <f ca="1">IF('Propriedades geométricas LA '!C24&lt;$M$15,$M$15,'Propriedades geométricas LA '!C24)</f>
        <v>16.232764100106174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113"/>
      <c r="V24" s="52"/>
      <c r="W24" s="52"/>
      <c r="X24" s="52"/>
    </row>
    <row r="25" spans="1:24" x14ac:dyDescent="0.25">
      <c r="A25" s="73">
        <f t="shared" si="0"/>
        <v>20</v>
      </c>
      <c r="B25" s="79">
        <f>'Propriedades geométricas LA '!B25</f>
        <v>111.05</v>
      </c>
      <c r="C25" s="79">
        <f ca="1">IF('Propriedades geométricas LA '!C25&lt;$M$15,$M$15,'Propriedades geométricas LA '!C25)</f>
        <v>16.232764100106174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113"/>
      <c r="V25" s="52"/>
      <c r="W25" s="52"/>
      <c r="X25" s="52"/>
    </row>
    <row r="26" spans="1:24" x14ac:dyDescent="0.25">
      <c r="A26" s="73">
        <f t="shared" si="0"/>
        <v>21</v>
      </c>
      <c r="B26" s="79">
        <f>'Propriedades geométricas LA '!B26</f>
        <v>111.05</v>
      </c>
      <c r="C26" s="79">
        <f ca="1">IF('Propriedades geométricas LA '!C26&lt;$M$15,$M$15,'Propriedades geométricas LA '!C26)</f>
        <v>16.232764100106174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114"/>
      <c r="R26" s="114"/>
      <c r="S26" s="114"/>
      <c r="T26" s="52"/>
      <c r="U26" s="113"/>
      <c r="V26" s="52"/>
      <c r="W26" s="52"/>
      <c r="X26" s="52"/>
    </row>
    <row r="27" spans="1:24" x14ac:dyDescent="0.25">
      <c r="A27" s="73">
        <f t="shared" si="0"/>
        <v>22</v>
      </c>
      <c r="B27" s="79">
        <f>'Propriedades geométricas LA '!B27</f>
        <v>114.1</v>
      </c>
      <c r="C27" s="79">
        <f ca="1">IF('Propriedades geométricas LA '!C27&lt;$M$15,$M$15,'Propriedades geométricas LA '!C27)</f>
        <v>16.232764100106174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114"/>
      <c r="R27" s="114"/>
      <c r="S27" s="114"/>
      <c r="T27" s="52"/>
      <c r="U27" s="113"/>
      <c r="V27" s="52"/>
      <c r="W27" s="52"/>
      <c r="X27" s="52"/>
    </row>
    <row r="28" spans="1:24" x14ac:dyDescent="0.25">
      <c r="A28" s="73">
        <f t="shared" si="0"/>
        <v>23</v>
      </c>
      <c r="B28" s="79">
        <f>'Propriedades geométricas LA '!B28</f>
        <v>117.25</v>
      </c>
      <c r="C28" s="79">
        <f ca="1">IF('Propriedades geométricas LA '!C28&lt;$M$15,$M$15,'Propriedades geométricas LA '!C28)</f>
        <v>16.232764100106174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114"/>
      <c r="R28" s="114"/>
      <c r="S28" s="114"/>
      <c r="T28" s="52"/>
      <c r="U28" s="113"/>
      <c r="V28" s="52"/>
      <c r="W28" s="52"/>
      <c r="X28" s="52"/>
    </row>
    <row r="29" spans="1:24" x14ac:dyDescent="0.25">
      <c r="A29" s="73">
        <f t="shared" si="0"/>
        <v>24</v>
      </c>
      <c r="B29" s="79">
        <f>'Propriedades geométricas LA '!B29</f>
        <v>117.25</v>
      </c>
      <c r="C29" s="79">
        <f ca="1">IF('Propriedades geométricas LA '!C29&lt;$M$15,$M$15,'Propriedades geométricas LA '!C29)</f>
        <v>16.232764100106174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114"/>
      <c r="R29" s="114"/>
      <c r="S29" s="114"/>
      <c r="T29" s="52"/>
      <c r="U29" s="113"/>
      <c r="V29" s="52"/>
      <c r="W29" s="52"/>
      <c r="X29" s="52"/>
    </row>
    <row r="30" spans="1:24" x14ac:dyDescent="0.25">
      <c r="A30" s="73">
        <f t="shared" si="0"/>
        <v>25</v>
      </c>
      <c r="B30" s="79">
        <f>'Propriedades geométricas LA '!B30</f>
        <v>117.18</v>
      </c>
      <c r="C30" s="79">
        <f ca="1">IF('Propriedades geométricas LA '!C30&lt;$M$15,$M$15,'Propriedades geométricas LA '!C30)</f>
        <v>16.66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113"/>
      <c r="V30" s="52"/>
      <c r="W30" s="52"/>
      <c r="X30" s="52"/>
    </row>
    <row r="31" spans="1:24" x14ac:dyDescent="0.25">
      <c r="A31" s="73">
        <f t="shared" si="0"/>
        <v>26</v>
      </c>
      <c r="B31" s="79">
        <f>'Propriedades geométricas LA '!B31</f>
        <v>116.92</v>
      </c>
      <c r="C31" s="79">
        <f ca="1">IF('Propriedades geométricas LA '!C31&lt;$M$15,$M$15,'Propriedades geométricas LA '!C31)</f>
        <v>17.760000000000002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113"/>
      <c r="V31" s="52"/>
      <c r="W31" s="52"/>
      <c r="X31" s="52"/>
    </row>
    <row r="32" spans="1:24" x14ac:dyDescent="0.25">
      <c r="A32" s="73">
        <f t="shared" si="0"/>
        <v>27</v>
      </c>
      <c r="B32" s="79">
        <f>'Propriedades geométricas LA '!B32</f>
        <v>116.43</v>
      </c>
      <c r="C32" s="79">
        <f ca="1">IF('Propriedades geométricas LA '!C32&lt;$M$15,$M$15,'Propriedades geométricas LA '!C32)</f>
        <v>18.84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x14ac:dyDescent="0.25">
      <c r="A33" s="73">
        <f t="shared" si="0"/>
        <v>28</v>
      </c>
      <c r="B33" s="79">
        <f>'Propriedades geométricas LA '!B33</f>
        <v>115.87</v>
      </c>
      <c r="C33" s="79">
        <f ca="1">IF('Propriedades geométricas LA '!C33&lt;$M$15,$M$15,'Propriedades geométricas LA '!C33)</f>
        <v>19.66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x14ac:dyDescent="0.25">
      <c r="A34" s="73">
        <f t="shared" si="0"/>
        <v>29</v>
      </c>
      <c r="B34" s="79">
        <f>'Propriedades geométricas LA '!B34</f>
        <v>115.23</v>
      </c>
      <c r="C34" s="79">
        <f ca="1">IF('Propriedades geométricas LA '!C34&lt;$M$15,$M$15,'Propriedades geométricas LA '!C34)</f>
        <v>20.350000000000001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25">
      <c r="A35" s="73">
        <f t="shared" si="0"/>
        <v>30</v>
      </c>
      <c r="B35" s="79">
        <f>'Propriedades geométricas LA '!B35</f>
        <v>114.55</v>
      </c>
      <c r="C35" s="79">
        <f ca="1">IF('Propriedades geométricas LA '!C35&lt;$M$15,$M$15,'Propriedades geométricas LA '!C35)</f>
        <v>20.89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spans="1:24" x14ac:dyDescent="0.25">
      <c r="A36" s="73">
        <f t="shared" si="0"/>
        <v>31</v>
      </c>
      <c r="B36" s="79">
        <f>'Propriedades geométricas LA '!B36</f>
        <v>113.9</v>
      </c>
      <c r="C36" s="79">
        <f ca="1">IF('Propriedades geométricas LA '!C36&lt;$M$15,$M$15,'Propriedades geométricas LA '!C36)</f>
        <v>21.29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4" x14ac:dyDescent="0.25">
      <c r="A37" s="73">
        <f t="shared" si="0"/>
        <v>32</v>
      </c>
      <c r="B37" s="79">
        <f>'Propriedades geométricas LA '!B37</f>
        <v>113.18</v>
      </c>
      <c r="C37" s="79">
        <f ca="1">IF('Propriedades geométricas LA '!C37&lt;$M$15,$M$15,'Propriedades geométricas LA '!C37)</f>
        <v>21.61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spans="1:24" x14ac:dyDescent="0.25">
      <c r="A38" s="73">
        <f t="shared" si="0"/>
        <v>33</v>
      </c>
      <c r="B38" s="79">
        <f>'Propriedades geométricas LA '!B38</f>
        <v>112.59</v>
      </c>
      <c r="C38" s="79">
        <f ca="1">IF('Propriedades geométricas LA '!C38&lt;$M$15,$M$15,'Propriedades geométricas LA '!C38)</f>
        <v>21.79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spans="1:24" x14ac:dyDescent="0.25">
      <c r="A39" s="73">
        <f t="shared" si="0"/>
        <v>34</v>
      </c>
      <c r="B39" s="79">
        <f>'Propriedades geométricas LA '!B39</f>
        <v>111.97</v>
      </c>
      <c r="C39" s="79">
        <f ca="1">IF('Propriedades geométricas LA '!C39&lt;$M$15,$M$15,'Propriedades geométricas LA '!C39)</f>
        <v>21.92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spans="1:24" x14ac:dyDescent="0.25">
      <c r="A40" s="73">
        <f t="shared" si="0"/>
        <v>35</v>
      </c>
      <c r="B40" s="79">
        <f>'Propriedades geométricas LA '!B40</f>
        <v>111.3</v>
      </c>
      <c r="C40" s="79">
        <f ca="1">IF('Propriedades geométricas LA '!C40&lt;$M$15,$M$15,'Propriedades geométricas LA '!C40)</f>
        <v>21.99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73">
        <v>36</v>
      </c>
      <c r="B41" s="79">
        <f>'Propriedades geométricas LA '!B41</f>
        <v>110.7</v>
      </c>
      <c r="C41" s="79">
        <f ca="1">IF('Propriedades geométricas LA '!C41&lt;$M$15,$M$15,'Propriedades geométricas LA '!C41)</f>
        <v>21.99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73">
        <f t="shared" ref="A42:A79" si="1">1+A41</f>
        <v>37</v>
      </c>
      <c r="B42" s="79">
        <f>'Propriedades geométricas LA '!B42</f>
        <v>110.03</v>
      </c>
      <c r="C42" s="79">
        <f ca="1">IF('Propriedades geométricas LA '!C42&lt;$M$15,$M$15,'Propriedades geométricas LA '!C42)</f>
        <v>21.92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73">
        <f t="shared" si="1"/>
        <v>38</v>
      </c>
      <c r="B43" s="79">
        <f>'Propriedades geométricas LA '!B43</f>
        <v>109.41</v>
      </c>
      <c r="C43" s="79">
        <f ca="1">IF('Propriedades geométricas LA '!C43&lt;$M$15,$M$15,'Propriedades geométricas LA '!C43)</f>
        <v>21.79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73">
        <f t="shared" si="1"/>
        <v>39</v>
      </c>
      <c r="B44" s="79">
        <f>'Propriedades geométricas LA '!B44</f>
        <v>108.82</v>
      </c>
      <c r="C44" s="79">
        <f ca="1">IF('Propriedades geométricas LA '!C44&lt;$M$15,$M$15,'Propriedades geométricas LA '!C44)</f>
        <v>21.61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73">
        <f t="shared" si="1"/>
        <v>40</v>
      </c>
      <c r="B45" s="79">
        <f>'Propriedades geométricas LA '!B45</f>
        <v>108.1</v>
      </c>
      <c r="C45" s="79">
        <f ca="1">IF('Propriedades geométricas LA '!C45&lt;$M$15,$M$15,'Propriedades geométricas LA '!C45)</f>
        <v>21.29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73">
        <f t="shared" si="1"/>
        <v>41</v>
      </c>
      <c r="B46" s="79">
        <f>'Propriedades geométricas LA '!B46</f>
        <v>107.45</v>
      </c>
      <c r="C46" s="79">
        <f ca="1">IF('Propriedades geométricas LA '!C46&lt;$M$15,$M$15,'Propriedades geométricas LA '!C46)</f>
        <v>20.89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73">
        <f t="shared" si="1"/>
        <v>42</v>
      </c>
      <c r="B47" s="79">
        <f>'Propriedades geométricas LA '!B47</f>
        <v>106.77</v>
      </c>
      <c r="C47" s="79">
        <f ca="1">IF('Propriedades geométricas LA '!C47&lt;$M$15,$M$15,'Propriedades geométricas LA '!C47)</f>
        <v>20.350000000000001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73">
        <f t="shared" si="1"/>
        <v>43</v>
      </c>
      <c r="B48" s="79">
        <f>'Propriedades geométricas LA '!B48</f>
        <v>106.13</v>
      </c>
      <c r="C48" s="79">
        <f ca="1">IF('Propriedades geométricas LA '!C48&lt;$M$15,$M$15,'Propriedades geométricas LA '!C48)</f>
        <v>19.66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73">
        <f t="shared" si="1"/>
        <v>44</v>
      </c>
      <c r="B49" s="79">
        <f>'Propriedades geométricas LA '!B49</f>
        <v>105.57</v>
      </c>
      <c r="C49" s="79">
        <f ca="1">IF('Propriedades geométricas LA '!C49&lt;$M$15,$M$15,'Propriedades geométricas LA '!C49)</f>
        <v>18.84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73">
        <f t="shared" si="1"/>
        <v>45</v>
      </c>
      <c r="B50" s="79">
        <f>'Propriedades geométricas LA '!B50</f>
        <v>105.08</v>
      </c>
      <c r="C50" s="79">
        <f ca="1">IF('Propriedades geométricas LA '!C50&lt;$M$15,$M$15,'Propriedades geométricas LA '!C50)</f>
        <v>17.760000000000002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73">
        <f t="shared" si="1"/>
        <v>46</v>
      </c>
      <c r="B51" s="79">
        <f>'Propriedades geométricas LA '!B51</f>
        <v>104.82</v>
      </c>
      <c r="C51" s="79">
        <f ca="1">IF('Propriedades geométricas LA '!C51&lt;$M$15,$M$15,'Propriedades geométricas LA '!C51)</f>
        <v>16.66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73">
        <f t="shared" si="1"/>
        <v>47</v>
      </c>
      <c r="B52" s="79">
        <f>'Propriedades geométricas LA '!B52</f>
        <v>104.75</v>
      </c>
      <c r="C52" s="79">
        <f ca="1">IF('Propriedades geométricas LA '!C52&lt;$M$15,$M$15,'Propriedades geométricas LA '!C52)</f>
        <v>16.232764100106174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73">
        <f t="shared" si="1"/>
        <v>48</v>
      </c>
      <c r="B53" s="79">
        <f>'Propriedades geométricas LA '!B53</f>
        <v>104.75</v>
      </c>
      <c r="C53" s="79">
        <f ca="1">IF('Propriedades geométricas LA '!C53&lt;$M$15,$M$15,'Propriedades geométricas LA '!C53)</f>
        <v>16.232764100106174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73">
        <f t="shared" si="1"/>
        <v>49</v>
      </c>
      <c r="B54" s="79">
        <f>'Propriedades geométricas LA '!B54</f>
        <v>107.9</v>
      </c>
      <c r="C54" s="79">
        <f ca="1">IF('Propriedades geométricas LA '!C54&lt;$M$15,$M$15,'Propriedades geométricas LA '!C54)</f>
        <v>16.232764100106174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73">
        <f t="shared" si="1"/>
        <v>50</v>
      </c>
      <c r="B55" s="79">
        <f>'Propriedades geométricas LA '!B55</f>
        <v>111</v>
      </c>
      <c r="C55" s="79">
        <f ca="1">IF('Propriedades geométricas LA '!C55&lt;$M$15,$M$15,'Propriedades geométricas LA '!C55)</f>
        <v>16.232764100106174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73">
        <f t="shared" si="1"/>
        <v>51</v>
      </c>
      <c r="B56" s="79">
        <f>'Propriedades geométricas LA '!B56</f>
        <v>111</v>
      </c>
      <c r="C56" s="79">
        <f ca="1">IF('Propriedades geométricas LA '!C56&lt;$M$15,$M$15,'Propriedades geométricas LA '!C56)</f>
        <v>16.232764100106174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73">
        <f t="shared" si="1"/>
        <v>52</v>
      </c>
      <c r="B57" s="79">
        <f>'Propriedades geométricas LA '!B57</f>
        <v>94.8</v>
      </c>
      <c r="C57" s="79">
        <f ca="1">IF('Propriedades geométricas LA '!C57&lt;$M$15,$M$15,'Propriedades geométricas LA '!C57)</f>
        <v>16.232764100106174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73">
        <f t="shared" si="1"/>
        <v>53</v>
      </c>
      <c r="B58" s="79">
        <f>'Propriedades geométricas LA '!B58</f>
        <v>94.8</v>
      </c>
      <c r="C58" s="79">
        <f ca="1">IF('Propriedades geométricas LA '!C58&lt;$M$15,$M$15,'Propriedades geométricas LA '!C58)</f>
        <v>16.232764100106174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73">
        <f t="shared" si="1"/>
        <v>54</v>
      </c>
      <c r="B59" s="79">
        <f>'Propriedades geométricas LA '!B59</f>
        <v>97.85</v>
      </c>
      <c r="C59" s="79">
        <f ca="1">IF('Propriedades geométricas LA '!C59&lt;$M$15,$M$15,'Propriedades geométricas LA '!C59)</f>
        <v>16.232764100106174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73">
        <f t="shared" si="1"/>
        <v>55</v>
      </c>
      <c r="B60" s="79">
        <f>'Propriedades geométricas LA '!B60</f>
        <v>101</v>
      </c>
      <c r="C60" s="79">
        <f ca="1">IF('Propriedades geométricas LA '!C60&lt;$M$15,$M$15,'Propriedades geométricas LA '!C60)</f>
        <v>16.232764100106174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73">
        <f t="shared" si="1"/>
        <v>56</v>
      </c>
      <c r="B61" s="79">
        <f>'Propriedades geométricas LA '!B61</f>
        <v>101</v>
      </c>
      <c r="C61" s="79">
        <f ca="1">IF('Propriedades geométricas LA '!C61&lt;$M$15,$M$15,'Propriedades geométricas LA '!C61)</f>
        <v>16.232764100106174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73">
        <f t="shared" si="1"/>
        <v>57</v>
      </c>
      <c r="B62" s="79">
        <f>'Propriedades geométricas LA '!B62</f>
        <v>100.93</v>
      </c>
      <c r="C62" s="79">
        <f ca="1">IF('Propriedades geométricas LA '!C62&lt;$M$15,$M$15,'Propriedades geométricas LA '!C62)</f>
        <v>16.66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73">
        <f t="shared" si="1"/>
        <v>58</v>
      </c>
      <c r="B63" s="79">
        <f>'Propriedades geométricas LA '!B63</f>
        <v>100.67</v>
      </c>
      <c r="C63" s="79">
        <f ca="1">IF('Propriedades geométricas LA '!C63&lt;$M$15,$M$15,'Propriedades geométricas LA '!C63)</f>
        <v>17.760000000000002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73">
        <f t="shared" si="1"/>
        <v>59</v>
      </c>
      <c r="B64" s="79">
        <f>'Propriedades geométricas LA '!B64</f>
        <v>100.18</v>
      </c>
      <c r="C64" s="79">
        <f ca="1">IF('Propriedades geométricas LA '!C64&lt;$M$15,$M$15,'Propriedades geométricas LA '!C64)</f>
        <v>18.84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73">
        <f t="shared" si="1"/>
        <v>60</v>
      </c>
      <c r="B65" s="79">
        <f>'Propriedades geométricas LA '!B65</f>
        <v>99.62</v>
      </c>
      <c r="C65" s="79">
        <f ca="1">IF('Propriedades geométricas LA '!C65&lt;$M$15,$M$15,'Propriedades geométricas LA '!C65)</f>
        <v>19.66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73">
        <f t="shared" si="1"/>
        <v>61</v>
      </c>
      <c r="B66" s="79">
        <f>'Propriedades geométricas LA '!B66</f>
        <v>98.98</v>
      </c>
      <c r="C66" s="79">
        <f ca="1">IF('Propriedades geométricas LA '!C66&lt;$M$15,$M$15,'Propriedades geométricas LA '!C66)</f>
        <v>20.350000000000001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73">
        <f t="shared" si="1"/>
        <v>62</v>
      </c>
      <c r="B67" s="79">
        <f>'Propriedades geométricas LA '!B67</f>
        <v>98.3</v>
      </c>
      <c r="C67" s="79">
        <f ca="1">IF('Propriedades geométricas LA '!C67&lt;$M$15,$M$15,'Propriedades geométricas LA '!C67)</f>
        <v>20.89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73">
        <f t="shared" si="1"/>
        <v>63</v>
      </c>
      <c r="B68" s="79">
        <f>'Propriedades geométricas LA '!B68</f>
        <v>97.65</v>
      </c>
      <c r="C68" s="79">
        <f ca="1">IF('Propriedades geométricas LA '!C68&lt;$M$15,$M$15,'Propriedades geométricas LA '!C68)</f>
        <v>21.29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73">
        <f t="shared" si="1"/>
        <v>64</v>
      </c>
      <c r="B69" s="79">
        <f>'Propriedades geométricas LA '!B69</f>
        <v>96.93</v>
      </c>
      <c r="C69" s="79">
        <f ca="1">IF('Propriedades geométricas LA '!C69&lt;$M$15,$M$15,'Propriedades geométricas LA '!C69)</f>
        <v>21.61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73">
        <f t="shared" si="1"/>
        <v>65</v>
      </c>
      <c r="B70" s="79">
        <f>'Propriedades geométricas LA '!B70</f>
        <v>96.34</v>
      </c>
      <c r="C70" s="79">
        <f ca="1">IF('Propriedades geométricas LA '!C70&lt;$M$15,$M$15,'Propriedades geométricas LA '!C70)</f>
        <v>21.79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73">
        <f t="shared" si="1"/>
        <v>66</v>
      </c>
      <c r="B71" s="79">
        <f>'Propriedades geométricas LA '!B71</f>
        <v>95.72</v>
      </c>
      <c r="C71" s="79">
        <f ca="1">IF('Propriedades geométricas LA '!C71&lt;$M$15,$M$15,'Propriedades geométricas LA '!C71)</f>
        <v>21.92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73">
        <f t="shared" si="1"/>
        <v>67</v>
      </c>
      <c r="B72" s="79">
        <f>'Propriedades geométricas LA '!B72</f>
        <v>95.05</v>
      </c>
      <c r="C72" s="79">
        <f ca="1">IF('Propriedades geométricas LA '!C72&lt;$M$15,$M$15,'Propriedades geométricas LA '!C72)</f>
        <v>21.99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73">
        <f t="shared" si="1"/>
        <v>68</v>
      </c>
      <c r="B73" s="79">
        <f>'Propriedades geométricas LA '!B73</f>
        <v>94.45</v>
      </c>
      <c r="C73" s="79">
        <f ca="1">IF('Propriedades geométricas LA '!C73&lt;$M$15,$M$15,'Propriedades geométricas LA '!C73)</f>
        <v>21.99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73">
        <f t="shared" si="1"/>
        <v>69</v>
      </c>
      <c r="B74" s="79">
        <f>'Propriedades geométricas LA '!B74</f>
        <v>93.78</v>
      </c>
      <c r="C74" s="79">
        <f ca="1">IF('Propriedades geométricas LA '!C74&lt;$M$15,$M$15,'Propriedades geométricas LA '!C74)</f>
        <v>21.92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73">
        <f t="shared" si="1"/>
        <v>70</v>
      </c>
      <c r="B75" s="79">
        <f>'Propriedades geométricas LA '!B75</f>
        <v>93.16</v>
      </c>
      <c r="C75" s="79">
        <f ca="1">IF('Propriedades geométricas LA '!C75&lt;$M$15,$M$15,'Propriedades geométricas LA '!C75)</f>
        <v>21.79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73">
        <f t="shared" si="1"/>
        <v>71</v>
      </c>
      <c r="B76" s="79">
        <f>'Propriedades geométricas LA '!B76</f>
        <v>92.57</v>
      </c>
      <c r="C76" s="79">
        <f ca="1">IF('Propriedades geométricas LA '!C76&lt;$M$15,$M$15,'Propriedades geométricas LA '!C76)</f>
        <v>21.61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73">
        <f t="shared" si="1"/>
        <v>72</v>
      </c>
      <c r="B77" s="79">
        <f>'Propriedades geométricas LA '!B77</f>
        <v>91.85</v>
      </c>
      <c r="C77" s="79">
        <f ca="1">IF('Propriedades geométricas LA '!C77&lt;$M$15,$M$15,'Propriedades geométricas LA '!C77)</f>
        <v>21.29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73">
        <f t="shared" si="1"/>
        <v>73</v>
      </c>
      <c r="B78" s="79">
        <f>'Propriedades geométricas LA '!B78</f>
        <v>91.2</v>
      </c>
      <c r="C78" s="79">
        <f ca="1">IF('Propriedades geométricas LA '!C78&lt;$M$15,$M$15,'Propriedades geométricas LA '!C78)</f>
        <v>20.89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73">
        <f t="shared" si="1"/>
        <v>74</v>
      </c>
      <c r="B79" s="79">
        <f>'Propriedades geométricas LA '!B79</f>
        <v>90.52</v>
      </c>
      <c r="C79" s="79">
        <f ca="1">IF('Propriedades geométricas LA '!C79&lt;$M$15,$M$15,'Propriedades geométricas LA '!C79)</f>
        <v>20.350000000000001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B80" s="79">
        <f>'Propriedades geométricas LA '!B80</f>
        <v>89.88</v>
      </c>
      <c r="C80" s="79">
        <f ca="1">IF('Propriedades geométricas LA '!C80&lt;$M$15,$M$15,'Propriedades geométricas LA '!C80)</f>
        <v>19.66</v>
      </c>
    </row>
    <row r="81" spans="2:3" x14ac:dyDescent="0.25">
      <c r="B81" s="79">
        <f>'Propriedades geométricas LA '!B81</f>
        <v>89.32</v>
      </c>
      <c r="C81" s="79">
        <f ca="1">IF('Propriedades geométricas LA '!C81&lt;$M$15,$M$15,'Propriedades geométricas LA '!C81)</f>
        <v>18.84</v>
      </c>
    </row>
    <row r="82" spans="2:3" x14ac:dyDescent="0.25">
      <c r="B82" s="79">
        <f>'Propriedades geométricas LA '!B82</f>
        <v>88.83</v>
      </c>
      <c r="C82" s="79">
        <f ca="1">IF('Propriedades geométricas LA '!C82&lt;$M$15,$M$15,'Propriedades geométricas LA '!C82)</f>
        <v>17.760000000000002</v>
      </c>
    </row>
    <row r="83" spans="2:3" x14ac:dyDescent="0.25">
      <c r="B83" s="79">
        <f>'Propriedades geométricas LA '!B83</f>
        <v>88.57</v>
      </c>
      <c r="C83" s="79">
        <f ca="1">IF('Propriedades geométricas LA '!C83&lt;$M$15,$M$15,'Propriedades geométricas LA '!C83)</f>
        <v>16.66</v>
      </c>
    </row>
    <row r="84" spans="2:3" x14ac:dyDescent="0.25">
      <c r="B84" s="79">
        <f>'Propriedades geométricas LA '!B84</f>
        <v>88.5</v>
      </c>
      <c r="C84" s="79">
        <f ca="1">IF('Propriedades geométricas LA '!C84&lt;$M$15,$M$15,'Propriedades geométricas LA '!C84)</f>
        <v>16.232764100106174</v>
      </c>
    </row>
    <row r="85" spans="2:3" x14ac:dyDescent="0.25">
      <c r="B85" s="79">
        <f>'Propriedades geométricas LA '!B85</f>
        <v>88.5</v>
      </c>
      <c r="C85" s="79">
        <f ca="1">IF('Propriedades geométricas LA '!C85&lt;$M$15,$M$15,'Propriedades geométricas LA '!C85)</f>
        <v>16.232764100106174</v>
      </c>
    </row>
    <row r="86" spans="2:3" x14ac:dyDescent="0.25">
      <c r="B86" s="79">
        <f>'Propriedades geométricas LA '!B86</f>
        <v>91.65</v>
      </c>
      <c r="C86" s="79">
        <f ca="1">IF('Propriedades geométricas LA '!C86&lt;$M$15,$M$15,'Propriedades geométricas LA '!C86)</f>
        <v>16.232764100106174</v>
      </c>
    </row>
    <row r="87" spans="2:3" x14ac:dyDescent="0.25">
      <c r="B87" s="79">
        <f>'Propriedades geométricas LA '!B87</f>
        <v>94.75</v>
      </c>
      <c r="C87" s="79">
        <f ca="1">IF('Propriedades geométricas LA '!C87&lt;$M$15,$M$15,'Propriedades geométricas LA '!C87)</f>
        <v>16.232764100106174</v>
      </c>
    </row>
    <row r="88" spans="2:3" x14ac:dyDescent="0.25">
      <c r="B88" s="79">
        <f>'Propriedades geométricas LA '!B88</f>
        <v>94.75</v>
      </c>
      <c r="C88" s="79">
        <f ca="1">IF('Propriedades geométricas LA '!C88&lt;$M$15,$M$15,'Propriedades geométricas LA '!C88)</f>
        <v>16.232764100106174</v>
      </c>
    </row>
    <row r="89" spans="2:3" x14ac:dyDescent="0.25">
      <c r="B89" s="79">
        <f>'Propriedades geométricas LA '!B89</f>
        <v>78.55</v>
      </c>
      <c r="C89" s="79">
        <f ca="1">IF('Propriedades geométricas LA '!C89&lt;$M$15,$M$15,'Propriedades geométricas LA '!C89)</f>
        <v>16.232764100106174</v>
      </c>
    </row>
    <row r="90" spans="2:3" x14ac:dyDescent="0.25">
      <c r="B90" s="79">
        <f>'Propriedades geométricas LA '!B90</f>
        <v>78.55</v>
      </c>
      <c r="C90" s="79">
        <f ca="1">IF('Propriedades geométricas LA '!C90&lt;$M$15,$M$15,'Propriedades geométricas LA '!C90)</f>
        <v>16.232764100106174</v>
      </c>
    </row>
    <row r="91" spans="2:3" x14ac:dyDescent="0.25">
      <c r="B91" s="79">
        <f>'Propriedades geométricas LA '!B91</f>
        <v>81.599999999999994</v>
      </c>
      <c r="C91" s="79">
        <f ca="1">IF('Propriedades geométricas LA '!C91&lt;$M$15,$M$15,'Propriedades geométricas LA '!C91)</f>
        <v>16.232764100106174</v>
      </c>
    </row>
    <row r="92" spans="2:3" x14ac:dyDescent="0.25">
      <c r="B92" s="79">
        <f>'Propriedades geométricas LA '!B92</f>
        <v>84.75</v>
      </c>
      <c r="C92" s="79">
        <f ca="1">IF('Propriedades geométricas LA '!C92&lt;$M$15,$M$15,'Propriedades geométricas LA '!C92)</f>
        <v>16.232764100106174</v>
      </c>
    </row>
    <row r="93" spans="2:3" x14ac:dyDescent="0.25">
      <c r="B93" s="79">
        <f>'Propriedades geométricas LA '!B93</f>
        <v>84.75</v>
      </c>
      <c r="C93" s="79">
        <f ca="1">IF('Propriedades geométricas LA '!C93&lt;$M$15,$M$15,'Propriedades geométricas LA '!C93)</f>
        <v>16.232764100106174</v>
      </c>
    </row>
    <row r="94" spans="2:3" x14ac:dyDescent="0.25">
      <c r="B94" s="79">
        <f>'Propriedades geométricas LA '!B94</f>
        <v>84.68</v>
      </c>
      <c r="C94" s="79">
        <f ca="1">IF('Propriedades geométricas LA '!C94&lt;$M$15,$M$15,'Propriedades geométricas LA '!C94)</f>
        <v>16.66</v>
      </c>
    </row>
    <row r="95" spans="2:3" x14ac:dyDescent="0.25">
      <c r="B95" s="79">
        <f>'Propriedades geométricas LA '!B95</f>
        <v>84.42</v>
      </c>
      <c r="C95" s="79">
        <f ca="1">IF('Propriedades geométricas LA '!C95&lt;$M$15,$M$15,'Propriedades geométricas LA '!C95)</f>
        <v>17.760000000000002</v>
      </c>
    </row>
    <row r="96" spans="2:3" x14ac:dyDescent="0.25">
      <c r="B96" s="79">
        <f>'Propriedades geométricas LA '!B96</f>
        <v>83.93</v>
      </c>
      <c r="C96" s="79">
        <f ca="1">IF('Propriedades geométricas LA '!C96&lt;$M$15,$M$15,'Propriedades geométricas LA '!C96)</f>
        <v>18.84</v>
      </c>
    </row>
    <row r="97" spans="2:3" x14ac:dyDescent="0.25">
      <c r="B97" s="79">
        <f>'Propriedades geométricas LA '!B97</f>
        <v>83.37</v>
      </c>
      <c r="C97" s="79">
        <f ca="1">IF('Propriedades geométricas LA '!C97&lt;$M$15,$M$15,'Propriedades geométricas LA '!C97)</f>
        <v>19.66</v>
      </c>
    </row>
    <row r="98" spans="2:3" x14ac:dyDescent="0.25">
      <c r="B98" s="79">
        <f>'Propriedades geométricas LA '!B98</f>
        <v>82.73</v>
      </c>
      <c r="C98" s="79">
        <f ca="1">IF('Propriedades geométricas LA '!C98&lt;$M$15,$M$15,'Propriedades geométricas LA '!C98)</f>
        <v>20.350000000000001</v>
      </c>
    </row>
    <row r="99" spans="2:3" x14ac:dyDescent="0.25">
      <c r="B99" s="79">
        <f>'Propriedades geométricas LA '!B99</f>
        <v>82.05</v>
      </c>
      <c r="C99" s="79">
        <f ca="1">IF('Propriedades geométricas LA '!C99&lt;$M$15,$M$15,'Propriedades geométricas LA '!C99)</f>
        <v>20.89</v>
      </c>
    </row>
    <row r="100" spans="2:3" x14ac:dyDescent="0.25">
      <c r="B100" s="79">
        <f>'Propriedades geométricas LA '!B100</f>
        <v>81.400000000000006</v>
      </c>
      <c r="C100" s="79">
        <f ca="1">IF('Propriedades geométricas LA '!C100&lt;$M$15,$M$15,'Propriedades geométricas LA '!C100)</f>
        <v>21.29</v>
      </c>
    </row>
    <row r="101" spans="2:3" x14ac:dyDescent="0.25">
      <c r="B101" s="79">
        <f>'Propriedades geométricas LA '!B101</f>
        <v>80.680000000000007</v>
      </c>
      <c r="C101" s="79">
        <f ca="1">IF('Propriedades geométricas LA '!C101&lt;$M$15,$M$15,'Propriedades geométricas LA '!C101)</f>
        <v>21.61</v>
      </c>
    </row>
    <row r="102" spans="2:3" x14ac:dyDescent="0.25">
      <c r="B102" s="79">
        <f>'Propriedades geométricas LA '!B102</f>
        <v>80.09</v>
      </c>
      <c r="C102" s="79">
        <f ca="1">IF('Propriedades geométricas LA '!C102&lt;$M$15,$M$15,'Propriedades geométricas LA '!C102)</f>
        <v>21.79</v>
      </c>
    </row>
    <row r="103" spans="2:3" x14ac:dyDescent="0.25">
      <c r="B103" s="79">
        <f>'Propriedades geométricas LA '!B103</f>
        <v>79.47</v>
      </c>
      <c r="C103" s="79">
        <f ca="1">IF('Propriedades geométricas LA '!C103&lt;$M$15,$M$15,'Propriedades geométricas LA '!C103)</f>
        <v>21.92</v>
      </c>
    </row>
    <row r="104" spans="2:3" x14ac:dyDescent="0.25">
      <c r="B104" s="79">
        <f>'Propriedades geométricas LA '!B104</f>
        <v>78.8</v>
      </c>
      <c r="C104" s="79">
        <f ca="1">IF('Propriedades geométricas LA '!C104&lt;$M$15,$M$15,'Propriedades geométricas LA '!C104)</f>
        <v>21.99</v>
      </c>
    </row>
    <row r="105" spans="2:3" x14ac:dyDescent="0.25">
      <c r="B105" s="79">
        <f>'Propriedades geométricas LA '!B105</f>
        <v>78.2</v>
      </c>
      <c r="C105" s="79">
        <f ca="1">IF('Propriedades geométricas LA '!C105&lt;$M$15,$M$15,'Propriedades geométricas LA '!C105)</f>
        <v>21.99</v>
      </c>
    </row>
    <row r="106" spans="2:3" x14ac:dyDescent="0.25">
      <c r="B106" s="79">
        <f>'Propriedades geométricas LA '!B106</f>
        <v>77.53</v>
      </c>
      <c r="C106" s="79">
        <f ca="1">IF('Propriedades geométricas LA '!C106&lt;$M$15,$M$15,'Propriedades geométricas LA '!C106)</f>
        <v>21.92</v>
      </c>
    </row>
    <row r="107" spans="2:3" x14ac:dyDescent="0.25">
      <c r="B107" s="79">
        <f>'Propriedades geométricas LA '!B107</f>
        <v>76.91</v>
      </c>
      <c r="C107" s="79">
        <f ca="1">IF('Propriedades geométricas LA '!C107&lt;$M$15,$M$15,'Propriedades geométricas LA '!C107)</f>
        <v>21.79</v>
      </c>
    </row>
    <row r="108" spans="2:3" x14ac:dyDescent="0.25">
      <c r="B108" s="79">
        <f>'Propriedades geométricas LA '!B108</f>
        <v>76.319999999999993</v>
      </c>
      <c r="C108" s="79">
        <f ca="1">IF('Propriedades geométricas LA '!C108&lt;$M$15,$M$15,'Propriedades geométricas LA '!C108)</f>
        <v>21.61</v>
      </c>
    </row>
    <row r="109" spans="2:3" x14ac:dyDescent="0.25">
      <c r="B109" s="79">
        <f>'Propriedades geométricas LA '!B109</f>
        <v>75.599999999999994</v>
      </c>
      <c r="C109" s="79">
        <f ca="1">IF('Propriedades geométricas LA '!C109&lt;$M$15,$M$15,'Propriedades geométricas LA '!C109)</f>
        <v>21.29</v>
      </c>
    </row>
    <row r="110" spans="2:3" x14ac:dyDescent="0.25">
      <c r="B110" s="79">
        <f>'Propriedades geométricas LA '!B110</f>
        <v>74.95</v>
      </c>
      <c r="C110" s="79">
        <f ca="1">IF('Propriedades geométricas LA '!C110&lt;$M$15,$M$15,'Propriedades geométricas LA '!C110)</f>
        <v>20.89</v>
      </c>
    </row>
    <row r="111" spans="2:3" x14ac:dyDescent="0.25">
      <c r="B111" s="79">
        <f>'Propriedades geométricas LA '!B111</f>
        <v>74.27</v>
      </c>
      <c r="C111" s="79">
        <f ca="1">IF('Propriedades geométricas LA '!C111&lt;$M$15,$M$15,'Propriedades geométricas LA '!C111)</f>
        <v>20.350000000000001</v>
      </c>
    </row>
    <row r="112" spans="2:3" x14ac:dyDescent="0.25">
      <c r="B112" s="79">
        <f>'Propriedades geométricas LA '!B112</f>
        <v>73.63</v>
      </c>
      <c r="C112" s="79">
        <f ca="1">IF('Propriedades geométricas LA '!C112&lt;$M$15,$M$15,'Propriedades geométricas LA '!C112)</f>
        <v>19.66</v>
      </c>
    </row>
    <row r="113" spans="2:3" x14ac:dyDescent="0.25">
      <c r="B113" s="79">
        <f>'Propriedades geométricas LA '!B113</f>
        <v>73.069999999999993</v>
      </c>
      <c r="C113" s="79">
        <f ca="1">IF('Propriedades geométricas LA '!C113&lt;$M$15,$M$15,'Propriedades geométricas LA '!C113)</f>
        <v>18.84</v>
      </c>
    </row>
    <row r="114" spans="2:3" x14ac:dyDescent="0.25">
      <c r="B114" s="79">
        <f>'Propriedades geométricas LA '!B114</f>
        <v>72.58</v>
      </c>
      <c r="C114" s="79">
        <f ca="1">IF('Propriedades geométricas LA '!C114&lt;$M$15,$M$15,'Propriedades geométricas LA '!C114)</f>
        <v>17.760000000000002</v>
      </c>
    </row>
    <row r="115" spans="2:3" x14ac:dyDescent="0.25">
      <c r="B115" s="79">
        <f>'Propriedades geométricas LA '!B115</f>
        <v>72.319999999999993</v>
      </c>
      <c r="C115" s="79">
        <f ca="1">IF('Propriedades geométricas LA '!C115&lt;$M$15,$M$15,'Propriedades geométricas LA '!C115)</f>
        <v>16.66</v>
      </c>
    </row>
    <row r="116" spans="2:3" x14ac:dyDescent="0.25">
      <c r="B116" s="79">
        <f>'Propriedades geométricas LA '!B116</f>
        <v>72.25</v>
      </c>
      <c r="C116" s="79">
        <f ca="1">IF('Propriedades geométricas LA '!C116&lt;$M$15,$M$15,'Propriedades geométricas LA '!C116)</f>
        <v>16.232764100106174</v>
      </c>
    </row>
    <row r="117" spans="2:3" x14ac:dyDescent="0.25">
      <c r="B117" s="79">
        <f>'Propriedades geométricas LA '!B117</f>
        <v>72.25</v>
      </c>
      <c r="C117" s="79">
        <f ca="1">IF('Propriedades geométricas LA '!C117&lt;$M$15,$M$15,'Propriedades geométricas LA '!C117)</f>
        <v>16.232764100106174</v>
      </c>
    </row>
    <row r="118" spans="2:3" x14ac:dyDescent="0.25">
      <c r="B118" s="79">
        <f>'Propriedades geométricas LA '!B118</f>
        <v>75.400000000000006</v>
      </c>
      <c r="C118" s="79">
        <f ca="1">IF('Propriedades geométricas LA '!C118&lt;$M$15,$M$15,'Propriedades geométricas LA '!C118)</f>
        <v>16.232764100106174</v>
      </c>
    </row>
    <row r="119" spans="2:3" x14ac:dyDescent="0.25">
      <c r="B119" s="79">
        <f>'Propriedades geométricas LA '!B119</f>
        <v>78.5</v>
      </c>
      <c r="C119" s="79">
        <f ca="1">IF('Propriedades geométricas LA '!C119&lt;$M$15,$M$15,'Propriedades geométricas LA '!C119)</f>
        <v>16.232764100106174</v>
      </c>
    </row>
    <row r="120" spans="2:3" x14ac:dyDescent="0.25">
      <c r="B120" s="79">
        <f>'Propriedades geométricas LA '!B120</f>
        <v>78.5</v>
      </c>
      <c r="C120" s="79">
        <f ca="1">IF('Propriedades geométricas LA '!C120&lt;$M$15,$M$15,'Propriedades geométricas LA '!C120)</f>
        <v>16.232764100106174</v>
      </c>
    </row>
    <row r="121" spans="2:3" x14ac:dyDescent="0.25">
      <c r="B121" s="79">
        <f>'Propriedades geométricas LA '!B121</f>
        <v>62.3</v>
      </c>
      <c r="C121" s="79">
        <f ca="1">IF('Propriedades geométricas LA '!C121&lt;$M$15,$M$15,'Propriedades geométricas LA '!C121)</f>
        <v>16.232764100106174</v>
      </c>
    </row>
    <row r="122" spans="2:3" x14ac:dyDescent="0.25">
      <c r="B122" s="79">
        <f>'Propriedades geométricas LA '!B122</f>
        <v>62.3</v>
      </c>
      <c r="C122" s="79">
        <f ca="1">IF('Propriedades geométricas LA '!C122&lt;$M$15,$M$15,'Propriedades geométricas LA '!C122)</f>
        <v>16.232764100106174</v>
      </c>
    </row>
    <row r="123" spans="2:3" x14ac:dyDescent="0.25">
      <c r="B123" s="79">
        <f>'Propriedades geométricas LA '!B123</f>
        <v>65.349999999999994</v>
      </c>
      <c r="C123" s="79">
        <f ca="1">IF('Propriedades geométricas LA '!C123&lt;$M$15,$M$15,'Propriedades geométricas LA '!C123)</f>
        <v>16.232764100106174</v>
      </c>
    </row>
    <row r="124" spans="2:3" x14ac:dyDescent="0.25">
      <c r="B124" s="79">
        <f>'Propriedades geométricas LA '!B124</f>
        <v>68.5</v>
      </c>
      <c r="C124" s="79">
        <f ca="1">IF('Propriedades geométricas LA '!C124&lt;$M$15,$M$15,'Propriedades geométricas LA '!C124)</f>
        <v>16.232764100106174</v>
      </c>
    </row>
    <row r="125" spans="2:3" x14ac:dyDescent="0.25">
      <c r="B125" s="79">
        <f>'Propriedades geométricas LA '!B125</f>
        <v>68.5</v>
      </c>
      <c r="C125" s="79">
        <f ca="1">IF('Propriedades geométricas LA '!C125&lt;$M$15,$M$15,'Propriedades geométricas LA '!C125)</f>
        <v>16.232764100106174</v>
      </c>
    </row>
    <row r="126" spans="2:3" x14ac:dyDescent="0.25">
      <c r="B126" s="79">
        <f>'Propriedades geométricas LA '!B126</f>
        <v>68.430000000000007</v>
      </c>
      <c r="C126" s="79">
        <f ca="1">IF('Propriedades geométricas LA '!C126&lt;$M$15,$M$15,'Propriedades geométricas LA '!C126)</f>
        <v>16.66</v>
      </c>
    </row>
    <row r="127" spans="2:3" x14ac:dyDescent="0.25">
      <c r="B127" s="79">
        <f>'Propriedades geométricas LA '!B127</f>
        <v>68.17</v>
      </c>
      <c r="C127" s="79">
        <f ca="1">IF('Propriedades geométricas LA '!C127&lt;$M$15,$M$15,'Propriedades geométricas LA '!C127)</f>
        <v>17.760000000000002</v>
      </c>
    </row>
    <row r="128" spans="2:3" x14ac:dyDescent="0.25">
      <c r="B128" s="79">
        <f>'Propriedades geométricas LA '!B128</f>
        <v>67.680000000000007</v>
      </c>
      <c r="C128" s="79">
        <f ca="1">IF('Propriedades geométricas LA '!C128&lt;$M$15,$M$15,'Propriedades geométricas LA '!C128)</f>
        <v>18.84</v>
      </c>
    </row>
    <row r="129" spans="2:3" x14ac:dyDescent="0.25">
      <c r="B129" s="79">
        <f>'Propriedades geométricas LA '!B129</f>
        <v>67.12</v>
      </c>
      <c r="C129" s="79">
        <f ca="1">IF('Propriedades geométricas LA '!C129&lt;$M$15,$M$15,'Propriedades geométricas LA '!C129)</f>
        <v>19.66</v>
      </c>
    </row>
    <row r="130" spans="2:3" x14ac:dyDescent="0.25">
      <c r="B130" s="79">
        <f>'Propriedades geométricas LA '!B130</f>
        <v>66.48</v>
      </c>
      <c r="C130" s="79">
        <f ca="1">IF('Propriedades geométricas LA '!C130&lt;$M$15,$M$15,'Propriedades geométricas LA '!C130)</f>
        <v>20.350000000000001</v>
      </c>
    </row>
    <row r="131" spans="2:3" x14ac:dyDescent="0.25">
      <c r="B131" s="79">
        <f>'Propriedades geométricas LA '!B131</f>
        <v>65.8</v>
      </c>
      <c r="C131" s="79">
        <f ca="1">IF('Propriedades geométricas LA '!C131&lt;$M$15,$M$15,'Propriedades geométricas LA '!C131)</f>
        <v>20.89</v>
      </c>
    </row>
    <row r="132" spans="2:3" x14ac:dyDescent="0.25">
      <c r="B132" s="79">
        <f>'Propriedades geométricas LA '!B132</f>
        <v>65.150000000000006</v>
      </c>
      <c r="C132" s="79">
        <f ca="1">IF('Propriedades geométricas LA '!C132&lt;$M$15,$M$15,'Propriedades geométricas LA '!C132)</f>
        <v>21.29</v>
      </c>
    </row>
    <row r="133" spans="2:3" x14ac:dyDescent="0.25">
      <c r="B133" s="79">
        <f>'Propriedades geométricas LA '!B133</f>
        <v>64.430000000000007</v>
      </c>
      <c r="C133" s="79">
        <f ca="1">IF('Propriedades geométricas LA '!C133&lt;$M$15,$M$15,'Propriedades geométricas LA '!C133)</f>
        <v>21.61</v>
      </c>
    </row>
    <row r="134" spans="2:3" x14ac:dyDescent="0.25">
      <c r="B134" s="79">
        <f>'Propriedades geométricas LA '!B134</f>
        <v>63.84</v>
      </c>
      <c r="C134" s="79">
        <f ca="1">IF('Propriedades geométricas LA '!C134&lt;$M$15,$M$15,'Propriedades geométricas LA '!C134)</f>
        <v>21.79</v>
      </c>
    </row>
    <row r="135" spans="2:3" x14ac:dyDescent="0.25">
      <c r="B135" s="79">
        <f>'Propriedades geométricas LA '!B135</f>
        <v>63.22</v>
      </c>
      <c r="C135" s="79">
        <f ca="1">IF('Propriedades geométricas LA '!C135&lt;$M$15,$M$15,'Propriedades geométricas LA '!C135)</f>
        <v>21.92</v>
      </c>
    </row>
    <row r="136" spans="2:3" x14ac:dyDescent="0.25">
      <c r="B136" s="79">
        <f>'Propriedades geométricas LA '!B136</f>
        <v>62.55</v>
      </c>
      <c r="C136" s="79">
        <f ca="1">IF('Propriedades geométricas LA '!C136&lt;$M$15,$M$15,'Propriedades geométricas LA '!C136)</f>
        <v>21.99</v>
      </c>
    </row>
    <row r="137" spans="2:3" x14ac:dyDescent="0.25">
      <c r="B137" s="79">
        <f>'Propriedades geométricas LA '!B137</f>
        <v>61.95</v>
      </c>
      <c r="C137" s="79">
        <f ca="1">IF('Propriedades geométricas LA '!C137&lt;$M$15,$M$15,'Propriedades geométricas LA '!C137)</f>
        <v>21.99</v>
      </c>
    </row>
    <row r="138" spans="2:3" x14ac:dyDescent="0.25">
      <c r="B138" s="79">
        <f>'Propriedades geométricas LA '!B138</f>
        <v>61.28</v>
      </c>
      <c r="C138" s="79">
        <f ca="1">IF('Propriedades geométricas LA '!C138&lt;$M$15,$M$15,'Propriedades geométricas LA '!C138)</f>
        <v>21.92</v>
      </c>
    </row>
    <row r="139" spans="2:3" x14ac:dyDescent="0.25">
      <c r="B139" s="79">
        <f>'Propriedades geométricas LA '!B139</f>
        <v>60.66</v>
      </c>
      <c r="C139" s="79">
        <f ca="1">IF('Propriedades geométricas LA '!C139&lt;$M$15,$M$15,'Propriedades geométricas LA '!C139)</f>
        <v>21.79</v>
      </c>
    </row>
    <row r="140" spans="2:3" x14ac:dyDescent="0.25">
      <c r="B140" s="79">
        <f>'Propriedades geométricas LA '!B140</f>
        <v>60.069999999999993</v>
      </c>
      <c r="C140" s="79">
        <f ca="1">IF('Propriedades geométricas LA '!C140&lt;$M$15,$M$15,'Propriedades geométricas LA '!C140)</f>
        <v>21.61</v>
      </c>
    </row>
    <row r="141" spans="2:3" x14ac:dyDescent="0.25">
      <c r="B141" s="79">
        <f>'Propriedades geométricas LA '!B141</f>
        <v>59.349999999999994</v>
      </c>
      <c r="C141" s="79">
        <f ca="1">IF('Propriedades geométricas LA '!C141&lt;$M$15,$M$15,'Propriedades geométricas LA '!C141)</f>
        <v>21.29</v>
      </c>
    </row>
    <row r="142" spans="2:3" x14ac:dyDescent="0.25">
      <c r="B142" s="79">
        <f>'Propriedades geométricas LA '!B142</f>
        <v>58.7</v>
      </c>
      <c r="C142" s="79">
        <f ca="1">IF('Propriedades geométricas LA '!C142&lt;$M$15,$M$15,'Propriedades geométricas LA '!C142)</f>
        <v>20.89</v>
      </c>
    </row>
    <row r="143" spans="2:3" x14ac:dyDescent="0.25">
      <c r="B143" s="79">
        <f>'Propriedades geométricas LA '!B143</f>
        <v>58.019999999999996</v>
      </c>
      <c r="C143" s="79">
        <f ca="1">IF('Propriedades geométricas LA '!C143&lt;$M$15,$M$15,'Propriedades geométricas LA '!C143)</f>
        <v>20.350000000000001</v>
      </c>
    </row>
    <row r="144" spans="2:3" x14ac:dyDescent="0.25">
      <c r="B144" s="79">
        <f>'Propriedades geométricas LA '!B144</f>
        <v>57.379999999999995</v>
      </c>
      <c r="C144" s="79">
        <f ca="1">IF('Propriedades geométricas LA '!C144&lt;$M$15,$M$15,'Propriedades geométricas LA '!C144)</f>
        <v>19.66</v>
      </c>
    </row>
    <row r="145" spans="2:3" x14ac:dyDescent="0.25">
      <c r="B145" s="79">
        <f>'Propriedades geométricas LA '!B145</f>
        <v>56.819999999999993</v>
      </c>
      <c r="C145" s="79">
        <f ca="1">IF('Propriedades geométricas LA '!C145&lt;$M$15,$M$15,'Propriedades geométricas LA '!C145)</f>
        <v>18.84</v>
      </c>
    </row>
    <row r="146" spans="2:3" x14ac:dyDescent="0.25">
      <c r="B146" s="79">
        <f>'Propriedades geométricas LA '!B146</f>
        <v>56.33</v>
      </c>
      <c r="C146" s="79">
        <f ca="1">IF('Propriedades geométricas LA '!C146&lt;$M$15,$M$15,'Propriedades geométricas LA '!C146)</f>
        <v>17.760000000000002</v>
      </c>
    </row>
    <row r="147" spans="2:3" x14ac:dyDescent="0.25">
      <c r="B147" s="79">
        <f>'Propriedades geométricas LA '!B147</f>
        <v>56.069999999999993</v>
      </c>
      <c r="C147" s="79">
        <f ca="1">IF('Propriedades geométricas LA '!C147&lt;$M$15,$M$15,'Propriedades geométricas LA '!C147)</f>
        <v>16.66</v>
      </c>
    </row>
    <row r="148" spans="2:3" x14ac:dyDescent="0.25">
      <c r="B148" s="79">
        <f>'Propriedades geométricas LA '!B148</f>
        <v>56</v>
      </c>
      <c r="C148" s="79">
        <f ca="1">IF('Propriedades geométricas LA '!C148&lt;$M$15,$M$15,'Propriedades geométricas LA '!C148)</f>
        <v>16.232764100106174</v>
      </c>
    </row>
    <row r="149" spans="2:3" x14ac:dyDescent="0.25">
      <c r="B149" s="79">
        <f>'Propriedades geométricas LA '!B149</f>
        <v>56</v>
      </c>
      <c r="C149" s="79">
        <f ca="1">IF('Propriedades geométricas LA '!C149&lt;$M$15,$M$15,'Propriedades geométricas LA '!C149)</f>
        <v>16.232764100106174</v>
      </c>
    </row>
    <row r="150" spans="2:3" x14ac:dyDescent="0.25">
      <c r="B150" s="79">
        <f>'Propriedades geométricas LA '!B150</f>
        <v>59.150000000000006</v>
      </c>
      <c r="C150" s="79">
        <f ca="1">IF('Propriedades geométricas LA '!C150&lt;$M$15,$M$15,'Propriedades geométricas LA '!C150)</f>
        <v>16.232764100106174</v>
      </c>
    </row>
    <row r="151" spans="2:3" x14ac:dyDescent="0.25">
      <c r="B151" s="79">
        <f>'Propriedades geométricas LA '!B151</f>
        <v>62.25</v>
      </c>
      <c r="C151" s="79">
        <f ca="1">IF('Propriedades geométricas LA '!C151&lt;$M$15,$M$15,'Propriedades geométricas LA '!C151)</f>
        <v>16.232764100106174</v>
      </c>
    </row>
    <row r="152" spans="2:3" x14ac:dyDescent="0.25">
      <c r="B152" s="79">
        <f>'Propriedades geométricas LA '!B152</f>
        <v>62.25</v>
      </c>
      <c r="C152" s="79">
        <f ca="1">IF('Propriedades geométricas LA '!C152&lt;$M$15,$M$15,'Propriedades geométricas LA '!C152)</f>
        <v>16.232764100106174</v>
      </c>
    </row>
    <row r="153" spans="2:3" x14ac:dyDescent="0.25">
      <c r="B153" s="79">
        <f>'Propriedades geométricas LA '!B153</f>
        <v>46.05</v>
      </c>
      <c r="C153" s="79">
        <f ca="1">IF('Propriedades geométricas LA '!C153&lt;$M$15,$M$15,'Propriedades geométricas LA '!C153)</f>
        <v>16.232764100106174</v>
      </c>
    </row>
    <row r="154" spans="2:3" x14ac:dyDescent="0.25">
      <c r="B154" s="79">
        <f>'Propriedades geométricas LA '!B154</f>
        <v>46.05</v>
      </c>
      <c r="C154" s="79">
        <f ca="1">IF('Propriedades geométricas LA '!C154&lt;$M$15,$M$15,'Propriedades geométricas LA '!C154)</f>
        <v>16.232764100106174</v>
      </c>
    </row>
    <row r="155" spans="2:3" x14ac:dyDescent="0.25">
      <c r="B155" s="79">
        <f>'Propriedades geométricas LA '!B155</f>
        <v>49.099999999999994</v>
      </c>
      <c r="C155" s="79">
        <f ca="1">IF('Propriedades geométricas LA '!C155&lt;$M$15,$M$15,'Propriedades geométricas LA '!C155)</f>
        <v>16.232764100106174</v>
      </c>
    </row>
    <row r="156" spans="2:3" x14ac:dyDescent="0.25">
      <c r="B156" s="79">
        <f>'Propriedades geométricas LA '!B156</f>
        <v>52.25</v>
      </c>
      <c r="C156" s="79">
        <f ca="1">IF('Propriedades geométricas LA '!C156&lt;$M$15,$M$15,'Propriedades geométricas LA '!C156)</f>
        <v>16.232764100106174</v>
      </c>
    </row>
    <row r="157" spans="2:3" x14ac:dyDescent="0.25">
      <c r="B157" s="79">
        <f>'Propriedades geométricas LA '!B157</f>
        <v>52.25</v>
      </c>
      <c r="C157" s="79">
        <f ca="1">IF('Propriedades geométricas LA '!C157&lt;$M$15,$M$15,'Propriedades geométricas LA '!C157)</f>
        <v>16.232764100106174</v>
      </c>
    </row>
    <row r="158" spans="2:3" x14ac:dyDescent="0.25">
      <c r="B158" s="79">
        <f>'Propriedades geométricas LA '!B158</f>
        <v>52.180000000000007</v>
      </c>
      <c r="C158" s="79">
        <f ca="1">IF('Propriedades geométricas LA '!C158&lt;$M$15,$M$15,'Propriedades geométricas LA '!C158)</f>
        <v>16.66</v>
      </c>
    </row>
    <row r="159" spans="2:3" x14ac:dyDescent="0.25">
      <c r="B159" s="79">
        <f>'Propriedades geométricas LA '!B159</f>
        <v>51.92</v>
      </c>
      <c r="C159" s="79">
        <f ca="1">IF('Propriedades geométricas LA '!C159&lt;$M$15,$M$15,'Propriedades geométricas LA '!C159)</f>
        <v>17.760000000000002</v>
      </c>
    </row>
    <row r="160" spans="2:3" x14ac:dyDescent="0.25">
      <c r="B160" s="79">
        <f>'Propriedades geométricas LA '!B160</f>
        <v>51.430000000000007</v>
      </c>
      <c r="C160" s="79">
        <f ca="1">IF('Propriedades geométricas LA '!C160&lt;$M$15,$M$15,'Propriedades geométricas LA '!C160)</f>
        <v>18.84</v>
      </c>
    </row>
    <row r="161" spans="2:3" x14ac:dyDescent="0.25">
      <c r="B161" s="79">
        <f>'Propriedades geométricas LA '!B161</f>
        <v>50.870000000000005</v>
      </c>
      <c r="C161" s="79">
        <f ca="1">IF('Propriedades geométricas LA '!C161&lt;$M$15,$M$15,'Propriedades geométricas LA '!C161)</f>
        <v>19.66</v>
      </c>
    </row>
    <row r="162" spans="2:3" x14ac:dyDescent="0.25">
      <c r="B162" s="79">
        <f>'Propriedades geométricas LA '!B162</f>
        <v>50.230000000000004</v>
      </c>
      <c r="C162" s="79">
        <f ca="1">IF('Propriedades geométricas LA '!C162&lt;$M$15,$M$15,'Propriedades geométricas LA '!C162)</f>
        <v>20.350000000000001</v>
      </c>
    </row>
    <row r="163" spans="2:3" x14ac:dyDescent="0.25">
      <c r="B163" s="79">
        <f>'Propriedades geométricas LA '!B163</f>
        <v>49.55</v>
      </c>
      <c r="C163" s="79">
        <f ca="1">IF('Propriedades geométricas LA '!C163&lt;$M$15,$M$15,'Propriedades geométricas LA '!C163)</f>
        <v>20.89</v>
      </c>
    </row>
    <row r="164" spans="2:3" x14ac:dyDescent="0.25">
      <c r="B164" s="79">
        <f>'Propriedades geométricas LA '!B164</f>
        <v>48.900000000000006</v>
      </c>
      <c r="C164" s="79">
        <f ca="1">IF('Propriedades geométricas LA '!C164&lt;$M$15,$M$15,'Propriedades geométricas LA '!C164)</f>
        <v>21.29</v>
      </c>
    </row>
    <row r="165" spans="2:3" x14ac:dyDescent="0.25">
      <c r="B165" s="79">
        <f>'Propriedades geométricas LA '!B165</f>
        <v>48.180000000000007</v>
      </c>
      <c r="C165" s="79">
        <f ca="1">IF('Propriedades geométricas LA '!C165&lt;$M$15,$M$15,'Propriedades geométricas LA '!C165)</f>
        <v>21.61</v>
      </c>
    </row>
    <row r="166" spans="2:3" x14ac:dyDescent="0.25">
      <c r="B166" s="79">
        <f>'Propriedades geométricas LA '!B166</f>
        <v>47.59</v>
      </c>
      <c r="C166" s="79">
        <f ca="1">IF('Propriedades geométricas LA '!C166&lt;$M$15,$M$15,'Propriedades geométricas LA '!C166)</f>
        <v>21.79</v>
      </c>
    </row>
    <row r="167" spans="2:3" x14ac:dyDescent="0.25">
      <c r="B167" s="79">
        <f>'Propriedades geométricas LA '!B167</f>
        <v>46.97</v>
      </c>
      <c r="C167" s="79">
        <f ca="1">IF('Propriedades geométricas LA '!C167&lt;$M$15,$M$15,'Propriedades geométricas LA '!C167)</f>
        <v>21.92</v>
      </c>
    </row>
    <row r="168" spans="2:3" x14ac:dyDescent="0.25">
      <c r="B168" s="79">
        <f>'Propriedades geométricas LA '!B168</f>
        <v>46.3</v>
      </c>
      <c r="C168" s="79">
        <f ca="1">IF('Propriedades geométricas LA '!C168&lt;$M$15,$M$15,'Propriedades geométricas LA '!C168)</f>
        <v>21.99</v>
      </c>
    </row>
    <row r="169" spans="2:3" x14ac:dyDescent="0.25">
      <c r="B169" s="79">
        <f>'Propriedades geométricas LA '!B169</f>
        <v>45.7</v>
      </c>
      <c r="C169" s="79">
        <f ca="1">IF('Propriedades geométricas LA '!C169&lt;$M$15,$M$15,'Propriedades geométricas LA '!C169)</f>
        <v>21.99</v>
      </c>
    </row>
    <row r="170" spans="2:3" x14ac:dyDescent="0.25">
      <c r="B170" s="79">
        <f>'Propriedades geométricas LA '!B170</f>
        <v>45.03</v>
      </c>
      <c r="C170" s="79">
        <f ca="1">IF('Propriedades geométricas LA '!C170&lt;$M$15,$M$15,'Propriedades geométricas LA '!C170)</f>
        <v>21.92</v>
      </c>
    </row>
    <row r="171" spans="2:3" x14ac:dyDescent="0.25">
      <c r="B171" s="79">
        <f>'Propriedades geométricas LA '!B171</f>
        <v>44.41</v>
      </c>
      <c r="C171" s="79">
        <f ca="1">IF('Propriedades geométricas LA '!C171&lt;$M$15,$M$15,'Propriedades geométricas LA '!C171)</f>
        <v>21.79</v>
      </c>
    </row>
    <row r="172" spans="2:3" x14ac:dyDescent="0.25">
      <c r="B172" s="79">
        <f>'Propriedades geométricas LA '!B172</f>
        <v>43.819999999999993</v>
      </c>
      <c r="C172" s="79">
        <f ca="1">IF('Propriedades geométricas LA '!C172&lt;$M$15,$M$15,'Propriedades geométricas LA '!C172)</f>
        <v>21.61</v>
      </c>
    </row>
    <row r="173" spans="2:3" x14ac:dyDescent="0.25">
      <c r="B173" s="79">
        <f>'Propriedades geométricas LA '!B173</f>
        <v>43.099999999999994</v>
      </c>
      <c r="C173" s="79">
        <f ca="1">IF('Propriedades geométricas LA '!C173&lt;$M$15,$M$15,'Propriedades geométricas LA '!C173)</f>
        <v>21.29</v>
      </c>
    </row>
    <row r="174" spans="2:3" x14ac:dyDescent="0.25">
      <c r="B174" s="79">
        <f>'Propriedades geométricas LA '!B174</f>
        <v>42.45</v>
      </c>
      <c r="C174" s="79">
        <f ca="1">IF('Propriedades geométricas LA '!C174&lt;$M$15,$M$15,'Propriedades geométricas LA '!C174)</f>
        <v>20.89</v>
      </c>
    </row>
    <row r="175" spans="2:3" x14ac:dyDescent="0.25">
      <c r="B175" s="79">
        <f>'Propriedades geométricas LA '!B175</f>
        <v>41.769999999999996</v>
      </c>
      <c r="C175" s="79">
        <f ca="1">IF('Propriedades geométricas LA '!C175&lt;$M$15,$M$15,'Propriedades geométricas LA '!C175)</f>
        <v>20.350000000000001</v>
      </c>
    </row>
    <row r="176" spans="2:3" x14ac:dyDescent="0.25">
      <c r="B176" s="79">
        <f>'Propriedades geométricas LA '!B176</f>
        <v>41.129999999999995</v>
      </c>
      <c r="C176" s="79">
        <f ca="1">IF('Propriedades geométricas LA '!C176&lt;$M$15,$M$15,'Propriedades geométricas LA '!C176)</f>
        <v>19.66</v>
      </c>
    </row>
    <row r="177" spans="2:3" x14ac:dyDescent="0.25">
      <c r="B177" s="79">
        <f>'Propriedades geométricas LA '!B177</f>
        <v>40.569999999999993</v>
      </c>
      <c r="C177" s="79">
        <f ca="1">IF('Propriedades geométricas LA '!C177&lt;$M$15,$M$15,'Propriedades geométricas LA '!C177)</f>
        <v>18.84</v>
      </c>
    </row>
    <row r="178" spans="2:3" x14ac:dyDescent="0.25">
      <c r="B178" s="79">
        <f>'Propriedades geométricas LA '!B178</f>
        <v>40.08</v>
      </c>
      <c r="C178" s="79">
        <f ca="1">IF('Propriedades geométricas LA '!C178&lt;$M$15,$M$15,'Propriedades geométricas LA '!C178)</f>
        <v>17.760000000000002</v>
      </c>
    </row>
    <row r="179" spans="2:3" x14ac:dyDescent="0.25">
      <c r="B179" s="79">
        <f>'Propriedades geométricas LA '!B179</f>
        <v>39.819999999999993</v>
      </c>
      <c r="C179" s="79">
        <f ca="1">IF('Propriedades geométricas LA '!C179&lt;$M$15,$M$15,'Propriedades geométricas LA '!C179)</f>
        <v>16.66</v>
      </c>
    </row>
    <row r="180" spans="2:3" x14ac:dyDescent="0.25">
      <c r="B180" s="79">
        <f>'Propriedades geométricas LA '!B180</f>
        <v>39.75</v>
      </c>
      <c r="C180" s="79">
        <f ca="1">IF('Propriedades geométricas LA '!C180&lt;$M$15,$M$15,'Propriedades geométricas LA '!C180)</f>
        <v>16.232764100106174</v>
      </c>
    </row>
    <row r="181" spans="2:3" x14ac:dyDescent="0.25">
      <c r="B181" s="79">
        <f>'Propriedades geométricas LA '!B181</f>
        <v>39.75</v>
      </c>
      <c r="C181" s="79">
        <f ca="1">IF('Propriedades geométricas LA '!C181&lt;$M$15,$M$15,'Propriedades geométricas LA '!C181)</f>
        <v>16.232764100106174</v>
      </c>
    </row>
    <row r="182" spans="2:3" x14ac:dyDescent="0.25">
      <c r="B182" s="79">
        <f>'Propriedades geométricas LA '!B182</f>
        <v>42.900000000000006</v>
      </c>
      <c r="C182" s="79">
        <f ca="1">IF('Propriedades geométricas LA '!C182&lt;$M$15,$M$15,'Propriedades geométricas LA '!C182)</f>
        <v>16.232764100106174</v>
      </c>
    </row>
    <row r="183" spans="2:3" x14ac:dyDescent="0.25">
      <c r="B183" s="79">
        <f>'Propriedades geométricas LA '!B183</f>
        <v>46</v>
      </c>
      <c r="C183" s="79">
        <f ca="1">IF('Propriedades geométricas LA '!C183&lt;$M$15,$M$15,'Propriedades geométricas LA '!C183)</f>
        <v>16.232764100106174</v>
      </c>
    </row>
    <row r="184" spans="2:3" x14ac:dyDescent="0.25">
      <c r="B184" s="79">
        <f>'Propriedades geométricas LA '!B184</f>
        <v>46</v>
      </c>
      <c r="C184" s="79">
        <f ca="1">IF('Propriedades geométricas LA '!C184&lt;$M$15,$M$15,'Propriedades geométricas LA '!C184)</f>
        <v>16.232764100106174</v>
      </c>
    </row>
    <row r="185" spans="2:3" x14ac:dyDescent="0.25">
      <c r="B185" s="79">
        <f>'Propriedades geométricas LA '!B185</f>
        <v>29.799999999999997</v>
      </c>
      <c r="C185" s="79">
        <f ca="1">IF('Propriedades geométricas LA '!C185&lt;$M$15,$M$15,'Propriedades geométricas LA '!C185)</f>
        <v>16.232764100106174</v>
      </c>
    </row>
    <row r="186" spans="2:3" x14ac:dyDescent="0.25">
      <c r="B186" s="79">
        <f>'Propriedades geométricas LA '!B186</f>
        <v>29.799999999999997</v>
      </c>
      <c r="C186" s="79">
        <f ca="1">IF('Propriedades geométricas LA '!C186&lt;$M$15,$M$15,'Propriedades geométricas LA '!C186)</f>
        <v>16.232764100106174</v>
      </c>
    </row>
    <row r="187" spans="2:3" x14ac:dyDescent="0.25">
      <c r="B187" s="79">
        <f>'Propriedades geométricas LA '!B187</f>
        <v>32.849999999999994</v>
      </c>
      <c r="C187" s="79">
        <f ca="1">IF('Propriedades geométricas LA '!C187&lt;$M$15,$M$15,'Propriedades geométricas LA '!C187)</f>
        <v>16.232764100106174</v>
      </c>
    </row>
    <row r="188" spans="2:3" x14ac:dyDescent="0.25">
      <c r="B188" s="79">
        <f>'Propriedades geométricas LA '!B188</f>
        <v>36</v>
      </c>
      <c r="C188" s="79">
        <f ca="1">IF('Propriedades geométricas LA '!C188&lt;$M$15,$M$15,'Propriedades geométricas LA '!C188)</f>
        <v>16.232764100106174</v>
      </c>
    </row>
    <row r="189" spans="2:3" x14ac:dyDescent="0.25">
      <c r="B189" s="79">
        <f>'Propriedades geométricas LA '!B189</f>
        <v>36</v>
      </c>
      <c r="C189" s="79">
        <f ca="1">IF('Propriedades geométricas LA '!C189&lt;$M$15,$M$15,'Propriedades geométricas LA '!C189)</f>
        <v>16.232764100106174</v>
      </c>
    </row>
    <row r="190" spans="2:3" x14ac:dyDescent="0.25">
      <c r="B190" s="79">
        <f>'Propriedades geométricas LA '!B190</f>
        <v>35.930000000000007</v>
      </c>
      <c r="C190" s="79">
        <f ca="1">IF('Propriedades geométricas LA '!C190&lt;$M$15,$M$15,'Propriedades geométricas LA '!C190)</f>
        <v>16.66</v>
      </c>
    </row>
    <row r="191" spans="2:3" x14ac:dyDescent="0.25">
      <c r="B191" s="79">
        <f>'Propriedades geométricas LA '!B191</f>
        <v>35.67</v>
      </c>
      <c r="C191" s="79">
        <f ca="1">IF('Propriedades geométricas LA '!C191&lt;$M$15,$M$15,'Propriedades geométricas LA '!C191)</f>
        <v>17.760000000000002</v>
      </c>
    </row>
    <row r="192" spans="2:3" x14ac:dyDescent="0.25">
      <c r="B192" s="79">
        <f>'Propriedades geométricas LA '!B192</f>
        <v>35.180000000000007</v>
      </c>
      <c r="C192" s="79">
        <f ca="1">IF('Propriedades geométricas LA '!C192&lt;$M$15,$M$15,'Propriedades geométricas LA '!C192)</f>
        <v>18.84</v>
      </c>
    </row>
    <row r="193" spans="2:3" x14ac:dyDescent="0.25">
      <c r="B193" s="79">
        <f>'Propriedades geométricas LA '!B193</f>
        <v>34.620000000000005</v>
      </c>
      <c r="C193" s="79">
        <f ca="1">IF('Propriedades geométricas LA '!C193&lt;$M$15,$M$15,'Propriedades geométricas LA '!C193)</f>
        <v>19.66</v>
      </c>
    </row>
    <row r="194" spans="2:3" x14ac:dyDescent="0.25">
      <c r="B194" s="79">
        <f>'Propriedades geométricas LA '!B194</f>
        <v>33.980000000000004</v>
      </c>
      <c r="C194" s="79">
        <f ca="1">IF('Propriedades geométricas LA '!C194&lt;$M$15,$M$15,'Propriedades geométricas LA '!C194)</f>
        <v>20.350000000000001</v>
      </c>
    </row>
    <row r="195" spans="2:3" x14ac:dyDescent="0.25">
      <c r="B195" s="79">
        <f>'Propriedades geométricas LA '!B195</f>
        <v>33.299999999999997</v>
      </c>
      <c r="C195" s="79">
        <f ca="1">IF('Propriedades geométricas LA '!C195&lt;$M$15,$M$15,'Propriedades geométricas LA '!C195)</f>
        <v>20.89</v>
      </c>
    </row>
    <row r="196" spans="2:3" x14ac:dyDescent="0.25">
      <c r="B196" s="79">
        <f>'Propriedades geométricas LA '!B196</f>
        <v>32.650000000000006</v>
      </c>
      <c r="C196" s="79">
        <f ca="1">IF('Propriedades geométricas LA '!C196&lt;$M$15,$M$15,'Propriedades geométricas LA '!C196)</f>
        <v>21.29</v>
      </c>
    </row>
    <row r="197" spans="2:3" x14ac:dyDescent="0.25">
      <c r="B197" s="79">
        <f>'Propriedades geométricas LA '!B197</f>
        <v>31.930000000000007</v>
      </c>
      <c r="C197" s="79">
        <f ca="1">IF('Propriedades geométricas LA '!C197&lt;$M$15,$M$15,'Propriedades geométricas LA '!C197)</f>
        <v>21.61</v>
      </c>
    </row>
    <row r="198" spans="2:3" x14ac:dyDescent="0.25">
      <c r="B198" s="79">
        <f>'Propriedades geométricas LA '!B198</f>
        <v>31.340000000000003</v>
      </c>
      <c r="C198" s="79">
        <f ca="1">IF('Propriedades geométricas LA '!C198&lt;$M$15,$M$15,'Propriedades geométricas LA '!C198)</f>
        <v>21.79</v>
      </c>
    </row>
    <row r="199" spans="2:3" x14ac:dyDescent="0.25">
      <c r="B199" s="79">
        <f>'Propriedades geométricas LA '!B199</f>
        <v>30.72</v>
      </c>
      <c r="C199" s="79">
        <f ca="1">IF('Propriedades geométricas LA '!C199&lt;$M$15,$M$15,'Propriedades geométricas LA '!C199)</f>
        <v>21.92</v>
      </c>
    </row>
    <row r="200" spans="2:3" x14ac:dyDescent="0.25">
      <c r="B200" s="79">
        <f>'Propriedades geométricas LA '!B200</f>
        <v>30.049999999999997</v>
      </c>
      <c r="C200" s="79">
        <f ca="1">IF('Propriedades geométricas LA '!C200&lt;$M$15,$M$15,'Propriedades geométricas LA '!C200)</f>
        <v>21.99</v>
      </c>
    </row>
    <row r="201" spans="2:3" x14ac:dyDescent="0.25">
      <c r="B201" s="79">
        <f>'Propriedades geométricas LA '!B201</f>
        <v>29.450000000000003</v>
      </c>
      <c r="C201" s="79">
        <f ca="1">IF('Propriedades geométricas LA '!C201&lt;$M$15,$M$15,'Propriedades geométricas LA '!C201)</f>
        <v>21.99</v>
      </c>
    </row>
    <row r="202" spans="2:3" x14ac:dyDescent="0.25">
      <c r="B202" s="79">
        <f>'Propriedades geométricas LA '!B202</f>
        <v>28.78</v>
      </c>
      <c r="C202" s="79">
        <f ca="1">IF('Propriedades geométricas LA '!C202&lt;$M$15,$M$15,'Propriedades geométricas LA '!C202)</f>
        <v>21.92</v>
      </c>
    </row>
    <row r="203" spans="2:3" x14ac:dyDescent="0.25">
      <c r="B203" s="79">
        <f>'Propriedades geométricas LA '!B203</f>
        <v>28.159999999999997</v>
      </c>
      <c r="C203" s="79">
        <f ca="1">IF('Propriedades geométricas LA '!C203&lt;$M$15,$M$15,'Propriedades geométricas LA '!C203)</f>
        <v>21.79</v>
      </c>
    </row>
    <row r="204" spans="2:3" x14ac:dyDescent="0.25">
      <c r="B204" s="79">
        <f>'Propriedades geométricas LA '!B204</f>
        <v>27.569999999999993</v>
      </c>
      <c r="C204" s="79">
        <f ca="1">IF('Propriedades geométricas LA '!C204&lt;$M$15,$M$15,'Propriedades geométricas LA '!C204)</f>
        <v>21.61</v>
      </c>
    </row>
    <row r="205" spans="2:3" x14ac:dyDescent="0.25">
      <c r="B205" s="79">
        <f>'Propriedades geométricas LA '!B205</f>
        <v>26.849999999999994</v>
      </c>
      <c r="C205" s="79">
        <f ca="1">IF('Propriedades geométricas LA '!C205&lt;$M$15,$M$15,'Propriedades geométricas LA '!C205)</f>
        <v>21.29</v>
      </c>
    </row>
    <row r="206" spans="2:3" x14ac:dyDescent="0.25">
      <c r="B206" s="79">
        <f>'Propriedades geométricas LA '!B206</f>
        <v>26.200000000000003</v>
      </c>
      <c r="C206" s="79">
        <f ca="1">IF('Propriedades geométricas LA '!C206&lt;$M$15,$M$15,'Propriedades geométricas LA '!C206)</f>
        <v>20.89</v>
      </c>
    </row>
    <row r="207" spans="2:3" x14ac:dyDescent="0.25">
      <c r="B207" s="79">
        <f>'Propriedades geométricas LA '!B207</f>
        <v>25.519999999999996</v>
      </c>
      <c r="C207" s="79">
        <f ca="1">IF('Propriedades geométricas LA '!C207&lt;$M$15,$M$15,'Propriedades geométricas LA '!C207)</f>
        <v>20.350000000000001</v>
      </c>
    </row>
    <row r="208" spans="2:3" x14ac:dyDescent="0.25">
      <c r="B208" s="79">
        <f>'Propriedades geométricas LA '!B208</f>
        <v>24.879999999999995</v>
      </c>
      <c r="C208" s="79">
        <f ca="1">IF('Propriedades geométricas LA '!C208&lt;$M$15,$M$15,'Propriedades geométricas LA '!C208)</f>
        <v>19.66</v>
      </c>
    </row>
    <row r="209" spans="2:3" x14ac:dyDescent="0.25">
      <c r="B209" s="79">
        <f>'Propriedades geométricas LA '!B209</f>
        <v>24.319999999999993</v>
      </c>
      <c r="C209" s="79">
        <f ca="1">IF('Propriedades geométricas LA '!C209&lt;$M$15,$M$15,'Propriedades geométricas LA '!C209)</f>
        <v>18.84</v>
      </c>
    </row>
    <row r="210" spans="2:3" x14ac:dyDescent="0.25">
      <c r="B210" s="79">
        <f>'Propriedades geométricas LA '!B210</f>
        <v>23.83</v>
      </c>
      <c r="C210" s="79">
        <f ca="1">IF('Propriedades geométricas LA '!C210&lt;$M$15,$M$15,'Propriedades geométricas LA '!C210)</f>
        <v>17.760000000000002</v>
      </c>
    </row>
    <row r="211" spans="2:3" x14ac:dyDescent="0.25">
      <c r="B211" s="79">
        <f>'Propriedades geométricas LA '!B211</f>
        <v>23.569999999999993</v>
      </c>
      <c r="C211" s="79">
        <f ca="1">IF('Propriedades geométricas LA '!C211&lt;$M$15,$M$15,'Propriedades geométricas LA '!C211)</f>
        <v>16.66</v>
      </c>
    </row>
    <row r="212" spans="2:3" x14ac:dyDescent="0.25">
      <c r="B212" s="79">
        <f>'Propriedades geométricas LA '!B212</f>
        <v>23.5</v>
      </c>
      <c r="C212" s="79">
        <f ca="1">IF('Propriedades geométricas LA '!C212&lt;$M$15,$M$15,'Propriedades geométricas LA '!C212)</f>
        <v>16.232764100106174</v>
      </c>
    </row>
    <row r="213" spans="2:3" x14ac:dyDescent="0.25">
      <c r="B213" s="79">
        <f>'Propriedades geométricas LA '!B213</f>
        <v>23.5</v>
      </c>
      <c r="C213" s="79">
        <f ca="1">IF('Propriedades geométricas LA '!C213&lt;$M$15,$M$15,'Propriedades geométricas LA '!C213)</f>
        <v>16.232764100106174</v>
      </c>
    </row>
    <row r="214" spans="2:3" x14ac:dyDescent="0.25">
      <c r="B214" s="79">
        <f>'Propriedades geométricas LA '!B214</f>
        <v>26.650000000000006</v>
      </c>
      <c r="C214" s="79">
        <f ca="1">IF('Propriedades geométricas LA '!C214&lt;$M$15,$M$15,'Propriedades geométricas LA '!C214)</f>
        <v>16.232764100106174</v>
      </c>
    </row>
    <row r="215" spans="2:3" x14ac:dyDescent="0.25">
      <c r="B215" s="79">
        <f>'Propriedades geométricas LA '!B215</f>
        <v>29.75</v>
      </c>
      <c r="C215" s="79">
        <f ca="1">IF('Propriedades geométricas LA '!C215&lt;$M$15,$M$15,'Propriedades geométricas LA '!C215)</f>
        <v>16.232764100106174</v>
      </c>
    </row>
    <row r="216" spans="2:3" x14ac:dyDescent="0.25">
      <c r="B216" s="79">
        <f>'Propriedades geométricas LA '!B216</f>
        <v>29.75</v>
      </c>
      <c r="C216" s="79">
        <f ca="1">IF('Propriedades geométricas LA '!C216&lt;$M$15,$M$15,'Propriedades geométricas LA '!C216)</f>
        <v>16.232764100106174</v>
      </c>
    </row>
    <row r="217" spans="2:3" x14ac:dyDescent="0.25">
      <c r="B217" s="79">
        <f>'Propriedades geométricas LA '!B217</f>
        <v>13.549999999999997</v>
      </c>
      <c r="C217" s="79">
        <f ca="1">IF('Propriedades geométricas LA '!C217&lt;$M$15,$M$15,'Propriedades geométricas LA '!C217)</f>
        <v>16.232764100106174</v>
      </c>
    </row>
    <row r="218" spans="2:3" x14ac:dyDescent="0.25">
      <c r="B218" s="79">
        <f>'Propriedades geométricas LA '!B218</f>
        <v>13.549999999999997</v>
      </c>
      <c r="C218" s="79">
        <f ca="1">IF('Propriedades geométricas LA '!C218&lt;$M$15,$M$15,'Propriedades geométricas LA '!C218)</f>
        <v>16.232764100106174</v>
      </c>
    </row>
    <row r="219" spans="2:3" x14ac:dyDescent="0.25">
      <c r="B219" s="79">
        <f>'Propriedades geométricas LA '!B219</f>
        <v>16.599999999999994</v>
      </c>
      <c r="C219" s="79">
        <f ca="1">IF('Propriedades geométricas LA '!C219&lt;$M$15,$M$15,'Propriedades geométricas LA '!C219)</f>
        <v>16.232764100106174</v>
      </c>
    </row>
    <row r="220" spans="2:3" x14ac:dyDescent="0.25">
      <c r="B220" s="79">
        <f>'Propriedades geométricas LA '!B220</f>
        <v>19.75</v>
      </c>
      <c r="C220" s="79">
        <f ca="1">IF('Propriedades geométricas LA '!C220&lt;$M$15,$M$15,'Propriedades geométricas LA '!C220)</f>
        <v>16.232764100106174</v>
      </c>
    </row>
    <row r="221" spans="2:3" x14ac:dyDescent="0.25">
      <c r="B221" s="79">
        <f>'Propriedades geométricas LA '!B221</f>
        <v>19.75</v>
      </c>
      <c r="C221" s="79">
        <f ca="1">IF('Propriedades geométricas LA '!C221&lt;$M$15,$M$15,'Propriedades geométricas LA '!C221)</f>
        <v>16.232764100106174</v>
      </c>
    </row>
    <row r="222" spans="2:3" x14ac:dyDescent="0.25">
      <c r="B222" s="79">
        <f>'Propriedades geométricas LA '!B222</f>
        <v>19.680000000000007</v>
      </c>
      <c r="C222" s="79">
        <f ca="1">IF('Propriedades geométricas LA '!C222&lt;$M$15,$M$15,'Propriedades geométricas LA '!C222)</f>
        <v>16.66</v>
      </c>
    </row>
    <row r="223" spans="2:3" x14ac:dyDescent="0.25">
      <c r="B223" s="79">
        <f>'Propriedades geométricas LA '!B223</f>
        <v>19.420000000000002</v>
      </c>
      <c r="C223" s="79">
        <f ca="1">IF('Propriedades geométricas LA '!C223&lt;$M$15,$M$15,'Propriedades geométricas LA '!C223)</f>
        <v>17.760000000000002</v>
      </c>
    </row>
    <row r="224" spans="2:3" x14ac:dyDescent="0.25">
      <c r="B224" s="79">
        <f>'Propriedades geométricas LA '!B224</f>
        <v>18.930000000000007</v>
      </c>
      <c r="C224" s="79">
        <f ca="1">IF('Propriedades geométricas LA '!C224&lt;$M$15,$M$15,'Propriedades geométricas LA '!C224)</f>
        <v>18.84</v>
      </c>
    </row>
  </sheetData>
  <mergeCells count="3">
    <mergeCell ref="E4:J4"/>
    <mergeCell ref="L4:N4"/>
    <mergeCell ref="E13:J13"/>
  </mergeCells>
  <dataValidations disablePrompts="1" count="2">
    <dataValidation type="whole" operator="equal" allowBlank="1" showInputMessage="1" showErrorMessage="1" sqref="B6:C6" xr:uid="{9E9BB3BC-1E0A-40EA-AAFB-7391D6DFDAF3}">
      <formula1>0</formula1>
    </dataValidation>
    <dataValidation type="list" allowBlank="1" showInputMessage="1" showErrorMessage="1" sqref="B2" xr:uid="{26010BD4-7948-43DB-8390-19E8914EEF01}">
      <formula1>"m,cm,mm,ft,in"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F5A0-72E0-4883-AFB5-76F0B06C2CE8}">
  <dimension ref="B2:K242"/>
  <sheetViews>
    <sheetView zoomScale="85" zoomScaleNormal="85" workbookViewId="0">
      <selection activeCell="B10" sqref="B10"/>
    </sheetView>
  </sheetViews>
  <sheetFormatPr defaultRowHeight="15" x14ac:dyDescent="0.25"/>
  <sheetData>
    <row r="2" spans="2:11" x14ac:dyDescent="0.25">
      <c r="B2" t="s">
        <v>3</v>
      </c>
      <c r="C2">
        <v>30</v>
      </c>
      <c r="F2" t="s">
        <v>3</v>
      </c>
      <c r="G2">
        <v>25</v>
      </c>
      <c r="J2" t="s">
        <v>3</v>
      </c>
      <c r="K2">
        <v>20</v>
      </c>
    </row>
    <row r="3" spans="2:11" x14ac:dyDescent="0.25">
      <c r="B3" s="74">
        <v>0</v>
      </c>
      <c r="C3" s="74">
        <v>0</v>
      </c>
      <c r="F3">
        <v>0</v>
      </c>
      <c r="G3">
        <v>0</v>
      </c>
      <c r="J3">
        <f>F3</f>
        <v>0</v>
      </c>
      <c r="K3">
        <f>IF(G3&gt;15,G3-5,G3)</f>
        <v>0</v>
      </c>
    </row>
    <row r="4" spans="2:11" x14ac:dyDescent="0.25">
      <c r="B4" s="79">
        <v>0.89</v>
      </c>
      <c r="C4" s="79">
        <v>0</v>
      </c>
      <c r="F4">
        <v>0.95</v>
      </c>
      <c r="G4">
        <v>0</v>
      </c>
      <c r="J4">
        <f t="shared" ref="J4:J67" si="0">F4</f>
        <v>0.95</v>
      </c>
      <c r="K4">
        <f t="shared" ref="K4:K67" si="1">IF(G4&gt;15,G4-5,G4)</f>
        <v>0</v>
      </c>
    </row>
    <row r="5" spans="2:11" x14ac:dyDescent="0.25">
      <c r="B5" s="79">
        <v>0.13</v>
      </c>
      <c r="C5" s="79">
        <v>0.76</v>
      </c>
      <c r="F5">
        <v>0.19</v>
      </c>
      <c r="G5">
        <v>0.76</v>
      </c>
      <c r="J5">
        <f t="shared" si="0"/>
        <v>0.19</v>
      </c>
      <c r="K5">
        <f t="shared" si="1"/>
        <v>0.76</v>
      </c>
    </row>
    <row r="6" spans="2:11" x14ac:dyDescent="0.25">
      <c r="B6" s="79">
        <v>3.01</v>
      </c>
      <c r="C6" s="79">
        <v>5.7</v>
      </c>
      <c r="F6">
        <v>0</v>
      </c>
      <c r="G6">
        <v>2.2000000000000002</v>
      </c>
      <c r="J6">
        <f t="shared" si="0"/>
        <v>0</v>
      </c>
      <c r="K6">
        <f t="shared" si="1"/>
        <v>2.2000000000000002</v>
      </c>
    </row>
    <row r="7" spans="2:11" x14ac:dyDescent="0.25">
      <c r="B7" s="79">
        <v>3.01</v>
      </c>
      <c r="C7" s="79">
        <v>23.1</v>
      </c>
      <c r="F7">
        <v>3</v>
      </c>
      <c r="G7">
        <v>5</v>
      </c>
      <c r="J7">
        <f t="shared" si="0"/>
        <v>3</v>
      </c>
      <c r="K7">
        <f t="shared" si="1"/>
        <v>5</v>
      </c>
    </row>
    <row r="8" spans="2:11" x14ac:dyDescent="0.25">
      <c r="B8" s="79">
        <v>1.65</v>
      </c>
      <c r="C8" s="79">
        <v>25.7</v>
      </c>
      <c r="F8">
        <f>F7</f>
        <v>3</v>
      </c>
      <c r="G8">
        <v>19</v>
      </c>
      <c r="J8">
        <f t="shared" si="0"/>
        <v>3</v>
      </c>
      <c r="K8">
        <f t="shared" si="1"/>
        <v>14</v>
      </c>
    </row>
    <row r="9" spans="2:11" x14ac:dyDescent="0.25">
      <c r="B9" s="79">
        <v>1.65</v>
      </c>
      <c r="C9" s="79">
        <v>30</v>
      </c>
      <c r="F9">
        <v>1.65</v>
      </c>
      <c r="G9">
        <v>21.5</v>
      </c>
      <c r="J9">
        <f t="shared" si="0"/>
        <v>1.65</v>
      </c>
      <c r="K9">
        <f t="shared" si="1"/>
        <v>16.5</v>
      </c>
    </row>
    <row r="10" spans="2:11" x14ac:dyDescent="0.25">
      <c r="B10" s="79">
        <v>122.84</v>
      </c>
      <c r="C10" s="79">
        <v>30</v>
      </c>
      <c r="F10">
        <f>F9</f>
        <v>1.65</v>
      </c>
      <c r="G10">
        <v>25</v>
      </c>
      <c r="J10">
        <f t="shared" si="0"/>
        <v>1.65</v>
      </c>
      <c r="K10">
        <f t="shared" si="1"/>
        <v>20</v>
      </c>
    </row>
    <row r="11" spans="2:11" x14ac:dyDescent="0.25">
      <c r="B11" s="79">
        <v>122.84</v>
      </c>
      <c r="C11" s="79">
        <v>25.7</v>
      </c>
      <c r="F11">
        <v>122.85</v>
      </c>
      <c r="G11">
        <f>G10</f>
        <v>25</v>
      </c>
      <c r="J11">
        <f t="shared" si="0"/>
        <v>122.85</v>
      </c>
      <c r="K11">
        <f t="shared" si="1"/>
        <v>20</v>
      </c>
    </row>
    <row r="12" spans="2:11" x14ac:dyDescent="0.25">
      <c r="B12" s="79">
        <v>121.51</v>
      </c>
      <c r="C12" s="79">
        <v>23.2</v>
      </c>
      <c r="F12">
        <f>F11</f>
        <v>122.85</v>
      </c>
      <c r="G12">
        <f>G9</f>
        <v>21.5</v>
      </c>
      <c r="J12">
        <f t="shared" si="0"/>
        <v>122.85</v>
      </c>
      <c r="K12">
        <f t="shared" si="1"/>
        <v>16.5</v>
      </c>
    </row>
    <row r="13" spans="2:11" x14ac:dyDescent="0.25">
      <c r="B13" s="79">
        <v>121.51</v>
      </c>
      <c r="C13" s="79">
        <v>5.7</v>
      </c>
      <c r="F13">
        <v>121.5</v>
      </c>
      <c r="G13">
        <f>G8</f>
        <v>19</v>
      </c>
      <c r="J13">
        <f t="shared" si="0"/>
        <v>121.5</v>
      </c>
      <c r="K13">
        <f t="shared" si="1"/>
        <v>14</v>
      </c>
    </row>
    <row r="14" spans="2:11" x14ac:dyDescent="0.25">
      <c r="B14" s="79">
        <v>124.5</v>
      </c>
      <c r="C14" s="79">
        <v>2.2000000000000002</v>
      </c>
      <c r="F14">
        <f>F13</f>
        <v>121.5</v>
      </c>
      <c r="G14">
        <f>G7</f>
        <v>5</v>
      </c>
      <c r="J14">
        <f t="shared" si="0"/>
        <v>121.5</v>
      </c>
      <c r="K14">
        <f t="shared" si="1"/>
        <v>5</v>
      </c>
    </row>
    <row r="15" spans="2:11" x14ac:dyDescent="0.25">
      <c r="B15" s="79">
        <v>124.37</v>
      </c>
      <c r="C15" s="79">
        <v>0.76</v>
      </c>
      <c r="F15">
        <v>124.5</v>
      </c>
      <c r="G15">
        <f>G6</f>
        <v>2.2000000000000002</v>
      </c>
      <c r="J15">
        <f t="shared" si="0"/>
        <v>124.5</v>
      </c>
      <c r="K15">
        <f t="shared" si="1"/>
        <v>2.2000000000000002</v>
      </c>
    </row>
    <row r="16" spans="2:11" x14ac:dyDescent="0.25">
      <c r="B16" s="79">
        <v>123.61</v>
      </c>
      <c r="C16" s="79">
        <v>0</v>
      </c>
      <c r="F16">
        <v>124.31</v>
      </c>
      <c r="G16">
        <f>G5</f>
        <v>0.76</v>
      </c>
      <c r="J16">
        <f t="shared" si="0"/>
        <v>124.31</v>
      </c>
      <c r="K16">
        <f t="shared" si="1"/>
        <v>0.76</v>
      </c>
    </row>
    <row r="17" spans="2:11" x14ac:dyDescent="0.25">
      <c r="B17" s="79">
        <v>111.1</v>
      </c>
      <c r="C17" s="79">
        <v>0</v>
      </c>
      <c r="F17">
        <v>123.55</v>
      </c>
      <c r="G17">
        <f>G4</f>
        <v>0</v>
      </c>
      <c r="J17">
        <f t="shared" si="0"/>
        <v>123.55</v>
      </c>
      <c r="K17">
        <f t="shared" si="1"/>
        <v>0</v>
      </c>
    </row>
    <row r="18" spans="2:11" x14ac:dyDescent="0.25">
      <c r="B18" s="79">
        <v>111.1</v>
      </c>
      <c r="C18" s="79">
        <v>3.5</v>
      </c>
      <c r="F18">
        <v>111.05</v>
      </c>
      <c r="G18">
        <v>0</v>
      </c>
      <c r="J18">
        <f t="shared" si="0"/>
        <v>111.05</v>
      </c>
      <c r="K18">
        <f t="shared" si="1"/>
        <v>0</v>
      </c>
    </row>
    <row r="19" spans="2:11" x14ac:dyDescent="0.25">
      <c r="B19" s="79">
        <v>113.26</v>
      </c>
      <c r="C19" s="79">
        <v>3.5</v>
      </c>
      <c r="F19">
        <f>F18</f>
        <v>111.05</v>
      </c>
      <c r="G19">
        <f>3</f>
        <v>3</v>
      </c>
      <c r="J19">
        <f t="shared" si="0"/>
        <v>111.05</v>
      </c>
      <c r="K19">
        <f t="shared" si="1"/>
        <v>3</v>
      </c>
    </row>
    <row r="20" spans="2:11" x14ac:dyDescent="0.25">
      <c r="B20" s="79">
        <v>117.26</v>
      </c>
      <c r="C20" s="79">
        <v>7.5</v>
      </c>
      <c r="F20">
        <v>114.1</v>
      </c>
      <c r="G20">
        <f>G19</f>
        <v>3</v>
      </c>
      <c r="J20">
        <f t="shared" si="0"/>
        <v>114.1</v>
      </c>
      <c r="K20">
        <f t="shared" si="1"/>
        <v>3</v>
      </c>
    </row>
    <row r="21" spans="2:11" x14ac:dyDescent="0.25">
      <c r="B21" s="79">
        <v>117.26</v>
      </c>
      <c r="C21" s="79">
        <v>20.23</v>
      </c>
      <c r="F21">
        <v>117.25</v>
      </c>
      <c r="G21">
        <v>5.8</v>
      </c>
      <c r="J21">
        <f t="shared" si="0"/>
        <v>117.25</v>
      </c>
      <c r="K21">
        <f t="shared" si="1"/>
        <v>5.8</v>
      </c>
    </row>
    <row r="22" spans="2:11" x14ac:dyDescent="0.25">
      <c r="B22" s="79">
        <v>117.17</v>
      </c>
      <c r="C22" s="79">
        <v>21.28</v>
      </c>
      <c r="F22" s="203">
        <v>117.25</v>
      </c>
      <c r="G22" s="203">
        <v>15.75</v>
      </c>
      <c r="J22">
        <f t="shared" si="0"/>
        <v>117.25</v>
      </c>
      <c r="K22">
        <f t="shared" si="1"/>
        <v>10.75</v>
      </c>
    </row>
    <row r="23" spans="2:11" x14ac:dyDescent="0.25">
      <c r="B23" s="217">
        <v>116.91</v>
      </c>
      <c r="C23" s="217">
        <v>22.26</v>
      </c>
      <c r="F23" s="218">
        <v>117.18</v>
      </c>
      <c r="G23" s="218">
        <v>16.66</v>
      </c>
      <c r="J23">
        <f t="shared" si="0"/>
        <v>117.18</v>
      </c>
      <c r="K23">
        <f t="shared" si="1"/>
        <v>11.66</v>
      </c>
    </row>
    <row r="24" spans="2:11" x14ac:dyDescent="0.25">
      <c r="B24" s="217">
        <v>116.5</v>
      </c>
      <c r="C24" s="217">
        <v>23.21</v>
      </c>
      <c r="F24" s="218">
        <v>116.92</v>
      </c>
      <c r="G24" s="218">
        <v>17.760000000000002</v>
      </c>
      <c r="J24">
        <f t="shared" si="0"/>
        <v>116.92</v>
      </c>
      <c r="K24">
        <f t="shared" si="1"/>
        <v>12.760000000000002</v>
      </c>
    </row>
    <row r="25" spans="2:11" x14ac:dyDescent="0.25">
      <c r="B25" s="217">
        <v>115.94</v>
      </c>
      <c r="C25" s="217">
        <v>24.06</v>
      </c>
      <c r="F25" s="218">
        <v>116.43</v>
      </c>
      <c r="G25" s="218">
        <v>18.84</v>
      </c>
      <c r="J25">
        <f t="shared" si="0"/>
        <v>116.43</v>
      </c>
      <c r="K25">
        <f t="shared" si="1"/>
        <v>13.84</v>
      </c>
    </row>
    <row r="26" spans="2:11" x14ac:dyDescent="0.25">
      <c r="B26" s="217">
        <v>115.25</v>
      </c>
      <c r="C26" s="217">
        <v>24.82</v>
      </c>
      <c r="F26" s="218">
        <v>115.87</v>
      </c>
      <c r="G26" s="218">
        <v>19.66</v>
      </c>
      <c r="J26">
        <f t="shared" si="0"/>
        <v>115.87</v>
      </c>
      <c r="K26">
        <f t="shared" si="1"/>
        <v>14.66</v>
      </c>
    </row>
    <row r="27" spans="2:11" x14ac:dyDescent="0.25">
      <c r="B27" s="217">
        <v>114.42</v>
      </c>
      <c r="C27" s="217">
        <v>25.46</v>
      </c>
      <c r="F27" s="218">
        <v>115.23</v>
      </c>
      <c r="G27" s="218">
        <v>20.350000000000001</v>
      </c>
      <c r="J27">
        <f t="shared" si="0"/>
        <v>115.23</v>
      </c>
      <c r="K27">
        <f t="shared" si="1"/>
        <v>15.350000000000001</v>
      </c>
    </row>
    <row r="28" spans="2:11" x14ac:dyDescent="0.25">
      <c r="B28" s="217">
        <v>113.5</v>
      </c>
      <c r="C28" s="217">
        <v>25.96</v>
      </c>
      <c r="F28" s="218">
        <v>114.55</v>
      </c>
      <c r="G28" s="218">
        <v>20.89</v>
      </c>
      <c r="J28">
        <f t="shared" si="0"/>
        <v>114.55</v>
      </c>
      <c r="K28">
        <f t="shared" si="1"/>
        <v>15.89</v>
      </c>
    </row>
    <row r="29" spans="2:11" x14ac:dyDescent="0.25">
      <c r="B29" s="217">
        <v>112.54</v>
      </c>
      <c r="C29" s="217">
        <v>26.28</v>
      </c>
      <c r="F29" s="218">
        <v>113.9</v>
      </c>
      <c r="G29" s="218">
        <v>21.29</v>
      </c>
      <c r="J29">
        <f t="shared" si="0"/>
        <v>113.9</v>
      </c>
      <c r="K29">
        <f t="shared" si="1"/>
        <v>16.29</v>
      </c>
    </row>
    <row r="30" spans="2:11" x14ac:dyDescent="0.25">
      <c r="B30" s="217">
        <v>111.54</v>
      </c>
      <c r="C30" s="217">
        <v>26.45</v>
      </c>
      <c r="F30" s="218">
        <v>113.18</v>
      </c>
      <c r="G30" s="218">
        <v>21.61</v>
      </c>
      <c r="J30">
        <f t="shared" si="0"/>
        <v>113.18</v>
      </c>
      <c r="K30">
        <f t="shared" si="1"/>
        <v>16.61</v>
      </c>
    </row>
    <row r="31" spans="2:11" x14ac:dyDescent="0.25">
      <c r="B31" s="217">
        <v>110.47</v>
      </c>
      <c r="C31" s="217">
        <v>26.45</v>
      </c>
      <c r="F31" s="218">
        <v>112.59</v>
      </c>
      <c r="G31" s="218">
        <v>21.79</v>
      </c>
      <c r="J31">
        <f t="shared" si="0"/>
        <v>112.59</v>
      </c>
      <c r="K31">
        <f t="shared" si="1"/>
        <v>16.79</v>
      </c>
    </row>
    <row r="32" spans="2:11" x14ac:dyDescent="0.25">
      <c r="B32" s="217">
        <v>109.47</v>
      </c>
      <c r="C32" s="217">
        <v>26.28</v>
      </c>
      <c r="F32" s="218">
        <v>111.97</v>
      </c>
      <c r="G32" s="218">
        <v>21.92</v>
      </c>
      <c r="J32">
        <f t="shared" si="0"/>
        <v>111.97</v>
      </c>
      <c r="K32">
        <f t="shared" si="1"/>
        <v>16.920000000000002</v>
      </c>
    </row>
    <row r="33" spans="2:11" x14ac:dyDescent="0.25">
      <c r="B33" s="217">
        <v>108.51</v>
      </c>
      <c r="C33" s="217">
        <v>25.96</v>
      </c>
      <c r="F33" s="218">
        <v>111.3</v>
      </c>
      <c r="G33" s="218">
        <v>21.99</v>
      </c>
      <c r="J33">
        <f t="shared" si="0"/>
        <v>111.3</v>
      </c>
      <c r="K33">
        <f t="shared" si="1"/>
        <v>16.989999999999998</v>
      </c>
    </row>
    <row r="34" spans="2:11" x14ac:dyDescent="0.25">
      <c r="B34" s="217">
        <v>107.59</v>
      </c>
      <c r="C34" s="217">
        <v>25.46</v>
      </c>
      <c r="F34" s="218">
        <v>110.7</v>
      </c>
      <c r="G34" s="218">
        <f>G33</f>
        <v>21.99</v>
      </c>
      <c r="J34">
        <f t="shared" si="0"/>
        <v>110.7</v>
      </c>
      <c r="K34">
        <f t="shared" si="1"/>
        <v>16.989999999999998</v>
      </c>
    </row>
    <row r="35" spans="2:11" x14ac:dyDescent="0.25">
      <c r="B35" s="217">
        <v>106.76</v>
      </c>
      <c r="C35" s="217">
        <v>24.82</v>
      </c>
      <c r="F35" s="218">
        <v>110.03</v>
      </c>
      <c r="G35" s="218">
        <v>21.92</v>
      </c>
      <c r="J35">
        <f t="shared" si="0"/>
        <v>110.03</v>
      </c>
      <c r="K35">
        <f t="shared" si="1"/>
        <v>16.920000000000002</v>
      </c>
    </row>
    <row r="36" spans="2:11" x14ac:dyDescent="0.25">
      <c r="B36" s="217">
        <v>106.07</v>
      </c>
      <c r="C36" s="217">
        <v>24.06</v>
      </c>
      <c r="F36" s="218">
        <v>109.41</v>
      </c>
      <c r="G36" s="218">
        <v>21.79</v>
      </c>
      <c r="J36">
        <f t="shared" si="0"/>
        <v>109.41</v>
      </c>
      <c r="K36">
        <f t="shared" si="1"/>
        <v>16.79</v>
      </c>
    </row>
    <row r="37" spans="2:11" x14ac:dyDescent="0.25">
      <c r="B37" s="79">
        <v>105.51</v>
      </c>
      <c r="C37" s="79">
        <v>23.21</v>
      </c>
      <c r="F37" s="218">
        <v>108.82</v>
      </c>
      <c r="G37" s="218">
        <v>21.61</v>
      </c>
      <c r="J37">
        <f t="shared" si="0"/>
        <v>108.82</v>
      </c>
      <c r="K37">
        <f t="shared" si="1"/>
        <v>16.61</v>
      </c>
    </row>
    <row r="38" spans="2:11" x14ac:dyDescent="0.25">
      <c r="B38" s="79">
        <v>105.1</v>
      </c>
      <c r="C38" s="79">
        <v>22.26</v>
      </c>
      <c r="F38" s="218">
        <v>108.1</v>
      </c>
      <c r="G38" s="218">
        <v>21.29</v>
      </c>
      <c r="J38">
        <f t="shared" si="0"/>
        <v>108.1</v>
      </c>
      <c r="K38">
        <f t="shared" si="1"/>
        <v>16.29</v>
      </c>
    </row>
    <row r="39" spans="2:11" x14ac:dyDescent="0.25">
      <c r="B39" s="79">
        <v>104.84</v>
      </c>
      <c r="C39" s="79">
        <v>21.28</v>
      </c>
      <c r="F39" s="218">
        <v>107.45</v>
      </c>
      <c r="G39" s="218">
        <v>20.89</v>
      </c>
      <c r="J39">
        <f t="shared" si="0"/>
        <v>107.45</v>
      </c>
      <c r="K39">
        <f t="shared" si="1"/>
        <v>15.89</v>
      </c>
    </row>
    <row r="40" spans="2:11" x14ac:dyDescent="0.25">
      <c r="B40" s="79">
        <v>104.76</v>
      </c>
      <c r="C40" s="79">
        <v>20.23</v>
      </c>
      <c r="F40" s="218">
        <v>106.77</v>
      </c>
      <c r="G40" s="218">
        <v>20.350000000000001</v>
      </c>
      <c r="J40">
        <f t="shared" si="0"/>
        <v>106.77</v>
      </c>
      <c r="K40">
        <f t="shared" si="1"/>
        <v>15.350000000000001</v>
      </c>
    </row>
    <row r="41" spans="2:11" x14ac:dyDescent="0.25">
      <c r="B41" s="79">
        <v>104.76</v>
      </c>
      <c r="C41" s="79">
        <v>7.5</v>
      </c>
      <c r="F41" s="218">
        <v>106.13</v>
      </c>
      <c r="G41" s="218">
        <v>19.66</v>
      </c>
      <c r="J41">
        <f t="shared" si="0"/>
        <v>106.13</v>
      </c>
      <c r="K41">
        <f t="shared" si="1"/>
        <v>14.66</v>
      </c>
    </row>
    <row r="42" spans="2:11" x14ac:dyDescent="0.25">
      <c r="B42" s="79">
        <v>108.76</v>
      </c>
      <c r="C42" s="79">
        <v>3.5</v>
      </c>
      <c r="F42" s="218">
        <v>105.57</v>
      </c>
      <c r="G42" s="218">
        <v>18.84</v>
      </c>
      <c r="J42">
        <f t="shared" si="0"/>
        <v>105.57</v>
      </c>
      <c r="K42">
        <f t="shared" si="1"/>
        <v>13.84</v>
      </c>
    </row>
    <row r="43" spans="2:11" x14ac:dyDescent="0.25">
      <c r="B43" s="79">
        <v>111</v>
      </c>
      <c r="C43" s="79">
        <v>3.5</v>
      </c>
      <c r="F43" s="218">
        <v>105.08</v>
      </c>
      <c r="G43" s="218">
        <v>17.760000000000002</v>
      </c>
      <c r="J43">
        <f t="shared" si="0"/>
        <v>105.08</v>
      </c>
      <c r="K43">
        <f t="shared" si="1"/>
        <v>12.760000000000002</v>
      </c>
    </row>
    <row r="44" spans="2:11" x14ac:dyDescent="0.25">
      <c r="B44" s="79">
        <v>111</v>
      </c>
      <c r="C44" s="79">
        <v>0</v>
      </c>
      <c r="F44" s="218">
        <v>104.82</v>
      </c>
      <c r="G44" s="218">
        <v>16.66</v>
      </c>
      <c r="J44">
        <f t="shared" si="0"/>
        <v>104.82</v>
      </c>
      <c r="K44">
        <f t="shared" si="1"/>
        <v>11.66</v>
      </c>
    </row>
    <row r="45" spans="2:11" x14ac:dyDescent="0.25">
      <c r="B45" s="79">
        <v>94.85</v>
      </c>
      <c r="C45" s="79">
        <v>0</v>
      </c>
      <c r="F45" s="203">
        <v>104.75</v>
      </c>
      <c r="G45" s="203">
        <v>15.75</v>
      </c>
      <c r="J45">
        <f t="shared" si="0"/>
        <v>104.75</v>
      </c>
      <c r="K45">
        <f t="shared" si="1"/>
        <v>10.75</v>
      </c>
    </row>
    <row r="46" spans="2:11" x14ac:dyDescent="0.25">
      <c r="B46" s="217">
        <v>94.85</v>
      </c>
      <c r="C46" s="217">
        <v>3.5</v>
      </c>
      <c r="F46" s="203">
        <f>F45</f>
        <v>104.75</v>
      </c>
      <c r="G46" s="203">
        <v>5.8</v>
      </c>
      <c r="J46">
        <f t="shared" si="0"/>
        <v>104.75</v>
      </c>
      <c r="K46">
        <f t="shared" si="1"/>
        <v>5.8</v>
      </c>
    </row>
    <row r="47" spans="2:11" x14ac:dyDescent="0.25">
      <c r="B47" s="217">
        <v>97.01</v>
      </c>
      <c r="C47" s="217">
        <v>3.5</v>
      </c>
      <c r="F47" s="203">
        <v>107.9</v>
      </c>
      <c r="G47" s="203">
        <f>G20</f>
        <v>3</v>
      </c>
      <c r="J47">
        <f t="shared" si="0"/>
        <v>107.9</v>
      </c>
      <c r="K47">
        <f t="shared" si="1"/>
        <v>3</v>
      </c>
    </row>
    <row r="48" spans="2:11" x14ac:dyDescent="0.25">
      <c r="B48" s="217">
        <v>101.01</v>
      </c>
      <c r="C48" s="217">
        <v>7.5</v>
      </c>
      <c r="F48" s="203">
        <v>111</v>
      </c>
      <c r="G48" s="203">
        <f>G47</f>
        <v>3</v>
      </c>
      <c r="J48">
        <f t="shared" si="0"/>
        <v>111</v>
      </c>
      <c r="K48">
        <f t="shared" si="1"/>
        <v>3</v>
      </c>
    </row>
    <row r="49" spans="2:11" x14ac:dyDescent="0.25">
      <c r="B49" s="217">
        <v>101.01</v>
      </c>
      <c r="C49" s="217">
        <v>20.23</v>
      </c>
      <c r="F49" s="203">
        <f>F48</f>
        <v>111</v>
      </c>
      <c r="G49" s="203">
        <v>0</v>
      </c>
      <c r="J49">
        <f t="shared" si="0"/>
        <v>111</v>
      </c>
      <c r="K49">
        <f t="shared" si="1"/>
        <v>0</v>
      </c>
    </row>
    <row r="50" spans="2:11" x14ac:dyDescent="0.25">
      <c r="B50" s="217">
        <v>100.92</v>
      </c>
      <c r="C50" s="217">
        <v>21.28</v>
      </c>
      <c r="F50" s="203">
        <v>94.8</v>
      </c>
      <c r="G50" s="203">
        <f>G49</f>
        <v>0</v>
      </c>
      <c r="J50">
        <f t="shared" si="0"/>
        <v>94.8</v>
      </c>
      <c r="K50">
        <f t="shared" si="1"/>
        <v>0</v>
      </c>
    </row>
    <row r="51" spans="2:11" x14ac:dyDescent="0.25">
      <c r="B51" s="217">
        <v>100.66</v>
      </c>
      <c r="C51" s="217">
        <v>22.26</v>
      </c>
      <c r="F51" s="203">
        <f>F50</f>
        <v>94.8</v>
      </c>
      <c r="G51" s="203">
        <f>G48</f>
        <v>3</v>
      </c>
      <c r="J51">
        <f t="shared" si="0"/>
        <v>94.8</v>
      </c>
      <c r="K51">
        <f t="shared" si="1"/>
        <v>3</v>
      </c>
    </row>
    <row r="52" spans="2:11" x14ac:dyDescent="0.25">
      <c r="B52" s="217">
        <v>100.25</v>
      </c>
      <c r="C52" s="217">
        <v>23.21</v>
      </c>
      <c r="F52" s="203">
        <f>97.85</f>
        <v>97.85</v>
      </c>
      <c r="G52" s="203">
        <f>G51</f>
        <v>3</v>
      </c>
      <c r="J52">
        <f t="shared" si="0"/>
        <v>97.85</v>
      </c>
      <c r="K52">
        <f t="shared" si="1"/>
        <v>3</v>
      </c>
    </row>
    <row r="53" spans="2:11" x14ac:dyDescent="0.25">
      <c r="B53" s="217">
        <v>99.69</v>
      </c>
      <c r="C53" s="217">
        <v>24.06</v>
      </c>
      <c r="F53" s="203">
        <v>101</v>
      </c>
      <c r="G53" s="203">
        <f>G46</f>
        <v>5.8</v>
      </c>
      <c r="J53">
        <f t="shared" si="0"/>
        <v>101</v>
      </c>
      <c r="K53">
        <f t="shared" si="1"/>
        <v>5.8</v>
      </c>
    </row>
    <row r="54" spans="2:11" x14ac:dyDescent="0.25">
      <c r="B54" s="217">
        <v>99</v>
      </c>
      <c r="C54" s="217">
        <v>24.82</v>
      </c>
      <c r="F54" s="203">
        <f>F53</f>
        <v>101</v>
      </c>
      <c r="G54" s="203">
        <f>G45</f>
        <v>15.75</v>
      </c>
      <c r="J54">
        <f t="shared" si="0"/>
        <v>101</v>
      </c>
      <c r="K54">
        <f t="shared" si="1"/>
        <v>10.75</v>
      </c>
    </row>
    <row r="55" spans="2:11" x14ac:dyDescent="0.25">
      <c r="B55" s="217">
        <v>98.17</v>
      </c>
      <c r="C55" s="217">
        <v>25.46</v>
      </c>
      <c r="F55" s="218">
        <f>F23-16.25</f>
        <v>100.93</v>
      </c>
      <c r="G55" s="218">
        <v>16.66</v>
      </c>
      <c r="J55">
        <f t="shared" si="0"/>
        <v>100.93</v>
      </c>
      <c r="K55">
        <f t="shared" si="1"/>
        <v>11.66</v>
      </c>
    </row>
    <row r="56" spans="2:11" x14ac:dyDescent="0.25">
      <c r="B56" s="217">
        <v>97.25</v>
      </c>
      <c r="C56" s="217">
        <v>25.96</v>
      </c>
      <c r="F56" s="218">
        <f t="shared" ref="F56:F76" si="2">F24-16.25</f>
        <v>100.67</v>
      </c>
      <c r="G56" s="218">
        <v>17.760000000000002</v>
      </c>
      <c r="J56">
        <f t="shared" si="0"/>
        <v>100.67</v>
      </c>
      <c r="K56">
        <f t="shared" si="1"/>
        <v>12.760000000000002</v>
      </c>
    </row>
    <row r="57" spans="2:11" x14ac:dyDescent="0.25">
      <c r="B57" s="217">
        <v>96.29</v>
      </c>
      <c r="C57" s="217">
        <v>26.28</v>
      </c>
      <c r="F57" s="218">
        <f t="shared" si="2"/>
        <v>100.18</v>
      </c>
      <c r="G57" s="218">
        <v>18.84</v>
      </c>
      <c r="J57">
        <f t="shared" si="0"/>
        <v>100.18</v>
      </c>
      <c r="K57">
        <f t="shared" si="1"/>
        <v>13.84</v>
      </c>
    </row>
    <row r="58" spans="2:11" x14ac:dyDescent="0.25">
      <c r="B58" s="217">
        <v>95.29</v>
      </c>
      <c r="C58" s="217">
        <v>26.45</v>
      </c>
      <c r="F58" s="218">
        <f t="shared" si="2"/>
        <v>99.62</v>
      </c>
      <c r="G58" s="218">
        <v>19.66</v>
      </c>
      <c r="J58">
        <f t="shared" si="0"/>
        <v>99.62</v>
      </c>
      <c r="K58">
        <f t="shared" si="1"/>
        <v>14.66</v>
      </c>
    </row>
    <row r="59" spans="2:11" x14ac:dyDescent="0.25">
      <c r="B59" s="217">
        <v>94.76</v>
      </c>
      <c r="C59" s="217">
        <v>26.45</v>
      </c>
      <c r="F59" s="218">
        <f t="shared" si="2"/>
        <v>98.98</v>
      </c>
      <c r="G59" s="218">
        <v>20.350000000000001</v>
      </c>
      <c r="J59">
        <f t="shared" si="0"/>
        <v>98.98</v>
      </c>
      <c r="K59">
        <f t="shared" si="1"/>
        <v>15.350000000000001</v>
      </c>
    </row>
    <row r="60" spans="2:11" x14ac:dyDescent="0.25">
      <c r="B60" s="79">
        <v>94.22</v>
      </c>
      <c r="C60" s="79">
        <v>26.28</v>
      </c>
      <c r="F60" s="218">
        <f t="shared" si="2"/>
        <v>98.3</v>
      </c>
      <c r="G60" s="218">
        <v>20.89</v>
      </c>
      <c r="J60">
        <f t="shared" si="0"/>
        <v>98.3</v>
      </c>
      <c r="K60">
        <f t="shared" si="1"/>
        <v>15.89</v>
      </c>
    </row>
    <row r="61" spans="2:11" x14ac:dyDescent="0.25">
      <c r="B61" s="79">
        <v>93.22</v>
      </c>
      <c r="C61" s="79">
        <v>25.96</v>
      </c>
      <c r="F61" s="218">
        <f t="shared" si="2"/>
        <v>97.65</v>
      </c>
      <c r="G61" s="218">
        <v>21.29</v>
      </c>
      <c r="J61">
        <f t="shared" si="0"/>
        <v>97.65</v>
      </c>
      <c r="K61">
        <f t="shared" si="1"/>
        <v>16.29</v>
      </c>
    </row>
    <row r="62" spans="2:11" x14ac:dyDescent="0.25">
      <c r="B62" s="79">
        <v>92.26</v>
      </c>
      <c r="C62" s="79">
        <v>25.46</v>
      </c>
      <c r="F62" s="218">
        <f t="shared" si="2"/>
        <v>96.93</v>
      </c>
      <c r="G62" s="218">
        <v>21.61</v>
      </c>
      <c r="J62">
        <f t="shared" si="0"/>
        <v>96.93</v>
      </c>
      <c r="K62">
        <f t="shared" si="1"/>
        <v>16.61</v>
      </c>
    </row>
    <row r="63" spans="2:11" x14ac:dyDescent="0.25">
      <c r="B63" s="79">
        <v>91.34</v>
      </c>
      <c r="C63" s="79">
        <v>24.82</v>
      </c>
      <c r="F63" s="218">
        <f t="shared" si="2"/>
        <v>96.34</v>
      </c>
      <c r="G63" s="218">
        <v>21.79</v>
      </c>
      <c r="J63">
        <f t="shared" si="0"/>
        <v>96.34</v>
      </c>
      <c r="K63">
        <f t="shared" si="1"/>
        <v>16.79</v>
      </c>
    </row>
    <row r="64" spans="2:11" x14ac:dyDescent="0.25">
      <c r="B64" s="79">
        <v>90.51</v>
      </c>
      <c r="C64" s="79">
        <v>24.06</v>
      </c>
      <c r="F64" s="218">
        <f t="shared" si="2"/>
        <v>95.72</v>
      </c>
      <c r="G64" s="218">
        <v>21.92</v>
      </c>
      <c r="J64">
        <f t="shared" si="0"/>
        <v>95.72</v>
      </c>
      <c r="K64">
        <f t="shared" si="1"/>
        <v>16.920000000000002</v>
      </c>
    </row>
    <row r="65" spans="2:11" x14ac:dyDescent="0.25">
      <c r="B65" s="79">
        <v>89.82</v>
      </c>
      <c r="C65" s="79">
        <v>23.21</v>
      </c>
      <c r="F65" s="218">
        <f t="shared" si="2"/>
        <v>95.05</v>
      </c>
      <c r="G65" s="218">
        <v>21.99</v>
      </c>
      <c r="J65">
        <f t="shared" si="0"/>
        <v>95.05</v>
      </c>
      <c r="K65">
        <f t="shared" si="1"/>
        <v>16.989999999999998</v>
      </c>
    </row>
    <row r="66" spans="2:11" x14ac:dyDescent="0.25">
      <c r="B66" s="79">
        <v>89.26</v>
      </c>
      <c r="C66" s="79">
        <v>22.26</v>
      </c>
      <c r="F66" s="218">
        <f t="shared" si="2"/>
        <v>94.45</v>
      </c>
      <c r="G66" s="218">
        <f>G65</f>
        <v>21.99</v>
      </c>
      <c r="J66">
        <f t="shared" si="0"/>
        <v>94.45</v>
      </c>
      <c r="K66">
        <f t="shared" si="1"/>
        <v>16.989999999999998</v>
      </c>
    </row>
    <row r="67" spans="2:11" x14ac:dyDescent="0.25">
      <c r="B67" s="79">
        <v>88.85</v>
      </c>
      <c r="C67" s="79">
        <v>21.28</v>
      </c>
      <c r="F67" s="218">
        <f t="shared" si="2"/>
        <v>93.78</v>
      </c>
      <c r="G67" s="218">
        <v>21.92</v>
      </c>
      <c r="J67">
        <f t="shared" si="0"/>
        <v>93.78</v>
      </c>
      <c r="K67">
        <f t="shared" si="1"/>
        <v>16.920000000000002</v>
      </c>
    </row>
    <row r="68" spans="2:11" x14ac:dyDescent="0.25">
      <c r="B68" s="79">
        <v>88.51</v>
      </c>
      <c r="C68" s="79">
        <v>20.23</v>
      </c>
      <c r="F68" s="218">
        <f t="shared" si="2"/>
        <v>93.16</v>
      </c>
      <c r="G68" s="218">
        <v>21.79</v>
      </c>
      <c r="J68">
        <f t="shared" ref="J68:J131" si="3">F68</f>
        <v>93.16</v>
      </c>
      <c r="K68">
        <f t="shared" ref="K68:K131" si="4">IF(G68&gt;15,G68-5,G68)</f>
        <v>16.79</v>
      </c>
    </row>
    <row r="69" spans="2:11" x14ac:dyDescent="0.25">
      <c r="B69" s="217">
        <v>88.51</v>
      </c>
      <c r="C69" s="217">
        <v>7.5</v>
      </c>
      <c r="F69" s="218">
        <f t="shared" si="2"/>
        <v>92.57</v>
      </c>
      <c r="G69" s="218">
        <v>21.61</v>
      </c>
      <c r="J69">
        <f t="shared" si="3"/>
        <v>92.57</v>
      </c>
      <c r="K69">
        <f t="shared" si="4"/>
        <v>16.61</v>
      </c>
    </row>
    <row r="70" spans="2:11" x14ac:dyDescent="0.25">
      <c r="B70" s="217">
        <v>92.51</v>
      </c>
      <c r="C70" s="217">
        <v>3.5</v>
      </c>
      <c r="F70" s="218">
        <f t="shared" si="2"/>
        <v>91.85</v>
      </c>
      <c r="G70" s="218">
        <v>21.29</v>
      </c>
      <c r="J70">
        <f t="shared" si="3"/>
        <v>91.85</v>
      </c>
      <c r="K70">
        <f t="shared" si="4"/>
        <v>16.29</v>
      </c>
    </row>
    <row r="71" spans="2:11" x14ac:dyDescent="0.25">
      <c r="B71" s="217">
        <v>94.75</v>
      </c>
      <c r="C71" s="217">
        <v>3.5</v>
      </c>
      <c r="F71" s="218">
        <f t="shared" si="2"/>
        <v>91.2</v>
      </c>
      <c r="G71" s="218">
        <v>20.89</v>
      </c>
      <c r="J71">
        <f t="shared" si="3"/>
        <v>91.2</v>
      </c>
      <c r="K71">
        <f t="shared" si="4"/>
        <v>15.89</v>
      </c>
    </row>
    <row r="72" spans="2:11" x14ac:dyDescent="0.25">
      <c r="B72" s="217">
        <v>94.75</v>
      </c>
      <c r="C72" s="217">
        <v>0</v>
      </c>
      <c r="F72" s="218">
        <f t="shared" si="2"/>
        <v>90.52</v>
      </c>
      <c r="G72" s="218">
        <v>20.350000000000001</v>
      </c>
      <c r="J72">
        <f t="shared" si="3"/>
        <v>90.52</v>
      </c>
      <c r="K72">
        <f t="shared" si="4"/>
        <v>15.350000000000001</v>
      </c>
    </row>
    <row r="73" spans="2:11" x14ac:dyDescent="0.25">
      <c r="B73" s="217">
        <v>78.61</v>
      </c>
      <c r="C73" s="217">
        <v>0</v>
      </c>
      <c r="F73" s="218">
        <f t="shared" si="2"/>
        <v>89.88</v>
      </c>
      <c r="G73" s="218">
        <v>19.66</v>
      </c>
      <c r="J73">
        <f t="shared" si="3"/>
        <v>89.88</v>
      </c>
      <c r="K73">
        <f t="shared" si="4"/>
        <v>14.66</v>
      </c>
    </row>
    <row r="74" spans="2:11" x14ac:dyDescent="0.25">
      <c r="B74" s="217">
        <v>78.61</v>
      </c>
      <c r="C74" s="217">
        <v>3.5</v>
      </c>
      <c r="F74" s="218">
        <f t="shared" si="2"/>
        <v>89.32</v>
      </c>
      <c r="G74" s="218">
        <v>18.84</v>
      </c>
      <c r="J74">
        <f t="shared" si="3"/>
        <v>89.32</v>
      </c>
      <c r="K74">
        <f t="shared" si="4"/>
        <v>13.84</v>
      </c>
    </row>
    <row r="75" spans="2:11" x14ac:dyDescent="0.25">
      <c r="B75" s="217">
        <v>80.760000000000005</v>
      </c>
      <c r="C75" s="217">
        <v>3.5</v>
      </c>
      <c r="F75" s="218">
        <f t="shared" si="2"/>
        <v>88.83</v>
      </c>
      <c r="G75" s="218">
        <v>17.760000000000002</v>
      </c>
      <c r="J75">
        <f t="shared" si="3"/>
        <v>88.83</v>
      </c>
      <c r="K75">
        <f t="shared" si="4"/>
        <v>12.760000000000002</v>
      </c>
    </row>
    <row r="76" spans="2:11" x14ac:dyDescent="0.25">
      <c r="B76" s="217">
        <v>84.76</v>
      </c>
      <c r="C76" s="217">
        <v>7.5</v>
      </c>
      <c r="F76" s="218">
        <f t="shared" si="2"/>
        <v>88.57</v>
      </c>
      <c r="G76" s="218">
        <v>16.66</v>
      </c>
      <c r="J76">
        <f t="shared" si="3"/>
        <v>88.57</v>
      </c>
      <c r="K76">
        <f t="shared" si="4"/>
        <v>11.66</v>
      </c>
    </row>
    <row r="77" spans="2:11" x14ac:dyDescent="0.25">
      <c r="B77" s="217">
        <v>84.76</v>
      </c>
      <c r="C77" s="217">
        <v>20.23</v>
      </c>
      <c r="F77" s="203">
        <f>F45-16.25</f>
        <v>88.5</v>
      </c>
      <c r="G77" s="203">
        <f>G54</f>
        <v>15.75</v>
      </c>
      <c r="J77">
        <f t="shared" si="3"/>
        <v>88.5</v>
      </c>
      <c r="K77">
        <f t="shared" si="4"/>
        <v>10.75</v>
      </c>
    </row>
    <row r="78" spans="2:11" x14ac:dyDescent="0.25">
      <c r="B78" s="217">
        <v>84.67</v>
      </c>
      <c r="C78" s="217">
        <v>21.28</v>
      </c>
      <c r="F78" s="203">
        <f t="shared" ref="F78:F142" si="5">F46-16.25</f>
        <v>88.5</v>
      </c>
      <c r="G78" s="203">
        <f>G46</f>
        <v>5.8</v>
      </c>
      <c r="J78">
        <f t="shared" si="3"/>
        <v>88.5</v>
      </c>
      <c r="K78">
        <f t="shared" si="4"/>
        <v>5.8</v>
      </c>
    </row>
    <row r="79" spans="2:11" x14ac:dyDescent="0.25">
      <c r="B79" s="217">
        <v>84.42</v>
      </c>
      <c r="C79" s="217">
        <v>22.26</v>
      </c>
      <c r="F79" s="203">
        <f t="shared" si="5"/>
        <v>91.65</v>
      </c>
      <c r="G79" s="203">
        <f t="shared" ref="G79:G85" si="6">G47</f>
        <v>3</v>
      </c>
      <c r="J79">
        <f t="shared" si="3"/>
        <v>91.65</v>
      </c>
      <c r="K79">
        <f t="shared" si="4"/>
        <v>3</v>
      </c>
    </row>
    <row r="80" spans="2:11" x14ac:dyDescent="0.25">
      <c r="B80" s="217">
        <v>84</v>
      </c>
      <c r="C80" s="217">
        <v>23.21</v>
      </c>
      <c r="F80" s="203">
        <f t="shared" si="5"/>
        <v>94.75</v>
      </c>
      <c r="G80" s="203">
        <f t="shared" si="6"/>
        <v>3</v>
      </c>
      <c r="J80">
        <f t="shared" si="3"/>
        <v>94.75</v>
      </c>
      <c r="K80">
        <f t="shared" si="4"/>
        <v>3</v>
      </c>
    </row>
    <row r="81" spans="2:11" x14ac:dyDescent="0.25">
      <c r="B81" s="217">
        <v>83.44</v>
      </c>
      <c r="C81" s="217">
        <v>24.06</v>
      </c>
      <c r="F81" s="203">
        <f t="shared" si="5"/>
        <v>94.75</v>
      </c>
      <c r="G81" s="203">
        <f t="shared" si="6"/>
        <v>0</v>
      </c>
      <c r="J81">
        <f t="shared" si="3"/>
        <v>94.75</v>
      </c>
      <c r="K81">
        <f t="shared" si="4"/>
        <v>0</v>
      </c>
    </row>
    <row r="82" spans="2:11" x14ac:dyDescent="0.25">
      <c r="B82" s="217">
        <v>82.75</v>
      </c>
      <c r="C82" s="217">
        <v>24.82</v>
      </c>
      <c r="F82" s="203">
        <f t="shared" si="5"/>
        <v>78.55</v>
      </c>
      <c r="G82" s="203">
        <f t="shared" si="6"/>
        <v>0</v>
      </c>
      <c r="J82">
        <f t="shared" si="3"/>
        <v>78.55</v>
      </c>
      <c r="K82">
        <f t="shared" si="4"/>
        <v>0</v>
      </c>
    </row>
    <row r="83" spans="2:11" x14ac:dyDescent="0.25">
      <c r="B83" s="216">
        <v>81.92</v>
      </c>
      <c r="C83">
        <v>25.46</v>
      </c>
      <c r="F83" s="203">
        <f t="shared" si="5"/>
        <v>78.55</v>
      </c>
      <c r="G83" s="203">
        <f t="shared" si="6"/>
        <v>3</v>
      </c>
      <c r="J83">
        <f t="shared" si="3"/>
        <v>78.55</v>
      </c>
      <c r="K83">
        <f t="shared" si="4"/>
        <v>3</v>
      </c>
    </row>
    <row r="84" spans="2:11" x14ac:dyDescent="0.25">
      <c r="B84" s="216">
        <v>81</v>
      </c>
      <c r="C84">
        <v>25.96</v>
      </c>
      <c r="F84" s="203">
        <f t="shared" si="5"/>
        <v>81.599999999999994</v>
      </c>
      <c r="G84" s="203">
        <f t="shared" si="6"/>
        <v>3</v>
      </c>
      <c r="J84">
        <f t="shared" si="3"/>
        <v>81.599999999999994</v>
      </c>
      <c r="K84">
        <f t="shared" si="4"/>
        <v>3</v>
      </c>
    </row>
    <row r="85" spans="2:11" x14ac:dyDescent="0.25">
      <c r="B85">
        <v>80.05</v>
      </c>
      <c r="C85">
        <v>26.28</v>
      </c>
      <c r="F85" s="203">
        <f t="shared" si="5"/>
        <v>84.75</v>
      </c>
      <c r="G85" s="203">
        <f t="shared" si="6"/>
        <v>5.8</v>
      </c>
      <c r="J85">
        <f t="shared" si="3"/>
        <v>84.75</v>
      </c>
      <c r="K85">
        <f t="shared" si="4"/>
        <v>5.8</v>
      </c>
    </row>
    <row r="86" spans="2:11" x14ac:dyDescent="0.25">
      <c r="B86">
        <v>79.040000000000006</v>
      </c>
      <c r="C86">
        <v>26.45</v>
      </c>
      <c r="F86" s="203">
        <f t="shared" si="5"/>
        <v>84.75</v>
      </c>
      <c r="G86" s="203">
        <f>G54</f>
        <v>15.75</v>
      </c>
      <c r="J86">
        <f t="shared" si="3"/>
        <v>84.75</v>
      </c>
      <c r="K86">
        <f t="shared" si="4"/>
        <v>10.75</v>
      </c>
    </row>
    <row r="87" spans="2:11" x14ac:dyDescent="0.25">
      <c r="B87">
        <v>77.97</v>
      </c>
      <c r="C87">
        <v>26.45</v>
      </c>
      <c r="F87" s="218">
        <f t="shared" si="5"/>
        <v>84.68</v>
      </c>
      <c r="G87" s="218">
        <v>16.66</v>
      </c>
      <c r="J87">
        <f t="shared" si="3"/>
        <v>84.68</v>
      </c>
      <c r="K87">
        <f t="shared" si="4"/>
        <v>11.66</v>
      </c>
    </row>
    <row r="88" spans="2:11" x14ac:dyDescent="0.25">
      <c r="B88">
        <v>76.97</v>
      </c>
      <c r="C88">
        <v>26.28</v>
      </c>
      <c r="F88" s="218">
        <f t="shared" si="5"/>
        <v>84.42</v>
      </c>
      <c r="G88" s="218">
        <v>17.760000000000002</v>
      </c>
      <c r="J88">
        <f t="shared" si="3"/>
        <v>84.42</v>
      </c>
      <c r="K88">
        <f t="shared" si="4"/>
        <v>12.760000000000002</v>
      </c>
    </row>
    <row r="89" spans="2:11" x14ac:dyDescent="0.25">
      <c r="B89">
        <v>76.010000000000005</v>
      </c>
      <c r="C89">
        <v>25.96</v>
      </c>
      <c r="F89" s="218">
        <f t="shared" si="5"/>
        <v>83.93</v>
      </c>
      <c r="G89" s="218">
        <v>18.84</v>
      </c>
      <c r="J89">
        <f t="shared" si="3"/>
        <v>83.93</v>
      </c>
      <c r="K89">
        <f t="shared" si="4"/>
        <v>13.84</v>
      </c>
    </row>
    <row r="90" spans="2:11" x14ac:dyDescent="0.25">
      <c r="B90">
        <v>75.099999999999994</v>
      </c>
      <c r="C90">
        <v>25.46</v>
      </c>
      <c r="F90" s="218">
        <f t="shared" si="5"/>
        <v>83.37</v>
      </c>
      <c r="G90" s="218">
        <v>19.66</v>
      </c>
      <c r="J90">
        <f t="shared" si="3"/>
        <v>83.37</v>
      </c>
      <c r="K90">
        <f t="shared" si="4"/>
        <v>14.66</v>
      </c>
    </row>
    <row r="91" spans="2:11" x14ac:dyDescent="0.25">
      <c r="B91">
        <v>74.27</v>
      </c>
      <c r="C91">
        <v>24.82</v>
      </c>
      <c r="F91" s="218">
        <f t="shared" si="5"/>
        <v>82.73</v>
      </c>
      <c r="G91" s="218">
        <v>20.350000000000001</v>
      </c>
      <c r="J91">
        <f t="shared" si="3"/>
        <v>82.73</v>
      </c>
      <c r="K91">
        <f t="shared" si="4"/>
        <v>15.350000000000001</v>
      </c>
    </row>
    <row r="92" spans="2:11" x14ac:dyDescent="0.25">
      <c r="B92" s="217">
        <v>73.569999999999993</v>
      </c>
      <c r="C92" s="217">
        <v>24.06</v>
      </c>
      <c r="F92" s="218">
        <f t="shared" si="5"/>
        <v>82.05</v>
      </c>
      <c r="G92" s="218">
        <v>20.89</v>
      </c>
      <c r="J92">
        <f t="shared" si="3"/>
        <v>82.05</v>
      </c>
      <c r="K92">
        <f t="shared" si="4"/>
        <v>15.89</v>
      </c>
    </row>
    <row r="93" spans="2:11" x14ac:dyDescent="0.25">
      <c r="B93" s="217">
        <v>73.010000000000005</v>
      </c>
      <c r="C93" s="217">
        <v>23.21</v>
      </c>
      <c r="F93" s="218">
        <f t="shared" si="5"/>
        <v>81.400000000000006</v>
      </c>
      <c r="G93" s="218">
        <v>21.29</v>
      </c>
      <c r="J93">
        <f t="shared" si="3"/>
        <v>81.400000000000006</v>
      </c>
      <c r="K93">
        <f t="shared" si="4"/>
        <v>16.29</v>
      </c>
    </row>
    <row r="94" spans="2:11" x14ac:dyDescent="0.25">
      <c r="B94" s="217">
        <v>72.599999999999994</v>
      </c>
      <c r="C94" s="217">
        <v>22.26</v>
      </c>
      <c r="F94" s="218">
        <f t="shared" si="5"/>
        <v>80.680000000000007</v>
      </c>
      <c r="G94" s="218">
        <v>21.61</v>
      </c>
      <c r="J94">
        <f t="shared" si="3"/>
        <v>80.680000000000007</v>
      </c>
      <c r="K94">
        <f t="shared" si="4"/>
        <v>16.61</v>
      </c>
    </row>
    <row r="95" spans="2:11" x14ac:dyDescent="0.25">
      <c r="B95" s="217">
        <v>72.349999999999994</v>
      </c>
      <c r="C95" s="217">
        <v>21.28</v>
      </c>
      <c r="F95" s="218">
        <f t="shared" si="5"/>
        <v>80.09</v>
      </c>
      <c r="G95" s="218">
        <v>21.79</v>
      </c>
      <c r="J95">
        <f t="shared" si="3"/>
        <v>80.09</v>
      </c>
      <c r="K95">
        <f t="shared" si="4"/>
        <v>16.79</v>
      </c>
    </row>
    <row r="96" spans="2:11" x14ac:dyDescent="0.25">
      <c r="B96" s="217">
        <v>72.260000000000005</v>
      </c>
      <c r="C96" s="217">
        <v>20.23</v>
      </c>
      <c r="F96" s="218">
        <f t="shared" si="5"/>
        <v>79.47</v>
      </c>
      <c r="G96" s="218">
        <v>21.92</v>
      </c>
      <c r="J96">
        <f t="shared" si="3"/>
        <v>79.47</v>
      </c>
      <c r="K96">
        <f t="shared" si="4"/>
        <v>16.920000000000002</v>
      </c>
    </row>
    <row r="97" spans="2:11" x14ac:dyDescent="0.25">
      <c r="B97" s="217">
        <v>72.260000000000005</v>
      </c>
      <c r="C97" s="217">
        <v>7.5</v>
      </c>
      <c r="F97" s="218">
        <f t="shared" si="5"/>
        <v>78.8</v>
      </c>
      <c r="G97" s="218">
        <v>21.99</v>
      </c>
      <c r="J97">
        <f t="shared" si="3"/>
        <v>78.8</v>
      </c>
      <c r="K97">
        <f t="shared" si="4"/>
        <v>16.989999999999998</v>
      </c>
    </row>
    <row r="98" spans="2:11" x14ac:dyDescent="0.25">
      <c r="B98" s="217">
        <v>76.260000000000005</v>
      </c>
      <c r="C98" s="217">
        <v>3.5</v>
      </c>
      <c r="F98" s="218">
        <f t="shared" si="5"/>
        <v>78.2</v>
      </c>
      <c r="G98" s="218">
        <f>G97</f>
        <v>21.99</v>
      </c>
      <c r="J98">
        <f t="shared" si="3"/>
        <v>78.2</v>
      </c>
      <c r="K98">
        <f t="shared" si="4"/>
        <v>16.989999999999998</v>
      </c>
    </row>
    <row r="99" spans="2:11" x14ac:dyDescent="0.25">
      <c r="B99" s="217">
        <v>78.510000000000005</v>
      </c>
      <c r="C99" s="217">
        <v>3.5</v>
      </c>
      <c r="F99" s="218">
        <f t="shared" si="5"/>
        <v>77.53</v>
      </c>
      <c r="G99" s="218">
        <v>21.92</v>
      </c>
      <c r="J99">
        <f t="shared" si="3"/>
        <v>77.53</v>
      </c>
      <c r="K99">
        <f t="shared" si="4"/>
        <v>16.920000000000002</v>
      </c>
    </row>
    <row r="100" spans="2:11" x14ac:dyDescent="0.25">
      <c r="B100" s="217">
        <v>78.510000000000005</v>
      </c>
      <c r="C100" s="217">
        <v>0</v>
      </c>
      <c r="F100" s="218">
        <f t="shared" si="5"/>
        <v>76.91</v>
      </c>
      <c r="G100" s="218">
        <v>21.79</v>
      </c>
      <c r="J100">
        <f t="shared" si="3"/>
        <v>76.91</v>
      </c>
      <c r="K100">
        <f t="shared" si="4"/>
        <v>16.79</v>
      </c>
    </row>
    <row r="101" spans="2:11" x14ac:dyDescent="0.25">
      <c r="B101" s="217">
        <v>62.36</v>
      </c>
      <c r="C101" s="217">
        <v>0</v>
      </c>
      <c r="F101" s="218">
        <f t="shared" si="5"/>
        <v>76.319999999999993</v>
      </c>
      <c r="G101" s="218">
        <v>21.61</v>
      </c>
      <c r="J101">
        <f t="shared" si="3"/>
        <v>76.319999999999993</v>
      </c>
      <c r="K101">
        <f t="shared" si="4"/>
        <v>16.61</v>
      </c>
    </row>
    <row r="102" spans="2:11" x14ac:dyDescent="0.25">
      <c r="B102" s="217">
        <v>62.36</v>
      </c>
      <c r="C102" s="217">
        <v>3.5</v>
      </c>
      <c r="F102" s="218">
        <f t="shared" si="5"/>
        <v>75.599999999999994</v>
      </c>
      <c r="G102" s="218">
        <v>21.29</v>
      </c>
      <c r="J102">
        <f t="shared" si="3"/>
        <v>75.599999999999994</v>
      </c>
      <c r="K102">
        <f t="shared" si="4"/>
        <v>16.29</v>
      </c>
    </row>
    <row r="103" spans="2:11" x14ac:dyDescent="0.25">
      <c r="B103" s="217">
        <v>64.510000000000005</v>
      </c>
      <c r="C103" s="217">
        <v>3.5</v>
      </c>
      <c r="F103" s="218">
        <f t="shared" si="5"/>
        <v>74.95</v>
      </c>
      <c r="G103" s="218">
        <v>20.89</v>
      </c>
      <c r="J103">
        <f t="shared" si="3"/>
        <v>74.95</v>
      </c>
      <c r="K103">
        <f t="shared" si="4"/>
        <v>15.89</v>
      </c>
    </row>
    <row r="104" spans="2:11" x14ac:dyDescent="0.25">
      <c r="B104" s="217">
        <v>68.510000000000005</v>
      </c>
      <c r="C104" s="217">
        <v>7.5</v>
      </c>
      <c r="F104" s="218">
        <f t="shared" si="5"/>
        <v>74.27</v>
      </c>
      <c r="G104" s="218">
        <v>20.350000000000001</v>
      </c>
      <c r="J104">
        <f t="shared" si="3"/>
        <v>74.27</v>
      </c>
      <c r="K104">
        <f t="shared" si="4"/>
        <v>15.350000000000001</v>
      </c>
    </row>
    <row r="105" spans="2:11" x14ac:dyDescent="0.25">
      <c r="B105" s="217">
        <v>68.510000000000005</v>
      </c>
      <c r="C105" s="217">
        <v>20.23</v>
      </c>
      <c r="F105" s="218">
        <f t="shared" si="5"/>
        <v>73.63</v>
      </c>
      <c r="G105" s="218">
        <v>19.66</v>
      </c>
      <c r="J105">
        <f t="shared" si="3"/>
        <v>73.63</v>
      </c>
      <c r="K105">
        <f t="shared" si="4"/>
        <v>14.66</v>
      </c>
    </row>
    <row r="106" spans="2:11" x14ac:dyDescent="0.25">
      <c r="B106">
        <v>68.42</v>
      </c>
      <c r="C106">
        <v>21.28</v>
      </c>
      <c r="F106" s="218">
        <f t="shared" si="5"/>
        <v>73.069999999999993</v>
      </c>
      <c r="G106" s="218">
        <v>18.84</v>
      </c>
      <c r="J106">
        <f t="shared" si="3"/>
        <v>73.069999999999993</v>
      </c>
      <c r="K106">
        <f t="shared" si="4"/>
        <v>13.84</v>
      </c>
    </row>
    <row r="107" spans="2:11" x14ac:dyDescent="0.25">
      <c r="B107">
        <v>68.17</v>
      </c>
      <c r="C107">
        <v>22.26</v>
      </c>
      <c r="F107" s="218">
        <f t="shared" si="5"/>
        <v>72.58</v>
      </c>
      <c r="G107" s="218">
        <v>17.760000000000002</v>
      </c>
      <c r="J107">
        <f t="shared" si="3"/>
        <v>72.58</v>
      </c>
      <c r="K107">
        <f t="shared" si="4"/>
        <v>12.760000000000002</v>
      </c>
    </row>
    <row r="108" spans="2:11" x14ac:dyDescent="0.25">
      <c r="B108">
        <v>67.75</v>
      </c>
      <c r="C108">
        <v>23.21</v>
      </c>
      <c r="F108" s="218">
        <f t="shared" si="5"/>
        <v>72.319999999999993</v>
      </c>
      <c r="G108" s="218">
        <v>16.66</v>
      </c>
      <c r="J108">
        <f t="shared" si="3"/>
        <v>72.319999999999993</v>
      </c>
      <c r="K108">
        <f t="shared" si="4"/>
        <v>11.66</v>
      </c>
    </row>
    <row r="109" spans="2:11" x14ac:dyDescent="0.25">
      <c r="B109">
        <v>67.19</v>
      </c>
      <c r="C109">
        <v>24.06</v>
      </c>
      <c r="F109" s="203">
        <f t="shared" si="5"/>
        <v>72.25</v>
      </c>
      <c r="G109" s="203">
        <f>G86</f>
        <v>15.75</v>
      </c>
      <c r="J109">
        <f t="shared" si="3"/>
        <v>72.25</v>
      </c>
      <c r="K109">
        <f t="shared" si="4"/>
        <v>10.75</v>
      </c>
    </row>
    <row r="110" spans="2:11" x14ac:dyDescent="0.25">
      <c r="B110">
        <v>66.5</v>
      </c>
      <c r="C110">
        <v>24.82</v>
      </c>
      <c r="F110" s="203">
        <f t="shared" si="5"/>
        <v>72.25</v>
      </c>
      <c r="G110" s="203">
        <f>G78</f>
        <v>5.8</v>
      </c>
      <c r="J110">
        <f t="shared" si="3"/>
        <v>72.25</v>
      </c>
      <c r="K110">
        <f t="shared" si="4"/>
        <v>5.8</v>
      </c>
    </row>
    <row r="111" spans="2:11" x14ac:dyDescent="0.25">
      <c r="B111">
        <v>65.67</v>
      </c>
      <c r="C111">
        <v>25.46</v>
      </c>
      <c r="F111" s="203">
        <f t="shared" si="5"/>
        <v>75.400000000000006</v>
      </c>
      <c r="G111" s="203">
        <f t="shared" ref="G111:G118" si="7">G79</f>
        <v>3</v>
      </c>
      <c r="J111">
        <f t="shared" si="3"/>
        <v>75.400000000000006</v>
      </c>
      <c r="K111">
        <f t="shared" si="4"/>
        <v>3</v>
      </c>
    </row>
    <row r="112" spans="2:11" x14ac:dyDescent="0.25">
      <c r="B112">
        <v>64.75</v>
      </c>
      <c r="C112">
        <v>25.96</v>
      </c>
      <c r="F112" s="203">
        <f t="shared" si="5"/>
        <v>78.5</v>
      </c>
      <c r="G112" s="203">
        <f t="shared" si="7"/>
        <v>3</v>
      </c>
      <c r="J112">
        <f t="shared" si="3"/>
        <v>78.5</v>
      </c>
      <c r="K112">
        <f t="shared" si="4"/>
        <v>3</v>
      </c>
    </row>
    <row r="113" spans="2:11" x14ac:dyDescent="0.25">
      <c r="B113">
        <v>63.8</v>
      </c>
      <c r="C113">
        <v>26.28</v>
      </c>
      <c r="F113" s="203">
        <f t="shared" si="5"/>
        <v>78.5</v>
      </c>
      <c r="G113" s="203">
        <f t="shared" si="7"/>
        <v>0</v>
      </c>
      <c r="J113">
        <f t="shared" si="3"/>
        <v>78.5</v>
      </c>
      <c r="K113">
        <f t="shared" si="4"/>
        <v>0</v>
      </c>
    </row>
    <row r="114" spans="2:11" x14ac:dyDescent="0.25">
      <c r="B114">
        <v>62.79</v>
      </c>
      <c r="C114">
        <v>26.45</v>
      </c>
      <c r="F114" s="203">
        <f t="shared" si="5"/>
        <v>62.3</v>
      </c>
      <c r="G114" s="203">
        <f t="shared" si="7"/>
        <v>0</v>
      </c>
      <c r="J114">
        <f t="shared" si="3"/>
        <v>62.3</v>
      </c>
      <c r="K114">
        <f t="shared" si="4"/>
        <v>0</v>
      </c>
    </row>
    <row r="115" spans="2:11" x14ac:dyDescent="0.25">
      <c r="B115" s="217">
        <v>61.72</v>
      </c>
      <c r="C115" s="217">
        <v>26.45</v>
      </c>
      <c r="F115" s="203">
        <f t="shared" si="5"/>
        <v>62.3</v>
      </c>
      <c r="G115" s="203">
        <f t="shared" si="7"/>
        <v>3</v>
      </c>
      <c r="J115">
        <f t="shared" si="3"/>
        <v>62.3</v>
      </c>
      <c r="K115">
        <f t="shared" si="4"/>
        <v>3</v>
      </c>
    </row>
    <row r="116" spans="2:11" x14ac:dyDescent="0.25">
      <c r="B116" s="217">
        <v>60.72</v>
      </c>
      <c r="C116" s="217">
        <v>26.28</v>
      </c>
      <c r="F116" s="203">
        <f t="shared" si="5"/>
        <v>65.349999999999994</v>
      </c>
      <c r="G116" s="203">
        <f t="shared" si="7"/>
        <v>3</v>
      </c>
      <c r="J116">
        <f t="shared" si="3"/>
        <v>65.349999999999994</v>
      </c>
      <c r="K116">
        <f t="shared" si="4"/>
        <v>3</v>
      </c>
    </row>
    <row r="117" spans="2:11" x14ac:dyDescent="0.25">
      <c r="B117" s="217">
        <v>59.76</v>
      </c>
      <c r="C117" s="217">
        <v>25.96</v>
      </c>
      <c r="F117" s="203">
        <f t="shared" si="5"/>
        <v>68.5</v>
      </c>
      <c r="G117" s="203">
        <f t="shared" si="7"/>
        <v>5.8</v>
      </c>
      <c r="J117">
        <f t="shared" si="3"/>
        <v>68.5</v>
      </c>
      <c r="K117">
        <f t="shared" si="4"/>
        <v>5.8</v>
      </c>
    </row>
    <row r="118" spans="2:11" x14ac:dyDescent="0.25">
      <c r="B118" s="217">
        <v>58.91</v>
      </c>
      <c r="C118" s="217">
        <v>25.46</v>
      </c>
      <c r="F118" s="203">
        <f t="shared" si="5"/>
        <v>68.5</v>
      </c>
      <c r="G118" s="203">
        <f t="shared" si="7"/>
        <v>15.75</v>
      </c>
      <c r="J118">
        <f t="shared" si="3"/>
        <v>68.5</v>
      </c>
      <c r="K118">
        <f t="shared" si="4"/>
        <v>10.75</v>
      </c>
    </row>
    <row r="119" spans="2:11" x14ac:dyDescent="0.25">
      <c r="B119" s="217">
        <v>58.02</v>
      </c>
      <c r="C119" s="217">
        <v>24.82</v>
      </c>
      <c r="F119" s="218">
        <f t="shared" si="5"/>
        <v>68.430000000000007</v>
      </c>
      <c r="G119" s="218">
        <v>16.66</v>
      </c>
      <c r="J119">
        <f t="shared" si="3"/>
        <v>68.430000000000007</v>
      </c>
      <c r="K119">
        <f t="shared" si="4"/>
        <v>11.66</v>
      </c>
    </row>
    <row r="120" spans="2:11" x14ac:dyDescent="0.25">
      <c r="B120" s="217">
        <v>57.32</v>
      </c>
      <c r="C120" s="217">
        <v>24.06</v>
      </c>
      <c r="F120" s="218">
        <f t="shared" si="5"/>
        <v>68.17</v>
      </c>
      <c r="G120" s="218">
        <v>17.760000000000002</v>
      </c>
      <c r="J120">
        <f t="shared" si="3"/>
        <v>68.17</v>
      </c>
      <c r="K120">
        <f t="shared" si="4"/>
        <v>12.760000000000002</v>
      </c>
    </row>
    <row r="121" spans="2:11" x14ac:dyDescent="0.25">
      <c r="B121" s="217">
        <v>56.76</v>
      </c>
      <c r="C121" s="217">
        <v>23.21</v>
      </c>
      <c r="F121" s="218">
        <f t="shared" si="5"/>
        <v>67.680000000000007</v>
      </c>
      <c r="G121" s="218">
        <v>18.84</v>
      </c>
      <c r="J121">
        <f t="shared" si="3"/>
        <v>67.680000000000007</v>
      </c>
      <c r="K121">
        <f t="shared" si="4"/>
        <v>13.84</v>
      </c>
    </row>
    <row r="122" spans="2:11" x14ac:dyDescent="0.25">
      <c r="B122" s="217">
        <v>56.35</v>
      </c>
      <c r="C122" s="217">
        <v>22.26</v>
      </c>
      <c r="F122" s="218">
        <f t="shared" si="5"/>
        <v>67.12</v>
      </c>
      <c r="G122" s="218">
        <v>19.66</v>
      </c>
      <c r="J122">
        <f t="shared" si="3"/>
        <v>67.12</v>
      </c>
      <c r="K122">
        <f t="shared" si="4"/>
        <v>14.66</v>
      </c>
    </row>
    <row r="123" spans="2:11" x14ac:dyDescent="0.25">
      <c r="B123" s="217">
        <v>56.1</v>
      </c>
      <c r="C123" s="217">
        <v>21.28</v>
      </c>
      <c r="F123" s="218">
        <f t="shared" si="5"/>
        <v>66.48</v>
      </c>
      <c r="G123" s="218">
        <v>20.350000000000001</v>
      </c>
      <c r="J123">
        <f t="shared" si="3"/>
        <v>66.48</v>
      </c>
      <c r="K123">
        <f t="shared" si="4"/>
        <v>15.350000000000001</v>
      </c>
    </row>
    <row r="124" spans="2:11" x14ac:dyDescent="0.25">
      <c r="B124" s="217">
        <v>56.01</v>
      </c>
      <c r="C124" s="217">
        <v>20.23</v>
      </c>
      <c r="F124" s="218">
        <f t="shared" si="5"/>
        <v>65.8</v>
      </c>
      <c r="G124" s="218">
        <v>20.89</v>
      </c>
      <c r="J124">
        <f t="shared" si="3"/>
        <v>65.8</v>
      </c>
      <c r="K124">
        <f t="shared" si="4"/>
        <v>15.89</v>
      </c>
    </row>
    <row r="125" spans="2:11" x14ac:dyDescent="0.25">
      <c r="B125" s="217">
        <v>56.01</v>
      </c>
      <c r="C125" s="217">
        <v>7.5</v>
      </c>
      <c r="F125" s="218">
        <f t="shared" si="5"/>
        <v>65.150000000000006</v>
      </c>
      <c r="G125" s="218">
        <v>21.29</v>
      </c>
      <c r="J125">
        <f t="shared" si="3"/>
        <v>65.150000000000006</v>
      </c>
      <c r="K125">
        <f t="shared" si="4"/>
        <v>16.29</v>
      </c>
    </row>
    <row r="126" spans="2:11" x14ac:dyDescent="0.25">
      <c r="B126" s="217">
        <v>60.01</v>
      </c>
      <c r="C126" s="217">
        <v>3.5</v>
      </c>
      <c r="F126" s="218">
        <f t="shared" si="5"/>
        <v>64.430000000000007</v>
      </c>
      <c r="G126" s="218">
        <v>21.61</v>
      </c>
      <c r="J126">
        <f t="shared" si="3"/>
        <v>64.430000000000007</v>
      </c>
      <c r="K126">
        <f t="shared" si="4"/>
        <v>16.61</v>
      </c>
    </row>
    <row r="127" spans="2:11" x14ac:dyDescent="0.25">
      <c r="B127" s="217">
        <v>62.26</v>
      </c>
      <c r="C127" s="217">
        <v>3.5</v>
      </c>
      <c r="F127" s="218">
        <f t="shared" si="5"/>
        <v>63.84</v>
      </c>
      <c r="G127" s="218">
        <v>21.79</v>
      </c>
      <c r="J127">
        <f t="shared" si="3"/>
        <v>63.84</v>
      </c>
      <c r="K127">
        <f t="shared" si="4"/>
        <v>16.79</v>
      </c>
    </row>
    <row r="128" spans="2:11" x14ac:dyDescent="0.25">
      <c r="B128" s="217">
        <v>62.26</v>
      </c>
      <c r="C128" s="217">
        <v>0</v>
      </c>
      <c r="F128" s="218">
        <f t="shared" si="5"/>
        <v>63.22</v>
      </c>
      <c r="G128" s="218">
        <v>21.92</v>
      </c>
      <c r="J128">
        <f t="shared" si="3"/>
        <v>63.22</v>
      </c>
      <c r="K128">
        <f t="shared" si="4"/>
        <v>16.920000000000002</v>
      </c>
    </row>
    <row r="129" spans="2:11" x14ac:dyDescent="0.25">
      <c r="B129">
        <v>46.11</v>
      </c>
      <c r="C129">
        <v>0</v>
      </c>
      <c r="F129" s="218">
        <f t="shared" si="5"/>
        <v>62.55</v>
      </c>
      <c r="G129" s="218">
        <v>21.99</v>
      </c>
      <c r="J129">
        <f t="shared" si="3"/>
        <v>62.55</v>
      </c>
      <c r="K129">
        <f t="shared" si="4"/>
        <v>16.989999999999998</v>
      </c>
    </row>
    <row r="130" spans="2:11" x14ac:dyDescent="0.25">
      <c r="B130">
        <v>46.11</v>
      </c>
      <c r="C130">
        <v>3.5</v>
      </c>
      <c r="F130" s="218">
        <f t="shared" si="5"/>
        <v>61.95</v>
      </c>
      <c r="G130" s="218">
        <f>G129</f>
        <v>21.99</v>
      </c>
      <c r="J130">
        <f t="shared" si="3"/>
        <v>61.95</v>
      </c>
      <c r="K130">
        <f t="shared" si="4"/>
        <v>16.989999999999998</v>
      </c>
    </row>
    <row r="131" spans="2:11" x14ac:dyDescent="0.25">
      <c r="B131">
        <v>48.26</v>
      </c>
      <c r="C131">
        <v>3.5</v>
      </c>
      <c r="F131" s="218">
        <f t="shared" si="5"/>
        <v>61.28</v>
      </c>
      <c r="G131" s="218">
        <v>21.92</v>
      </c>
      <c r="J131">
        <f t="shared" si="3"/>
        <v>61.28</v>
      </c>
      <c r="K131">
        <f t="shared" si="4"/>
        <v>16.920000000000002</v>
      </c>
    </row>
    <row r="132" spans="2:11" x14ac:dyDescent="0.25">
      <c r="B132">
        <v>52.26</v>
      </c>
      <c r="C132">
        <v>7.5</v>
      </c>
      <c r="F132" s="218">
        <f t="shared" si="5"/>
        <v>60.66</v>
      </c>
      <c r="G132" s="218">
        <v>21.79</v>
      </c>
      <c r="J132">
        <f t="shared" ref="J132:J180" si="8">F132</f>
        <v>60.66</v>
      </c>
      <c r="K132">
        <f t="shared" ref="K132:K195" si="9">IF(G132&gt;15,G132-5,G132)</f>
        <v>16.79</v>
      </c>
    </row>
    <row r="133" spans="2:11" x14ac:dyDescent="0.25">
      <c r="B133">
        <v>52.26</v>
      </c>
      <c r="C133">
        <v>20.23</v>
      </c>
      <c r="F133" s="218">
        <f t="shared" si="5"/>
        <v>60.069999999999993</v>
      </c>
      <c r="G133" s="218">
        <v>21.61</v>
      </c>
      <c r="J133">
        <f t="shared" si="8"/>
        <v>60.069999999999993</v>
      </c>
      <c r="K133">
        <f t="shared" si="9"/>
        <v>16.61</v>
      </c>
    </row>
    <row r="134" spans="2:11" x14ac:dyDescent="0.25">
      <c r="B134">
        <v>52.17</v>
      </c>
      <c r="C134">
        <v>21.28</v>
      </c>
      <c r="F134" s="218">
        <f t="shared" si="5"/>
        <v>59.349999999999994</v>
      </c>
      <c r="G134" s="218">
        <v>21.29</v>
      </c>
      <c r="J134">
        <f t="shared" si="8"/>
        <v>59.349999999999994</v>
      </c>
      <c r="K134">
        <f t="shared" si="9"/>
        <v>16.29</v>
      </c>
    </row>
    <row r="135" spans="2:11" x14ac:dyDescent="0.25">
      <c r="B135">
        <v>51.92</v>
      </c>
      <c r="C135">
        <v>22.26</v>
      </c>
      <c r="F135" s="218">
        <f t="shared" si="5"/>
        <v>58.7</v>
      </c>
      <c r="G135" s="218">
        <v>20.89</v>
      </c>
      <c r="J135">
        <f t="shared" si="8"/>
        <v>58.7</v>
      </c>
      <c r="K135">
        <f t="shared" si="9"/>
        <v>15.89</v>
      </c>
    </row>
    <row r="136" spans="2:11" x14ac:dyDescent="0.25">
      <c r="B136">
        <v>51.5</v>
      </c>
      <c r="C136">
        <v>23.21</v>
      </c>
      <c r="F136" s="218">
        <f t="shared" si="5"/>
        <v>58.019999999999996</v>
      </c>
      <c r="G136" s="218">
        <v>20.350000000000001</v>
      </c>
      <c r="J136">
        <f t="shared" si="8"/>
        <v>58.019999999999996</v>
      </c>
      <c r="K136">
        <f t="shared" si="9"/>
        <v>15.350000000000001</v>
      </c>
    </row>
    <row r="137" spans="2:11" x14ac:dyDescent="0.25">
      <c r="B137">
        <v>50.94</v>
      </c>
      <c r="C137">
        <v>24.06</v>
      </c>
      <c r="F137" s="218">
        <f t="shared" si="5"/>
        <v>57.379999999999995</v>
      </c>
      <c r="G137" s="218">
        <v>19.66</v>
      </c>
      <c r="J137">
        <f t="shared" si="8"/>
        <v>57.379999999999995</v>
      </c>
      <c r="K137">
        <f t="shared" si="9"/>
        <v>14.66</v>
      </c>
    </row>
    <row r="138" spans="2:11" x14ac:dyDescent="0.25">
      <c r="B138" s="217">
        <v>50.25</v>
      </c>
      <c r="C138" s="217">
        <v>24.82</v>
      </c>
      <c r="F138" s="218">
        <f t="shared" si="5"/>
        <v>56.819999999999993</v>
      </c>
      <c r="G138" s="218">
        <v>18.84</v>
      </c>
      <c r="J138">
        <f t="shared" si="8"/>
        <v>56.819999999999993</v>
      </c>
      <c r="K138">
        <f t="shared" si="9"/>
        <v>13.84</v>
      </c>
    </row>
    <row r="139" spans="2:11" x14ac:dyDescent="0.25">
      <c r="B139" s="217">
        <v>49.42</v>
      </c>
      <c r="C139" s="217">
        <v>25.46</v>
      </c>
      <c r="F139" s="218">
        <f t="shared" si="5"/>
        <v>56.33</v>
      </c>
      <c r="G139" s="218">
        <v>17.760000000000002</v>
      </c>
      <c r="J139">
        <f t="shared" si="8"/>
        <v>56.33</v>
      </c>
      <c r="K139">
        <f t="shared" si="9"/>
        <v>12.760000000000002</v>
      </c>
    </row>
    <row r="140" spans="2:11" x14ac:dyDescent="0.25">
      <c r="B140" s="217">
        <v>48.5</v>
      </c>
      <c r="C140" s="217">
        <v>25.96</v>
      </c>
      <c r="F140" s="218">
        <f t="shared" si="5"/>
        <v>56.069999999999993</v>
      </c>
      <c r="G140" s="218">
        <v>16.66</v>
      </c>
      <c r="J140">
        <f t="shared" si="8"/>
        <v>56.069999999999993</v>
      </c>
      <c r="K140">
        <f t="shared" si="9"/>
        <v>11.66</v>
      </c>
    </row>
    <row r="141" spans="2:11" x14ac:dyDescent="0.25">
      <c r="B141" s="217">
        <v>47.55</v>
      </c>
      <c r="C141" s="217">
        <v>26.28</v>
      </c>
      <c r="F141" s="203">
        <f t="shared" si="5"/>
        <v>56</v>
      </c>
      <c r="G141" s="203">
        <f>G118</f>
        <v>15.75</v>
      </c>
      <c r="J141">
        <f t="shared" si="8"/>
        <v>56</v>
      </c>
      <c r="K141">
        <f t="shared" si="9"/>
        <v>10.75</v>
      </c>
    </row>
    <row r="142" spans="2:11" x14ac:dyDescent="0.25">
      <c r="B142" s="217">
        <v>46.54</v>
      </c>
      <c r="C142" s="217">
        <v>26.45</v>
      </c>
      <c r="F142" s="203">
        <f t="shared" si="5"/>
        <v>56</v>
      </c>
      <c r="G142" s="203">
        <f>G110</f>
        <v>5.8</v>
      </c>
      <c r="J142">
        <f t="shared" si="8"/>
        <v>56</v>
      </c>
      <c r="K142">
        <f t="shared" si="9"/>
        <v>5.8</v>
      </c>
    </row>
    <row r="143" spans="2:11" x14ac:dyDescent="0.25">
      <c r="B143" s="217">
        <v>45.47</v>
      </c>
      <c r="C143" s="217">
        <v>26.45</v>
      </c>
      <c r="F143" s="203">
        <f t="shared" ref="F143:F206" si="10">F111-16.25</f>
        <v>59.150000000000006</v>
      </c>
      <c r="G143" s="203">
        <f t="shared" ref="G143:G150" si="11">G111</f>
        <v>3</v>
      </c>
      <c r="J143">
        <f t="shared" si="8"/>
        <v>59.150000000000006</v>
      </c>
      <c r="K143">
        <f t="shared" si="9"/>
        <v>3</v>
      </c>
    </row>
    <row r="144" spans="2:11" x14ac:dyDescent="0.25">
      <c r="B144" s="217">
        <v>44.47</v>
      </c>
      <c r="C144" s="217">
        <v>26.28</v>
      </c>
      <c r="F144" s="203">
        <f t="shared" si="10"/>
        <v>62.25</v>
      </c>
      <c r="G144" s="203">
        <f t="shared" si="11"/>
        <v>3</v>
      </c>
      <c r="J144">
        <f t="shared" si="8"/>
        <v>62.25</v>
      </c>
      <c r="K144">
        <f t="shared" si="9"/>
        <v>3</v>
      </c>
    </row>
    <row r="145" spans="2:11" x14ac:dyDescent="0.25">
      <c r="B145" s="217">
        <v>43.51</v>
      </c>
      <c r="C145" s="217">
        <v>25.96</v>
      </c>
      <c r="F145" s="203">
        <f t="shared" si="10"/>
        <v>62.25</v>
      </c>
      <c r="G145" s="203">
        <f t="shared" si="11"/>
        <v>0</v>
      </c>
      <c r="J145">
        <f t="shared" si="8"/>
        <v>62.25</v>
      </c>
      <c r="K145">
        <f t="shared" si="9"/>
        <v>0</v>
      </c>
    </row>
    <row r="146" spans="2:11" x14ac:dyDescent="0.25">
      <c r="B146" s="217">
        <v>42.6</v>
      </c>
      <c r="C146" s="217">
        <v>25.46</v>
      </c>
      <c r="F146" s="203">
        <f t="shared" si="10"/>
        <v>46.05</v>
      </c>
      <c r="G146" s="203">
        <f t="shared" si="11"/>
        <v>0</v>
      </c>
      <c r="J146">
        <f t="shared" si="8"/>
        <v>46.05</v>
      </c>
      <c r="K146">
        <f t="shared" si="9"/>
        <v>0</v>
      </c>
    </row>
    <row r="147" spans="2:11" x14ac:dyDescent="0.25">
      <c r="B147" s="217">
        <v>41.77</v>
      </c>
      <c r="C147" s="217">
        <v>24.82</v>
      </c>
      <c r="F147" s="203">
        <f t="shared" si="10"/>
        <v>46.05</v>
      </c>
      <c r="G147" s="203">
        <f t="shared" si="11"/>
        <v>3</v>
      </c>
      <c r="J147">
        <f t="shared" si="8"/>
        <v>46.05</v>
      </c>
      <c r="K147">
        <f t="shared" si="9"/>
        <v>3</v>
      </c>
    </row>
    <row r="148" spans="2:11" x14ac:dyDescent="0.25">
      <c r="B148" s="217">
        <v>41.07</v>
      </c>
      <c r="C148" s="217">
        <v>24.06</v>
      </c>
      <c r="F148" s="203">
        <f t="shared" si="10"/>
        <v>49.099999999999994</v>
      </c>
      <c r="G148" s="203">
        <f t="shared" si="11"/>
        <v>3</v>
      </c>
      <c r="J148">
        <f t="shared" si="8"/>
        <v>49.099999999999994</v>
      </c>
      <c r="K148">
        <f t="shared" si="9"/>
        <v>3</v>
      </c>
    </row>
    <row r="149" spans="2:11" x14ac:dyDescent="0.25">
      <c r="B149" s="217">
        <v>40.51</v>
      </c>
      <c r="C149" s="217">
        <v>23.21</v>
      </c>
      <c r="F149" s="203">
        <f t="shared" si="10"/>
        <v>52.25</v>
      </c>
      <c r="G149" s="203">
        <f>G117</f>
        <v>5.8</v>
      </c>
      <c r="J149">
        <f t="shared" si="8"/>
        <v>52.25</v>
      </c>
      <c r="K149">
        <f t="shared" si="9"/>
        <v>5.8</v>
      </c>
    </row>
    <row r="150" spans="2:11" x14ac:dyDescent="0.25">
      <c r="B150" s="217">
        <v>40.1</v>
      </c>
      <c r="C150" s="217">
        <v>22.26</v>
      </c>
      <c r="F150" s="203">
        <f t="shared" si="10"/>
        <v>52.25</v>
      </c>
      <c r="G150" s="203">
        <f t="shared" si="11"/>
        <v>15.75</v>
      </c>
      <c r="J150">
        <f t="shared" si="8"/>
        <v>52.25</v>
      </c>
      <c r="K150">
        <f t="shared" si="9"/>
        <v>10.75</v>
      </c>
    </row>
    <row r="151" spans="2:11" x14ac:dyDescent="0.25">
      <c r="B151" s="217">
        <v>39.85</v>
      </c>
      <c r="C151" s="217">
        <v>21.28</v>
      </c>
      <c r="F151" s="218">
        <f t="shared" si="10"/>
        <v>52.180000000000007</v>
      </c>
      <c r="G151" s="218">
        <v>16.66</v>
      </c>
      <c r="J151">
        <f t="shared" si="8"/>
        <v>52.180000000000007</v>
      </c>
      <c r="K151">
        <f t="shared" si="9"/>
        <v>11.66</v>
      </c>
    </row>
    <row r="152" spans="2:11" x14ac:dyDescent="0.25">
      <c r="B152" s="216">
        <v>39.76</v>
      </c>
      <c r="C152">
        <v>20.23</v>
      </c>
      <c r="F152" s="218">
        <f t="shared" si="10"/>
        <v>51.92</v>
      </c>
      <c r="G152" s="218">
        <v>17.760000000000002</v>
      </c>
      <c r="J152">
        <f t="shared" si="8"/>
        <v>51.92</v>
      </c>
      <c r="K152">
        <f t="shared" si="9"/>
        <v>12.760000000000002</v>
      </c>
    </row>
    <row r="153" spans="2:11" x14ac:dyDescent="0.25">
      <c r="B153">
        <v>39.76</v>
      </c>
      <c r="C153">
        <v>7.5</v>
      </c>
      <c r="F153" s="218">
        <f t="shared" si="10"/>
        <v>51.430000000000007</v>
      </c>
      <c r="G153" s="218">
        <v>18.84</v>
      </c>
      <c r="J153">
        <f t="shared" si="8"/>
        <v>51.430000000000007</v>
      </c>
      <c r="K153">
        <f t="shared" si="9"/>
        <v>13.84</v>
      </c>
    </row>
    <row r="154" spans="2:11" x14ac:dyDescent="0.25">
      <c r="B154">
        <v>43.76</v>
      </c>
      <c r="C154">
        <v>3.5</v>
      </c>
      <c r="F154" s="218">
        <f t="shared" si="10"/>
        <v>50.870000000000005</v>
      </c>
      <c r="G154" s="218">
        <v>19.66</v>
      </c>
      <c r="J154">
        <f t="shared" si="8"/>
        <v>50.870000000000005</v>
      </c>
      <c r="K154">
        <f t="shared" si="9"/>
        <v>14.66</v>
      </c>
    </row>
    <row r="155" spans="2:11" x14ac:dyDescent="0.25">
      <c r="B155">
        <v>46.01</v>
      </c>
      <c r="C155">
        <v>3.5</v>
      </c>
      <c r="F155" s="218">
        <f t="shared" si="10"/>
        <v>50.230000000000004</v>
      </c>
      <c r="G155" s="218">
        <v>20.350000000000001</v>
      </c>
      <c r="J155">
        <f t="shared" si="8"/>
        <v>50.230000000000004</v>
      </c>
      <c r="K155">
        <f t="shared" si="9"/>
        <v>15.350000000000001</v>
      </c>
    </row>
    <row r="156" spans="2:11" x14ac:dyDescent="0.25">
      <c r="B156">
        <v>46.01</v>
      </c>
      <c r="C156">
        <v>0</v>
      </c>
      <c r="F156" s="218">
        <f t="shared" si="10"/>
        <v>49.55</v>
      </c>
      <c r="G156" s="218">
        <v>20.89</v>
      </c>
      <c r="J156">
        <f t="shared" si="8"/>
        <v>49.55</v>
      </c>
      <c r="K156">
        <f t="shared" si="9"/>
        <v>15.89</v>
      </c>
    </row>
    <row r="157" spans="2:11" x14ac:dyDescent="0.25">
      <c r="B157">
        <v>29.86</v>
      </c>
      <c r="C157">
        <v>0</v>
      </c>
      <c r="F157" s="218">
        <f t="shared" si="10"/>
        <v>48.900000000000006</v>
      </c>
      <c r="G157" s="218">
        <v>21.29</v>
      </c>
      <c r="J157">
        <f t="shared" si="8"/>
        <v>48.900000000000006</v>
      </c>
      <c r="K157">
        <f t="shared" si="9"/>
        <v>16.29</v>
      </c>
    </row>
    <row r="158" spans="2:11" x14ac:dyDescent="0.25">
      <c r="B158">
        <v>29.86</v>
      </c>
      <c r="C158">
        <v>3.5</v>
      </c>
      <c r="F158" s="218">
        <f t="shared" si="10"/>
        <v>48.180000000000007</v>
      </c>
      <c r="G158" s="218">
        <v>21.61</v>
      </c>
      <c r="J158">
        <f t="shared" si="8"/>
        <v>48.180000000000007</v>
      </c>
      <c r="K158">
        <f t="shared" si="9"/>
        <v>16.61</v>
      </c>
    </row>
    <row r="159" spans="2:11" x14ac:dyDescent="0.25">
      <c r="B159">
        <v>32.01</v>
      </c>
      <c r="C159">
        <v>3.5</v>
      </c>
      <c r="F159" s="218">
        <f t="shared" si="10"/>
        <v>47.59</v>
      </c>
      <c r="G159" s="218">
        <v>21.79</v>
      </c>
      <c r="J159">
        <f t="shared" si="8"/>
        <v>47.59</v>
      </c>
      <c r="K159">
        <f t="shared" si="9"/>
        <v>16.79</v>
      </c>
    </row>
    <row r="160" spans="2:11" x14ac:dyDescent="0.25">
      <c r="B160">
        <v>36.01</v>
      </c>
      <c r="C160">
        <v>7.5</v>
      </c>
      <c r="F160" s="218">
        <f t="shared" si="10"/>
        <v>46.97</v>
      </c>
      <c r="G160" s="218">
        <v>21.92</v>
      </c>
      <c r="J160">
        <f t="shared" si="8"/>
        <v>46.97</v>
      </c>
      <c r="K160">
        <f t="shared" si="9"/>
        <v>16.920000000000002</v>
      </c>
    </row>
    <row r="161" spans="2:11" x14ac:dyDescent="0.25">
      <c r="B161" s="217">
        <v>36.01</v>
      </c>
      <c r="C161" s="217">
        <v>20.23</v>
      </c>
      <c r="F161" s="218">
        <f t="shared" si="10"/>
        <v>46.3</v>
      </c>
      <c r="G161" s="218">
        <v>21.99</v>
      </c>
      <c r="J161">
        <f t="shared" si="8"/>
        <v>46.3</v>
      </c>
      <c r="K161">
        <f t="shared" si="9"/>
        <v>16.989999999999998</v>
      </c>
    </row>
    <row r="162" spans="2:11" x14ac:dyDescent="0.25">
      <c r="B162" s="217">
        <v>35.92</v>
      </c>
      <c r="C162" s="217">
        <v>21.28</v>
      </c>
      <c r="F162" s="218">
        <f t="shared" si="10"/>
        <v>45.7</v>
      </c>
      <c r="G162" s="218">
        <f>G161</f>
        <v>21.99</v>
      </c>
      <c r="J162">
        <f t="shared" si="8"/>
        <v>45.7</v>
      </c>
      <c r="K162">
        <f t="shared" si="9"/>
        <v>16.989999999999998</v>
      </c>
    </row>
    <row r="163" spans="2:11" x14ac:dyDescent="0.25">
      <c r="B163" s="217">
        <v>35.67</v>
      </c>
      <c r="C163" s="217">
        <v>22.26</v>
      </c>
      <c r="F163" s="218">
        <f t="shared" si="10"/>
        <v>45.03</v>
      </c>
      <c r="G163" s="218">
        <v>21.92</v>
      </c>
      <c r="J163">
        <f t="shared" si="8"/>
        <v>45.03</v>
      </c>
      <c r="K163">
        <f t="shared" si="9"/>
        <v>16.920000000000002</v>
      </c>
    </row>
    <row r="164" spans="2:11" x14ac:dyDescent="0.25">
      <c r="B164" s="217">
        <v>35.25</v>
      </c>
      <c r="C164" s="217">
        <v>23.21</v>
      </c>
      <c r="F164" s="218">
        <f t="shared" si="10"/>
        <v>44.41</v>
      </c>
      <c r="G164" s="218">
        <v>21.79</v>
      </c>
      <c r="J164">
        <f t="shared" si="8"/>
        <v>44.41</v>
      </c>
      <c r="K164">
        <f t="shared" si="9"/>
        <v>16.79</v>
      </c>
    </row>
    <row r="165" spans="2:11" x14ac:dyDescent="0.25">
      <c r="B165" s="217">
        <v>34.69</v>
      </c>
      <c r="C165" s="217">
        <v>24.06</v>
      </c>
      <c r="F165" s="218">
        <f t="shared" si="10"/>
        <v>43.819999999999993</v>
      </c>
      <c r="G165" s="218">
        <v>21.61</v>
      </c>
      <c r="J165">
        <f t="shared" si="8"/>
        <v>43.819999999999993</v>
      </c>
      <c r="K165">
        <f t="shared" si="9"/>
        <v>16.61</v>
      </c>
    </row>
    <row r="166" spans="2:11" x14ac:dyDescent="0.25">
      <c r="B166" s="217">
        <v>34</v>
      </c>
      <c r="C166" s="217">
        <v>24.82</v>
      </c>
      <c r="F166" s="218">
        <f t="shared" si="10"/>
        <v>43.099999999999994</v>
      </c>
      <c r="G166" s="218">
        <v>21.29</v>
      </c>
      <c r="J166">
        <f t="shared" si="8"/>
        <v>43.099999999999994</v>
      </c>
      <c r="K166">
        <f t="shared" si="9"/>
        <v>16.29</v>
      </c>
    </row>
    <row r="167" spans="2:11" x14ac:dyDescent="0.25">
      <c r="B167" s="217">
        <v>33.17</v>
      </c>
      <c r="C167" s="217">
        <v>25.46</v>
      </c>
      <c r="F167" s="218">
        <f t="shared" si="10"/>
        <v>42.45</v>
      </c>
      <c r="G167" s="218">
        <v>20.89</v>
      </c>
      <c r="J167">
        <f t="shared" si="8"/>
        <v>42.45</v>
      </c>
      <c r="K167">
        <f t="shared" si="9"/>
        <v>15.89</v>
      </c>
    </row>
    <row r="168" spans="2:11" x14ac:dyDescent="0.25">
      <c r="B168" s="217">
        <v>32.25</v>
      </c>
      <c r="C168" s="217">
        <v>25.96</v>
      </c>
      <c r="F168" s="218">
        <f t="shared" si="10"/>
        <v>41.769999999999996</v>
      </c>
      <c r="G168" s="218">
        <v>20.350000000000001</v>
      </c>
      <c r="J168">
        <f t="shared" si="8"/>
        <v>41.769999999999996</v>
      </c>
      <c r="K168">
        <f t="shared" si="9"/>
        <v>15.350000000000001</v>
      </c>
    </row>
    <row r="169" spans="2:11" x14ac:dyDescent="0.25">
      <c r="B169" s="217">
        <v>31.3</v>
      </c>
      <c r="C169" s="217">
        <v>26.28</v>
      </c>
      <c r="F169" s="218">
        <f t="shared" si="10"/>
        <v>41.129999999999995</v>
      </c>
      <c r="G169" s="218">
        <v>19.66</v>
      </c>
      <c r="J169">
        <f t="shared" si="8"/>
        <v>41.129999999999995</v>
      </c>
      <c r="K169">
        <f t="shared" si="9"/>
        <v>14.66</v>
      </c>
    </row>
    <row r="170" spans="2:11" x14ac:dyDescent="0.25">
      <c r="B170" s="217">
        <v>30.29</v>
      </c>
      <c r="C170" s="217">
        <v>26.45</v>
      </c>
      <c r="F170" s="218">
        <f t="shared" si="10"/>
        <v>40.569999999999993</v>
      </c>
      <c r="G170" s="218">
        <v>18.84</v>
      </c>
      <c r="J170">
        <f t="shared" si="8"/>
        <v>40.569999999999993</v>
      </c>
      <c r="K170">
        <f t="shared" si="9"/>
        <v>13.84</v>
      </c>
    </row>
    <row r="171" spans="2:11" x14ac:dyDescent="0.25">
      <c r="B171" s="217">
        <v>29.22</v>
      </c>
      <c r="C171" s="217">
        <v>26.45</v>
      </c>
      <c r="F171" s="218">
        <f t="shared" si="10"/>
        <v>40.08</v>
      </c>
      <c r="G171" s="218">
        <v>17.760000000000002</v>
      </c>
      <c r="J171">
        <f t="shared" si="8"/>
        <v>40.08</v>
      </c>
      <c r="K171">
        <f t="shared" si="9"/>
        <v>12.760000000000002</v>
      </c>
    </row>
    <row r="172" spans="2:11" x14ac:dyDescent="0.25">
      <c r="B172" s="217">
        <v>28.22</v>
      </c>
      <c r="C172" s="217">
        <v>26.28</v>
      </c>
      <c r="F172" s="218">
        <f t="shared" si="10"/>
        <v>39.819999999999993</v>
      </c>
      <c r="G172" s="218">
        <v>16.66</v>
      </c>
      <c r="J172">
        <f t="shared" si="8"/>
        <v>39.819999999999993</v>
      </c>
      <c r="K172">
        <f t="shared" si="9"/>
        <v>11.66</v>
      </c>
    </row>
    <row r="173" spans="2:11" x14ac:dyDescent="0.25">
      <c r="B173" s="217">
        <v>27.26</v>
      </c>
      <c r="C173" s="217">
        <v>25.96</v>
      </c>
      <c r="F173" s="203">
        <f t="shared" si="10"/>
        <v>39.75</v>
      </c>
      <c r="G173" s="203">
        <f>G141</f>
        <v>15.75</v>
      </c>
      <c r="J173">
        <f t="shared" si="8"/>
        <v>39.75</v>
      </c>
      <c r="K173">
        <f t="shared" si="9"/>
        <v>10.75</v>
      </c>
    </row>
    <row r="174" spans="2:11" x14ac:dyDescent="0.25">
      <c r="B174" s="217">
        <v>26.35</v>
      </c>
      <c r="C174" s="217">
        <v>25.46</v>
      </c>
      <c r="F174" s="203">
        <f t="shared" si="10"/>
        <v>39.75</v>
      </c>
      <c r="G174" s="203">
        <f t="shared" ref="G174:G182" si="12">G142</f>
        <v>5.8</v>
      </c>
      <c r="J174">
        <f t="shared" si="8"/>
        <v>39.75</v>
      </c>
      <c r="K174">
        <f t="shared" si="9"/>
        <v>5.8</v>
      </c>
    </row>
    <row r="175" spans="2:11" x14ac:dyDescent="0.25">
      <c r="B175" s="398">
        <v>25.52</v>
      </c>
      <c r="C175" s="399">
        <v>24.82</v>
      </c>
      <c r="F175" s="203">
        <f t="shared" si="10"/>
        <v>42.900000000000006</v>
      </c>
      <c r="G175" s="203">
        <f t="shared" si="12"/>
        <v>3</v>
      </c>
      <c r="J175">
        <f t="shared" si="8"/>
        <v>42.900000000000006</v>
      </c>
      <c r="K175">
        <f t="shared" si="9"/>
        <v>3</v>
      </c>
    </row>
    <row r="176" spans="2:11" x14ac:dyDescent="0.25">
      <c r="B176" s="399">
        <v>24.82</v>
      </c>
      <c r="C176" s="399">
        <v>24.06</v>
      </c>
      <c r="F176" s="203">
        <f t="shared" si="10"/>
        <v>46</v>
      </c>
      <c r="G176" s="203">
        <f t="shared" si="12"/>
        <v>3</v>
      </c>
      <c r="J176">
        <f t="shared" si="8"/>
        <v>46</v>
      </c>
      <c r="K176">
        <f t="shared" si="9"/>
        <v>3</v>
      </c>
    </row>
    <row r="177" spans="2:11" x14ac:dyDescent="0.25">
      <c r="B177" s="399">
        <v>24.26</v>
      </c>
      <c r="C177" s="399">
        <v>23.21</v>
      </c>
      <c r="F177" s="203">
        <f t="shared" si="10"/>
        <v>46</v>
      </c>
      <c r="G177" s="203">
        <f t="shared" si="12"/>
        <v>0</v>
      </c>
      <c r="J177">
        <f t="shared" si="8"/>
        <v>46</v>
      </c>
      <c r="K177">
        <f t="shared" si="9"/>
        <v>0</v>
      </c>
    </row>
    <row r="178" spans="2:11" x14ac:dyDescent="0.25">
      <c r="B178" s="399">
        <v>23.85</v>
      </c>
      <c r="C178" s="399">
        <v>22.26</v>
      </c>
      <c r="F178" s="203">
        <f t="shared" si="10"/>
        <v>29.799999999999997</v>
      </c>
      <c r="G178" s="203">
        <f t="shared" si="12"/>
        <v>0</v>
      </c>
      <c r="J178">
        <f t="shared" si="8"/>
        <v>29.799999999999997</v>
      </c>
      <c r="K178">
        <f t="shared" si="9"/>
        <v>0</v>
      </c>
    </row>
    <row r="179" spans="2:11" x14ac:dyDescent="0.25">
      <c r="B179" s="399">
        <v>23.6</v>
      </c>
      <c r="C179" s="399">
        <v>21.28</v>
      </c>
      <c r="F179" s="203">
        <f t="shared" si="10"/>
        <v>29.799999999999997</v>
      </c>
      <c r="G179" s="203">
        <f t="shared" si="12"/>
        <v>3</v>
      </c>
      <c r="J179">
        <f t="shared" si="8"/>
        <v>29.799999999999997</v>
      </c>
      <c r="K179">
        <f t="shared" si="9"/>
        <v>3</v>
      </c>
    </row>
    <row r="180" spans="2:11" x14ac:dyDescent="0.25">
      <c r="B180" s="399">
        <v>23.51</v>
      </c>
      <c r="C180" s="399">
        <v>20.23</v>
      </c>
      <c r="F180" s="203">
        <f t="shared" si="10"/>
        <v>32.849999999999994</v>
      </c>
      <c r="G180" s="203">
        <f t="shared" si="12"/>
        <v>3</v>
      </c>
      <c r="J180">
        <f t="shared" si="8"/>
        <v>32.849999999999994</v>
      </c>
      <c r="K180">
        <f t="shared" si="9"/>
        <v>3</v>
      </c>
    </row>
    <row r="181" spans="2:11" x14ac:dyDescent="0.25">
      <c r="B181" s="399">
        <v>23.51</v>
      </c>
      <c r="C181" s="399">
        <v>7.5</v>
      </c>
      <c r="F181" s="203">
        <f t="shared" si="10"/>
        <v>36</v>
      </c>
      <c r="G181" s="203">
        <f t="shared" si="12"/>
        <v>5.8</v>
      </c>
      <c r="J181">
        <f t="shared" ref="J181:J242" si="13">F181</f>
        <v>36</v>
      </c>
      <c r="K181">
        <f t="shared" si="9"/>
        <v>5.8</v>
      </c>
    </row>
    <row r="182" spans="2:11" x14ac:dyDescent="0.25">
      <c r="B182" s="399">
        <v>27.51</v>
      </c>
      <c r="C182" s="399">
        <v>3.5</v>
      </c>
      <c r="F182" s="203">
        <f t="shared" si="10"/>
        <v>36</v>
      </c>
      <c r="G182" s="203">
        <f t="shared" si="12"/>
        <v>15.75</v>
      </c>
      <c r="J182">
        <f t="shared" si="13"/>
        <v>36</v>
      </c>
      <c r="K182">
        <f t="shared" si="9"/>
        <v>10.75</v>
      </c>
    </row>
    <row r="183" spans="2:11" x14ac:dyDescent="0.25">
      <c r="B183" s="399">
        <v>29.76</v>
      </c>
      <c r="C183" s="399">
        <v>3.5</v>
      </c>
      <c r="F183" s="218">
        <f t="shared" si="10"/>
        <v>35.930000000000007</v>
      </c>
      <c r="G183" s="218">
        <v>16.66</v>
      </c>
      <c r="J183">
        <f t="shared" si="13"/>
        <v>35.930000000000007</v>
      </c>
      <c r="K183">
        <f t="shared" si="9"/>
        <v>11.66</v>
      </c>
    </row>
    <row r="184" spans="2:11" x14ac:dyDescent="0.25">
      <c r="B184" s="399">
        <v>29.76</v>
      </c>
      <c r="C184" s="399">
        <v>0</v>
      </c>
      <c r="F184" s="218">
        <f t="shared" si="10"/>
        <v>35.67</v>
      </c>
      <c r="G184" s="218">
        <v>17.760000000000002</v>
      </c>
      <c r="J184">
        <f t="shared" si="13"/>
        <v>35.67</v>
      </c>
      <c r="K184">
        <f t="shared" si="9"/>
        <v>12.760000000000002</v>
      </c>
    </row>
    <row r="185" spans="2:11" x14ac:dyDescent="0.25">
      <c r="B185" s="399">
        <v>13.61</v>
      </c>
      <c r="C185" s="399">
        <v>0</v>
      </c>
      <c r="F185" s="218">
        <f t="shared" si="10"/>
        <v>35.180000000000007</v>
      </c>
      <c r="G185" s="218">
        <v>18.84</v>
      </c>
      <c r="J185">
        <f t="shared" si="13"/>
        <v>35.180000000000007</v>
      </c>
      <c r="K185">
        <f t="shared" si="9"/>
        <v>13.84</v>
      </c>
    </row>
    <row r="186" spans="2:11" x14ac:dyDescent="0.25">
      <c r="B186" s="399">
        <v>13.61</v>
      </c>
      <c r="C186" s="399">
        <v>3.5</v>
      </c>
      <c r="F186" s="218">
        <f t="shared" si="10"/>
        <v>34.620000000000005</v>
      </c>
      <c r="G186" s="218">
        <v>19.66</v>
      </c>
      <c r="J186">
        <f t="shared" si="13"/>
        <v>34.620000000000005</v>
      </c>
      <c r="K186">
        <f t="shared" si="9"/>
        <v>14.66</v>
      </c>
    </row>
    <row r="187" spans="2:11" x14ac:dyDescent="0.25">
      <c r="B187" s="399">
        <v>15.76</v>
      </c>
      <c r="C187" s="399">
        <v>3.5</v>
      </c>
      <c r="F187" s="218">
        <f t="shared" si="10"/>
        <v>33.980000000000004</v>
      </c>
      <c r="G187" s="218">
        <v>20.350000000000001</v>
      </c>
      <c r="J187">
        <f t="shared" si="13"/>
        <v>33.980000000000004</v>
      </c>
      <c r="K187">
        <f t="shared" si="9"/>
        <v>15.350000000000001</v>
      </c>
    </row>
    <row r="188" spans="2:11" x14ac:dyDescent="0.25">
      <c r="B188" s="399">
        <v>19.760000000000002</v>
      </c>
      <c r="C188" s="399">
        <v>7.5</v>
      </c>
      <c r="F188" s="218">
        <f t="shared" si="10"/>
        <v>33.299999999999997</v>
      </c>
      <c r="G188" s="218">
        <v>20.89</v>
      </c>
      <c r="J188">
        <f t="shared" si="13"/>
        <v>33.299999999999997</v>
      </c>
      <c r="K188">
        <f t="shared" si="9"/>
        <v>15.89</v>
      </c>
    </row>
    <row r="189" spans="2:11" x14ac:dyDescent="0.25">
      <c r="B189" s="399">
        <v>19.760000000000002</v>
      </c>
      <c r="C189" s="399">
        <v>20.23</v>
      </c>
      <c r="F189" s="218">
        <f t="shared" si="10"/>
        <v>32.650000000000006</v>
      </c>
      <c r="G189" s="218">
        <v>21.29</v>
      </c>
      <c r="J189">
        <f t="shared" si="13"/>
        <v>32.650000000000006</v>
      </c>
      <c r="K189">
        <f t="shared" si="9"/>
        <v>16.29</v>
      </c>
    </row>
    <row r="190" spans="2:11" x14ac:dyDescent="0.25">
      <c r="B190" s="399">
        <v>19.670000000000002</v>
      </c>
      <c r="C190" s="399">
        <v>21.28</v>
      </c>
      <c r="F190" s="218">
        <f t="shared" si="10"/>
        <v>31.930000000000007</v>
      </c>
      <c r="G190" s="218">
        <v>21.61</v>
      </c>
      <c r="J190">
        <f t="shared" si="13"/>
        <v>31.930000000000007</v>
      </c>
      <c r="K190">
        <f t="shared" si="9"/>
        <v>16.61</v>
      </c>
    </row>
    <row r="191" spans="2:11" x14ac:dyDescent="0.25">
      <c r="B191" s="399">
        <v>19.420000000000002</v>
      </c>
      <c r="C191" s="399">
        <v>22.26</v>
      </c>
      <c r="F191" s="218">
        <f t="shared" si="10"/>
        <v>31.340000000000003</v>
      </c>
      <c r="G191" s="218">
        <v>21.79</v>
      </c>
      <c r="J191">
        <f t="shared" si="13"/>
        <v>31.340000000000003</v>
      </c>
      <c r="K191">
        <f t="shared" si="9"/>
        <v>16.79</v>
      </c>
    </row>
    <row r="192" spans="2:11" x14ac:dyDescent="0.25">
      <c r="B192" s="399">
        <v>19</v>
      </c>
      <c r="C192" s="399">
        <v>23.21</v>
      </c>
      <c r="F192" s="218">
        <f t="shared" si="10"/>
        <v>30.72</v>
      </c>
      <c r="G192" s="218">
        <v>21.92</v>
      </c>
      <c r="J192">
        <f t="shared" si="13"/>
        <v>30.72</v>
      </c>
      <c r="K192">
        <f t="shared" si="9"/>
        <v>16.920000000000002</v>
      </c>
    </row>
    <row r="193" spans="2:11" x14ac:dyDescent="0.25">
      <c r="B193" s="399">
        <v>18.440000000000001</v>
      </c>
      <c r="C193" s="399">
        <v>24.06</v>
      </c>
      <c r="F193" s="218">
        <f t="shared" si="10"/>
        <v>30.049999999999997</v>
      </c>
      <c r="G193" s="218">
        <v>21.99</v>
      </c>
      <c r="J193">
        <f t="shared" si="13"/>
        <v>30.049999999999997</v>
      </c>
      <c r="K193">
        <f t="shared" si="9"/>
        <v>16.989999999999998</v>
      </c>
    </row>
    <row r="194" spans="2:11" x14ac:dyDescent="0.25">
      <c r="B194" s="399">
        <v>17.75</v>
      </c>
      <c r="C194" s="399">
        <v>24.82</v>
      </c>
      <c r="F194" s="218">
        <f t="shared" si="10"/>
        <v>29.450000000000003</v>
      </c>
      <c r="G194" s="218">
        <f>G193</f>
        <v>21.99</v>
      </c>
      <c r="J194">
        <f t="shared" si="13"/>
        <v>29.450000000000003</v>
      </c>
      <c r="K194">
        <f t="shared" si="9"/>
        <v>16.989999999999998</v>
      </c>
    </row>
    <row r="195" spans="2:11" x14ac:dyDescent="0.25">
      <c r="B195" s="399">
        <v>16.920000000000002</v>
      </c>
      <c r="C195" s="399">
        <v>25.46</v>
      </c>
      <c r="F195" s="218">
        <f t="shared" si="10"/>
        <v>28.78</v>
      </c>
      <c r="G195" s="218">
        <v>21.92</v>
      </c>
      <c r="J195">
        <f t="shared" si="13"/>
        <v>28.78</v>
      </c>
      <c r="K195">
        <f t="shared" si="9"/>
        <v>16.920000000000002</v>
      </c>
    </row>
    <row r="196" spans="2:11" x14ac:dyDescent="0.25">
      <c r="B196" s="399">
        <v>16</v>
      </c>
      <c r="C196" s="399">
        <v>25.96</v>
      </c>
      <c r="F196" s="218">
        <f t="shared" si="10"/>
        <v>28.159999999999997</v>
      </c>
      <c r="G196" s="218">
        <v>21.79</v>
      </c>
      <c r="J196">
        <f t="shared" si="13"/>
        <v>28.159999999999997</v>
      </c>
      <c r="K196">
        <f t="shared" ref="K196:K242" si="14">IF(G196&gt;15,G196-5,G196)</f>
        <v>16.79</v>
      </c>
    </row>
    <row r="197" spans="2:11" x14ac:dyDescent="0.25">
      <c r="B197" s="399">
        <v>15.05</v>
      </c>
      <c r="C197" s="399">
        <v>26.28</v>
      </c>
      <c r="F197" s="218">
        <f t="shared" si="10"/>
        <v>27.569999999999993</v>
      </c>
      <c r="G197" s="218">
        <v>21.61</v>
      </c>
      <c r="J197">
        <f t="shared" si="13"/>
        <v>27.569999999999993</v>
      </c>
      <c r="K197">
        <f t="shared" si="14"/>
        <v>16.61</v>
      </c>
    </row>
    <row r="198" spans="2:11" x14ac:dyDescent="0.25">
      <c r="B198" s="399">
        <v>14.04</v>
      </c>
      <c r="C198" s="399">
        <v>26.45</v>
      </c>
      <c r="F198" s="218">
        <f t="shared" si="10"/>
        <v>26.849999999999994</v>
      </c>
      <c r="G198" s="218">
        <v>21.29</v>
      </c>
      <c r="J198">
        <f t="shared" si="13"/>
        <v>26.849999999999994</v>
      </c>
      <c r="K198">
        <f t="shared" si="14"/>
        <v>16.29</v>
      </c>
    </row>
    <row r="199" spans="2:11" x14ac:dyDescent="0.25">
      <c r="B199" s="399">
        <v>12.97</v>
      </c>
      <c r="C199" s="399">
        <v>26.45</v>
      </c>
      <c r="F199" s="218">
        <f t="shared" si="10"/>
        <v>26.200000000000003</v>
      </c>
      <c r="G199" s="218">
        <v>20.89</v>
      </c>
      <c r="J199">
        <f t="shared" si="13"/>
        <v>26.200000000000003</v>
      </c>
      <c r="K199">
        <f t="shared" si="14"/>
        <v>15.89</v>
      </c>
    </row>
    <row r="200" spans="2:11" x14ac:dyDescent="0.25">
      <c r="B200" s="399">
        <v>11.97</v>
      </c>
      <c r="C200" s="399">
        <v>26.28</v>
      </c>
      <c r="F200" s="218">
        <f t="shared" si="10"/>
        <v>25.519999999999996</v>
      </c>
      <c r="G200" s="218">
        <v>20.350000000000001</v>
      </c>
      <c r="J200">
        <f t="shared" si="13"/>
        <v>25.519999999999996</v>
      </c>
      <c r="K200">
        <f t="shared" si="14"/>
        <v>15.350000000000001</v>
      </c>
    </row>
    <row r="201" spans="2:11" x14ac:dyDescent="0.25">
      <c r="B201" s="399">
        <v>11.01</v>
      </c>
      <c r="C201" s="399">
        <v>25.96</v>
      </c>
      <c r="F201" s="218">
        <f t="shared" si="10"/>
        <v>24.879999999999995</v>
      </c>
      <c r="G201" s="218">
        <v>19.66</v>
      </c>
      <c r="J201">
        <f t="shared" si="13"/>
        <v>24.879999999999995</v>
      </c>
      <c r="K201">
        <f t="shared" si="14"/>
        <v>14.66</v>
      </c>
    </row>
    <row r="202" spans="2:11" x14ac:dyDescent="0.25">
      <c r="B202" s="399">
        <v>10.1</v>
      </c>
      <c r="C202" s="399">
        <v>25.46</v>
      </c>
      <c r="F202" s="218">
        <f t="shared" si="10"/>
        <v>24.319999999999993</v>
      </c>
      <c r="G202" s="218">
        <v>18.84</v>
      </c>
      <c r="J202">
        <f t="shared" si="13"/>
        <v>24.319999999999993</v>
      </c>
      <c r="K202">
        <f t="shared" si="14"/>
        <v>13.84</v>
      </c>
    </row>
    <row r="203" spans="2:11" x14ac:dyDescent="0.25">
      <c r="B203" s="399">
        <v>9.27</v>
      </c>
      <c r="C203" s="399">
        <v>24.82</v>
      </c>
      <c r="F203" s="218">
        <f t="shared" si="10"/>
        <v>23.83</v>
      </c>
      <c r="G203" s="218">
        <v>17.760000000000002</v>
      </c>
      <c r="J203">
        <f t="shared" si="13"/>
        <v>23.83</v>
      </c>
      <c r="K203">
        <f t="shared" si="14"/>
        <v>12.760000000000002</v>
      </c>
    </row>
    <row r="204" spans="2:11" x14ac:dyDescent="0.25">
      <c r="B204" s="399">
        <v>8.57</v>
      </c>
      <c r="C204" s="399">
        <v>24.06</v>
      </c>
      <c r="F204" s="218">
        <f t="shared" si="10"/>
        <v>23.569999999999993</v>
      </c>
      <c r="G204" s="218">
        <v>16.66</v>
      </c>
      <c r="J204">
        <f t="shared" si="13"/>
        <v>23.569999999999993</v>
      </c>
      <c r="K204">
        <f t="shared" si="14"/>
        <v>11.66</v>
      </c>
    </row>
    <row r="205" spans="2:11" x14ac:dyDescent="0.25">
      <c r="B205" s="399">
        <v>8.01</v>
      </c>
      <c r="C205" s="399">
        <v>23.21</v>
      </c>
      <c r="F205" s="203">
        <f t="shared" si="10"/>
        <v>23.5</v>
      </c>
      <c r="G205" s="203">
        <f>G173</f>
        <v>15.75</v>
      </c>
      <c r="J205">
        <f t="shared" si="13"/>
        <v>23.5</v>
      </c>
      <c r="K205">
        <f t="shared" si="14"/>
        <v>10.75</v>
      </c>
    </row>
    <row r="206" spans="2:11" x14ac:dyDescent="0.25">
      <c r="B206" s="399">
        <v>7.6</v>
      </c>
      <c r="C206" s="399">
        <v>22.26</v>
      </c>
      <c r="F206" s="203">
        <f t="shared" si="10"/>
        <v>23.5</v>
      </c>
      <c r="G206" s="203">
        <f t="shared" ref="G206:G214" si="15">G174</f>
        <v>5.8</v>
      </c>
      <c r="J206">
        <f t="shared" si="13"/>
        <v>23.5</v>
      </c>
      <c r="K206">
        <f t="shared" si="14"/>
        <v>5.8</v>
      </c>
    </row>
    <row r="207" spans="2:11" x14ac:dyDescent="0.25">
      <c r="B207" s="399">
        <v>7.35</v>
      </c>
      <c r="C207" s="399">
        <v>21.28</v>
      </c>
      <c r="F207" s="203">
        <f t="shared" ref="F207:F236" si="16">F175-16.25</f>
        <v>26.650000000000006</v>
      </c>
      <c r="G207" s="203">
        <f t="shared" si="15"/>
        <v>3</v>
      </c>
      <c r="J207">
        <f t="shared" si="13"/>
        <v>26.650000000000006</v>
      </c>
      <c r="K207">
        <f t="shared" si="14"/>
        <v>3</v>
      </c>
    </row>
    <row r="208" spans="2:11" x14ac:dyDescent="0.25">
      <c r="B208" s="399">
        <v>7.26</v>
      </c>
      <c r="C208" s="399">
        <v>20.23</v>
      </c>
      <c r="F208" s="203">
        <f t="shared" si="16"/>
        <v>29.75</v>
      </c>
      <c r="G208" s="203">
        <f t="shared" si="15"/>
        <v>3</v>
      </c>
      <c r="J208">
        <f t="shared" si="13"/>
        <v>29.75</v>
      </c>
      <c r="K208">
        <f t="shared" si="14"/>
        <v>3</v>
      </c>
    </row>
    <row r="209" spans="2:11" x14ac:dyDescent="0.25">
      <c r="B209" s="399">
        <v>7.26</v>
      </c>
      <c r="C209" s="399">
        <v>7.5</v>
      </c>
      <c r="F209" s="203">
        <f t="shared" si="16"/>
        <v>29.75</v>
      </c>
      <c r="G209" s="203">
        <f t="shared" si="15"/>
        <v>0</v>
      </c>
      <c r="J209">
        <f t="shared" si="13"/>
        <v>29.75</v>
      </c>
      <c r="K209">
        <f t="shared" si="14"/>
        <v>0</v>
      </c>
    </row>
    <row r="210" spans="2:11" x14ac:dyDescent="0.25">
      <c r="B210" s="399">
        <v>11.26</v>
      </c>
      <c r="C210" s="399">
        <v>3.5</v>
      </c>
      <c r="F210" s="203">
        <f t="shared" si="16"/>
        <v>13.549999999999997</v>
      </c>
      <c r="G210" s="203">
        <f t="shared" si="15"/>
        <v>0</v>
      </c>
      <c r="J210">
        <f t="shared" si="13"/>
        <v>13.549999999999997</v>
      </c>
      <c r="K210">
        <f t="shared" si="14"/>
        <v>0</v>
      </c>
    </row>
    <row r="211" spans="2:11" x14ac:dyDescent="0.25">
      <c r="B211" s="399">
        <v>13.51</v>
      </c>
      <c r="C211" s="399">
        <v>3.5</v>
      </c>
      <c r="F211" s="203">
        <f t="shared" si="16"/>
        <v>13.549999999999997</v>
      </c>
      <c r="G211" s="203">
        <f t="shared" si="15"/>
        <v>3</v>
      </c>
      <c r="J211">
        <f t="shared" si="13"/>
        <v>13.549999999999997</v>
      </c>
      <c r="K211">
        <f t="shared" si="14"/>
        <v>3</v>
      </c>
    </row>
    <row r="212" spans="2:11" x14ac:dyDescent="0.25">
      <c r="B212" s="399">
        <v>13.51</v>
      </c>
      <c r="C212" s="399">
        <v>0</v>
      </c>
      <c r="F212" s="203">
        <f t="shared" si="16"/>
        <v>16.599999999999994</v>
      </c>
      <c r="G212" s="203">
        <f t="shared" si="15"/>
        <v>3</v>
      </c>
      <c r="J212">
        <f t="shared" si="13"/>
        <v>16.599999999999994</v>
      </c>
      <c r="K212">
        <f t="shared" si="14"/>
        <v>3</v>
      </c>
    </row>
    <row r="213" spans="2:11" x14ac:dyDescent="0.25">
      <c r="B213" s="399">
        <v>0.89</v>
      </c>
      <c r="C213" s="399">
        <v>0</v>
      </c>
      <c r="F213" s="203">
        <f t="shared" si="16"/>
        <v>19.75</v>
      </c>
      <c r="G213" s="203">
        <f t="shared" si="15"/>
        <v>5.8</v>
      </c>
      <c r="J213">
        <f t="shared" si="13"/>
        <v>19.75</v>
      </c>
      <c r="K213">
        <f t="shared" si="14"/>
        <v>5.8</v>
      </c>
    </row>
    <row r="214" spans="2:11" x14ac:dyDescent="0.25">
      <c r="F214" s="203">
        <f t="shared" si="16"/>
        <v>19.75</v>
      </c>
      <c r="G214" s="203">
        <f t="shared" si="15"/>
        <v>15.75</v>
      </c>
      <c r="J214">
        <f t="shared" si="13"/>
        <v>19.75</v>
      </c>
      <c r="K214">
        <f t="shared" si="14"/>
        <v>10.75</v>
      </c>
    </row>
    <row r="215" spans="2:11" x14ac:dyDescent="0.25">
      <c r="F215" s="218">
        <f t="shared" si="16"/>
        <v>19.680000000000007</v>
      </c>
      <c r="G215" s="218">
        <v>16.66</v>
      </c>
      <c r="J215">
        <f t="shared" si="13"/>
        <v>19.680000000000007</v>
      </c>
      <c r="K215">
        <f t="shared" si="14"/>
        <v>11.66</v>
      </c>
    </row>
    <row r="216" spans="2:11" x14ac:dyDescent="0.25">
      <c r="F216" s="218">
        <f t="shared" si="16"/>
        <v>19.420000000000002</v>
      </c>
      <c r="G216" s="218">
        <v>17.760000000000002</v>
      </c>
      <c r="J216">
        <f t="shared" si="13"/>
        <v>19.420000000000002</v>
      </c>
      <c r="K216">
        <f t="shared" si="14"/>
        <v>12.760000000000002</v>
      </c>
    </row>
    <row r="217" spans="2:11" x14ac:dyDescent="0.25">
      <c r="F217" s="218">
        <f t="shared" si="16"/>
        <v>18.930000000000007</v>
      </c>
      <c r="G217" s="218">
        <v>18.84</v>
      </c>
      <c r="J217">
        <f t="shared" si="13"/>
        <v>18.930000000000007</v>
      </c>
      <c r="K217">
        <f t="shared" si="14"/>
        <v>13.84</v>
      </c>
    </row>
    <row r="218" spans="2:11" x14ac:dyDescent="0.25">
      <c r="F218" s="218">
        <f t="shared" si="16"/>
        <v>18.370000000000005</v>
      </c>
      <c r="G218" s="218">
        <v>19.66</v>
      </c>
      <c r="J218">
        <f t="shared" si="13"/>
        <v>18.370000000000005</v>
      </c>
      <c r="K218">
        <f t="shared" si="14"/>
        <v>14.66</v>
      </c>
    </row>
    <row r="219" spans="2:11" x14ac:dyDescent="0.25">
      <c r="F219" s="218">
        <f t="shared" si="16"/>
        <v>17.730000000000004</v>
      </c>
      <c r="G219" s="218">
        <v>20.350000000000001</v>
      </c>
      <c r="J219">
        <f t="shared" si="13"/>
        <v>17.730000000000004</v>
      </c>
      <c r="K219">
        <f t="shared" si="14"/>
        <v>15.350000000000001</v>
      </c>
    </row>
    <row r="220" spans="2:11" x14ac:dyDescent="0.25">
      <c r="F220" s="218">
        <f t="shared" si="16"/>
        <v>17.049999999999997</v>
      </c>
      <c r="G220" s="218">
        <v>20.89</v>
      </c>
      <c r="J220">
        <f t="shared" si="13"/>
        <v>17.049999999999997</v>
      </c>
      <c r="K220">
        <f t="shared" si="14"/>
        <v>15.89</v>
      </c>
    </row>
    <row r="221" spans="2:11" x14ac:dyDescent="0.25">
      <c r="F221" s="218">
        <f t="shared" si="16"/>
        <v>16.400000000000006</v>
      </c>
      <c r="G221" s="218">
        <v>21.29</v>
      </c>
      <c r="J221">
        <f t="shared" si="13"/>
        <v>16.400000000000006</v>
      </c>
      <c r="K221">
        <f t="shared" si="14"/>
        <v>16.29</v>
      </c>
    </row>
    <row r="222" spans="2:11" x14ac:dyDescent="0.25">
      <c r="F222" s="218">
        <f t="shared" si="16"/>
        <v>15.680000000000007</v>
      </c>
      <c r="G222" s="218">
        <v>21.61</v>
      </c>
      <c r="J222">
        <f t="shared" si="13"/>
        <v>15.680000000000007</v>
      </c>
      <c r="K222">
        <f t="shared" si="14"/>
        <v>16.61</v>
      </c>
    </row>
    <row r="223" spans="2:11" x14ac:dyDescent="0.25">
      <c r="F223" s="218">
        <f t="shared" si="16"/>
        <v>15.090000000000003</v>
      </c>
      <c r="G223" s="218">
        <v>21.79</v>
      </c>
      <c r="J223">
        <f t="shared" si="13"/>
        <v>15.090000000000003</v>
      </c>
      <c r="K223">
        <f t="shared" si="14"/>
        <v>16.79</v>
      </c>
    </row>
    <row r="224" spans="2:11" x14ac:dyDescent="0.25">
      <c r="F224" s="218">
        <f t="shared" si="16"/>
        <v>14.469999999999999</v>
      </c>
      <c r="G224" s="218">
        <v>21.92</v>
      </c>
      <c r="J224">
        <f t="shared" si="13"/>
        <v>14.469999999999999</v>
      </c>
      <c r="K224">
        <f t="shared" si="14"/>
        <v>16.920000000000002</v>
      </c>
    </row>
    <row r="225" spans="6:11" x14ac:dyDescent="0.25">
      <c r="F225" s="218">
        <f t="shared" si="16"/>
        <v>13.799999999999997</v>
      </c>
      <c r="G225" s="218">
        <v>21.99</v>
      </c>
      <c r="J225">
        <f t="shared" si="13"/>
        <v>13.799999999999997</v>
      </c>
      <c r="K225">
        <f t="shared" si="14"/>
        <v>16.989999999999998</v>
      </c>
    </row>
    <row r="226" spans="6:11" x14ac:dyDescent="0.25">
      <c r="F226" s="218">
        <f t="shared" si="16"/>
        <v>13.200000000000003</v>
      </c>
      <c r="G226" s="218">
        <f>G225</f>
        <v>21.99</v>
      </c>
      <c r="J226">
        <f t="shared" si="13"/>
        <v>13.200000000000003</v>
      </c>
      <c r="K226">
        <f t="shared" si="14"/>
        <v>16.989999999999998</v>
      </c>
    </row>
    <row r="227" spans="6:11" x14ac:dyDescent="0.25">
      <c r="F227" s="218">
        <f t="shared" si="16"/>
        <v>12.530000000000001</v>
      </c>
      <c r="G227" s="218">
        <v>21.92</v>
      </c>
      <c r="J227">
        <f t="shared" si="13"/>
        <v>12.530000000000001</v>
      </c>
      <c r="K227">
        <f t="shared" si="14"/>
        <v>16.920000000000002</v>
      </c>
    </row>
    <row r="228" spans="6:11" x14ac:dyDescent="0.25">
      <c r="F228" s="218">
        <f t="shared" si="16"/>
        <v>11.909999999999997</v>
      </c>
      <c r="G228" s="218">
        <v>21.79</v>
      </c>
      <c r="J228">
        <f t="shared" si="13"/>
        <v>11.909999999999997</v>
      </c>
      <c r="K228">
        <f t="shared" si="14"/>
        <v>16.79</v>
      </c>
    </row>
    <row r="229" spans="6:11" x14ac:dyDescent="0.25">
      <c r="F229" s="218">
        <f t="shared" si="16"/>
        <v>11.319999999999993</v>
      </c>
      <c r="G229" s="218">
        <v>21.61</v>
      </c>
      <c r="J229">
        <f t="shared" si="13"/>
        <v>11.319999999999993</v>
      </c>
      <c r="K229">
        <f t="shared" si="14"/>
        <v>16.61</v>
      </c>
    </row>
    <row r="230" spans="6:11" x14ac:dyDescent="0.25">
      <c r="F230" s="218">
        <f t="shared" si="16"/>
        <v>10.599999999999994</v>
      </c>
      <c r="G230" s="218">
        <v>21.29</v>
      </c>
      <c r="J230">
        <f t="shared" si="13"/>
        <v>10.599999999999994</v>
      </c>
      <c r="K230">
        <f t="shared" si="14"/>
        <v>16.29</v>
      </c>
    </row>
    <row r="231" spans="6:11" x14ac:dyDescent="0.25">
      <c r="F231" s="218">
        <f t="shared" si="16"/>
        <v>9.9500000000000028</v>
      </c>
      <c r="G231" s="218">
        <v>20.89</v>
      </c>
      <c r="J231">
        <f t="shared" si="13"/>
        <v>9.9500000000000028</v>
      </c>
      <c r="K231">
        <f t="shared" si="14"/>
        <v>15.89</v>
      </c>
    </row>
    <row r="232" spans="6:11" x14ac:dyDescent="0.25">
      <c r="F232" s="218">
        <f t="shared" si="16"/>
        <v>9.269999999999996</v>
      </c>
      <c r="G232" s="218">
        <v>20.350000000000001</v>
      </c>
      <c r="J232">
        <f t="shared" si="13"/>
        <v>9.269999999999996</v>
      </c>
      <c r="K232">
        <f t="shared" si="14"/>
        <v>15.350000000000001</v>
      </c>
    </row>
    <row r="233" spans="6:11" x14ac:dyDescent="0.25">
      <c r="F233" s="218">
        <f t="shared" si="16"/>
        <v>8.6299999999999955</v>
      </c>
      <c r="G233" s="218">
        <v>19.66</v>
      </c>
      <c r="J233">
        <f t="shared" si="13"/>
        <v>8.6299999999999955</v>
      </c>
      <c r="K233">
        <f t="shared" si="14"/>
        <v>14.66</v>
      </c>
    </row>
    <row r="234" spans="6:11" x14ac:dyDescent="0.25">
      <c r="F234" s="218">
        <f t="shared" si="16"/>
        <v>8.0699999999999932</v>
      </c>
      <c r="G234" s="218">
        <v>18.84</v>
      </c>
      <c r="J234">
        <f t="shared" si="13"/>
        <v>8.0699999999999932</v>
      </c>
      <c r="K234">
        <f t="shared" si="14"/>
        <v>13.84</v>
      </c>
    </row>
    <row r="235" spans="6:11" x14ac:dyDescent="0.25">
      <c r="F235" s="218">
        <f t="shared" si="16"/>
        <v>7.5799999999999983</v>
      </c>
      <c r="G235" s="218">
        <v>17.760000000000002</v>
      </c>
      <c r="J235">
        <f t="shared" si="13"/>
        <v>7.5799999999999983</v>
      </c>
      <c r="K235">
        <f t="shared" si="14"/>
        <v>12.760000000000002</v>
      </c>
    </row>
    <row r="236" spans="6:11" x14ac:dyDescent="0.25">
      <c r="F236" s="218">
        <f t="shared" si="16"/>
        <v>7.3199999999999932</v>
      </c>
      <c r="G236" s="218">
        <v>16.66</v>
      </c>
      <c r="J236">
        <f t="shared" si="13"/>
        <v>7.3199999999999932</v>
      </c>
      <c r="K236">
        <f t="shared" si="14"/>
        <v>11.66</v>
      </c>
    </row>
    <row r="237" spans="6:11" x14ac:dyDescent="0.25">
      <c r="F237" s="203">
        <v>7.25</v>
      </c>
      <c r="G237" s="203">
        <f t="shared" ref="G237" si="17">G205</f>
        <v>15.75</v>
      </c>
      <c r="J237">
        <f t="shared" si="13"/>
        <v>7.25</v>
      </c>
      <c r="K237">
        <f t="shared" si="14"/>
        <v>10.75</v>
      </c>
    </row>
    <row r="238" spans="6:11" x14ac:dyDescent="0.25">
      <c r="F238" s="218">
        <f>F237</f>
        <v>7.25</v>
      </c>
      <c r="G238">
        <f>G21</f>
        <v>5.8</v>
      </c>
      <c r="J238">
        <f t="shared" si="13"/>
        <v>7.25</v>
      </c>
      <c r="K238">
        <f t="shared" si="14"/>
        <v>5.8</v>
      </c>
    </row>
    <row r="239" spans="6:11" x14ac:dyDescent="0.25">
      <c r="F239">
        <v>10.4</v>
      </c>
      <c r="G239" s="218">
        <v>3</v>
      </c>
      <c r="J239">
        <f t="shared" si="13"/>
        <v>10.4</v>
      </c>
      <c r="K239">
        <f t="shared" si="14"/>
        <v>3</v>
      </c>
    </row>
    <row r="240" spans="6:11" x14ac:dyDescent="0.25">
      <c r="F240">
        <v>13.5</v>
      </c>
      <c r="G240">
        <f>G239</f>
        <v>3</v>
      </c>
      <c r="J240">
        <f t="shared" si="13"/>
        <v>13.5</v>
      </c>
      <c r="K240">
        <f t="shared" si="14"/>
        <v>3</v>
      </c>
    </row>
    <row r="241" spans="6:11" x14ac:dyDescent="0.25">
      <c r="F241">
        <f>F240</f>
        <v>13.5</v>
      </c>
      <c r="G241">
        <v>0</v>
      </c>
      <c r="J241">
        <f t="shared" si="13"/>
        <v>13.5</v>
      </c>
      <c r="K241">
        <f t="shared" si="14"/>
        <v>0</v>
      </c>
    </row>
    <row r="242" spans="6:11" x14ac:dyDescent="0.25">
      <c r="F242">
        <f>F4</f>
        <v>0.95</v>
      </c>
      <c r="G242">
        <v>0</v>
      </c>
      <c r="J242">
        <f t="shared" si="13"/>
        <v>0.95</v>
      </c>
      <c r="K242">
        <f t="shared" si="14"/>
        <v>0</v>
      </c>
    </row>
  </sheetData>
  <dataValidations disablePrompts="1" count="1">
    <dataValidation type="whole" operator="equal" allowBlank="1" showInputMessage="1" showErrorMessage="1" sqref="B3:C3" xr:uid="{AAA28AA3-88C8-4340-8197-FC521B153BBC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855E-C2C6-4E59-802A-821DC100C80E}">
  <dimension ref="A1:X194"/>
  <sheetViews>
    <sheetView zoomScale="85" zoomScaleNormal="85" workbookViewId="0">
      <selection activeCell="L35" sqref="L35"/>
    </sheetView>
  </sheetViews>
  <sheetFormatPr defaultRowHeight="15" x14ac:dyDescent="0.25"/>
  <cols>
    <col min="6" max="6" width="11.7109375" customWidth="1"/>
    <col min="13" max="13" width="15.85546875" customWidth="1"/>
    <col min="17" max="17" width="17.28515625" bestFit="1" customWidth="1"/>
    <col min="20" max="20" width="11.7109375" customWidth="1"/>
  </cols>
  <sheetData>
    <row r="1" spans="1:24" ht="15.75" x14ac:dyDescent="0.25">
      <c r="A1" s="49"/>
      <c r="B1" s="49" t="s">
        <v>369</v>
      </c>
      <c r="C1" s="50"/>
      <c r="D1" s="50"/>
      <c r="E1" s="50"/>
      <c r="F1" s="50"/>
      <c r="G1" s="50"/>
      <c r="H1" s="50"/>
      <c r="I1" s="51"/>
      <c r="J1" s="50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x14ac:dyDescent="0.25">
      <c r="A2" s="53" t="s">
        <v>370</v>
      </c>
      <c r="B2" s="54" t="s">
        <v>80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24" ht="15.75" thickBot="1" x14ac:dyDescent="0.3">
      <c r="A3" s="52"/>
      <c r="B3" s="52"/>
      <c r="C3" s="52">
        <v>30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15.75" thickBot="1" x14ac:dyDescent="0.3">
      <c r="A4" s="55" t="s">
        <v>371</v>
      </c>
      <c r="B4" s="56"/>
      <c r="C4" s="57"/>
      <c r="D4" s="52"/>
      <c r="E4" s="902" t="s">
        <v>372</v>
      </c>
      <c r="F4" s="903"/>
      <c r="G4" s="903"/>
      <c r="H4" s="903"/>
      <c r="I4" s="903"/>
      <c r="J4" s="904"/>
      <c r="K4" s="58"/>
      <c r="L4" s="905" t="s">
        <v>373</v>
      </c>
      <c r="M4" s="906"/>
      <c r="N4" s="907"/>
      <c r="O4" s="58"/>
      <c r="P4" s="58"/>
      <c r="Q4" s="59" t="s">
        <v>374</v>
      </c>
      <c r="R4" s="59"/>
      <c r="S4" s="59"/>
      <c r="T4" s="59"/>
      <c r="U4" s="59"/>
      <c r="V4" s="59" t="s">
        <v>375</v>
      </c>
      <c r="W4" s="59">
        <f ca="1">MAX(X)-MIN(X)</f>
        <v>3.01</v>
      </c>
      <c r="X4" s="52"/>
    </row>
    <row r="5" spans="1:24" x14ac:dyDescent="0.25">
      <c r="A5" s="60"/>
      <c r="B5" s="61" t="s">
        <v>376</v>
      </c>
      <c r="C5" s="61" t="s">
        <v>377</v>
      </c>
      <c r="D5" s="52"/>
      <c r="E5" s="62" t="s">
        <v>378</v>
      </c>
      <c r="F5" s="63">
        <f ca="1">IF(F11=0,0,IF(F9-F10=0,45,DEGREES(1/2*ATAN(-2*F11/(F9-F10)))))</f>
        <v>0.6370355909232831</v>
      </c>
      <c r="G5" s="64" t="s">
        <v>379</v>
      </c>
      <c r="H5" s="65" t="s">
        <v>380</v>
      </c>
      <c r="I5" s="52">
        <f ca="1">MAX(X)-MIN(X)</f>
        <v>3.01</v>
      </c>
      <c r="J5" s="66" t="str">
        <f>$B$2</f>
        <v>cm</v>
      </c>
      <c r="K5" s="67" t="s">
        <v>381</v>
      </c>
      <c r="L5" s="68" t="s">
        <v>3</v>
      </c>
      <c r="M5" s="69">
        <f ca="1">I6</f>
        <v>30</v>
      </c>
      <c r="N5" s="70" t="str">
        <f>B2</f>
        <v>cm</v>
      </c>
      <c r="O5" s="67"/>
      <c r="P5" s="67"/>
      <c r="Q5" s="71" cm="1">
        <f t="array" aca="1" ref="Q5" ca="1">SUM((OFFSET(X,1,0)-X)*(Y+OFFSET(Y,1,0))/24*((OFFSET(Y,1,0)+Y)^2+(OFFSET(Y,1,0)-Y)^2))</f>
        <v>-21437.974545974997</v>
      </c>
      <c r="R5" s="59" t="str">
        <f>$B$2&amp;"^4"</f>
        <v>cm^4</v>
      </c>
      <c r="S5" s="59" t="s">
        <v>382</v>
      </c>
      <c r="T5" s="72">
        <f ca="1">+(F9+F10)/2-SQRT((F9-F10)^2/4+F11^2)</f>
        <v>-4725.3150162400016</v>
      </c>
      <c r="U5" s="59" t="str">
        <f>$B$2&amp;"^4"</f>
        <v>cm^4</v>
      </c>
      <c r="V5" s="59" t="s">
        <v>383</v>
      </c>
      <c r="W5" s="59">
        <f ca="1">MAX(Y)-MIN(Y)</f>
        <v>30</v>
      </c>
      <c r="X5" s="52"/>
    </row>
    <row r="6" spans="1:24" x14ac:dyDescent="0.25">
      <c r="A6" s="73">
        <v>1</v>
      </c>
      <c r="B6" s="74">
        <v>0</v>
      </c>
      <c r="C6" s="74">
        <v>0</v>
      </c>
      <c r="E6" s="65" t="s">
        <v>384</v>
      </c>
      <c r="F6" s="75">
        <f t="array" aca="1" ref="F6" ca="1">SUM((Y-OFFSET(Y,1,0))*(X+OFFSET(X,1,0)))/2</f>
        <v>-78.021000000000001</v>
      </c>
      <c r="G6" s="64" t="str">
        <f>$B$2 &amp; "^2"</f>
        <v>cm^2</v>
      </c>
      <c r="H6" s="65" t="s">
        <v>385</v>
      </c>
      <c r="I6" s="52">
        <f ca="1">MAX(Y)-MIN(Y)</f>
        <v>30</v>
      </c>
      <c r="J6" s="66" t="str">
        <f>$B$2</f>
        <v>cm</v>
      </c>
      <c r="K6" s="67" t="s">
        <v>386</v>
      </c>
      <c r="L6" s="76" t="s">
        <v>109</v>
      </c>
      <c r="M6" s="77">
        <f ca="1">ABS(F6)</f>
        <v>78.021000000000001</v>
      </c>
      <c r="N6" s="78" t="str">
        <f>CONCATENATE(B2,"²")</f>
        <v>cm²</v>
      </c>
      <c r="O6" s="67"/>
      <c r="P6" s="67"/>
      <c r="Q6" s="71">
        <f t="array" aca="1" ref="Q6" ca="1">-SUM((OFFSET(Y,1,0)-Y)*(X+OFFSET(X,1,0))/24*((OFFSET(X,1,0)+X)^2+(OFFSET(X,1,0)-X)^2))</f>
        <v>-206.4666546</v>
      </c>
      <c r="R6" s="59" t="str">
        <f>B2&amp;"^4"</f>
        <v>cm^4</v>
      </c>
      <c r="S6" s="59" t="s">
        <v>387</v>
      </c>
      <c r="T6" s="72">
        <f ca="1">+(F9+F10)/2+SQRT((F9-F10)^2/4+F11^2)</f>
        <v>-55.723839685155781</v>
      </c>
      <c r="U6" s="59" t="str">
        <f>$B$2&amp;"^4"</f>
        <v>cm^4</v>
      </c>
      <c r="V6" s="59" t="s">
        <v>388</v>
      </c>
      <c r="W6" s="59"/>
      <c r="X6" s="52"/>
    </row>
    <row r="7" spans="1:24" x14ac:dyDescent="0.25">
      <c r="A7" s="73">
        <f t="shared" ref="A7:A40" si="0">1+A6</f>
        <v>2</v>
      </c>
      <c r="B7" s="79">
        <f>'Seções Compostas'!$F$6</f>
        <v>3.01</v>
      </c>
      <c r="C7" s="79">
        <f>'Seções Compostas'!$F$6</f>
        <v>3.01</v>
      </c>
      <c r="D7" s="52"/>
      <c r="E7" s="65" t="s">
        <v>389</v>
      </c>
      <c r="F7" s="80">
        <f t="array" aca="1" ref="F7" ca="1">SUM((Y-OFFSET(Y,1,0))/8*((X+OFFSET(X,1,0))^2+(OFFSET(X,1,0)-X)^2/3))/$F$6</f>
        <v>1.3873289883492905</v>
      </c>
      <c r="G7" s="64" t="str">
        <f>B2</f>
        <v>cm</v>
      </c>
      <c r="H7" s="65" t="s">
        <v>390</v>
      </c>
      <c r="I7" s="81">
        <f ca="1">F9/ABS(MAX(Y)-$F$8)</f>
        <v>-307.52146726865436</v>
      </c>
      <c r="J7" s="64" t="str">
        <f>$B$2&amp;"^3"</f>
        <v>cm^3</v>
      </c>
      <c r="K7" s="67" t="s">
        <v>391</v>
      </c>
      <c r="L7" s="82" t="s">
        <v>392</v>
      </c>
      <c r="M7" s="83">
        <f ca="1">F8</f>
        <v>14.636071634559928</v>
      </c>
      <c r="N7" s="84" t="str">
        <f>B2</f>
        <v>cm</v>
      </c>
      <c r="O7" s="67"/>
      <c r="P7" s="67"/>
      <c r="Q7" s="71">
        <f t="array" aca="1" ref="Q7" ca="1">SUM(((OFFSET(Y,1,0)-Y)^2*(OFFSET(X,1,0)+X)*(OFFSET(X,1,0)^2+X^2)/8+(OFFSET(Y,1,0)-Y)*(OFFSET(X,1,0)*Y-X*OFFSET(Y,1,0))*(OFFSET(X,1,0)^2+OFFSET(X,1,0)*X+X^2)/3+(OFFSET(X,1,0)*Y-X*OFFSET(Y,1,0))^2*(OFFSET(X,1,0)+X)/4)*IF(OFFSET(X,1,0)=X,0,1/(OFFSET(X,1,0)-X)))</f>
        <v>-1532.306072475001</v>
      </c>
      <c r="R7" s="59" t="str">
        <f>B2&amp;"^4"</f>
        <v>cm^4</v>
      </c>
      <c r="S7" s="59" t="s">
        <v>393</v>
      </c>
      <c r="T7" s="59"/>
      <c r="U7" s="59"/>
      <c r="V7" s="59" t="s">
        <v>394</v>
      </c>
      <c r="W7" s="59"/>
      <c r="X7" s="52"/>
    </row>
    <row r="8" spans="1:24" x14ac:dyDescent="0.25">
      <c r="A8" s="73">
        <f t="shared" si="0"/>
        <v>3</v>
      </c>
      <c r="B8" s="79">
        <v>3</v>
      </c>
      <c r="C8" s="79">
        <v>5.7</v>
      </c>
      <c r="D8" s="52"/>
      <c r="E8" s="65" t="s">
        <v>395</v>
      </c>
      <c r="F8" s="80">
        <f t="array" aca="1" ref="F8" ca="1">SUM((OFFSET(X,1,0)-X)/8*((Y+OFFSET(Y,1,0))^2+(OFFSET(Y,1,0)-Y)^2/3))/$F$6</f>
        <v>14.636071634559928</v>
      </c>
      <c r="G8" s="64" t="str">
        <f>B2</f>
        <v>cm</v>
      </c>
      <c r="H8" s="65" t="s">
        <v>396</v>
      </c>
      <c r="I8" s="81">
        <f ca="1">F9/ABS(MIN(Y)-$F$8)</f>
        <v>-322.81461254905173</v>
      </c>
      <c r="J8" s="64" t="str">
        <f>$B$2&amp;"^3"</f>
        <v>cm^3</v>
      </c>
      <c r="K8" s="58"/>
      <c r="L8" s="85" t="s">
        <v>397</v>
      </c>
      <c r="M8" s="83">
        <f ca="1">I6-M7</f>
        <v>15.363928365440072</v>
      </c>
      <c r="N8" s="84" t="str">
        <f>B2</f>
        <v>cm</v>
      </c>
      <c r="O8" s="58"/>
      <c r="P8" s="58"/>
      <c r="Q8" s="59"/>
      <c r="R8" s="59"/>
      <c r="S8" s="86" t="s">
        <v>183</v>
      </c>
      <c r="T8" s="86" t="s">
        <v>398</v>
      </c>
      <c r="U8" s="59"/>
      <c r="V8" s="86" t="s">
        <v>183</v>
      </c>
      <c r="W8" s="86" t="s">
        <v>398</v>
      </c>
      <c r="X8" s="52"/>
    </row>
    <row r="9" spans="1:24" x14ac:dyDescent="0.25">
      <c r="A9" s="73">
        <f t="shared" si="0"/>
        <v>4</v>
      </c>
      <c r="B9" s="79">
        <v>3</v>
      </c>
      <c r="C9" s="79">
        <v>23.2</v>
      </c>
      <c r="D9" s="52"/>
      <c r="E9" s="65" t="s">
        <v>399</v>
      </c>
      <c r="F9" s="81">
        <f ca="1">Q5-F6*F8^2</f>
        <v>-4724.7377939506296</v>
      </c>
      <c r="G9" s="64" t="str">
        <f>$B$2&amp;"^4"</f>
        <v>cm^4</v>
      </c>
      <c r="H9" s="65" t="s">
        <v>400</v>
      </c>
      <c r="I9" s="81">
        <f ca="1">F10/ABS(MIN(X)-F7)</f>
        <v>-40.582343804058134</v>
      </c>
      <c r="J9" s="64" t="str">
        <f>$B$2&amp;"^3"</f>
        <v>cm^3</v>
      </c>
      <c r="K9" s="58"/>
      <c r="L9" s="85" t="s">
        <v>401</v>
      </c>
      <c r="M9" s="83">
        <f ca="1">ABS(F9)</f>
        <v>4724.7377939506296</v>
      </c>
      <c r="N9" s="87" t="str">
        <f>CONCATENATE(B2,"4")</f>
        <v>cm4</v>
      </c>
      <c r="O9" s="58"/>
      <c r="P9" s="58"/>
      <c r="Q9" s="59"/>
      <c r="R9" s="59"/>
      <c r="S9" s="88">
        <f ca="1">MIN(X)</f>
        <v>0</v>
      </c>
      <c r="T9" s="89">
        <f ca="1">(S9-$F$7)*TAN(RADIANS($F$5))+$F$8</f>
        <v>14.62064616398952</v>
      </c>
      <c r="U9" s="59"/>
      <c r="V9" s="90">
        <f ca="1">IF(W4&gt;=W5,MIN(X),(MAX(X)+MIN(X)-W5)/2)</f>
        <v>-13.495000000000001</v>
      </c>
      <c r="W9" s="90">
        <f ca="1">IF(W4&gt;=W5,(MAX(Y)+MIN(Y)-W4)/2,MIN(Y))</f>
        <v>0</v>
      </c>
      <c r="X9" s="52"/>
    </row>
    <row r="10" spans="1:24" x14ac:dyDescent="0.25">
      <c r="A10" s="73">
        <f t="shared" si="0"/>
        <v>5</v>
      </c>
      <c r="B10" s="79">
        <v>1.65</v>
      </c>
      <c r="C10" s="79">
        <v>25.7</v>
      </c>
      <c r="D10" s="52"/>
      <c r="E10" s="65" t="s">
        <v>402</v>
      </c>
      <c r="F10" s="81">
        <f ca="1">Q6-F6*F7^2</f>
        <v>-56.301061974527073</v>
      </c>
      <c r="G10" s="64" t="str">
        <f>$B$2&amp;"^4"</f>
        <v>cm^4</v>
      </c>
      <c r="H10" s="65" t="s">
        <v>403</v>
      </c>
      <c r="I10" s="81">
        <f ca="1">F10/ABS(MAX(X)-F7)</f>
        <v>-34.696535262100468</v>
      </c>
      <c r="J10" s="64" t="str">
        <f>$B$2&amp;"^3"</f>
        <v>cm^3</v>
      </c>
      <c r="K10" s="58"/>
      <c r="L10" s="85" t="s">
        <v>404</v>
      </c>
      <c r="M10" s="83">
        <f ca="1">ABS(I8)</f>
        <v>322.81461254905173</v>
      </c>
      <c r="N10" s="87" t="str">
        <f>CONCATENATE(B2,"³")</f>
        <v>cm³</v>
      </c>
      <c r="O10" s="58"/>
      <c r="P10" s="58"/>
      <c r="Q10" s="59"/>
      <c r="R10" s="59"/>
      <c r="S10" s="88">
        <f ca="1">MAX(X)</f>
        <v>3.01</v>
      </c>
      <c r="T10" s="89">
        <f ca="1">(S10-$F$7)*TAN(RADIANS($F$5))+$F$8</f>
        <v>14.654113832298084</v>
      </c>
      <c r="U10" s="59"/>
      <c r="V10" s="88">
        <f ca="1">IF(W4&gt;=W5,MAX(X),(MAX(X)+MIN(X)+W5)/2)</f>
        <v>16.504999999999999</v>
      </c>
      <c r="W10" s="90">
        <f ca="1">IF(W4&gt;=W5,(MAX(Y)+MIN(Y)+W4)/2,MAX(Y))</f>
        <v>30</v>
      </c>
      <c r="X10" s="52"/>
    </row>
    <row r="11" spans="1:24" ht="15.75" thickBot="1" x14ac:dyDescent="0.3">
      <c r="A11" s="73">
        <f t="shared" si="0"/>
        <v>6</v>
      </c>
      <c r="B11" s="79">
        <v>1.65</v>
      </c>
      <c r="C11" s="79">
        <v>30</v>
      </c>
      <c r="D11" s="52"/>
      <c r="E11" s="91" t="s">
        <v>405</v>
      </c>
      <c r="F11" s="92">
        <f ca="1">+Q7-F6*F7*F8</f>
        <v>51.913956926714945</v>
      </c>
      <c r="G11" s="93" t="str">
        <f>$B$2&amp;"^4"</f>
        <v>cm^4</v>
      </c>
      <c r="H11" s="94"/>
      <c r="I11" s="95"/>
      <c r="J11" s="93"/>
      <c r="K11" s="58"/>
      <c r="L11" s="96" t="s">
        <v>406</v>
      </c>
      <c r="M11" s="97">
        <f ca="1">ABS(I7)</f>
        <v>307.52146726865436</v>
      </c>
      <c r="N11" s="98" t="str">
        <f>CONCATENATE(B2,"³")</f>
        <v>cm³</v>
      </c>
      <c r="O11" s="58"/>
      <c r="P11" s="58"/>
      <c r="Q11" s="58"/>
      <c r="R11" s="58"/>
      <c r="S11" s="99"/>
      <c r="T11" s="99"/>
      <c r="U11" s="100"/>
      <c r="V11" s="100"/>
      <c r="W11" s="100"/>
      <c r="X11" s="52"/>
    </row>
    <row r="12" spans="1:24" x14ac:dyDescent="0.25">
      <c r="A12" s="73">
        <f t="shared" si="0"/>
        <v>7</v>
      </c>
      <c r="B12" s="79">
        <v>0</v>
      </c>
      <c r="C12" s="79">
        <v>30</v>
      </c>
      <c r="D12" s="52"/>
      <c r="E12" s="52"/>
      <c r="F12" s="52"/>
      <c r="G12" s="52"/>
      <c r="H12" s="52"/>
      <c r="I12" s="52"/>
      <c r="J12" s="52"/>
      <c r="K12" s="58"/>
      <c r="L12" s="58"/>
      <c r="M12" s="58"/>
      <c r="N12" s="58"/>
      <c r="O12" s="58"/>
      <c r="P12" s="58"/>
      <c r="Q12" s="58"/>
      <c r="R12" s="58"/>
      <c r="S12" s="99">
        <f ca="1">(T12-$F$8)*TAN(RADIANS(-$F$5))+$F$7</f>
        <v>1.5500649321386022</v>
      </c>
      <c r="T12" s="99">
        <f ca="1">MIN(Y)</f>
        <v>0</v>
      </c>
      <c r="U12" s="101"/>
      <c r="V12" s="58"/>
      <c r="W12" s="102"/>
      <c r="X12" s="52"/>
    </row>
    <row r="13" spans="1:24" x14ac:dyDescent="0.25">
      <c r="A13" s="73">
        <f t="shared" si="0"/>
        <v>8</v>
      </c>
      <c r="B13" s="79">
        <v>0</v>
      </c>
      <c r="C13" s="79">
        <v>2.2000000000000002</v>
      </c>
      <c r="D13" s="52"/>
      <c r="E13" s="908" t="s">
        <v>407</v>
      </c>
      <c r="F13" s="903"/>
      <c r="G13" s="903"/>
      <c r="H13" s="903"/>
      <c r="I13" s="903"/>
      <c r="J13" s="904"/>
      <c r="K13" s="58"/>
      <c r="L13" s="58"/>
      <c r="M13" s="58"/>
      <c r="N13" s="58"/>
      <c r="O13" s="58"/>
      <c r="P13" s="58"/>
      <c r="Q13" s="103"/>
      <c r="R13" s="58"/>
      <c r="S13" s="99">
        <f ca="1">(T13-$F$8)*TAN(RADIANS(-$F$5))+$F$7</f>
        <v>1.2165001317210244</v>
      </c>
      <c r="T13" s="99">
        <f ca="1">MAX(Y)</f>
        <v>30</v>
      </c>
      <c r="U13" s="101"/>
      <c r="V13" s="58"/>
      <c r="W13" s="102"/>
      <c r="X13" s="52"/>
    </row>
    <row r="14" spans="1:24" x14ac:dyDescent="0.25">
      <c r="A14" s="73">
        <f t="shared" si="0"/>
        <v>9</v>
      </c>
      <c r="B14" s="79">
        <v>0</v>
      </c>
      <c r="C14" s="79">
        <v>0</v>
      </c>
      <c r="D14" s="52"/>
      <c r="E14" s="62" t="s">
        <v>378</v>
      </c>
      <c r="F14" s="80">
        <f ca="1">F5</f>
        <v>0.6370355909232831</v>
      </c>
      <c r="G14" s="64" t="s">
        <v>408</v>
      </c>
      <c r="H14" s="65" t="s">
        <v>409</v>
      </c>
      <c r="I14" s="81">
        <f t="array" aca="1" ref="I14" ca="1">ABS(F15/MAX(SQRT((X-$F$7)^2+(Y-$F$8)^2)*SIN(ATAN2(X-$F$7,Y-$F$8)-RADIANS($F$5))))</f>
        <v>307.26954779433657</v>
      </c>
      <c r="J14" s="64" t="str">
        <f>$B$2&amp;"^3"</f>
        <v>cm^3</v>
      </c>
      <c r="K14" s="52"/>
      <c r="L14" s="52"/>
      <c r="M14" s="52"/>
      <c r="N14" s="52"/>
      <c r="O14" s="52"/>
      <c r="P14" s="52"/>
      <c r="Q14" s="104"/>
      <c r="R14" s="105"/>
      <c r="S14" s="80"/>
      <c r="T14" s="80"/>
      <c r="U14" s="52"/>
      <c r="V14" s="52"/>
      <c r="W14" s="106"/>
      <c r="X14" s="52"/>
    </row>
    <row r="15" spans="1:24" x14ac:dyDescent="0.25">
      <c r="A15" s="73">
        <f t="shared" si="0"/>
        <v>10</v>
      </c>
      <c r="B15" s="79">
        <v>0</v>
      </c>
      <c r="C15" s="79">
        <v>0</v>
      </c>
      <c r="D15" s="52"/>
      <c r="E15" s="65" t="s">
        <v>410</v>
      </c>
      <c r="F15" s="107">
        <f ca="1">F9*COS(RADIANS(F14))^2+F10*SIN(RADIANS(F14))^2-F11*SIN(2*RADIANS(F14))</f>
        <v>-4725.3150162400016</v>
      </c>
      <c r="G15" s="64" t="str">
        <f>$B$2&amp;"^4"</f>
        <v>cm^4</v>
      </c>
      <c r="H15" s="65" t="s">
        <v>411</v>
      </c>
      <c r="I15" s="81">
        <f t="array" aca="1" ref="I15" ca="1">ABS(F15/MIN(SQRT((X-$F$7)^2+(Y-$F$8)^2)*SIN(ATAN2(X-$F$7,Y-$F$8)-RADIANS($F$5))))</f>
        <v>323.21465450679949</v>
      </c>
      <c r="J15" s="64" t="str">
        <f>$B$2&amp;"^3"</f>
        <v>cm^3</v>
      </c>
      <c r="K15" s="52"/>
      <c r="L15" s="52"/>
      <c r="M15" s="52"/>
      <c r="N15" s="52"/>
      <c r="O15" s="52"/>
      <c r="P15" s="52"/>
      <c r="Q15" s="108"/>
      <c r="R15" s="109"/>
      <c r="S15" s="52"/>
      <c r="T15" s="52"/>
      <c r="U15" s="109"/>
      <c r="V15" s="52"/>
      <c r="W15" s="52"/>
      <c r="X15" s="52"/>
    </row>
    <row r="16" spans="1:24" x14ac:dyDescent="0.25">
      <c r="A16" s="73">
        <f t="shared" si="0"/>
        <v>11</v>
      </c>
      <c r="B16" s="79">
        <v>0</v>
      </c>
      <c r="C16" s="79">
        <v>0</v>
      </c>
      <c r="D16" s="52"/>
      <c r="E16" s="65" t="s">
        <v>412</v>
      </c>
      <c r="F16" s="107">
        <f ca="1">F10*COS(RADIANS(F14))^2+F9*SIN(RADIANS(F14))^2+F11*SIN(2*RADIANS(F14))</f>
        <v>-55.723839685155532</v>
      </c>
      <c r="G16" s="64" t="str">
        <f>$B$2&amp;"^4"</f>
        <v>cm^4</v>
      </c>
      <c r="H16" s="65" t="s">
        <v>413</v>
      </c>
      <c r="I16" s="81">
        <f t="array" aca="1" ref="I16" ca="1">ABS($F$16/MIN(SQRT((X-$F$7)^2+(Y-$F$8)^2)*COS(ATAN2(X-$F$7,Y-$F$8)-RADIANS($F$5))))</f>
        <v>35.951580443658571</v>
      </c>
      <c r="J16" s="64" t="str">
        <f>$B$2&amp;"^3"</f>
        <v>cm^3</v>
      </c>
      <c r="K16" s="52"/>
      <c r="L16" s="52"/>
      <c r="M16" s="52"/>
      <c r="N16" s="52"/>
      <c r="O16" s="52"/>
      <c r="P16" s="52"/>
      <c r="Q16" s="108"/>
      <c r="R16" s="109"/>
      <c r="S16" s="52"/>
      <c r="T16" s="52"/>
      <c r="U16" s="109"/>
      <c r="V16" s="52"/>
      <c r="W16" s="52"/>
      <c r="X16" s="52"/>
    </row>
    <row r="17" spans="1:24" x14ac:dyDescent="0.25">
      <c r="A17" s="73">
        <f t="shared" si="0"/>
        <v>12</v>
      </c>
      <c r="B17" s="79">
        <v>0</v>
      </c>
      <c r="C17" s="79">
        <v>0</v>
      </c>
      <c r="D17" s="52"/>
      <c r="E17" s="65" t="s">
        <v>414</v>
      </c>
      <c r="F17" s="81">
        <f ca="1">+(F9-F10)/2*SIN(RADIANS(F14)*2)+F11*COS(2*RADIANS(F14))</f>
        <v>0</v>
      </c>
      <c r="G17" s="64" t="str">
        <f>$B$2&amp;"^4"</f>
        <v>cm^4</v>
      </c>
      <c r="H17" s="65" t="s">
        <v>415</v>
      </c>
      <c r="I17" s="81">
        <f t="array" aca="1" ref="I17" ca="1">ABS($F$16/MAX(SQRT((X-$F$7)^2+(Y-$F$8)^2)*COS(ATAN2(X-$F$7,Y-$F$8)-RADIANS($F$5))))</f>
        <v>32.629281651191725</v>
      </c>
      <c r="J17" s="64" t="str">
        <f>$B$2&amp;"^3"</f>
        <v>cm^3</v>
      </c>
      <c r="K17" s="52"/>
      <c r="L17" s="52"/>
      <c r="M17" s="52"/>
      <c r="N17" s="52"/>
      <c r="O17" s="52"/>
      <c r="P17" s="52"/>
      <c r="Q17" s="108"/>
      <c r="R17" s="110"/>
      <c r="S17" s="111"/>
      <c r="T17" s="52"/>
      <c r="U17" s="52"/>
      <c r="V17" s="52"/>
      <c r="W17" s="52"/>
      <c r="X17" s="52"/>
    </row>
    <row r="18" spans="1:24" x14ac:dyDescent="0.25">
      <c r="A18" s="73">
        <f t="shared" si="0"/>
        <v>13</v>
      </c>
      <c r="B18" s="79">
        <v>0</v>
      </c>
      <c r="C18" s="79">
        <v>0</v>
      </c>
      <c r="D18" s="52"/>
      <c r="E18" s="91" t="s">
        <v>416</v>
      </c>
      <c r="F18" s="92">
        <f ca="1">+F15+F16</f>
        <v>-4781.0388559251569</v>
      </c>
      <c r="G18" s="93" t="str">
        <f>$B$2&amp;"^4"</f>
        <v>cm^4</v>
      </c>
      <c r="H18" s="94"/>
      <c r="I18" s="112"/>
      <c r="J18" s="93"/>
      <c r="K18" s="52"/>
      <c r="L18" s="52"/>
      <c r="M18" s="52"/>
      <c r="N18" s="52"/>
      <c r="O18" s="52"/>
      <c r="P18" s="52"/>
      <c r="Q18" s="52"/>
      <c r="R18" s="52"/>
      <c r="S18" s="52"/>
      <c r="T18" s="111"/>
      <c r="U18" s="111"/>
      <c r="V18" s="52"/>
      <c r="W18" s="52"/>
      <c r="X18" s="52"/>
    </row>
    <row r="19" spans="1:24" x14ac:dyDescent="0.25">
      <c r="A19" s="73">
        <f t="shared" si="0"/>
        <v>14</v>
      </c>
      <c r="B19" s="79">
        <v>0</v>
      </c>
      <c r="C19" s="79">
        <v>0</v>
      </c>
      <c r="D19" s="75"/>
      <c r="E19" s="52"/>
      <c r="F19" s="52"/>
      <c r="G19" s="52"/>
      <c r="H19" s="52"/>
      <c r="I19" s="52"/>
      <c r="J19" s="52"/>
      <c r="K19" s="113"/>
      <c r="L19" s="52"/>
      <c r="M19" s="113"/>
      <c r="N19" s="113"/>
      <c r="O19" s="52"/>
      <c r="P19" s="52"/>
      <c r="Q19" s="52"/>
      <c r="R19" s="52"/>
      <c r="S19" s="52"/>
      <c r="T19" s="75"/>
      <c r="U19" s="80"/>
      <c r="V19" s="75"/>
      <c r="W19" s="52"/>
      <c r="X19" s="52"/>
    </row>
    <row r="20" spans="1:24" x14ac:dyDescent="0.25">
      <c r="A20" s="73">
        <f t="shared" si="0"/>
        <v>15</v>
      </c>
      <c r="B20" s="79">
        <v>0</v>
      </c>
      <c r="C20" s="79">
        <v>0</v>
      </c>
      <c r="D20" s="75"/>
      <c r="E20" s="52"/>
      <c r="F20" s="52"/>
      <c r="G20" s="52"/>
      <c r="H20" s="52"/>
      <c r="I20" s="52"/>
      <c r="J20" s="52"/>
      <c r="K20" s="113"/>
      <c r="L20" s="52"/>
      <c r="M20" s="113"/>
      <c r="N20" s="113"/>
      <c r="O20" s="52"/>
      <c r="P20" s="52"/>
      <c r="Q20" s="52"/>
      <c r="R20" s="52"/>
      <c r="S20" s="52"/>
      <c r="T20" s="75"/>
      <c r="U20" s="80"/>
      <c r="V20" s="75"/>
      <c r="W20" s="52"/>
      <c r="X20" s="80"/>
    </row>
    <row r="21" spans="1:24" x14ac:dyDescent="0.25">
      <c r="A21" s="73">
        <f t="shared" si="0"/>
        <v>16</v>
      </c>
      <c r="B21" s="79">
        <v>0</v>
      </c>
      <c r="C21" s="79">
        <v>0</v>
      </c>
      <c r="D21" s="75"/>
      <c r="E21" s="52"/>
      <c r="F21" s="52"/>
      <c r="G21" s="52"/>
      <c r="H21" s="52"/>
      <c r="I21" s="52"/>
      <c r="J21" s="52"/>
      <c r="K21" s="113"/>
      <c r="L21" s="52"/>
      <c r="M21" s="113"/>
      <c r="N21" s="113"/>
      <c r="O21" s="52"/>
      <c r="P21" s="52"/>
      <c r="Q21" s="52"/>
      <c r="R21" s="52"/>
      <c r="S21" s="52"/>
      <c r="T21" s="113"/>
      <c r="U21" s="113"/>
      <c r="V21" s="75"/>
      <c r="W21" s="52"/>
      <c r="X21" s="80"/>
    </row>
    <row r="22" spans="1:24" x14ac:dyDescent="0.25">
      <c r="A22" s="73">
        <f t="shared" si="0"/>
        <v>17</v>
      </c>
      <c r="B22" s="79">
        <v>0</v>
      </c>
      <c r="C22" s="79">
        <v>0</v>
      </c>
      <c r="D22" s="75"/>
      <c r="E22" s="52"/>
      <c r="F22" s="52"/>
      <c r="G22" s="52"/>
      <c r="H22" s="52"/>
      <c r="I22" s="52"/>
      <c r="J22" s="52"/>
      <c r="K22" s="113"/>
      <c r="L22" s="52"/>
      <c r="M22" s="113"/>
      <c r="N22" s="113"/>
      <c r="O22" s="52"/>
      <c r="P22" s="52"/>
      <c r="Q22" s="52"/>
      <c r="R22" s="52"/>
      <c r="S22" s="52"/>
      <c r="T22" s="113"/>
      <c r="U22" s="113"/>
      <c r="V22" s="75"/>
      <c r="W22" s="52"/>
      <c r="X22" s="80"/>
    </row>
    <row r="23" spans="1:24" x14ac:dyDescent="0.25">
      <c r="A23" s="73">
        <f t="shared" si="0"/>
        <v>18</v>
      </c>
      <c r="B23" s="79">
        <v>0</v>
      </c>
      <c r="C23" s="79">
        <v>0</v>
      </c>
      <c r="D23" s="8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113"/>
      <c r="V23" s="75"/>
      <c r="W23" s="52"/>
      <c r="X23" s="80"/>
    </row>
    <row r="24" spans="1:24" x14ac:dyDescent="0.25">
      <c r="A24" s="73">
        <f t="shared" si="0"/>
        <v>19</v>
      </c>
      <c r="B24" s="79">
        <v>0</v>
      </c>
      <c r="C24" s="79">
        <v>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113"/>
      <c r="V24" s="52"/>
      <c r="W24" s="52"/>
      <c r="X24" s="52"/>
    </row>
    <row r="25" spans="1:24" x14ac:dyDescent="0.25">
      <c r="A25" s="73">
        <f t="shared" si="0"/>
        <v>20</v>
      </c>
      <c r="B25" s="79">
        <v>0</v>
      </c>
      <c r="C25" s="79">
        <v>0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113"/>
      <c r="V25" s="52"/>
      <c r="W25" s="52"/>
      <c r="X25" s="52"/>
    </row>
    <row r="26" spans="1:24" x14ac:dyDescent="0.25">
      <c r="A26" s="73">
        <f t="shared" si="0"/>
        <v>21</v>
      </c>
      <c r="B26" s="79">
        <v>0</v>
      </c>
      <c r="C26" s="79">
        <v>0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114"/>
      <c r="R26" s="114"/>
      <c r="S26" s="114"/>
      <c r="T26" s="52"/>
      <c r="U26" s="113"/>
      <c r="V26" s="52"/>
      <c r="W26" s="52"/>
      <c r="X26" s="52"/>
    </row>
    <row r="27" spans="1:24" x14ac:dyDescent="0.25">
      <c r="A27" s="73">
        <f t="shared" si="0"/>
        <v>22</v>
      </c>
      <c r="B27" s="79">
        <v>0</v>
      </c>
      <c r="C27" s="79">
        <v>0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114"/>
      <c r="R27" s="114"/>
      <c r="S27" s="114"/>
      <c r="T27" s="52"/>
      <c r="U27" s="113"/>
      <c r="V27" s="52"/>
      <c r="W27" s="52"/>
      <c r="X27" s="52"/>
    </row>
    <row r="28" spans="1:24" x14ac:dyDescent="0.25">
      <c r="A28" s="73">
        <f t="shared" si="0"/>
        <v>23</v>
      </c>
      <c r="B28" s="79">
        <v>0</v>
      </c>
      <c r="C28" s="79">
        <v>0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114"/>
      <c r="R28" s="114"/>
      <c r="S28" s="114"/>
      <c r="T28" s="52"/>
      <c r="U28" s="113"/>
      <c r="V28" s="52"/>
      <c r="W28" s="52"/>
      <c r="X28" s="52"/>
    </row>
    <row r="29" spans="1:24" x14ac:dyDescent="0.25">
      <c r="A29" s="73">
        <f t="shared" si="0"/>
        <v>24</v>
      </c>
      <c r="B29" s="79">
        <v>0</v>
      </c>
      <c r="C29" s="79">
        <v>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114"/>
      <c r="R29" s="114"/>
      <c r="S29" s="114"/>
      <c r="T29" s="52"/>
      <c r="U29" s="113"/>
      <c r="V29" s="52"/>
      <c r="W29" s="52"/>
      <c r="X29" s="52"/>
    </row>
    <row r="30" spans="1:24" x14ac:dyDescent="0.25">
      <c r="A30" s="73">
        <f t="shared" si="0"/>
        <v>25</v>
      </c>
      <c r="B30" s="79">
        <v>0</v>
      </c>
      <c r="C30" s="79">
        <v>0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113"/>
      <c r="V30" s="52"/>
      <c r="W30" s="52"/>
      <c r="X30" s="52"/>
    </row>
    <row r="31" spans="1:24" x14ac:dyDescent="0.25">
      <c r="A31" s="73">
        <f t="shared" si="0"/>
        <v>26</v>
      </c>
      <c r="B31" s="79">
        <v>0</v>
      </c>
      <c r="C31" s="79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113"/>
      <c r="V31" s="52"/>
      <c r="W31" s="52"/>
      <c r="X31" s="52"/>
    </row>
    <row r="32" spans="1:24" x14ac:dyDescent="0.25">
      <c r="A32" s="73">
        <f t="shared" si="0"/>
        <v>27</v>
      </c>
      <c r="B32" s="79">
        <v>0</v>
      </c>
      <c r="C32" s="79">
        <v>0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x14ac:dyDescent="0.25">
      <c r="A33" s="73">
        <f t="shared" si="0"/>
        <v>28</v>
      </c>
      <c r="B33" s="79">
        <v>0</v>
      </c>
      <c r="C33" s="79">
        <v>0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x14ac:dyDescent="0.25">
      <c r="A34" s="73">
        <f t="shared" si="0"/>
        <v>29</v>
      </c>
      <c r="B34" s="79">
        <v>0</v>
      </c>
      <c r="C34" s="79">
        <v>0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25">
      <c r="A35" s="73">
        <f t="shared" si="0"/>
        <v>30</v>
      </c>
      <c r="B35" s="79">
        <v>0</v>
      </c>
      <c r="C35" s="79">
        <v>0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spans="1:24" x14ac:dyDescent="0.25">
      <c r="A36" s="73">
        <f t="shared" si="0"/>
        <v>31</v>
      </c>
      <c r="B36" s="79">
        <v>0</v>
      </c>
      <c r="C36" s="79">
        <v>0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4" x14ac:dyDescent="0.25">
      <c r="A37" s="73">
        <f t="shared" si="0"/>
        <v>32</v>
      </c>
      <c r="B37" s="79">
        <v>0</v>
      </c>
      <c r="C37" s="79">
        <v>0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spans="1:24" x14ac:dyDescent="0.25">
      <c r="A38" s="73">
        <f t="shared" si="0"/>
        <v>33</v>
      </c>
      <c r="B38" s="79">
        <v>0</v>
      </c>
      <c r="C38" s="79">
        <v>0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spans="1:24" x14ac:dyDescent="0.25">
      <c r="A39" s="73">
        <f t="shared" si="0"/>
        <v>34</v>
      </c>
      <c r="B39" s="79">
        <v>0</v>
      </c>
      <c r="C39" s="79">
        <v>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spans="1:24" x14ac:dyDescent="0.25">
      <c r="A40" s="73">
        <f t="shared" si="0"/>
        <v>35</v>
      </c>
      <c r="B40" s="79">
        <v>0</v>
      </c>
      <c r="C40" s="79">
        <v>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73">
        <v>36</v>
      </c>
      <c r="B41" s="79">
        <v>0</v>
      </c>
      <c r="C41" s="79">
        <v>0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73">
        <f t="shared" ref="A42:A79" si="1">1+A41</f>
        <v>37</v>
      </c>
      <c r="B42" s="79">
        <v>0</v>
      </c>
      <c r="C42" s="79">
        <v>0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73">
        <f t="shared" si="1"/>
        <v>38</v>
      </c>
      <c r="B43" s="79">
        <v>0</v>
      </c>
      <c r="C43" s="79">
        <v>0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73">
        <f t="shared" si="1"/>
        <v>39</v>
      </c>
      <c r="B44" s="79">
        <v>0</v>
      </c>
      <c r="C44" s="79">
        <v>0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73">
        <f t="shared" si="1"/>
        <v>40</v>
      </c>
      <c r="B45" s="79">
        <v>0</v>
      </c>
      <c r="C45" s="79">
        <v>0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73">
        <f t="shared" si="1"/>
        <v>41</v>
      </c>
      <c r="B46" s="79">
        <v>0</v>
      </c>
      <c r="C46" s="79">
        <v>0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73">
        <f t="shared" si="1"/>
        <v>42</v>
      </c>
      <c r="B47" s="79">
        <v>0</v>
      </c>
      <c r="C47" s="79">
        <v>0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73">
        <f t="shared" si="1"/>
        <v>43</v>
      </c>
      <c r="B48" s="79">
        <v>0</v>
      </c>
      <c r="C48" s="79">
        <v>0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73">
        <f t="shared" si="1"/>
        <v>44</v>
      </c>
      <c r="B49" s="79">
        <v>0</v>
      </c>
      <c r="C49" s="79">
        <v>0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73">
        <f t="shared" si="1"/>
        <v>45</v>
      </c>
      <c r="B50" s="79">
        <v>0</v>
      </c>
      <c r="C50" s="79">
        <v>0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73">
        <f t="shared" si="1"/>
        <v>46</v>
      </c>
      <c r="B51" s="79">
        <v>0</v>
      </c>
      <c r="C51" s="79">
        <v>0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73">
        <f t="shared" si="1"/>
        <v>47</v>
      </c>
      <c r="B52" s="79">
        <v>0</v>
      </c>
      <c r="C52" s="79">
        <v>0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73">
        <f t="shared" si="1"/>
        <v>48</v>
      </c>
      <c r="B53" s="79">
        <v>0</v>
      </c>
      <c r="C53" s="79">
        <v>0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73">
        <f t="shared" si="1"/>
        <v>49</v>
      </c>
      <c r="B54" s="79">
        <v>0</v>
      </c>
      <c r="C54" s="79">
        <v>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73">
        <f t="shared" si="1"/>
        <v>50</v>
      </c>
      <c r="B55" s="79">
        <v>0</v>
      </c>
      <c r="C55" s="79">
        <v>0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73">
        <f t="shared" si="1"/>
        <v>51</v>
      </c>
      <c r="B56" s="79">
        <v>0</v>
      </c>
      <c r="C56" s="79">
        <v>0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73">
        <f t="shared" si="1"/>
        <v>52</v>
      </c>
      <c r="B57" s="79">
        <v>0</v>
      </c>
      <c r="C57" s="79">
        <v>0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73">
        <f t="shared" si="1"/>
        <v>53</v>
      </c>
      <c r="B58" s="79">
        <v>0</v>
      </c>
      <c r="C58" s="79">
        <v>0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73">
        <f t="shared" si="1"/>
        <v>54</v>
      </c>
      <c r="B59" s="79">
        <v>0</v>
      </c>
      <c r="C59" s="79">
        <v>0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73">
        <f t="shared" si="1"/>
        <v>55</v>
      </c>
      <c r="B60" s="79">
        <v>0</v>
      </c>
      <c r="C60" s="79">
        <v>0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73">
        <f t="shared" si="1"/>
        <v>56</v>
      </c>
      <c r="B61" s="79">
        <v>0</v>
      </c>
      <c r="C61" s="79">
        <v>0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73">
        <f t="shared" si="1"/>
        <v>57</v>
      </c>
      <c r="B62" s="79">
        <v>0</v>
      </c>
      <c r="C62" s="79"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73">
        <f t="shared" si="1"/>
        <v>58</v>
      </c>
      <c r="B63" s="79">
        <v>0</v>
      </c>
      <c r="C63" s="79">
        <v>0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73">
        <f t="shared" si="1"/>
        <v>59</v>
      </c>
      <c r="B64" s="79">
        <v>0</v>
      </c>
      <c r="C64" s="79">
        <v>0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73">
        <f t="shared" si="1"/>
        <v>60</v>
      </c>
      <c r="B65" s="79">
        <v>0</v>
      </c>
      <c r="C65" s="79">
        <v>0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73">
        <f t="shared" si="1"/>
        <v>61</v>
      </c>
      <c r="B66" s="79">
        <v>0</v>
      </c>
      <c r="C66" s="79">
        <v>0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73">
        <f t="shared" si="1"/>
        <v>62</v>
      </c>
      <c r="B67" s="79">
        <v>0</v>
      </c>
      <c r="C67" s="79">
        <v>0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73">
        <f t="shared" si="1"/>
        <v>63</v>
      </c>
      <c r="B68" s="79">
        <v>0</v>
      </c>
      <c r="C68" s="79">
        <v>0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73">
        <f t="shared" si="1"/>
        <v>64</v>
      </c>
      <c r="B69" s="79">
        <v>0</v>
      </c>
      <c r="C69" s="79">
        <v>0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73">
        <f t="shared" si="1"/>
        <v>65</v>
      </c>
      <c r="B70" s="79">
        <v>0</v>
      </c>
      <c r="C70" s="79">
        <v>0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73">
        <f t="shared" si="1"/>
        <v>66</v>
      </c>
      <c r="B71" s="79">
        <v>0</v>
      </c>
      <c r="C71" s="79">
        <v>0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73">
        <f t="shared" si="1"/>
        <v>67</v>
      </c>
      <c r="B72" s="79">
        <v>0</v>
      </c>
      <c r="C72" s="79">
        <v>0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73">
        <f t="shared" si="1"/>
        <v>68</v>
      </c>
      <c r="B73" s="79">
        <v>0</v>
      </c>
      <c r="C73" s="79">
        <v>0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73">
        <f t="shared" si="1"/>
        <v>69</v>
      </c>
      <c r="B74" s="79">
        <v>0</v>
      </c>
      <c r="C74" s="79">
        <v>0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73">
        <f t="shared" si="1"/>
        <v>70</v>
      </c>
      <c r="B75" s="79">
        <v>0</v>
      </c>
      <c r="C75" s="79">
        <v>0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73">
        <f t="shared" si="1"/>
        <v>71</v>
      </c>
      <c r="B76" s="79">
        <v>0</v>
      </c>
      <c r="C76" s="79">
        <v>0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73">
        <f t="shared" si="1"/>
        <v>72</v>
      </c>
      <c r="B77" s="79">
        <v>0</v>
      </c>
      <c r="C77" s="79">
        <v>0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73">
        <f t="shared" si="1"/>
        <v>73</v>
      </c>
      <c r="B78" s="79">
        <v>0</v>
      </c>
      <c r="C78" s="79">
        <v>0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73">
        <f t="shared" si="1"/>
        <v>74</v>
      </c>
      <c r="B79" s="79">
        <v>0</v>
      </c>
      <c r="C79" s="79">
        <v>0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B80" s="79">
        <v>0</v>
      </c>
      <c r="C80" s="79">
        <v>0</v>
      </c>
    </row>
    <row r="81" spans="2:3" x14ac:dyDescent="0.25">
      <c r="B81" s="79">
        <v>0</v>
      </c>
      <c r="C81" s="79">
        <v>0</v>
      </c>
    </row>
    <row r="82" spans="2:3" x14ac:dyDescent="0.25">
      <c r="B82" s="79">
        <v>0</v>
      </c>
      <c r="C82" s="79">
        <v>0</v>
      </c>
    </row>
    <row r="83" spans="2:3" x14ac:dyDescent="0.25">
      <c r="B83" s="79">
        <v>0</v>
      </c>
      <c r="C83" s="79">
        <v>0</v>
      </c>
    </row>
    <row r="84" spans="2:3" x14ac:dyDescent="0.25">
      <c r="B84" s="79">
        <v>0</v>
      </c>
      <c r="C84" s="79">
        <v>0</v>
      </c>
    </row>
    <row r="85" spans="2:3" x14ac:dyDescent="0.25">
      <c r="B85" s="79">
        <v>0</v>
      </c>
      <c r="C85" s="79">
        <v>0</v>
      </c>
    </row>
    <row r="86" spans="2:3" x14ac:dyDescent="0.25">
      <c r="B86" s="79">
        <v>0</v>
      </c>
      <c r="C86" s="79">
        <v>0</v>
      </c>
    </row>
    <row r="87" spans="2:3" x14ac:dyDescent="0.25">
      <c r="B87" s="79">
        <v>0</v>
      </c>
      <c r="C87" s="79">
        <v>0</v>
      </c>
    </row>
    <row r="88" spans="2:3" x14ac:dyDescent="0.25">
      <c r="B88" s="79">
        <v>0</v>
      </c>
      <c r="C88" s="79">
        <v>0</v>
      </c>
    </row>
    <row r="89" spans="2:3" x14ac:dyDescent="0.25">
      <c r="B89" s="79">
        <v>0</v>
      </c>
      <c r="C89" s="79">
        <v>0</v>
      </c>
    </row>
    <row r="90" spans="2:3" x14ac:dyDescent="0.25">
      <c r="B90" s="79">
        <v>0</v>
      </c>
      <c r="C90" s="79">
        <v>0</v>
      </c>
    </row>
    <row r="91" spans="2:3" x14ac:dyDescent="0.25">
      <c r="B91" s="79">
        <v>0</v>
      </c>
      <c r="C91" s="79">
        <v>0</v>
      </c>
    </row>
    <row r="92" spans="2:3" x14ac:dyDescent="0.25">
      <c r="B92" s="79">
        <v>0</v>
      </c>
      <c r="C92" s="79">
        <v>0</v>
      </c>
    </row>
    <row r="93" spans="2:3" x14ac:dyDescent="0.25">
      <c r="B93" s="79">
        <v>0</v>
      </c>
      <c r="C93" s="79">
        <v>0</v>
      </c>
    </row>
    <row r="94" spans="2:3" x14ac:dyDescent="0.25">
      <c r="B94" s="79">
        <v>0</v>
      </c>
      <c r="C94" s="79">
        <v>0</v>
      </c>
    </row>
    <row r="95" spans="2:3" x14ac:dyDescent="0.25">
      <c r="B95" s="79">
        <v>0</v>
      </c>
      <c r="C95" s="79">
        <v>0</v>
      </c>
    </row>
    <row r="96" spans="2:3" x14ac:dyDescent="0.25">
      <c r="B96" s="79">
        <v>0</v>
      </c>
      <c r="C96" s="79">
        <v>0</v>
      </c>
    </row>
    <row r="97" spans="2:3" x14ac:dyDescent="0.25">
      <c r="B97" s="79">
        <v>0</v>
      </c>
      <c r="C97" s="79">
        <v>0</v>
      </c>
    </row>
    <row r="98" spans="2:3" x14ac:dyDescent="0.25">
      <c r="B98" s="79">
        <v>0</v>
      </c>
      <c r="C98" s="79">
        <v>0</v>
      </c>
    </row>
    <row r="99" spans="2:3" x14ac:dyDescent="0.25">
      <c r="B99" s="79">
        <v>0</v>
      </c>
      <c r="C99" s="79">
        <v>0</v>
      </c>
    </row>
    <row r="100" spans="2:3" x14ac:dyDescent="0.25">
      <c r="B100" s="79">
        <v>0</v>
      </c>
      <c r="C100" s="79">
        <v>0</v>
      </c>
    </row>
    <row r="101" spans="2:3" x14ac:dyDescent="0.25">
      <c r="B101" s="79">
        <v>0</v>
      </c>
      <c r="C101" s="79">
        <v>0</v>
      </c>
    </row>
    <row r="102" spans="2:3" x14ac:dyDescent="0.25">
      <c r="B102" s="79">
        <v>0</v>
      </c>
      <c r="C102" s="79">
        <v>0</v>
      </c>
    </row>
    <row r="103" spans="2:3" x14ac:dyDescent="0.25">
      <c r="B103" s="79">
        <v>0</v>
      </c>
      <c r="C103" s="79">
        <v>0</v>
      </c>
    </row>
    <row r="104" spans="2:3" x14ac:dyDescent="0.25">
      <c r="B104" s="79">
        <v>0</v>
      </c>
      <c r="C104" s="79">
        <v>0</v>
      </c>
    </row>
    <row r="105" spans="2:3" x14ac:dyDescent="0.25">
      <c r="B105" s="79">
        <v>0</v>
      </c>
      <c r="C105" s="79">
        <v>0</v>
      </c>
    </row>
    <row r="106" spans="2:3" x14ac:dyDescent="0.25">
      <c r="B106" s="79">
        <v>0</v>
      </c>
      <c r="C106" s="79">
        <v>0</v>
      </c>
    </row>
    <row r="107" spans="2:3" x14ac:dyDescent="0.25">
      <c r="B107" s="79">
        <v>0</v>
      </c>
      <c r="C107" s="79">
        <v>0</v>
      </c>
    </row>
    <row r="108" spans="2:3" x14ac:dyDescent="0.25">
      <c r="B108" s="79">
        <v>0</v>
      </c>
      <c r="C108" s="79">
        <v>0</v>
      </c>
    </row>
    <row r="109" spans="2:3" x14ac:dyDescent="0.25">
      <c r="B109" s="79">
        <v>0</v>
      </c>
      <c r="C109" s="79">
        <v>0</v>
      </c>
    </row>
    <row r="110" spans="2:3" x14ac:dyDescent="0.25">
      <c r="B110" s="79">
        <v>0</v>
      </c>
      <c r="C110" s="79">
        <v>0</v>
      </c>
    </row>
    <row r="111" spans="2:3" x14ac:dyDescent="0.25">
      <c r="B111" s="79">
        <v>0</v>
      </c>
      <c r="C111" s="79">
        <v>0</v>
      </c>
    </row>
    <row r="112" spans="2:3" x14ac:dyDescent="0.25">
      <c r="B112" s="79">
        <v>0</v>
      </c>
      <c r="C112" s="79">
        <v>0</v>
      </c>
    </row>
    <row r="113" spans="2:3" x14ac:dyDescent="0.25">
      <c r="B113" s="79">
        <v>0</v>
      </c>
      <c r="C113" s="79">
        <v>0</v>
      </c>
    </row>
    <row r="114" spans="2:3" x14ac:dyDescent="0.25">
      <c r="B114" s="79">
        <v>0</v>
      </c>
      <c r="C114" s="79">
        <v>0</v>
      </c>
    </row>
    <row r="115" spans="2:3" x14ac:dyDescent="0.25">
      <c r="B115" s="79">
        <v>0</v>
      </c>
      <c r="C115" s="79">
        <v>0</v>
      </c>
    </row>
    <row r="116" spans="2:3" x14ac:dyDescent="0.25">
      <c r="B116" s="79">
        <v>0</v>
      </c>
      <c r="C116" s="79">
        <v>0</v>
      </c>
    </row>
    <row r="117" spans="2:3" x14ac:dyDescent="0.25">
      <c r="B117" s="79">
        <v>0</v>
      </c>
      <c r="C117" s="79">
        <v>0</v>
      </c>
    </row>
    <row r="118" spans="2:3" x14ac:dyDescent="0.25">
      <c r="B118" s="79">
        <v>0</v>
      </c>
      <c r="C118" s="79">
        <v>0</v>
      </c>
    </row>
    <row r="119" spans="2:3" x14ac:dyDescent="0.25">
      <c r="B119" s="79">
        <v>0</v>
      </c>
      <c r="C119" s="79">
        <v>0</v>
      </c>
    </row>
    <row r="120" spans="2:3" x14ac:dyDescent="0.25">
      <c r="B120" s="79">
        <v>0</v>
      </c>
      <c r="C120" s="79">
        <v>0</v>
      </c>
    </row>
    <row r="121" spans="2:3" x14ac:dyDescent="0.25">
      <c r="B121" s="79">
        <v>0</v>
      </c>
      <c r="C121" s="79">
        <v>0</v>
      </c>
    </row>
    <row r="122" spans="2:3" x14ac:dyDescent="0.25">
      <c r="B122" s="79">
        <v>0</v>
      </c>
      <c r="C122" s="79">
        <v>0</v>
      </c>
    </row>
    <row r="123" spans="2:3" x14ac:dyDescent="0.25">
      <c r="B123" s="79">
        <v>0</v>
      </c>
      <c r="C123" s="79">
        <v>0</v>
      </c>
    </row>
    <row r="124" spans="2:3" x14ac:dyDescent="0.25">
      <c r="B124" s="79">
        <v>0</v>
      </c>
      <c r="C124" s="79">
        <v>0</v>
      </c>
    </row>
    <row r="125" spans="2:3" x14ac:dyDescent="0.25">
      <c r="B125" s="79">
        <v>0</v>
      </c>
      <c r="C125" s="79">
        <v>0</v>
      </c>
    </row>
    <row r="126" spans="2:3" x14ac:dyDescent="0.25">
      <c r="B126" s="79">
        <v>0</v>
      </c>
      <c r="C126" s="79">
        <v>0</v>
      </c>
    </row>
    <row r="127" spans="2:3" x14ac:dyDescent="0.25">
      <c r="B127" s="79">
        <v>0</v>
      </c>
      <c r="C127" s="79">
        <v>0</v>
      </c>
    </row>
    <row r="128" spans="2:3" x14ac:dyDescent="0.25">
      <c r="B128" s="79">
        <v>0</v>
      </c>
      <c r="C128" s="79">
        <v>0</v>
      </c>
    </row>
    <row r="129" spans="2:3" x14ac:dyDescent="0.25">
      <c r="B129" s="79">
        <v>0</v>
      </c>
      <c r="C129" s="79">
        <v>0</v>
      </c>
    </row>
    <row r="130" spans="2:3" x14ac:dyDescent="0.25">
      <c r="B130" s="79">
        <v>0</v>
      </c>
      <c r="C130" s="79">
        <v>0</v>
      </c>
    </row>
    <row r="131" spans="2:3" x14ac:dyDescent="0.25">
      <c r="B131" s="79">
        <v>0</v>
      </c>
      <c r="C131" s="79">
        <v>0</v>
      </c>
    </row>
    <row r="132" spans="2:3" x14ac:dyDescent="0.25">
      <c r="B132" s="79">
        <v>0</v>
      </c>
      <c r="C132" s="79">
        <v>0</v>
      </c>
    </row>
    <row r="133" spans="2:3" x14ac:dyDescent="0.25">
      <c r="B133" s="79">
        <v>0</v>
      </c>
      <c r="C133" s="79">
        <v>0</v>
      </c>
    </row>
    <row r="134" spans="2:3" x14ac:dyDescent="0.25">
      <c r="B134" s="79">
        <v>0</v>
      </c>
      <c r="C134" s="79">
        <v>0</v>
      </c>
    </row>
    <row r="135" spans="2:3" x14ac:dyDescent="0.25">
      <c r="B135" s="79">
        <v>0</v>
      </c>
      <c r="C135" s="79">
        <v>0</v>
      </c>
    </row>
    <row r="136" spans="2:3" x14ac:dyDescent="0.25">
      <c r="B136" s="79">
        <v>0</v>
      </c>
      <c r="C136" s="79">
        <v>0</v>
      </c>
    </row>
    <row r="137" spans="2:3" x14ac:dyDescent="0.25">
      <c r="B137" s="79">
        <v>0</v>
      </c>
      <c r="C137" s="79">
        <v>0</v>
      </c>
    </row>
    <row r="138" spans="2:3" x14ac:dyDescent="0.25">
      <c r="B138" s="79">
        <v>0</v>
      </c>
      <c r="C138" s="79">
        <v>0</v>
      </c>
    </row>
    <row r="139" spans="2:3" x14ac:dyDescent="0.25">
      <c r="B139" s="79">
        <v>0</v>
      </c>
      <c r="C139" s="79">
        <v>0</v>
      </c>
    </row>
    <row r="140" spans="2:3" x14ac:dyDescent="0.25">
      <c r="B140" s="79">
        <v>0</v>
      </c>
      <c r="C140" s="79">
        <v>0</v>
      </c>
    </row>
    <row r="141" spans="2:3" x14ac:dyDescent="0.25">
      <c r="B141" s="79">
        <v>0</v>
      </c>
      <c r="C141" s="79">
        <v>0</v>
      </c>
    </row>
    <row r="142" spans="2:3" x14ac:dyDescent="0.25">
      <c r="B142" s="79">
        <v>0</v>
      </c>
      <c r="C142" s="79">
        <v>0</v>
      </c>
    </row>
    <row r="143" spans="2:3" x14ac:dyDescent="0.25">
      <c r="B143" s="79">
        <v>0</v>
      </c>
      <c r="C143" s="79">
        <v>0</v>
      </c>
    </row>
    <row r="144" spans="2:3" x14ac:dyDescent="0.25">
      <c r="B144" s="79">
        <v>0</v>
      </c>
      <c r="C144" s="79">
        <v>0</v>
      </c>
    </row>
    <row r="145" spans="2:3" x14ac:dyDescent="0.25">
      <c r="B145" s="79">
        <v>0</v>
      </c>
      <c r="C145" s="79">
        <v>0</v>
      </c>
    </row>
    <row r="146" spans="2:3" x14ac:dyDescent="0.25">
      <c r="B146" s="79">
        <v>0</v>
      </c>
      <c r="C146" s="79">
        <v>0</v>
      </c>
    </row>
    <row r="147" spans="2:3" x14ac:dyDescent="0.25">
      <c r="B147" s="79">
        <v>0</v>
      </c>
      <c r="C147" s="79">
        <v>0</v>
      </c>
    </row>
    <row r="148" spans="2:3" x14ac:dyDescent="0.25">
      <c r="B148" s="79">
        <v>0</v>
      </c>
      <c r="C148" s="79">
        <v>0</v>
      </c>
    </row>
    <row r="149" spans="2:3" x14ac:dyDescent="0.25">
      <c r="B149" s="79">
        <v>0</v>
      </c>
      <c r="C149" s="79">
        <v>0</v>
      </c>
    </row>
    <row r="150" spans="2:3" x14ac:dyDescent="0.25">
      <c r="B150" s="79">
        <v>0</v>
      </c>
      <c r="C150" s="79">
        <v>0</v>
      </c>
    </row>
    <row r="151" spans="2:3" x14ac:dyDescent="0.25">
      <c r="B151" s="79">
        <v>0</v>
      </c>
      <c r="C151" s="79">
        <v>0</v>
      </c>
    </row>
    <row r="152" spans="2:3" x14ac:dyDescent="0.25">
      <c r="B152" s="79">
        <v>0</v>
      </c>
      <c r="C152" s="79">
        <v>0</v>
      </c>
    </row>
    <row r="153" spans="2:3" x14ac:dyDescent="0.25">
      <c r="B153" s="79">
        <v>0</v>
      </c>
      <c r="C153" s="79">
        <v>0</v>
      </c>
    </row>
    <row r="154" spans="2:3" x14ac:dyDescent="0.25">
      <c r="B154" s="79">
        <v>0</v>
      </c>
      <c r="C154" s="79">
        <v>0</v>
      </c>
    </row>
    <row r="155" spans="2:3" x14ac:dyDescent="0.25">
      <c r="B155" s="79">
        <v>0</v>
      </c>
      <c r="C155" s="79">
        <v>0</v>
      </c>
    </row>
    <row r="156" spans="2:3" x14ac:dyDescent="0.25">
      <c r="B156" s="79">
        <v>0</v>
      </c>
      <c r="C156" s="79">
        <v>0</v>
      </c>
    </row>
    <row r="157" spans="2:3" x14ac:dyDescent="0.25">
      <c r="B157" s="79">
        <v>0</v>
      </c>
      <c r="C157" s="79">
        <v>0</v>
      </c>
    </row>
    <row r="158" spans="2:3" x14ac:dyDescent="0.25">
      <c r="B158" s="79">
        <v>0</v>
      </c>
      <c r="C158" s="79">
        <v>0</v>
      </c>
    </row>
    <row r="159" spans="2:3" x14ac:dyDescent="0.25">
      <c r="B159" s="79">
        <v>0</v>
      </c>
      <c r="C159" s="79">
        <v>0</v>
      </c>
    </row>
    <row r="160" spans="2:3" x14ac:dyDescent="0.25">
      <c r="B160" s="79">
        <v>0</v>
      </c>
      <c r="C160" s="79">
        <v>0</v>
      </c>
    </row>
    <row r="161" spans="2:3" x14ac:dyDescent="0.25">
      <c r="B161" s="79">
        <v>0</v>
      </c>
      <c r="C161" s="79">
        <v>0</v>
      </c>
    </row>
    <row r="162" spans="2:3" x14ac:dyDescent="0.25">
      <c r="B162" s="79">
        <v>0</v>
      </c>
      <c r="C162" s="79">
        <v>0</v>
      </c>
    </row>
    <row r="163" spans="2:3" x14ac:dyDescent="0.25">
      <c r="B163" s="79">
        <v>0</v>
      </c>
      <c r="C163" s="79">
        <v>0</v>
      </c>
    </row>
    <row r="164" spans="2:3" x14ac:dyDescent="0.25">
      <c r="B164" s="79">
        <v>0</v>
      </c>
      <c r="C164" s="79">
        <v>0</v>
      </c>
    </row>
    <row r="165" spans="2:3" x14ac:dyDescent="0.25">
      <c r="B165" s="79">
        <v>0</v>
      </c>
      <c r="C165" s="79">
        <v>0</v>
      </c>
    </row>
    <row r="166" spans="2:3" x14ac:dyDescent="0.25">
      <c r="B166" s="79">
        <v>0</v>
      </c>
      <c r="C166" s="79">
        <v>0</v>
      </c>
    </row>
    <row r="167" spans="2:3" x14ac:dyDescent="0.25">
      <c r="B167" s="79">
        <v>0</v>
      </c>
      <c r="C167" s="79">
        <v>0</v>
      </c>
    </row>
    <row r="168" spans="2:3" x14ac:dyDescent="0.25">
      <c r="B168" s="79">
        <v>0</v>
      </c>
      <c r="C168" s="79">
        <v>0</v>
      </c>
    </row>
    <row r="169" spans="2:3" x14ac:dyDescent="0.25">
      <c r="B169" s="79">
        <v>0</v>
      </c>
      <c r="C169" s="79">
        <v>0</v>
      </c>
    </row>
    <row r="170" spans="2:3" x14ac:dyDescent="0.25">
      <c r="B170" s="79">
        <v>0</v>
      </c>
      <c r="C170" s="79">
        <v>0</v>
      </c>
    </row>
    <row r="171" spans="2:3" x14ac:dyDescent="0.25">
      <c r="B171" s="79">
        <v>0</v>
      </c>
      <c r="C171" s="79">
        <v>0</v>
      </c>
    </row>
    <row r="172" spans="2:3" x14ac:dyDescent="0.25">
      <c r="B172" s="79">
        <v>0</v>
      </c>
      <c r="C172" s="79">
        <v>0</v>
      </c>
    </row>
    <row r="173" spans="2:3" x14ac:dyDescent="0.25">
      <c r="B173" s="79">
        <v>0</v>
      </c>
      <c r="C173" s="79">
        <v>0</v>
      </c>
    </row>
    <row r="174" spans="2:3" x14ac:dyDescent="0.25">
      <c r="B174" s="79">
        <v>0</v>
      </c>
      <c r="C174" s="79">
        <v>0</v>
      </c>
    </row>
    <row r="175" spans="2:3" x14ac:dyDescent="0.25">
      <c r="B175" s="79">
        <v>0</v>
      </c>
      <c r="C175" s="79">
        <v>0</v>
      </c>
    </row>
    <row r="176" spans="2:3" x14ac:dyDescent="0.25">
      <c r="B176" s="79">
        <v>0</v>
      </c>
      <c r="C176" s="79">
        <v>0</v>
      </c>
    </row>
    <row r="177" spans="2:3" x14ac:dyDescent="0.25">
      <c r="B177" s="79">
        <v>0</v>
      </c>
      <c r="C177" s="79">
        <v>0</v>
      </c>
    </row>
    <row r="178" spans="2:3" x14ac:dyDescent="0.25">
      <c r="B178" s="79">
        <v>0</v>
      </c>
      <c r="C178" s="79">
        <v>0</v>
      </c>
    </row>
    <row r="179" spans="2:3" x14ac:dyDescent="0.25">
      <c r="B179" s="79">
        <v>0</v>
      </c>
      <c r="C179" s="79">
        <v>0</v>
      </c>
    </row>
    <row r="180" spans="2:3" x14ac:dyDescent="0.25">
      <c r="B180" s="79">
        <v>0</v>
      </c>
      <c r="C180" s="79">
        <v>0</v>
      </c>
    </row>
    <row r="181" spans="2:3" x14ac:dyDescent="0.25">
      <c r="B181" s="79">
        <v>0</v>
      </c>
      <c r="C181" s="79">
        <v>0</v>
      </c>
    </row>
    <row r="182" spans="2:3" x14ac:dyDescent="0.25">
      <c r="B182" s="79">
        <v>0</v>
      </c>
      <c r="C182" s="79">
        <v>0</v>
      </c>
    </row>
    <row r="183" spans="2:3" x14ac:dyDescent="0.25">
      <c r="B183" s="79">
        <v>0</v>
      </c>
      <c r="C183" s="79">
        <v>0</v>
      </c>
    </row>
    <row r="184" spans="2:3" x14ac:dyDescent="0.25">
      <c r="B184" s="79">
        <v>0</v>
      </c>
      <c r="C184" s="79">
        <v>0</v>
      </c>
    </row>
    <row r="185" spans="2:3" x14ac:dyDescent="0.25">
      <c r="B185" s="79">
        <v>0</v>
      </c>
      <c r="C185" s="79">
        <v>0</v>
      </c>
    </row>
    <row r="186" spans="2:3" x14ac:dyDescent="0.25">
      <c r="B186" s="79">
        <v>0</v>
      </c>
      <c r="C186" s="79">
        <v>0</v>
      </c>
    </row>
    <row r="187" spans="2:3" x14ac:dyDescent="0.25">
      <c r="B187" s="79">
        <v>0</v>
      </c>
      <c r="C187" s="79">
        <v>0</v>
      </c>
    </row>
    <row r="188" spans="2:3" x14ac:dyDescent="0.25">
      <c r="B188" s="79">
        <v>0</v>
      </c>
      <c r="C188" s="79">
        <v>0</v>
      </c>
    </row>
    <row r="189" spans="2:3" x14ac:dyDescent="0.25">
      <c r="B189" s="79">
        <v>0</v>
      </c>
      <c r="C189" s="79">
        <v>0</v>
      </c>
    </row>
    <row r="190" spans="2:3" x14ac:dyDescent="0.25">
      <c r="B190" s="79">
        <v>0</v>
      </c>
      <c r="C190" s="79">
        <v>0</v>
      </c>
    </row>
    <row r="191" spans="2:3" x14ac:dyDescent="0.25">
      <c r="B191" s="79">
        <v>0</v>
      </c>
      <c r="C191" s="79">
        <v>0</v>
      </c>
    </row>
    <row r="192" spans="2:3" x14ac:dyDescent="0.25">
      <c r="B192" s="79">
        <v>0</v>
      </c>
      <c r="C192" s="79">
        <v>0</v>
      </c>
    </row>
    <row r="193" spans="2:3" x14ac:dyDescent="0.25">
      <c r="B193" s="79">
        <v>0</v>
      </c>
      <c r="C193" s="79">
        <v>0</v>
      </c>
    </row>
    <row r="194" spans="2:3" x14ac:dyDescent="0.25">
      <c r="B194" s="79">
        <v>0</v>
      </c>
      <c r="C194" s="79">
        <v>0</v>
      </c>
    </row>
  </sheetData>
  <mergeCells count="3">
    <mergeCell ref="E4:J4"/>
    <mergeCell ref="L4:N4"/>
    <mergeCell ref="E13:J13"/>
  </mergeCells>
  <dataValidations disablePrompts="1" count="2">
    <dataValidation type="whole" operator="equal" allowBlank="1" showInputMessage="1" showErrorMessage="1" sqref="B6:C6" xr:uid="{642C6EBC-F1DF-4E89-9939-8AD33A12F5F1}">
      <formula1>0</formula1>
    </dataValidation>
    <dataValidation type="list" allowBlank="1" showInputMessage="1" showErrorMessage="1" sqref="B2" xr:uid="{DC94EC67-6D20-48FC-84E3-DD5AE7470440}">
      <formula1>"m,cm,mm,ft,in"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109"/>
  <sheetViews>
    <sheetView workbookViewId="0"/>
  </sheetViews>
  <sheetFormatPr defaultRowHeight="15" x14ac:dyDescent="0.25"/>
  <cols>
    <col min="2" max="2" width="60" customWidth="1"/>
    <col min="3" max="23" width="12" customWidth="1"/>
  </cols>
  <sheetData>
    <row r="1" spans="2:23" x14ac:dyDescent="0.25">
      <c r="B1" t="s">
        <v>778</v>
      </c>
    </row>
    <row r="2" spans="2:23" x14ac:dyDescent="0.25">
      <c r="B2" t="s">
        <v>779</v>
      </c>
    </row>
    <row r="3" spans="2:23" x14ac:dyDescent="0.25">
      <c r="B3" t="s">
        <v>780</v>
      </c>
    </row>
    <row r="4" spans="2:23" x14ac:dyDescent="0.25">
      <c r="B4" t="s">
        <v>1718</v>
      </c>
    </row>
    <row r="5" spans="2:23" x14ac:dyDescent="0.25">
      <c r="B5" t="s">
        <v>781</v>
      </c>
    </row>
    <row r="6" spans="2:23" x14ac:dyDescent="0.25">
      <c r="B6" t="s">
        <v>1719</v>
      </c>
    </row>
    <row r="7" spans="2:23" x14ac:dyDescent="0.25">
      <c r="B7" t="s">
        <v>1720</v>
      </c>
    </row>
    <row r="9" spans="2:23" x14ac:dyDescent="0.25">
      <c r="B9" t="s">
        <v>782</v>
      </c>
    </row>
    <row r="10" spans="2:23" x14ac:dyDescent="0.25">
      <c r="B10" t="s">
        <v>783</v>
      </c>
      <c r="C10" t="s">
        <v>443</v>
      </c>
      <c r="D10" t="s">
        <v>444</v>
      </c>
      <c r="E10" t="s">
        <v>445</v>
      </c>
      <c r="F10" t="s">
        <v>446</v>
      </c>
      <c r="G10" t="s">
        <v>447</v>
      </c>
      <c r="H10" t="s">
        <v>448</v>
      </c>
      <c r="I10" t="s">
        <v>449</v>
      </c>
      <c r="J10" t="s">
        <v>450</v>
      </c>
      <c r="K10" t="s">
        <v>451</v>
      </c>
      <c r="L10" t="s">
        <v>452</v>
      </c>
      <c r="M10" t="s">
        <v>453</v>
      </c>
      <c r="N10" t="s">
        <v>454</v>
      </c>
      <c r="O10" t="s">
        <v>455</v>
      </c>
      <c r="P10" t="s">
        <v>456</v>
      </c>
      <c r="Q10" t="s">
        <v>457</v>
      </c>
      <c r="R10" t="s">
        <v>458</v>
      </c>
      <c r="S10" t="s">
        <v>459</v>
      </c>
      <c r="T10" t="s">
        <v>460</v>
      </c>
      <c r="U10" t="s">
        <v>461</v>
      </c>
      <c r="V10" t="s">
        <v>462</v>
      </c>
      <c r="W10" t="s">
        <v>463</v>
      </c>
    </row>
    <row r="11" spans="2:23" x14ac:dyDescent="0.25">
      <c r="B11" t="s">
        <v>784</v>
      </c>
      <c r="C11">
        <f>((1-1)/20)*(Geometria!$H$21/100)</f>
        <v>0</v>
      </c>
      <c r="D11">
        <f>((2-1)/20)*(Geometria!$H$21/100)</f>
        <v>0.49100000000000005</v>
      </c>
      <c r="E11">
        <f>((3-1)/20)*(Geometria!$H$21/100)</f>
        <v>0.9820000000000001</v>
      </c>
      <c r="F11">
        <f>((4-1)/20)*(Geometria!$H$21/100)</f>
        <v>1.4730000000000001</v>
      </c>
      <c r="G11">
        <f>((5-1)/20)*(Geometria!$H$21/100)</f>
        <v>1.9640000000000002</v>
      </c>
      <c r="H11">
        <f>((6-1)/20)*(Geometria!$H$21/100)</f>
        <v>2.4550000000000001</v>
      </c>
      <c r="I11">
        <f>((7-1)/20)*(Geometria!$H$21/100)</f>
        <v>2.9460000000000002</v>
      </c>
      <c r="J11">
        <f>((8-1)/20)*(Geometria!$H$21/100)</f>
        <v>3.4369999999999998</v>
      </c>
      <c r="K11">
        <f>((9-1)/20)*(Geometria!$H$21/100)</f>
        <v>3.9280000000000004</v>
      </c>
      <c r="L11">
        <f>((10-1)/20)*(Geometria!$H$21/100)</f>
        <v>4.4190000000000005</v>
      </c>
      <c r="M11">
        <f>((11-1)/20)*(Geometria!$H$21/100)</f>
        <v>4.91</v>
      </c>
      <c r="N11">
        <f>((12-1)/20)*(Geometria!$H$21/100)</f>
        <v>5.4010000000000007</v>
      </c>
      <c r="O11">
        <f>((13-1)/20)*(Geometria!$H$21/100)</f>
        <v>5.8920000000000003</v>
      </c>
      <c r="P11">
        <f>((14-1)/20)*(Geometria!$H$21/100)</f>
        <v>6.383</v>
      </c>
      <c r="Q11">
        <f>((15-1)/20)*(Geometria!$H$21/100)</f>
        <v>6.8739999999999997</v>
      </c>
      <c r="R11">
        <f>((16-1)/20)*(Geometria!$H$21/100)</f>
        <v>7.3650000000000002</v>
      </c>
      <c r="S11">
        <f>((17-1)/20)*(Geometria!$H$21/100)</f>
        <v>7.8560000000000008</v>
      </c>
      <c r="T11">
        <f>((18-1)/20)*(Geometria!$H$21/100)</f>
        <v>8.3469999999999995</v>
      </c>
      <c r="U11">
        <f>((19-1)/20)*(Geometria!$H$21/100)</f>
        <v>8.838000000000001</v>
      </c>
      <c r="V11">
        <f>((20-1)/20)*(Geometria!$H$21/100)</f>
        <v>9.3290000000000006</v>
      </c>
      <c r="W11">
        <f>((21-1)/20)*(Geometria!$H$21/100)</f>
        <v>9.82</v>
      </c>
    </row>
    <row r="12" spans="2:23" x14ac:dyDescent="0.25">
      <c r="B12" t="s">
        <v>785</v>
      </c>
      <c r="C12">
        <f t="shared" ref="C12:W12" si="0">C11*100</f>
        <v>0</v>
      </c>
      <c r="D12">
        <f t="shared" si="0"/>
        <v>49.1</v>
      </c>
      <c r="E12">
        <f t="shared" si="0"/>
        <v>98.2</v>
      </c>
      <c r="F12">
        <f t="shared" si="0"/>
        <v>147.30000000000001</v>
      </c>
      <c r="G12">
        <f t="shared" si="0"/>
        <v>196.4</v>
      </c>
      <c r="H12">
        <f t="shared" si="0"/>
        <v>245.5</v>
      </c>
      <c r="I12">
        <f t="shared" si="0"/>
        <v>294.60000000000002</v>
      </c>
      <c r="J12">
        <f t="shared" si="0"/>
        <v>343.7</v>
      </c>
      <c r="K12">
        <f t="shared" si="0"/>
        <v>392.8</v>
      </c>
      <c r="L12">
        <f t="shared" si="0"/>
        <v>441.90000000000003</v>
      </c>
      <c r="M12">
        <f t="shared" si="0"/>
        <v>491</v>
      </c>
      <c r="N12">
        <f t="shared" si="0"/>
        <v>540.1</v>
      </c>
      <c r="O12">
        <f t="shared" si="0"/>
        <v>589.20000000000005</v>
      </c>
      <c r="P12">
        <f t="shared" si="0"/>
        <v>638.29999999999995</v>
      </c>
      <c r="Q12">
        <f t="shared" si="0"/>
        <v>687.4</v>
      </c>
      <c r="R12">
        <f t="shared" si="0"/>
        <v>736.5</v>
      </c>
      <c r="S12">
        <f t="shared" si="0"/>
        <v>785.6</v>
      </c>
      <c r="T12">
        <f t="shared" si="0"/>
        <v>834.69999999999993</v>
      </c>
      <c r="U12">
        <f t="shared" si="0"/>
        <v>883.80000000000007</v>
      </c>
      <c r="V12">
        <f t="shared" si="0"/>
        <v>932.90000000000009</v>
      </c>
      <c r="W12">
        <f t="shared" si="0"/>
        <v>982</v>
      </c>
    </row>
    <row r="14" spans="2:23" x14ac:dyDescent="0.25">
      <c r="B14" t="s">
        <v>786</v>
      </c>
    </row>
    <row r="15" spans="2:23" x14ac:dyDescent="0.25">
      <c r="B15" t="s">
        <v>787</v>
      </c>
      <c r="C15">
        <f ca="1">(Geometria!$I73*(Geometria!$H$21/100)*C$11/2)-(Geometria!$I73*C$11^2/2)</f>
        <v>0</v>
      </c>
      <c r="D15">
        <f ca="1">(Geometria!$I73*(Geometria!$H$21/100)*D$11/2)-(Geometria!$I73*D$11^2/2)</f>
        <v>8.9256563754112204</v>
      </c>
      <c r="E15">
        <f ca="1">(Geometria!$I73*(Geometria!$H$21/100)*E$11/2)-(Geometria!$I73*E$11^2/2)</f>
        <v>16.911769974463365</v>
      </c>
      <c r="F15">
        <f ca="1">(Geometria!$I73*(Geometria!$H$21/100)*F$11/2)-(Geometria!$I73*F$11^2/2)</f>
        <v>23.958340797156435</v>
      </c>
      <c r="G15">
        <f ca="1">(Geometria!$I73*(Geometria!$H$21/100)*G$11/2)-(Geometria!$I73*G$11^2/2)</f>
        <v>30.065368843490425</v>
      </c>
      <c r="H15">
        <f ca="1">(Geometria!$I73*(Geometria!$H$21/100)*H$11/2)-(Geometria!$I73*H$11^2/2)</f>
        <v>35.232854113465351</v>
      </c>
      <c r="I15">
        <f ca="1">(Geometria!$I73*(Geometria!$H$21/100)*I$11/2)-(Geometria!$I73*I$11^2/2)</f>
        <v>39.460796607081193</v>
      </c>
      <c r="J15">
        <f ca="1">(Geometria!$I73*(Geometria!$H$21/100)*J$11/2)-(Geometria!$I73*J$11^2/2)</f>
        <v>42.749196324337959</v>
      </c>
      <c r="K15">
        <f ca="1">(Geometria!$I73*(Geometria!$H$21/100)*K$11/2)-(Geometria!$I73*K$11^2/2)</f>
        <v>45.098053265235635</v>
      </c>
      <c r="L15">
        <f ca="1">(Geometria!$I73*(Geometria!$H$21/100)*L$11/2)-(Geometria!$I73*L$11^2/2)</f>
        <v>46.507367429774249</v>
      </c>
      <c r="M15">
        <f ca="1">(Geometria!$I73*(Geometria!$H$21/100)*M$11/2)-(Geometria!$I73*M$11^2/2)</f>
        <v>46.977138817953801</v>
      </c>
      <c r="N15">
        <f ca="1">(Geometria!$I73*(Geometria!$H$21/100)*N$11/2)-(Geometria!$I73*N$11^2/2)</f>
        <v>46.507367429774256</v>
      </c>
      <c r="O15">
        <f ca="1">(Geometria!$I73*(Geometria!$H$21/100)*O$11/2)-(Geometria!$I73*O$11^2/2)</f>
        <v>45.098053265235649</v>
      </c>
      <c r="P15">
        <f ca="1">(Geometria!$I73*(Geometria!$H$21/100)*P$11/2)-(Geometria!$I73*P$11^2/2)</f>
        <v>42.749196324337959</v>
      </c>
      <c r="Q15">
        <f ca="1">(Geometria!$I73*(Geometria!$H$21/100)*Q$11/2)-(Geometria!$I73*Q$11^2/2)</f>
        <v>39.460796607081207</v>
      </c>
      <c r="R15">
        <f ca="1">(Geometria!$I73*(Geometria!$H$21/100)*R$11/2)-(Geometria!$I73*R$11^2/2)</f>
        <v>35.232854113465351</v>
      </c>
      <c r="S15">
        <f ca="1">(Geometria!$I73*(Geometria!$H$21/100)*S$11/2)-(Geometria!$I73*S$11^2/2)</f>
        <v>30.065368843490418</v>
      </c>
      <c r="T15">
        <f ca="1">(Geometria!$I73*(Geometria!$H$21/100)*T$11/2)-(Geometria!$I73*T$11^2/2)</f>
        <v>23.958340797156467</v>
      </c>
      <c r="U15">
        <f ca="1">(Geometria!$I73*(Geometria!$H$21/100)*U$11/2)-(Geometria!$I73*U$11^2/2)</f>
        <v>16.91176997446334</v>
      </c>
      <c r="V15">
        <f ca="1">(Geometria!$I73*(Geometria!$H$21/100)*V$11/2)-(Geometria!$I73*V$11^2/2)</f>
        <v>8.9256563754112221</v>
      </c>
      <c r="W15">
        <f ca="1">(Geometria!$I73*(Geometria!$H$21/100)*W$11/2)-(Geometria!$I73*W$11^2/2)</f>
        <v>0</v>
      </c>
    </row>
    <row r="16" spans="2:23" x14ac:dyDescent="0.25">
      <c r="B16" t="s">
        <v>788</v>
      </c>
      <c r="C16">
        <f ca="1">(Geometria!$I74*(Geometria!$H$21/100)*C$11/2)-(Geometria!$I74*C$11^2/2)</f>
        <v>0</v>
      </c>
      <c r="D16">
        <f ca="1">(Geometria!$I74*(Geometria!$H$21/100)*D$11/2)-(Geometria!$I74*D$11^2/2)</f>
        <v>0.44672279164875012</v>
      </c>
      <c r="E16">
        <f ca="1">(Geometria!$I74*(Geometria!$H$21/100)*E$11/2)-(Geometria!$I74*E$11^2/2)</f>
        <v>0.84642213154500023</v>
      </c>
      <c r="F16">
        <f ca="1">(Geometria!$I74*(Geometria!$H$21/100)*F$11/2)-(Geometria!$I74*F$11^2/2)</f>
        <v>1.1990980196887502</v>
      </c>
      <c r="G16">
        <f ca="1">(Geometria!$I74*(Geometria!$H$21/100)*G$11/2)-(Geometria!$I74*G$11^2/2)</f>
        <v>1.5047504560800005</v>
      </c>
      <c r="H16">
        <f ca="1">(Geometria!$I74*(Geometria!$H$21/100)*H$11/2)-(Geometria!$I74*H$11^2/2)</f>
        <v>1.7633794407187502</v>
      </c>
      <c r="I16">
        <f ca="1">(Geometria!$I74*(Geometria!$H$21/100)*I$11/2)-(Geometria!$I74*I$11^2/2)</f>
        <v>1.9749849736050002</v>
      </c>
      <c r="J16">
        <f ca="1">(Geometria!$I74*(Geometria!$H$21/100)*J$11/2)-(Geometria!$I74*J$11^2/2)</f>
        <v>2.13956705473875</v>
      </c>
      <c r="K16">
        <f ca="1">(Geometria!$I74*(Geometria!$H$21/100)*K$11/2)-(Geometria!$I74*K$11^2/2)</f>
        <v>2.2571256841200005</v>
      </c>
      <c r="L16">
        <f ca="1">(Geometria!$I74*(Geometria!$H$21/100)*L$11/2)-(Geometria!$I74*L$11^2/2)</f>
        <v>2.3276608617487504</v>
      </c>
      <c r="M16">
        <f ca="1">(Geometria!$I74*(Geometria!$H$21/100)*M$11/2)-(Geometria!$I74*M$11^2/2)</f>
        <v>2.3511725876250003</v>
      </c>
      <c r="N16">
        <f ca="1">(Geometria!$I74*(Geometria!$H$21/100)*N$11/2)-(Geometria!$I74*N$11^2/2)</f>
        <v>2.3276608617487504</v>
      </c>
      <c r="O16">
        <f ca="1">(Geometria!$I74*(Geometria!$H$21/100)*O$11/2)-(Geometria!$I74*O$11^2/2)</f>
        <v>2.2571256841200005</v>
      </c>
      <c r="P16">
        <f ca="1">(Geometria!$I74*(Geometria!$H$21/100)*P$11/2)-(Geometria!$I74*P$11^2/2)</f>
        <v>2.1395670547387509</v>
      </c>
      <c r="Q16">
        <f ca="1">(Geometria!$I74*(Geometria!$H$21/100)*Q$11/2)-(Geometria!$I74*Q$11^2/2)</f>
        <v>1.9749849736050002</v>
      </c>
      <c r="R16">
        <f ca="1">(Geometria!$I74*(Geometria!$H$21/100)*R$11/2)-(Geometria!$I74*R$11^2/2)</f>
        <v>1.7633794407187509</v>
      </c>
      <c r="S16">
        <f ca="1">(Geometria!$I74*(Geometria!$H$21/100)*S$11/2)-(Geometria!$I74*S$11^2/2)</f>
        <v>1.50475045608</v>
      </c>
      <c r="T16">
        <f ca="1">(Geometria!$I74*(Geometria!$H$21/100)*T$11/2)-(Geometria!$I74*T$11^2/2)</f>
        <v>1.1990980196887522</v>
      </c>
      <c r="U16">
        <f ca="1">(Geometria!$I74*(Geometria!$H$21/100)*U$11/2)-(Geometria!$I74*U$11^2/2)</f>
        <v>0.84642213154499935</v>
      </c>
      <c r="V16">
        <f ca="1">(Geometria!$I74*(Geometria!$H$21/100)*V$11/2)-(Geometria!$I74*V$11^2/2)</f>
        <v>0.44672279164874951</v>
      </c>
      <c r="W16">
        <f ca="1">(Geometria!$I74*(Geometria!$H$21/100)*W$11/2)-(Geometria!$I74*W$11^2/2)</f>
        <v>0</v>
      </c>
    </row>
    <row r="17" spans="2:23" x14ac:dyDescent="0.25">
      <c r="B17" t="s">
        <v>789</v>
      </c>
      <c r="C17">
        <f>(Geometria!$I75*(Geometria!$H$21/100)*C$11/2)-(Geometria!$I75*C$11^2/2)</f>
        <v>0</v>
      </c>
      <c r="D17">
        <f>(Geometria!$I75*(Geometria!$H$21/100)*D$11/2)-(Geometria!$I75*D$11^2/2)</f>
        <v>5.0099645312500005</v>
      </c>
      <c r="E17">
        <f>(Geometria!$I75*(Geometria!$H$21/100)*E$11/2)-(Geometria!$I75*E$11^2/2)</f>
        <v>9.4925643750000006</v>
      </c>
      <c r="F17">
        <f>(Geometria!$I75*(Geometria!$H$21/100)*F$11/2)-(Geometria!$I75*F$11^2/2)</f>
        <v>13.44779953125</v>
      </c>
      <c r="G17">
        <f>(Geometria!$I75*(Geometria!$H$21/100)*G$11/2)-(Geometria!$I75*G$11^2/2)</f>
        <v>16.875670000000003</v>
      </c>
      <c r="H17">
        <f>(Geometria!$I75*(Geometria!$H$21/100)*H$11/2)-(Geometria!$I75*H$11^2/2)</f>
        <v>19.77617578125</v>
      </c>
      <c r="I17">
        <f>(Geometria!$I75*(Geometria!$H$21/100)*I$11/2)-(Geometria!$I75*I$11^2/2)</f>
        <v>22.149316875</v>
      </c>
      <c r="J17">
        <f>(Geometria!$I75*(Geometria!$H$21/100)*J$11/2)-(Geometria!$I75*J$11^2/2)</f>
        <v>23.995093281249996</v>
      </c>
      <c r="K17">
        <f>(Geometria!$I75*(Geometria!$H$21/100)*K$11/2)-(Geometria!$I75*K$11^2/2)</f>
        <v>25.313505000000003</v>
      </c>
      <c r="L17">
        <f>(Geometria!$I75*(Geometria!$H$21/100)*L$11/2)-(Geometria!$I75*L$11^2/2)</f>
        <v>26.104552031249998</v>
      </c>
      <c r="M17">
        <f>(Geometria!$I75*(Geometria!$H$21/100)*M$11/2)-(Geometria!$I75*M$11^2/2)</f>
        <v>26.368234375</v>
      </c>
      <c r="N17">
        <f>(Geometria!$I75*(Geometria!$H$21/100)*N$11/2)-(Geometria!$I75*N$11^2/2)</f>
        <v>26.104552031249995</v>
      </c>
      <c r="O17">
        <f>(Geometria!$I75*(Geometria!$H$21/100)*O$11/2)-(Geometria!$I75*O$11^2/2)</f>
        <v>25.313504999999999</v>
      </c>
      <c r="P17">
        <f>(Geometria!$I75*(Geometria!$H$21/100)*P$11/2)-(Geometria!$I75*P$11^2/2)</f>
        <v>23.995093281249993</v>
      </c>
      <c r="Q17">
        <f>(Geometria!$I75*(Geometria!$H$21/100)*Q$11/2)-(Geometria!$I75*Q$11^2/2)</f>
        <v>22.149316874999997</v>
      </c>
      <c r="R17">
        <f>(Geometria!$I75*(Geometria!$H$21/100)*R$11/2)-(Geometria!$I75*R$11^2/2)</f>
        <v>19.776175781249997</v>
      </c>
      <c r="S17">
        <f>(Geometria!$I75*(Geometria!$H$21/100)*S$11/2)-(Geometria!$I75*S$11^2/2)</f>
        <v>16.87567</v>
      </c>
      <c r="T17">
        <f>(Geometria!$I75*(Geometria!$H$21/100)*T$11/2)-(Geometria!$I75*T$11^2/2)</f>
        <v>13.447799531250013</v>
      </c>
      <c r="U17">
        <f>(Geometria!$I75*(Geometria!$H$21/100)*U$11/2)-(Geometria!$I75*U$11^2/2)</f>
        <v>9.4925643749999864</v>
      </c>
      <c r="V17">
        <f>(Geometria!$I75*(Geometria!$H$21/100)*V$11/2)-(Geometria!$I75*V$11^2/2)</f>
        <v>5.0099645312499774</v>
      </c>
      <c r="W17">
        <f>(Geometria!$I75*(Geometria!$H$21/100)*W$11/2)-(Geometria!$I75*W$11^2/2)</f>
        <v>0</v>
      </c>
    </row>
    <row r="18" spans="2:23" x14ac:dyDescent="0.25">
      <c r="B18" t="s">
        <v>790</v>
      </c>
      <c r="C18">
        <f>(Geometria!$I76*(Geometria!$H$21/100)*C$11/2)-(Geometria!$I76*C$11^2/2)</f>
        <v>0</v>
      </c>
      <c r="D18">
        <f>(Geometria!$I76*(Geometria!$H$21/100)*D$11/2)-(Geometria!$I76*D$11^2/2)</f>
        <v>8.5885106250000014</v>
      </c>
      <c r="E18">
        <f>(Geometria!$I76*(Geometria!$H$21/100)*E$11/2)-(Geometria!$I76*E$11^2/2)</f>
        <v>16.2729675</v>
      </c>
      <c r="F18">
        <f>(Geometria!$I76*(Geometria!$H$21/100)*F$11/2)-(Geometria!$I76*F$11^2/2)</f>
        <v>23.053370625000007</v>
      </c>
      <c r="G18">
        <f>(Geometria!$I76*(Geometria!$H$21/100)*G$11/2)-(Geometria!$I76*G$11^2/2)</f>
        <v>28.929720000000003</v>
      </c>
      <c r="H18">
        <f>(Geometria!$I76*(Geometria!$H$21/100)*H$11/2)-(Geometria!$I76*H$11^2/2)</f>
        <v>33.902015625000004</v>
      </c>
      <c r="I18">
        <f>(Geometria!$I76*(Geometria!$H$21/100)*I$11/2)-(Geometria!$I76*I$11^2/2)</f>
        <v>37.97025750000001</v>
      </c>
      <c r="J18">
        <f>(Geometria!$I76*(Geometria!$H$21/100)*J$11/2)-(Geometria!$I76*J$11^2/2)</f>
        <v>41.134445625000005</v>
      </c>
      <c r="K18">
        <f>(Geometria!$I76*(Geometria!$H$21/100)*K$11/2)-(Geometria!$I76*K$11^2/2)</f>
        <v>43.394580000000005</v>
      </c>
      <c r="L18">
        <f>(Geometria!$I76*(Geometria!$H$21/100)*L$11/2)-(Geometria!$I76*L$11^2/2)</f>
        <v>44.750660625000009</v>
      </c>
      <c r="M18">
        <f>(Geometria!$I76*(Geometria!$H$21/100)*M$11/2)-(Geometria!$I76*M$11^2/2)</f>
        <v>45.202687500000003</v>
      </c>
      <c r="N18">
        <f>(Geometria!$I76*(Geometria!$H$21/100)*N$11/2)-(Geometria!$I76*N$11^2/2)</f>
        <v>44.750660625000002</v>
      </c>
      <c r="O18">
        <f>(Geometria!$I76*(Geometria!$H$21/100)*O$11/2)-(Geometria!$I76*O$11^2/2)</f>
        <v>43.394580000000019</v>
      </c>
      <c r="P18">
        <f>(Geometria!$I76*(Geometria!$H$21/100)*P$11/2)-(Geometria!$I76*P$11^2/2)</f>
        <v>41.134445625000012</v>
      </c>
      <c r="Q18">
        <f>(Geometria!$I76*(Geometria!$H$21/100)*Q$11/2)-(Geometria!$I76*Q$11^2/2)</f>
        <v>37.970257500000017</v>
      </c>
      <c r="R18">
        <f>(Geometria!$I76*(Geometria!$H$21/100)*R$11/2)-(Geometria!$I76*R$11^2/2)</f>
        <v>33.902015625000018</v>
      </c>
      <c r="S18">
        <f>(Geometria!$I76*(Geometria!$H$21/100)*S$11/2)-(Geometria!$I76*S$11^2/2)</f>
        <v>28.929719999999989</v>
      </c>
      <c r="T18">
        <f>(Geometria!$I76*(Geometria!$H$21/100)*T$11/2)-(Geometria!$I76*T$11^2/2)</f>
        <v>23.053370625000042</v>
      </c>
      <c r="U18">
        <f>(Geometria!$I76*(Geometria!$H$21/100)*U$11/2)-(Geometria!$I76*U$11^2/2)</f>
        <v>16.272967499999993</v>
      </c>
      <c r="V18">
        <f>(Geometria!$I76*(Geometria!$H$21/100)*V$11/2)-(Geometria!$I76*V$11^2/2)</f>
        <v>8.5885106249999694</v>
      </c>
      <c r="W18">
        <f>(Geometria!$I76*(Geometria!$H$21/100)*W$11/2)-(Geometria!$I76*W$11^2/2)</f>
        <v>0</v>
      </c>
    </row>
    <row r="19" spans="2:23" x14ac:dyDescent="0.25">
      <c r="B19" t="s">
        <v>791</v>
      </c>
      <c r="C19">
        <f>(Geometria!$I77*(Geometria!$H$21/100)*C$11/2)-(Geometria!$I77*C$11^2/2)</f>
        <v>0</v>
      </c>
      <c r="D19">
        <f>(Geometria!$I77*(Geometria!$H$21/100)*D$11/2)-(Geometria!$I77*D$11^2/2)</f>
        <v>0</v>
      </c>
      <c r="E19">
        <f>(Geometria!$I77*(Geometria!$H$21/100)*E$11/2)-(Geometria!$I77*E$11^2/2)</f>
        <v>0</v>
      </c>
      <c r="F19">
        <f>(Geometria!$I77*(Geometria!$H$21/100)*F$11/2)-(Geometria!$I77*F$11^2/2)</f>
        <v>0</v>
      </c>
      <c r="G19">
        <f>(Geometria!$I77*(Geometria!$H$21/100)*G$11/2)-(Geometria!$I77*G$11^2/2)</f>
        <v>0</v>
      </c>
      <c r="H19">
        <f>(Geometria!$I77*(Geometria!$H$21/100)*H$11/2)-(Geometria!$I77*H$11^2/2)</f>
        <v>0</v>
      </c>
      <c r="I19">
        <f>(Geometria!$I77*(Geometria!$H$21/100)*I$11/2)-(Geometria!$I77*I$11^2/2)</f>
        <v>0</v>
      </c>
      <c r="J19">
        <f>(Geometria!$I77*(Geometria!$H$21/100)*J$11/2)-(Geometria!$I77*J$11^2/2)</f>
        <v>0</v>
      </c>
      <c r="K19">
        <f>(Geometria!$I77*(Geometria!$H$21/100)*K$11/2)-(Geometria!$I77*K$11^2/2)</f>
        <v>0</v>
      </c>
      <c r="L19">
        <f>(Geometria!$I77*(Geometria!$H$21/100)*L$11/2)-(Geometria!$I77*L$11^2/2)</f>
        <v>0</v>
      </c>
      <c r="M19">
        <f>(Geometria!$I77*(Geometria!$H$21/100)*M$11/2)-(Geometria!$I77*M$11^2/2)</f>
        <v>0</v>
      </c>
      <c r="N19">
        <f>(Geometria!$I77*(Geometria!$H$21/100)*N$11/2)-(Geometria!$I77*N$11^2/2)</f>
        <v>0</v>
      </c>
      <c r="O19">
        <f>(Geometria!$I77*(Geometria!$H$21/100)*O$11/2)-(Geometria!$I77*O$11^2/2)</f>
        <v>0</v>
      </c>
      <c r="P19">
        <f>(Geometria!$I77*(Geometria!$H$21/100)*P$11/2)-(Geometria!$I77*P$11^2/2)</f>
        <v>0</v>
      </c>
      <c r="Q19">
        <f>(Geometria!$I77*(Geometria!$H$21/100)*Q$11/2)-(Geometria!$I77*Q$11^2/2)</f>
        <v>0</v>
      </c>
      <c r="R19">
        <f>(Geometria!$I77*(Geometria!$H$21/100)*R$11/2)-(Geometria!$I77*R$11^2/2)</f>
        <v>0</v>
      </c>
      <c r="S19">
        <f>(Geometria!$I77*(Geometria!$H$21/100)*S$11/2)-(Geometria!$I77*S$11^2/2)</f>
        <v>0</v>
      </c>
      <c r="T19">
        <f>(Geometria!$I77*(Geometria!$H$21/100)*T$11/2)-(Geometria!$I77*T$11^2/2)</f>
        <v>0</v>
      </c>
      <c r="U19">
        <f>(Geometria!$I77*(Geometria!$H$21/100)*U$11/2)-(Geometria!$I77*U$11^2/2)</f>
        <v>0</v>
      </c>
      <c r="V19">
        <f>(Geometria!$I77*(Geometria!$H$21/100)*V$11/2)-(Geometria!$I77*V$11^2/2)</f>
        <v>0</v>
      </c>
      <c r="W19">
        <f>(Geometria!$I77*(Geometria!$H$21/100)*W$11/2)-(Geometria!$I77*W$11^2/2)</f>
        <v>0</v>
      </c>
    </row>
    <row r="20" spans="2:23" x14ac:dyDescent="0.25">
      <c r="B20" t="s">
        <v>792</v>
      </c>
      <c r="C20">
        <f>(Geometria!$I78*(Geometria!$H$21/100)*C$11/2)-(Geometria!$I78*C$11^2/2)</f>
        <v>0</v>
      </c>
      <c r="D20">
        <f>(Geometria!$I78*(Geometria!$H$21/100)*D$11/2)-(Geometria!$I78*D$11^2/2)</f>
        <v>10.878780125000002</v>
      </c>
      <c r="E20">
        <f>(Geometria!$I78*(Geometria!$H$21/100)*E$11/2)-(Geometria!$I78*E$11^2/2)</f>
        <v>20.612425500000004</v>
      </c>
      <c r="F20">
        <f>(Geometria!$I78*(Geometria!$H$21/100)*F$11/2)-(Geometria!$I78*F$11^2/2)</f>
        <v>29.200936125000005</v>
      </c>
      <c r="G20">
        <f>(Geometria!$I78*(Geometria!$H$21/100)*G$11/2)-(Geometria!$I78*G$11^2/2)</f>
        <v>36.644312000000006</v>
      </c>
      <c r="H20">
        <f>(Geometria!$I78*(Geometria!$H$21/100)*H$11/2)-(Geometria!$I78*H$11^2/2)</f>
        <v>42.942553125000003</v>
      </c>
      <c r="I20">
        <f>(Geometria!$I78*(Geometria!$H$21/100)*I$11/2)-(Geometria!$I78*I$11^2/2)</f>
        <v>48.095659500000011</v>
      </c>
      <c r="J20">
        <f>(Geometria!$I78*(Geometria!$H$21/100)*J$11/2)-(Geometria!$I78*J$11^2/2)</f>
        <v>52.103631125000007</v>
      </c>
      <c r="K20">
        <f>(Geometria!$I78*(Geometria!$H$21/100)*K$11/2)-(Geometria!$I78*K$11^2/2)</f>
        <v>54.966468000000013</v>
      </c>
      <c r="L20">
        <f>(Geometria!$I78*(Geometria!$H$21/100)*L$11/2)-(Geometria!$I78*L$11^2/2)</f>
        <v>56.684170125000001</v>
      </c>
      <c r="M20">
        <f>(Geometria!$I78*(Geometria!$H$21/100)*M$11/2)-(Geometria!$I78*M$11^2/2)</f>
        <v>57.256737500000014</v>
      </c>
      <c r="N20">
        <f>(Geometria!$I78*(Geometria!$H$21/100)*N$11/2)-(Geometria!$I78*N$11^2/2)</f>
        <v>56.684170125000009</v>
      </c>
      <c r="O20">
        <f>(Geometria!$I78*(Geometria!$H$21/100)*O$11/2)-(Geometria!$I78*O$11^2/2)</f>
        <v>54.96646800000002</v>
      </c>
      <c r="P20">
        <f>(Geometria!$I78*(Geometria!$H$21/100)*P$11/2)-(Geometria!$I78*P$11^2/2)</f>
        <v>52.103631125000021</v>
      </c>
      <c r="Q20">
        <f>(Geometria!$I78*(Geometria!$H$21/100)*Q$11/2)-(Geometria!$I78*Q$11^2/2)</f>
        <v>48.095659500000025</v>
      </c>
      <c r="R20">
        <f>(Geometria!$I78*(Geometria!$H$21/100)*R$11/2)-(Geometria!$I78*R$11^2/2)</f>
        <v>42.942553125000018</v>
      </c>
      <c r="S20">
        <f>(Geometria!$I78*(Geometria!$H$21/100)*S$11/2)-(Geometria!$I78*S$11^2/2)</f>
        <v>36.644312000000014</v>
      </c>
      <c r="T20">
        <f>(Geometria!$I78*(Geometria!$H$21/100)*T$11/2)-(Geometria!$I78*T$11^2/2)</f>
        <v>29.200936125000027</v>
      </c>
      <c r="U20">
        <f>(Geometria!$I78*(Geometria!$H$21/100)*U$11/2)-(Geometria!$I78*U$11^2/2)</f>
        <v>20.612425499999972</v>
      </c>
      <c r="V20">
        <f>(Geometria!$I78*(Geometria!$H$21/100)*V$11/2)-(Geometria!$I78*V$11^2/2)</f>
        <v>10.878780124999992</v>
      </c>
      <c r="W20">
        <f>(Geometria!$I78*(Geometria!$H$21/100)*W$11/2)-(Geometria!$I78*W$11^2/2)</f>
        <v>0</v>
      </c>
    </row>
    <row r="22" spans="2:23" x14ac:dyDescent="0.25">
      <c r="B22" t="s">
        <v>793</v>
      </c>
    </row>
    <row r="23" spans="2:23" x14ac:dyDescent="0.25">
      <c r="B23" t="s">
        <v>794</v>
      </c>
      <c r="C23">
        <f>Geometria!$H$166</f>
        <v>7.8959999999999999</v>
      </c>
    </row>
    <row r="24" spans="2:23" x14ac:dyDescent="0.25">
      <c r="B24" t="s">
        <v>795</v>
      </c>
      <c r="C24">
        <f>Geometria!$H$168</f>
        <v>0</v>
      </c>
    </row>
    <row r="25" spans="2:23" x14ac:dyDescent="0.25">
      <c r="B25" t="s">
        <v>796</v>
      </c>
      <c r="C25">
        <f ca="1">Geometria!$H$167</f>
        <v>9.4511237294951638</v>
      </c>
    </row>
    <row r="26" spans="2:23" x14ac:dyDescent="0.25">
      <c r="B26" t="s">
        <v>797</v>
      </c>
      <c r="C26">
        <f ca="1">Geometria!$H$169</f>
        <v>12.548876270504836</v>
      </c>
    </row>
    <row r="27" spans="2:23" x14ac:dyDescent="0.25">
      <c r="B27" t="s">
        <v>798</v>
      </c>
      <c r="C27">
        <f ca="1">Geometria!$H$36</f>
        <v>1558.8831577089454</v>
      </c>
    </row>
    <row r="28" spans="2:23" x14ac:dyDescent="0.25">
      <c r="B28" t="s">
        <v>799</v>
      </c>
      <c r="C28">
        <f ca="1">Geometria!$H$37</f>
        <v>124422.69607647101</v>
      </c>
    </row>
    <row r="29" spans="2:23" x14ac:dyDescent="0.25">
      <c r="B29" t="s">
        <v>800</v>
      </c>
      <c r="C29">
        <f ca="1">Geometria!$I$37</f>
        <v>205322.41571678265</v>
      </c>
    </row>
    <row r="30" spans="2:23" x14ac:dyDescent="0.25">
      <c r="B30" t="s">
        <v>801</v>
      </c>
      <c r="C30">
        <f>Geometria!$I$105</f>
        <v>117.04000000000002</v>
      </c>
    </row>
    <row r="31" spans="2:23" x14ac:dyDescent="0.25">
      <c r="B31" t="s">
        <v>802</v>
      </c>
      <c r="C31">
        <f>Geometria!$H$151</f>
        <v>0.92307692307692313</v>
      </c>
    </row>
    <row r="32" spans="2:23" x14ac:dyDescent="0.25">
      <c r="B32" t="s">
        <v>803</v>
      </c>
      <c r="C32">
        <f>Geometria!$H$161</f>
        <v>0.95143780068705275</v>
      </c>
    </row>
    <row r="33" spans="2:3" x14ac:dyDescent="0.25">
      <c r="B33" t="s">
        <v>1721</v>
      </c>
      <c r="C33">
        <f>Geometria!$L$105</f>
        <v>50</v>
      </c>
    </row>
    <row r="34" spans="2:3" x14ac:dyDescent="0.25">
      <c r="B34" t="s">
        <v>804</v>
      </c>
      <c r="C34">
        <f>Geometria!$H$175</f>
        <v>909.34667174115975</v>
      </c>
    </row>
    <row r="35" spans="2:3" x14ac:dyDescent="0.25">
      <c r="B35" t="s">
        <v>805</v>
      </c>
      <c r="C35">
        <f ca="1">Geometria!$H$176</f>
        <v>85.943479076303248</v>
      </c>
    </row>
    <row r="36" spans="2:3" x14ac:dyDescent="0.25">
      <c r="B36" t="s">
        <v>806</v>
      </c>
      <c r="C36">
        <f>Geometria!$H$185</f>
        <v>6.0368161052036893</v>
      </c>
    </row>
    <row r="37" spans="2:3" x14ac:dyDescent="0.25">
      <c r="B37" t="s">
        <v>807</v>
      </c>
      <c r="C37">
        <f ca="1">Geometria!$H$213</f>
        <v>-7.812661631205545</v>
      </c>
    </row>
    <row r="38" spans="2:3" x14ac:dyDescent="0.25">
      <c r="B38" t="s">
        <v>808</v>
      </c>
      <c r="C38">
        <f>Geometria!$M$176</f>
        <v>5.0507627227610534</v>
      </c>
    </row>
    <row r="39" spans="2:3" x14ac:dyDescent="0.25">
      <c r="B39" t="s">
        <v>809</v>
      </c>
      <c r="C39">
        <f ca="1">Geometria!$M$201</f>
        <v>2.1162985403792307</v>
      </c>
    </row>
    <row r="40" spans="2:3" x14ac:dyDescent="0.25">
      <c r="B40" t="s">
        <v>810</v>
      </c>
      <c r="C40">
        <f ca="1">Geometria!$M$203</f>
        <v>1.2033811739702436</v>
      </c>
    </row>
    <row r="41" spans="2:3" x14ac:dyDescent="0.25">
      <c r="B41" t="s">
        <v>811</v>
      </c>
      <c r="C41">
        <f ca="1">Geometria!$M$204</f>
        <v>2.0160977368022328</v>
      </c>
    </row>
    <row r="42" spans="2:3" x14ac:dyDescent="0.25">
      <c r="B42" t="s">
        <v>812</v>
      </c>
      <c r="C42">
        <f ca="1">Geometria!$M$205</f>
        <v>1.5230560708316407</v>
      </c>
    </row>
    <row r="43" spans="2:3" x14ac:dyDescent="0.25">
      <c r="B43" t="s">
        <v>813</v>
      </c>
      <c r="C43">
        <f ca="1">Geometria!$M$206</f>
        <v>1.3573945886869887</v>
      </c>
    </row>
    <row r="44" spans="2:3" x14ac:dyDescent="0.25">
      <c r="B44" t="s">
        <v>814</v>
      </c>
      <c r="C44">
        <f ca="1">Geometria!$M$207</f>
        <v>1.2516210345050713</v>
      </c>
    </row>
    <row r="45" spans="2:3" x14ac:dyDescent="0.25">
      <c r="B45" t="s">
        <v>43</v>
      </c>
      <c r="C45">
        <f>Geometria!$H$53</f>
        <v>0.4</v>
      </c>
    </row>
    <row r="46" spans="2:3" x14ac:dyDescent="0.25">
      <c r="B46" t="s">
        <v>815</v>
      </c>
      <c r="C46">
        <f ca="1">Geometria!$L$216</f>
        <v>2.0581492701896154</v>
      </c>
    </row>
    <row r="47" spans="2:3" x14ac:dyDescent="0.25">
      <c r="B47" t="s">
        <v>816</v>
      </c>
      <c r="C47">
        <f ca="1">Geometria!$L$217</f>
        <v>2.1191308167331799</v>
      </c>
    </row>
    <row r="48" spans="2:3" x14ac:dyDescent="0.25">
      <c r="B48" t="s">
        <v>817</v>
      </c>
      <c r="C48">
        <f ca="1">Geometria!$L$218</f>
        <v>2.9729843107867602</v>
      </c>
    </row>
    <row r="49" spans="2:23" x14ac:dyDescent="0.25">
      <c r="B49" t="s">
        <v>818</v>
      </c>
      <c r="C49">
        <f ca="1">Geometria!$L$219</f>
        <v>5.0651647373011381E-3</v>
      </c>
    </row>
    <row r="50" spans="2:23" x14ac:dyDescent="0.25">
      <c r="B50" t="s">
        <v>819</v>
      </c>
      <c r="C50">
        <f ca="1">(Geometria!$I$24-Geometria!$H$144)/100</f>
        <v>0.13001789149588475</v>
      </c>
    </row>
    <row r="51" spans="2:23" x14ac:dyDescent="0.25">
      <c r="B51" t="s">
        <v>1722</v>
      </c>
      <c r="C51">
        <f ca="1">(Geometria!$H$23-Geometria!$M$134-Geometria!$I$24)/100</f>
        <v>8.9982108504115241E-2</v>
      </c>
    </row>
    <row r="54" spans="2:23" x14ac:dyDescent="0.25">
      <c r="B54" t="s">
        <v>820</v>
      </c>
    </row>
    <row r="55" spans="2:23" x14ac:dyDescent="0.25">
      <c r="B55" t="s">
        <v>98</v>
      </c>
      <c r="C55">
        <f t="shared" ref="C55:W55" ca="1" si="1">($C$34/($C$27/100^2)+(($C$35-C15)/($C$28/100^4))*$C$25/100)</f>
        <v>12361.571459996696</v>
      </c>
      <c r="D55">
        <f t="shared" ca="1" si="1"/>
        <v>11683.580342370358</v>
      </c>
      <c r="E55">
        <f t="shared" ca="1" si="1"/>
        <v>11076.956710809951</v>
      </c>
      <c r="F55">
        <f t="shared" ca="1" si="1"/>
        <v>10541.700565315474</v>
      </c>
      <c r="G55">
        <f t="shared" ca="1" si="1"/>
        <v>10077.811905886927</v>
      </c>
      <c r="H55">
        <f t="shared" ca="1" si="1"/>
        <v>9685.2907325243104</v>
      </c>
      <c r="I55">
        <f t="shared" ca="1" si="1"/>
        <v>9364.1370452276224</v>
      </c>
      <c r="J55">
        <f t="shared" ca="1" si="1"/>
        <v>9114.3508439968664</v>
      </c>
      <c r="K55">
        <f t="shared" ca="1" si="1"/>
        <v>8935.9321288320425</v>
      </c>
      <c r="L55">
        <f t="shared" ca="1" si="1"/>
        <v>8828.8808997331471</v>
      </c>
      <c r="M55">
        <f t="shared" ca="1" si="1"/>
        <v>8793.1971567001801</v>
      </c>
      <c r="N55">
        <f t="shared" ca="1" si="1"/>
        <v>8828.8808997331453</v>
      </c>
      <c r="O55">
        <f t="shared" ca="1" si="1"/>
        <v>8935.9321288320407</v>
      </c>
      <c r="P55">
        <f t="shared" ca="1" si="1"/>
        <v>9114.3508439968664</v>
      </c>
      <c r="Q55">
        <f t="shared" ca="1" si="1"/>
        <v>9364.1370452276224</v>
      </c>
      <c r="R55">
        <f t="shared" ca="1" si="1"/>
        <v>9685.2907325243104</v>
      </c>
      <c r="S55">
        <f t="shared" ca="1" si="1"/>
        <v>10077.811905886927</v>
      </c>
      <c r="T55">
        <f t="shared" ca="1" si="1"/>
        <v>10541.70056531547</v>
      </c>
      <c r="U55">
        <f t="shared" ca="1" si="1"/>
        <v>11076.956710809955</v>
      </c>
      <c r="V55">
        <f t="shared" ca="1" si="1"/>
        <v>11683.580342370358</v>
      </c>
      <c r="W55">
        <f t="shared" ca="1" si="1"/>
        <v>12361.571459996696</v>
      </c>
    </row>
    <row r="56" spans="2:23" x14ac:dyDescent="0.25">
      <c r="B56" t="s">
        <v>99</v>
      </c>
      <c r="C56">
        <f t="shared" ref="C56:W56" ca="1" si="2">($C$34/($C$27/100^2)+((-$C$35+C15)/($C$28/100^4))*$C$26/100)</f>
        <v>-2834.6636265392817</v>
      </c>
      <c r="D56">
        <f t="shared" ca="1" si="2"/>
        <v>-1934.4503935834737</v>
      </c>
      <c r="E56">
        <f t="shared" ca="1" si="2"/>
        <v>-1128.9964483072226</v>
      </c>
      <c r="F56">
        <f t="shared" ca="1" si="2"/>
        <v>-418.30179071053044</v>
      </c>
      <c r="G56">
        <f t="shared" ca="1" si="2"/>
        <v>197.6335792066011</v>
      </c>
      <c r="H56">
        <f t="shared" ca="1" si="2"/>
        <v>718.80966144417562</v>
      </c>
      <c r="I56">
        <f t="shared" ca="1" si="2"/>
        <v>1145.2264560021913</v>
      </c>
      <c r="J56">
        <f t="shared" ca="1" si="2"/>
        <v>1476.8839628806472</v>
      </c>
      <c r="K56">
        <f t="shared" ca="1" si="2"/>
        <v>1713.7821820795434</v>
      </c>
      <c r="L56">
        <f t="shared" ca="1" si="2"/>
        <v>1855.9211135988812</v>
      </c>
      <c r="M56">
        <f t="shared" ca="1" si="2"/>
        <v>1903.3007574386625</v>
      </c>
      <c r="N56">
        <f t="shared" ca="1" si="2"/>
        <v>1855.9211135988826</v>
      </c>
      <c r="O56">
        <f t="shared" ca="1" si="2"/>
        <v>1713.7821820795443</v>
      </c>
      <c r="P56">
        <f t="shared" ca="1" si="2"/>
        <v>1476.8839628806472</v>
      </c>
      <c r="Q56">
        <f t="shared" ca="1" si="2"/>
        <v>1145.2264560021922</v>
      </c>
      <c r="R56">
        <f t="shared" ca="1" si="2"/>
        <v>718.80966144417562</v>
      </c>
      <c r="S56">
        <f t="shared" ca="1" si="2"/>
        <v>197.6335792066011</v>
      </c>
      <c r="T56">
        <f t="shared" ca="1" si="2"/>
        <v>-418.30179071052862</v>
      </c>
      <c r="U56">
        <f t="shared" ca="1" si="2"/>
        <v>-1128.9964483072254</v>
      </c>
      <c r="V56">
        <f t="shared" ca="1" si="2"/>
        <v>-1934.4503935834737</v>
      </c>
      <c r="W56">
        <f t="shared" ca="1" si="2"/>
        <v>-2834.6636265392817</v>
      </c>
    </row>
    <row r="57" spans="2:23" x14ac:dyDescent="0.25">
      <c r="B57" t="s">
        <v>821</v>
      </c>
      <c r="C57">
        <f t="shared" ref="C57:W57" ca="1" si="3">$C$36*C55/10000</f>
        <v>7.4624533675334348</v>
      </c>
      <c r="D57">
        <f t="shared" ca="1" si="3"/>
        <v>7.0531625977262609</v>
      </c>
      <c r="E57">
        <f t="shared" ca="1" si="3"/>
        <v>6.6869550668461599</v>
      </c>
      <c r="F57">
        <f t="shared" ca="1" si="3"/>
        <v>6.3638307748931284</v>
      </c>
      <c r="G57">
        <f t="shared" ca="1" si="3"/>
        <v>6.0837897218671682</v>
      </c>
      <c r="H57">
        <f t="shared" ca="1" si="3"/>
        <v>5.84683190776828</v>
      </c>
      <c r="I57">
        <f t="shared" ca="1" si="3"/>
        <v>5.6529573325964604</v>
      </c>
      <c r="J57">
        <f t="shared" ca="1" si="3"/>
        <v>5.502165996351712</v>
      </c>
      <c r="K57">
        <f t="shared" ca="1" si="3"/>
        <v>5.3944578990340366</v>
      </c>
      <c r="L57">
        <f t="shared" ca="1" si="3"/>
        <v>5.3298330406434307</v>
      </c>
      <c r="M57">
        <f t="shared" ca="1" si="3"/>
        <v>5.3082914211798942</v>
      </c>
      <c r="N57">
        <f t="shared" ca="1" si="3"/>
        <v>5.3298330406434289</v>
      </c>
      <c r="O57">
        <f t="shared" ca="1" si="3"/>
        <v>5.3944578990340348</v>
      </c>
      <c r="P57">
        <f t="shared" ca="1" si="3"/>
        <v>5.502165996351712</v>
      </c>
      <c r="Q57">
        <f t="shared" ca="1" si="3"/>
        <v>5.6529573325964604</v>
      </c>
      <c r="R57">
        <f t="shared" ca="1" si="3"/>
        <v>5.84683190776828</v>
      </c>
      <c r="S57">
        <f t="shared" ca="1" si="3"/>
        <v>6.0837897218671682</v>
      </c>
      <c r="T57">
        <f t="shared" ca="1" si="3"/>
        <v>6.3638307748931267</v>
      </c>
      <c r="U57">
        <f t="shared" ca="1" si="3"/>
        <v>6.6869550668461608</v>
      </c>
      <c r="V57">
        <f t="shared" ca="1" si="3"/>
        <v>7.0531625977262609</v>
      </c>
      <c r="W57">
        <f t="shared" ca="1" si="3"/>
        <v>7.4624533675334348</v>
      </c>
    </row>
    <row r="58" spans="2:23" x14ac:dyDescent="0.25">
      <c r="B58" t="s">
        <v>822</v>
      </c>
      <c r="C58">
        <f t="shared" ref="C58:W58" ca="1" si="4">$C$36*C56/10000</f>
        <v>-1.7112343033527431</v>
      </c>
      <c r="D58">
        <f t="shared" ca="1" si="4"/>
        <v>-1.1677921290702329</v>
      </c>
      <c r="E58">
        <f t="shared" ca="1" si="4"/>
        <v>-0.6815543941858806</v>
      </c>
      <c r="F58">
        <f t="shared" ca="1" si="4"/>
        <v>-0.25252109869968731</v>
      </c>
      <c r="G58">
        <f t="shared" ca="1" si="4"/>
        <v>0.11930775738834584</v>
      </c>
      <c r="H58">
        <f t="shared" ca="1" si="4"/>
        <v>0.43393217407822104</v>
      </c>
      <c r="I58">
        <f t="shared" ca="1" si="4"/>
        <v>0.69135215136993733</v>
      </c>
      <c r="J58">
        <f t="shared" ca="1" si="4"/>
        <v>0.89156768926349395</v>
      </c>
      <c r="K58">
        <f t="shared" ca="1" si="4"/>
        <v>1.034578787758891</v>
      </c>
      <c r="L58">
        <f t="shared" ca="1" si="4"/>
        <v>1.1203854468561292</v>
      </c>
      <c r="M58">
        <f t="shared" ca="1" si="4"/>
        <v>1.1489876665552097</v>
      </c>
      <c r="N58">
        <f t="shared" ca="1" si="4"/>
        <v>1.1203854468561301</v>
      </c>
      <c r="O58">
        <f t="shared" ca="1" si="4"/>
        <v>1.0345787877588914</v>
      </c>
      <c r="P58">
        <f t="shared" ca="1" si="4"/>
        <v>0.89156768926349395</v>
      </c>
      <c r="Q58">
        <f t="shared" ca="1" si="4"/>
        <v>0.69135215136993788</v>
      </c>
      <c r="R58">
        <f t="shared" ca="1" si="4"/>
        <v>0.43393217407822104</v>
      </c>
      <c r="S58">
        <f t="shared" ca="1" si="4"/>
        <v>0.11930775738834584</v>
      </c>
      <c r="T58">
        <f t="shared" ca="1" si="4"/>
        <v>-0.2525210986996862</v>
      </c>
      <c r="U58">
        <f t="shared" ca="1" si="4"/>
        <v>-0.68155439418588226</v>
      </c>
      <c r="V58">
        <f t="shared" ca="1" si="4"/>
        <v>-1.1677921290702329</v>
      </c>
      <c r="W58">
        <f t="shared" ca="1" si="4"/>
        <v>-1.7112343033527431</v>
      </c>
    </row>
    <row r="59" spans="2:23" x14ac:dyDescent="0.25">
      <c r="B59" t="s">
        <v>823</v>
      </c>
      <c r="C59">
        <f t="shared" ref="C59:W59" ca="1" si="5">$C$30-$C$31-$C$32-C57</f>
        <v>107.70303190870263</v>
      </c>
      <c r="D59">
        <f t="shared" ca="1" si="5"/>
        <v>108.1123226785098</v>
      </c>
      <c r="E59">
        <f t="shared" ca="1" si="5"/>
        <v>108.4785302093899</v>
      </c>
      <c r="F59">
        <f t="shared" ca="1" si="5"/>
        <v>108.80165450134292</v>
      </c>
      <c r="G59">
        <f t="shared" ca="1" si="5"/>
        <v>109.08169555436889</v>
      </c>
      <c r="H59">
        <f t="shared" ca="1" si="5"/>
        <v>109.31865336846778</v>
      </c>
      <c r="I59">
        <f t="shared" ca="1" si="5"/>
        <v>109.5125279436396</v>
      </c>
      <c r="J59">
        <f t="shared" ca="1" si="5"/>
        <v>109.66331927988435</v>
      </c>
      <c r="K59">
        <f t="shared" ca="1" si="5"/>
        <v>109.77102737720202</v>
      </c>
      <c r="L59">
        <f t="shared" ca="1" si="5"/>
        <v>109.83565223559262</v>
      </c>
      <c r="M59">
        <f t="shared" ca="1" si="5"/>
        <v>109.85719385505617</v>
      </c>
      <c r="N59">
        <f t="shared" ca="1" si="5"/>
        <v>109.83565223559262</v>
      </c>
      <c r="O59">
        <f t="shared" ca="1" si="5"/>
        <v>109.77102737720202</v>
      </c>
      <c r="P59">
        <f t="shared" ca="1" si="5"/>
        <v>109.66331927988435</v>
      </c>
      <c r="Q59">
        <f t="shared" ca="1" si="5"/>
        <v>109.5125279436396</v>
      </c>
      <c r="R59">
        <f t="shared" ca="1" si="5"/>
        <v>109.31865336846778</v>
      </c>
      <c r="S59">
        <f t="shared" ca="1" si="5"/>
        <v>109.08169555436889</v>
      </c>
      <c r="T59">
        <f t="shared" ca="1" si="5"/>
        <v>108.80165450134292</v>
      </c>
      <c r="U59">
        <f t="shared" ca="1" si="5"/>
        <v>108.47853020938989</v>
      </c>
      <c r="V59">
        <f t="shared" ca="1" si="5"/>
        <v>108.1123226785098</v>
      </c>
      <c r="W59">
        <f t="shared" ca="1" si="5"/>
        <v>107.70303190870263</v>
      </c>
    </row>
    <row r="60" spans="2:23" x14ac:dyDescent="0.25">
      <c r="B60" t="s">
        <v>1723</v>
      </c>
      <c r="C60">
        <f ca="1">$C$33-$C$31-Geometria!$H$190-C58</f>
        <v>50.78815738027582</v>
      </c>
      <c r="D60">
        <f ca="1">$C$33-$C$31-Geometria!$H$190-D58</f>
        <v>50.244715205993316</v>
      </c>
      <c r="E60">
        <f ca="1">$C$33-$C$31-Geometria!$H$190-E58</f>
        <v>49.758477471108961</v>
      </c>
      <c r="F60">
        <f ca="1">$C$33-$C$31-Geometria!$H$190-F58</f>
        <v>49.329444175622768</v>
      </c>
      <c r="G60">
        <f ca="1">$C$33-$C$31-Geometria!$H$190-G58</f>
        <v>48.957615319534732</v>
      </c>
      <c r="H60">
        <f ca="1">$C$33-$C$31-Geometria!$H$190-H58</f>
        <v>48.642990902844858</v>
      </c>
      <c r="I60">
        <f ca="1">$C$33-$C$31-Geometria!$H$190-I58</f>
        <v>48.385570925553139</v>
      </c>
      <c r="J60">
        <f ca="1">$C$33-$C$31-Geometria!$H$190-J58</f>
        <v>48.185355387659584</v>
      </c>
      <c r="K60">
        <f ca="1">$C$33-$C$31-Geometria!$H$190-K58</f>
        <v>48.042344289164191</v>
      </c>
      <c r="L60">
        <f ca="1">$C$33-$C$31-Geometria!$H$190-L58</f>
        <v>47.956537630066954</v>
      </c>
      <c r="M60">
        <f ca="1">$C$33-$C$31-Geometria!$H$190-M58</f>
        <v>47.927935410367873</v>
      </c>
      <c r="N60">
        <f ca="1">$C$33-$C$31-Geometria!$H$190-N58</f>
        <v>47.956537630066947</v>
      </c>
      <c r="O60">
        <f ca="1">$C$33-$C$31-Geometria!$H$190-O58</f>
        <v>48.042344289164191</v>
      </c>
      <c r="P60">
        <f ca="1">$C$33-$C$31-Geometria!$H$190-P58</f>
        <v>48.185355387659584</v>
      </c>
      <c r="Q60">
        <f ca="1">$C$33-$C$31-Geometria!$H$190-Q58</f>
        <v>48.385570925553139</v>
      </c>
      <c r="R60">
        <f ca="1">$C$33-$C$31-Geometria!$H$190-R58</f>
        <v>48.642990902844858</v>
      </c>
      <c r="S60">
        <f ca="1">$C$33-$C$31-Geometria!$H$190-S58</f>
        <v>48.957615319534732</v>
      </c>
      <c r="T60">
        <f ca="1">$C$33-$C$31-Geometria!$H$190-T58</f>
        <v>49.329444175622768</v>
      </c>
      <c r="U60">
        <f ca="1">$C$33-$C$31-Geometria!$H$190-U58</f>
        <v>49.758477471108961</v>
      </c>
      <c r="V60">
        <f ca="1">$C$33-$C$31-Geometria!$H$190-V58</f>
        <v>50.244715205993316</v>
      </c>
      <c r="W60">
        <f ca="1">$C$33-$C$31-Geometria!$H$190-W58</f>
        <v>50.78815738027582</v>
      </c>
    </row>
    <row r="61" spans="2:23" x14ac:dyDescent="0.25">
      <c r="B61" t="s">
        <v>824</v>
      </c>
      <c r="C61">
        <f t="shared" ref="C61:W61" ca="1" si="6">100-(C59*100)/$C$30</f>
        <v>7.9775872276976969</v>
      </c>
      <c r="D61">
        <f t="shared" ca="1" si="6"/>
        <v>7.6278856130299317</v>
      </c>
      <c r="E61">
        <f t="shared" ca="1" si="6"/>
        <v>7.3149946946429623</v>
      </c>
      <c r="F61">
        <f t="shared" ca="1" si="6"/>
        <v>7.0389144725368169</v>
      </c>
      <c r="G61">
        <f t="shared" ca="1" si="6"/>
        <v>6.7996449467114957</v>
      </c>
      <c r="H61">
        <f t="shared" ca="1" si="6"/>
        <v>6.5971861171669843</v>
      </c>
      <c r="I61">
        <f t="shared" ca="1" si="6"/>
        <v>6.4315379839032971</v>
      </c>
      <c r="J61">
        <f t="shared" ca="1" si="6"/>
        <v>6.302700546920434</v>
      </c>
      <c r="K61">
        <f t="shared" ca="1" si="6"/>
        <v>6.210673806218395</v>
      </c>
      <c r="L61">
        <f t="shared" ca="1" si="6"/>
        <v>6.1554577617971518</v>
      </c>
      <c r="M61">
        <f t="shared" ca="1" si="6"/>
        <v>6.1370524136567326</v>
      </c>
      <c r="N61">
        <f t="shared" ca="1" si="6"/>
        <v>6.1554577617971518</v>
      </c>
      <c r="O61">
        <f t="shared" ca="1" si="6"/>
        <v>6.210673806218395</v>
      </c>
      <c r="P61">
        <f t="shared" ca="1" si="6"/>
        <v>6.302700546920434</v>
      </c>
      <c r="Q61">
        <f t="shared" ca="1" si="6"/>
        <v>6.4315379839032971</v>
      </c>
      <c r="R61">
        <f t="shared" ca="1" si="6"/>
        <v>6.5971861171669843</v>
      </c>
      <c r="S61">
        <f t="shared" ca="1" si="6"/>
        <v>6.7996449467114957</v>
      </c>
      <c r="T61">
        <f t="shared" ca="1" si="6"/>
        <v>7.0389144725368169</v>
      </c>
      <c r="U61">
        <f t="shared" ca="1" si="6"/>
        <v>7.3149946946429765</v>
      </c>
      <c r="V61">
        <f t="shared" ca="1" si="6"/>
        <v>7.6278856130299317</v>
      </c>
      <c r="W61">
        <f t="shared" ca="1" si="6"/>
        <v>7.9775872276976969</v>
      </c>
    </row>
    <row r="62" spans="2:23" x14ac:dyDescent="0.25">
      <c r="B62" t="s">
        <v>825</v>
      </c>
      <c r="C62">
        <f t="shared" ref="C62:W62" ca="1" si="7">100-(C60*100)/$C$30</f>
        <v>56.60615398130912</v>
      </c>
      <c r="D62">
        <f t="shared" ca="1" si="7"/>
        <v>57.07047572967079</v>
      </c>
      <c r="E62">
        <f t="shared" ca="1" si="7"/>
        <v>57.485921504520718</v>
      </c>
      <c r="F62">
        <f t="shared" ca="1" si="7"/>
        <v>57.852491305858891</v>
      </c>
      <c r="G62">
        <f t="shared" ca="1" si="7"/>
        <v>58.170185133685301</v>
      </c>
      <c r="H62">
        <f t="shared" ca="1" si="7"/>
        <v>58.439002987999956</v>
      </c>
      <c r="I62">
        <f t="shared" ca="1" si="7"/>
        <v>58.658944868802863</v>
      </c>
      <c r="J62">
        <f t="shared" ca="1" si="7"/>
        <v>58.830010776094007</v>
      </c>
      <c r="K62">
        <f t="shared" ca="1" si="7"/>
        <v>58.952200709873388</v>
      </c>
      <c r="L62">
        <f t="shared" ca="1" si="7"/>
        <v>59.025514670141028</v>
      </c>
      <c r="M62">
        <f t="shared" ca="1" si="7"/>
        <v>59.049952656896906</v>
      </c>
      <c r="N62">
        <f t="shared" ca="1" si="7"/>
        <v>59.025514670141028</v>
      </c>
      <c r="O62">
        <f t="shared" ca="1" si="7"/>
        <v>58.952200709873388</v>
      </c>
      <c r="P62">
        <f t="shared" ca="1" si="7"/>
        <v>58.830010776094007</v>
      </c>
      <c r="Q62">
        <f t="shared" ca="1" si="7"/>
        <v>58.658944868802863</v>
      </c>
      <c r="R62">
        <f t="shared" ca="1" si="7"/>
        <v>58.439002987999956</v>
      </c>
      <c r="S62">
        <f t="shared" ca="1" si="7"/>
        <v>58.170185133685301</v>
      </c>
      <c r="T62">
        <f t="shared" ca="1" si="7"/>
        <v>57.852491305858891</v>
      </c>
      <c r="U62">
        <f t="shared" ca="1" si="7"/>
        <v>57.485921504520718</v>
      </c>
      <c r="V62">
        <f t="shared" ca="1" si="7"/>
        <v>57.07047572967079</v>
      </c>
      <c r="W62">
        <f t="shared" ca="1" si="7"/>
        <v>56.60615398130912</v>
      </c>
    </row>
    <row r="64" spans="2:23" x14ac:dyDescent="0.25">
      <c r="B64" t="s">
        <v>826</v>
      </c>
    </row>
    <row r="65" spans="2:23" x14ac:dyDescent="0.25">
      <c r="B65" t="s">
        <v>827</v>
      </c>
      <c r="C65">
        <f t="shared" ref="C65:W65" ca="1" si="8">$C$23*C59+$C$24*C60</f>
        <v>850.4231399511159</v>
      </c>
      <c r="D65">
        <f t="shared" ca="1" si="8"/>
        <v>853.65489986951332</v>
      </c>
      <c r="E65">
        <f t="shared" ca="1" si="8"/>
        <v>856.54647453334269</v>
      </c>
      <c r="F65">
        <f t="shared" ca="1" si="8"/>
        <v>859.09786394260368</v>
      </c>
      <c r="G65">
        <f t="shared" ca="1" si="8"/>
        <v>861.30906809729674</v>
      </c>
      <c r="H65">
        <f t="shared" ca="1" si="8"/>
        <v>863.18008699742154</v>
      </c>
      <c r="I65">
        <f t="shared" ca="1" si="8"/>
        <v>864.71092064297829</v>
      </c>
      <c r="J65">
        <f t="shared" ca="1" si="8"/>
        <v>865.90156903396678</v>
      </c>
      <c r="K65">
        <f t="shared" ca="1" si="8"/>
        <v>866.75203217038711</v>
      </c>
      <c r="L65">
        <f t="shared" ca="1" si="8"/>
        <v>867.26231005223929</v>
      </c>
      <c r="M65">
        <f t="shared" ca="1" si="8"/>
        <v>867.43240267952353</v>
      </c>
      <c r="N65">
        <f t="shared" ca="1" si="8"/>
        <v>867.26231005223929</v>
      </c>
      <c r="O65">
        <f t="shared" ca="1" si="8"/>
        <v>866.75203217038711</v>
      </c>
      <c r="P65">
        <f t="shared" ca="1" si="8"/>
        <v>865.90156903396678</v>
      </c>
      <c r="Q65">
        <f t="shared" ca="1" si="8"/>
        <v>864.71092064297829</v>
      </c>
      <c r="R65">
        <f t="shared" ca="1" si="8"/>
        <v>863.18008699742154</v>
      </c>
      <c r="S65">
        <f t="shared" ca="1" si="8"/>
        <v>861.30906809729674</v>
      </c>
      <c r="T65">
        <f t="shared" ca="1" si="8"/>
        <v>859.09786394260368</v>
      </c>
      <c r="U65">
        <f t="shared" ca="1" si="8"/>
        <v>856.54647453334258</v>
      </c>
      <c r="V65">
        <f t="shared" ca="1" si="8"/>
        <v>853.65489986951332</v>
      </c>
      <c r="W65">
        <f t="shared" ca="1" si="8"/>
        <v>850.4231399511159</v>
      </c>
    </row>
    <row r="66" spans="2:23" x14ac:dyDescent="0.25">
      <c r="B66" t="s">
        <v>828</v>
      </c>
      <c r="C66">
        <f t="shared" ref="C66:W66" ca="1" si="9">$C$23*C59*$C$25/100-$C$24*C60*$C$26/100</f>
        <v>80.37454318103778</v>
      </c>
      <c r="D66">
        <f t="shared" ca="1" si="9"/>
        <v>80.679980809565748</v>
      </c>
      <c r="E66">
        <f t="shared" ca="1" si="9"/>
        <v>80.953267108774995</v>
      </c>
      <c r="F66">
        <f t="shared" ca="1" si="9"/>
        <v>81.19440207866549</v>
      </c>
      <c r="G66">
        <f t="shared" ca="1" si="9"/>
        <v>81.403385719237278</v>
      </c>
      <c r="H66">
        <f t="shared" ca="1" si="9"/>
        <v>81.5802180304903</v>
      </c>
      <c r="I66">
        <f t="shared" ca="1" si="9"/>
        <v>81.724899012424615</v>
      </c>
      <c r="J66">
        <f t="shared" ca="1" si="9"/>
        <v>81.837428665040179</v>
      </c>
      <c r="K66">
        <f t="shared" ca="1" si="9"/>
        <v>81.91780698833702</v>
      </c>
      <c r="L66">
        <f t="shared" ca="1" si="9"/>
        <v>81.966033982315111</v>
      </c>
      <c r="M66">
        <f t="shared" ca="1" si="9"/>
        <v>81.982109646974493</v>
      </c>
      <c r="N66">
        <f t="shared" ca="1" si="9"/>
        <v>81.966033982315111</v>
      </c>
      <c r="O66">
        <f t="shared" ca="1" si="9"/>
        <v>81.91780698833702</v>
      </c>
      <c r="P66">
        <f t="shared" ca="1" si="9"/>
        <v>81.837428665040179</v>
      </c>
      <c r="Q66">
        <f t="shared" ca="1" si="9"/>
        <v>81.724899012424615</v>
      </c>
      <c r="R66">
        <f t="shared" ca="1" si="9"/>
        <v>81.5802180304903</v>
      </c>
      <c r="S66">
        <f t="shared" ca="1" si="9"/>
        <v>81.403385719237278</v>
      </c>
      <c r="T66">
        <f t="shared" ca="1" si="9"/>
        <v>81.19440207866549</v>
      </c>
      <c r="U66">
        <f t="shared" ca="1" si="9"/>
        <v>80.953267108774995</v>
      </c>
      <c r="V66">
        <f t="shared" ca="1" si="9"/>
        <v>80.679980809565748</v>
      </c>
      <c r="W66">
        <f t="shared" ca="1" si="9"/>
        <v>80.37454318103778</v>
      </c>
    </row>
    <row r="67" spans="2:23" x14ac:dyDescent="0.25">
      <c r="B67" t="s">
        <v>829</v>
      </c>
      <c r="C67">
        <f t="shared" ref="C67:W67" ca="1" si="10">(C65/($C$27/100^2)+(C66-C15)/($C$28/100^4)*$C$25/100)*$C$39</f>
        <v>24465.618726764314</v>
      </c>
      <c r="D67">
        <f t="shared" ca="1" si="10"/>
        <v>23123.760837768765</v>
      </c>
      <c r="E67">
        <f t="shared" ca="1" si="10"/>
        <v>21923.151147614855</v>
      </c>
      <c r="F67">
        <f t="shared" ca="1" si="10"/>
        <v>20863.789656302572</v>
      </c>
      <c r="G67">
        <f t="shared" ca="1" si="10"/>
        <v>19945.676363831939</v>
      </c>
      <c r="H67">
        <f t="shared" ca="1" si="10"/>
        <v>19168.811270202936</v>
      </c>
      <c r="I67">
        <f t="shared" ca="1" si="10"/>
        <v>18533.194375415569</v>
      </c>
      <c r="J67">
        <f t="shared" ca="1" si="10"/>
        <v>18038.825679469839</v>
      </c>
      <c r="K67">
        <f t="shared" ca="1" si="10"/>
        <v>17685.705182365753</v>
      </c>
      <c r="L67">
        <f t="shared" ca="1" si="10"/>
        <v>17473.832884103293</v>
      </c>
      <c r="M67">
        <f t="shared" ca="1" si="10"/>
        <v>17403.20878468248</v>
      </c>
      <c r="N67">
        <f t="shared" ca="1" si="10"/>
        <v>17473.832884103293</v>
      </c>
      <c r="O67">
        <f t="shared" ca="1" si="10"/>
        <v>17685.705182365749</v>
      </c>
      <c r="P67">
        <f t="shared" ca="1" si="10"/>
        <v>18038.825679469839</v>
      </c>
      <c r="Q67">
        <f t="shared" ca="1" si="10"/>
        <v>18533.194375415565</v>
      </c>
      <c r="R67">
        <f t="shared" ca="1" si="10"/>
        <v>19168.811270202936</v>
      </c>
      <c r="S67">
        <f t="shared" ca="1" si="10"/>
        <v>19945.676363831939</v>
      </c>
      <c r="T67">
        <f t="shared" ca="1" si="10"/>
        <v>20863.789656302568</v>
      </c>
      <c r="U67">
        <f t="shared" ca="1" si="10"/>
        <v>21923.151147614855</v>
      </c>
      <c r="V67">
        <f t="shared" ca="1" si="10"/>
        <v>23123.760837768765</v>
      </c>
      <c r="W67">
        <f t="shared" ca="1" si="10"/>
        <v>24465.618726764314</v>
      </c>
    </row>
    <row r="68" spans="2:23" x14ac:dyDescent="0.25">
      <c r="B68" t="s">
        <v>830</v>
      </c>
      <c r="C68">
        <f t="shared" ref="C68:W68" ca="1" si="11">((C16*$C$40+C17*$C$41)*$C$25/100)/($C$28/100^4)</f>
        <v>0</v>
      </c>
      <c r="D68">
        <f t="shared" ca="1" si="11"/>
        <v>808.07225137430976</v>
      </c>
      <c r="E68">
        <f t="shared" ca="1" si="11"/>
        <v>1531.0842657618502</v>
      </c>
      <c r="F68">
        <f t="shared" ca="1" si="11"/>
        <v>2169.0360431626214</v>
      </c>
      <c r="G68">
        <f t="shared" ca="1" si="11"/>
        <v>2721.927583576623</v>
      </c>
      <c r="H68">
        <f t="shared" ca="1" si="11"/>
        <v>3189.7588870038539</v>
      </c>
      <c r="I68">
        <f t="shared" ca="1" si="11"/>
        <v>3572.5299534443166</v>
      </c>
      <c r="J68">
        <f t="shared" ca="1" si="11"/>
        <v>3870.240782898009</v>
      </c>
      <c r="K68">
        <f t="shared" ca="1" si="11"/>
        <v>4082.8913753649344</v>
      </c>
      <c r="L68">
        <f t="shared" ca="1" si="11"/>
        <v>4210.4817308450874</v>
      </c>
      <c r="M68">
        <f t="shared" ca="1" si="11"/>
        <v>4253.0118493384716</v>
      </c>
      <c r="N68">
        <f t="shared" ca="1" si="11"/>
        <v>4210.4817308450874</v>
      </c>
      <c r="O68">
        <f t="shared" ca="1" si="11"/>
        <v>4082.8913753649335</v>
      </c>
      <c r="P68">
        <f t="shared" ca="1" si="11"/>
        <v>3870.2407828980085</v>
      </c>
      <c r="Q68">
        <f t="shared" ca="1" si="11"/>
        <v>3572.5299534443161</v>
      </c>
      <c r="R68">
        <f t="shared" ca="1" si="11"/>
        <v>3189.7588870038539</v>
      </c>
      <c r="S68">
        <f t="shared" ca="1" si="11"/>
        <v>2721.9275835766216</v>
      </c>
      <c r="T68">
        <f t="shared" ca="1" si="11"/>
        <v>2169.0360431626232</v>
      </c>
      <c r="U68">
        <f t="shared" ca="1" si="11"/>
        <v>1531.0842657618477</v>
      </c>
      <c r="V68">
        <f t="shared" ca="1" si="11"/>
        <v>808.07225137430612</v>
      </c>
      <c r="W68">
        <f t="shared" ca="1" si="11"/>
        <v>0</v>
      </c>
    </row>
    <row r="69" spans="2:23" x14ac:dyDescent="0.25">
      <c r="B69" t="s">
        <v>831</v>
      </c>
      <c r="C69">
        <f t="shared" ref="C69:W69" ca="1" si="12">((C19*$C$42+C18*$C$43)*$C$50)/($C$29/100^4)</f>
        <v>0</v>
      </c>
      <c r="D69">
        <f t="shared" ca="1" si="12"/>
        <v>738.22835849279181</v>
      </c>
      <c r="E69">
        <f t="shared" ca="1" si="12"/>
        <v>1398.7484687231845</v>
      </c>
      <c r="F69">
        <f t="shared" ca="1" si="12"/>
        <v>1981.5603306911783</v>
      </c>
      <c r="G69">
        <f t="shared" ca="1" si="12"/>
        <v>2486.6639443967724</v>
      </c>
      <c r="H69">
        <f t="shared" ca="1" si="12"/>
        <v>2914.0593098399677</v>
      </c>
      <c r="I69">
        <f t="shared" ca="1" si="12"/>
        <v>3263.7464270207643</v>
      </c>
      <c r="J69">
        <f t="shared" ca="1" si="12"/>
        <v>3535.7252959391608</v>
      </c>
      <c r="K69">
        <f t="shared" ca="1" si="12"/>
        <v>3729.9959165951586</v>
      </c>
      <c r="L69">
        <f t="shared" ca="1" si="12"/>
        <v>3846.5582889887578</v>
      </c>
      <c r="M69">
        <f t="shared" ca="1" si="12"/>
        <v>3885.4124131199569</v>
      </c>
      <c r="N69">
        <f t="shared" ca="1" si="12"/>
        <v>3846.5582889887569</v>
      </c>
      <c r="O69">
        <f t="shared" ca="1" si="12"/>
        <v>3729.99591659516</v>
      </c>
      <c r="P69">
        <f t="shared" ca="1" si="12"/>
        <v>3535.7252959391612</v>
      </c>
      <c r="Q69">
        <f t="shared" ca="1" si="12"/>
        <v>3263.7464270207647</v>
      </c>
      <c r="R69">
        <f t="shared" ca="1" si="12"/>
        <v>2914.0593098399686</v>
      </c>
      <c r="S69">
        <f t="shared" ca="1" si="12"/>
        <v>2486.6639443967711</v>
      </c>
      <c r="T69">
        <f t="shared" ca="1" si="12"/>
        <v>1981.5603306911812</v>
      </c>
      <c r="U69">
        <f t="shared" ca="1" si="12"/>
        <v>1398.7484687231838</v>
      </c>
      <c r="V69">
        <f t="shared" ca="1" si="12"/>
        <v>738.2283584927892</v>
      </c>
      <c r="W69">
        <f t="shared" ca="1" si="12"/>
        <v>0</v>
      </c>
    </row>
    <row r="70" spans="2:23" x14ac:dyDescent="0.25">
      <c r="B70" t="s">
        <v>832</v>
      </c>
      <c r="C70">
        <f t="shared" ref="C70:W70" ca="1" si="13">$C$45*((C20*$C$50)/($C$29/100^4))*$C$44</f>
        <v>0</v>
      </c>
      <c r="D70">
        <f t="shared" ca="1" si="13"/>
        <v>344.88936063665875</v>
      </c>
      <c r="E70">
        <f t="shared" ca="1" si="13"/>
        <v>653.47457804840622</v>
      </c>
      <c r="F70">
        <f t="shared" ca="1" si="13"/>
        <v>925.755652235242</v>
      </c>
      <c r="G70">
        <f t="shared" ca="1" si="13"/>
        <v>1161.7325831971664</v>
      </c>
      <c r="H70">
        <f t="shared" ca="1" si="13"/>
        <v>1361.4053709341795</v>
      </c>
      <c r="I70">
        <f t="shared" ca="1" si="13"/>
        <v>1524.7740154462808</v>
      </c>
      <c r="J70">
        <f t="shared" ca="1" si="13"/>
        <v>1651.8385167334709</v>
      </c>
      <c r="K70">
        <f t="shared" ca="1" si="13"/>
        <v>1742.5988747957499</v>
      </c>
      <c r="L70">
        <f t="shared" ca="1" si="13"/>
        <v>1797.0550896331167</v>
      </c>
      <c r="M70">
        <f t="shared" ca="1" si="13"/>
        <v>1815.2071612455725</v>
      </c>
      <c r="N70">
        <f t="shared" ca="1" si="13"/>
        <v>1797.0550896331167</v>
      </c>
      <c r="O70">
        <f t="shared" ca="1" si="13"/>
        <v>1742.5988747957501</v>
      </c>
      <c r="P70">
        <f t="shared" ca="1" si="13"/>
        <v>1651.8385167334714</v>
      </c>
      <c r="Q70">
        <f t="shared" ca="1" si="13"/>
        <v>1524.7740154462815</v>
      </c>
      <c r="R70">
        <f t="shared" ca="1" si="13"/>
        <v>1361.4053709341799</v>
      </c>
      <c r="S70">
        <f t="shared" ca="1" si="13"/>
        <v>1161.7325831971666</v>
      </c>
      <c r="T70">
        <f t="shared" ca="1" si="13"/>
        <v>925.75565223524268</v>
      </c>
      <c r="U70">
        <f t="shared" ca="1" si="13"/>
        <v>653.47457804840508</v>
      </c>
      <c r="V70">
        <f t="shared" ca="1" si="13"/>
        <v>344.88936063665841</v>
      </c>
      <c r="W70">
        <f t="shared" ca="1" si="13"/>
        <v>0</v>
      </c>
    </row>
    <row r="71" spans="2:23" x14ac:dyDescent="0.25">
      <c r="B71" t="s">
        <v>833</v>
      </c>
      <c r="C71">
        <f t="shared" ref="C71:W71" ca="1" si="14">$C$38*(C67-C68-C69-C70)/100^2</f>
        <v>12.357003505442593</v>
      </c>
      <c r="D71">
        <f t="shared" ca="1" si="14"/>
        <v>10.724067744476441</v>
      </c>
      <c r="E71">
        <f t="shared" ca="1" si="14"/>
        <v>9.2630199583488348</v>
      </c>
      <c r="F71">
        <f t="shared" ca="1" si="14"/>
        <v>7.9738601470597601</v>
      </c>
      <c r="G71">
        <f t="shared" ca="1" si="14"/>
        <v>6.8565883106092373</v>
      </c>
      <c r="H71">
        <f t="shared" ca="1" si="14"/>
        <v>5.9112044489972551</v>
      </c>
      <c r="I71">
        <f t="shared" ca="1" si="14"/>
        <v>5.1377085622238132</v>
      </c>
      <c r="J71">
        <f t="shared" ca="1" si="14"/>
        <v>4.5361006502889145</v>
      </c>
      <c r="K71">
        <f t="shared" ca="1" si="14"/>
        <v>4.1063807131925607</v>
      </c>
      <c r="L71">
        <f t="shared" ca="1" si="14"/>
        <v>3.8485487509347447</v>
      </c>
      <c r="M71">
        <f t="shared" ca="1" si="14"/>
        <v>3.7626047635154753</v>
      </c>
      <c r="N71">
        <f t="shared" ca="1" si="14"/>
        <v>3.8485487509347447</v>
      </c>
      <c r="O71">
        <f t="shared" ca="1" si="14"/>
        <v>4.1063807131925572</v>
      </c>
      <c r="P71">
        <f t="shared" ca="1" si="14"/>
        <v>4.5361006502889145</v>
      </c>
      <c r="Q71">
        <f t="shared" ca="1" si="14"/>
        <v>5.1377085622238106</v>
      </c>
      <c r="R71">
        <f t="shared" ca="1" si="14"/>
        <v>5.9112044489972533</v>
      </c>
      <c r="S71">
        <f t="shared" ca="1" si="14"/>
        <v>6.85658831060924</v>
      </c>
      <c r="T71">
        <f t="shared" ca="1" si="14"/>
        <v>7.9738601470597565</v>
      </c>
      <c r="U71">
        <f t="shared" ca="1" si="14"/>
        <v>9.2630199583488348</v>
      </c>
      <c r="V71">
        <f t="shared" ca="1" si="14"/>
        <v>10.724067744476445</v>
      </c>
      <c r="W71">
        <f t="shared" ca="1" si="14"/>
        <v>12.357003505442593</v>
      </c>
    </row>
    <row r="72" spans="2:23" x14ac:dyDescent="0.25">
      <c r="B72" t="s">
        <v>834</v>
      </c>
      <c r="C72">
        <f t="shared" ref="C72:W72" ca="1" si="15">(C65/($C$27/100^2)+(-C66+C15)/($C$28/100^4)*$C$26/100)*$C$39</f>
        <v>-5610.2737204542791</v>
      </c>
      <c r="D72">
        <f t="shared" ca="1" si="15"/>
        <v>-3726.4738123188131</v>
      </c>
      <c r="E72">
        <f t="shared" ca="1" si="15"/>
        <v>-2040.9686313555037</v>
      </c>
      <c r="F72">
        <f t="shared" ca="1" si="15"/>
        <v>-553.75817756434333</v>
      </c>
      <c r="G72">
        <f t="shared" ca="1" si="15"/>
        <v>735.15754905465474</v>
      </c>
      <c r="H72">
        <f t="shared" ca="1" si="15"/>
        <v>1825.7785485015077</v>
      </c>
      <c r="I72">
        <f t="shared" ca="1" si="15"/>
        <v>2718.1048207762001</v>
      </c>
      <c r="J72">
        <f t="shared" ca="1" si="15"/>
        <v>3412.1363658787427</v>
      </c>
      <c r="K72">
        <f t="shared" ca="1" si="15"/>
        <v>3907.8731838091226</v>
      </c>
      <c r="L72">
        <f t="shared" ca="1" si="15"/>
        <v>4205.3152745673551</v>
      </c>
      <c r="M72">
        <f t="shared" ca="1" si="15"/>
        <v>4304.4626381534335</v>
      </c>
      <c r="N72">
        <f t="shared" ca="1" si="15"/>
        <v>4205.3152745673578</v>
      </c>
      <c r="O72">
        <f t="shared" ca="1" si="15"/>
        <v>3907.8731838091253</v>
      </c>
      <c r="P72">
        <f t="shared" ca="1" si="15"/>
        <v>3412.1363658787427</v>
      </c>
      <c r="Q72">
        <f t="shared" ca="1" si="15"/>
        <v>2718.1048207762037</v>
      </c>
      <c r="R72">
        <f t="shared" ca="1" si="15"/>
        <v>1825.7785485015077</v>
      </c>
      <c r="S72">
        <f t="shared" ca="1" si="15"/>
        <v>735.1575490546528</v>
      </c>
      <c r="T72">
        <f t="shared" ca="1" si="15"/>
        <v>-553.75817756433946</v>
      </c>
      <c r="U72">
        <f t="shared" ca="1" si="15"/>
        <v>-2040.9686313555096</v>
      </c>
      <c r="V72">
        <f t="shared" ca="1" si="15"/>
        <v>-3726.4738123188131</v>
      </c>
      <c r="W72">
        <f t="shared" ca="1" si="15"/>
        <v>-5610.2737204542791</v>
      </c>
    </row>
    <row r="73" spans="2:23" x14ac:dyDescent="0.25">
      <c r="B73" t="s">
        <v>835</v>
      </c>
      <c r="C73">
        <f t="shared" ref="C73:W73" ca="1" si="16">((C16*$C$40+C17*$C$41)*$C$26/100)/($C$28/100^4)</f>
        <v>0</v>
      </c>
      <c r="D73">
        <f t="shared" ca="1" si="16"/>
        <v>1072.9304779365266</v>
      </c>
      <c r="E73">
        <f t="shared" ca="1" si="16"/>
        <v>2032.9209055639453</v>
      </c>
      <c r="F73">
        <f t="shared" ca="1" si="16"/>
        <v>2879.9712828822562</v>
      </c>
      <c r="G73">
        <f t="shared" ca="1" si="16"/>
        <v>3614.0816098914593</v>
      </c>
      <c r="H73">
        <f t="shared" ca="1" si="16"/>
        <v>4235.2518865915517</v>
      </c>
      <c r="I73">
        <f t="shared" ca="1" si="16"/>
        <v>4743.4821129825395</v>
      </c>
      <c r="J73">
        <f t="shared" ca="1" si="16"/>
        <v>5138.7722890644154</v>
      </c>
      <c r="K73">
        <f t="shared" ca="1" si="16"/>
        <v>5421.1224148371884</v>
      </c>
      <c r="L73">
        <f t="shared" ca="1" si="16"/>
        <v>5590.5324903008495</v>
      </c>
      <c r="M73">
        <f t="shared" ca="1" si="16"/>
        <v>5647.0025154554041</v>
      </c>
      <c r="N73">
        <f t="shared" ca="1" si="16"/>
        <v>5590.5324903008477</v>
      </c>
      <c r="O73">
        <f t="shared" ca="1" si="16"/>
        <v>5421.1224148371875</v>
      </c>
      <c r="P73">
        <f t="shared" ca="1" si="16"/>
        <v>5138.7722890644154</v>
      </c>
      <c r="Q73">
        <f t="shared" ca="1" si="16"/>
        <v>4743.4821129825377</v>
      </c>
      <c r="R73">
        <f t="shared" ca="1" si="16"/>
        <v>4235.2518865915517</v>
      </c>
      <c r="S73">
        <f t="shared" ca="1" si="16"/>
        <v>3614.0816098914574</v>
      </c>
      <c r="T73">
        <f t="shared" ca="1" si="16"/>
        <v>2879.971282882258</v>
      </c>
      <c r="U73">
        <f t="shared" ca="1" si="16"/>
        <v>2032.9209055639424</v>
      </c>
      <c r="V73">
        <f t="shared" ca="1" si="16"/>
        <v>1072.930477936522</v>
      </c>
      <c r="W73">
        <f t="shared" ca="1" si="16"/>
        <v>0</v>
      </c>
    </row>
    <row r="74" spans="2:23" x14ac:dyDescent="0.25">
      <c r="B74" t="s">
        <v>836</v>
      </c>
      <c r="C74">
        <f t="shared" ref="C74:W74" ca="1" si="17">((C19*$C$42+C18*$C$43)*$C$51)/($C$29/100^4)</f>
        <v>0</v>
      </c>
      <c r="D74">
        <f t="shared" ca="1" si="17"/>
        <v>510.90925633735418</v>
      </c>
      <c r="E74">
        <f t="shared" ca="1" si="17"/>
        <v>968.03859095498672</v>
      </c>
      <c r="F74">
        <f t="shared" ca="1" si="17"/>
        <v>1371.3880038528982</v>
      </c>
      <c r="G74">
        <f t="shared" ca="1" si="17"/>
        <v>1720.9574950310875</v>
      </c>
      <c r="H74">
        <f t="shared" ca="1" si="17"/>
        <v>2016.7470644895559</v>
      </c>
      <c r="I74">
        <f t="shared" ca="1" si="17"/>
        <v>2258.7567122283026</v>
      </c>
      <c r="J74">
        <f t="shared" ca="1" si="17"/>
        <v>2446.9864382473279</v>
      </c>
      <c r="K74">
        <f t="shared" ca="1" si="17"/>
        <v>2581.4362425466315</v>
      </c>
      <c r="L74">
        <f t="shared" ca="1" si="17"/>
        <v>2662.1061251262136</v>
      </c>
      <c r="M74">
        <f t="shared" ca="1" si="17"/>
        <v>2688.9960859860744</v>
      </c>
      <c r="N74">
        <f t="shared" ca="1" si="17"/>
        <v>2662.1061251262136</v>
      </c>
      <c r="O74">
        <f t="shared" ca="1" si="17"/>
        <v>2581.436242546632</v>
      </c>
      <c r="P74">
        <f t="shared" ca="1" si="17"/>
        <v>2446.9864382473279</v>
      </c>
      <c r="Q74">
        <f t="shared" ca="1" si="17"/>
        <v>2258.7567122283035</v>
      </c>
      <c r="R74">
        <f t="shared" ca="1" si="17"/>
        <v>2016.7470644895566</v>
      </c>
      <c r="S74">
        <f t="shared" ca="1" si="17"/>
        <v>1720.9574950310866</v>
      </c>
      <c r="T74">
        <f t="shared" ca="1" si="17"/>
        <v>1371.3880038529003</v>
      </c>
      <c r="U74">
        <f t="shared" ca="1" si="17"/>
        <v>968.03859095498626</v>
      </c>
      <c r="V74">
        <f t="shared" ca="1" si="17"/>
        <v>510.90925633735225</v>
      </c>
      <c r="W74">
        <f t="shared" ca="1" si="17"/>
        <v>0</v>
      </c>
    </row>
    <row r="75" spans="2:23" x14ac:dyDescent="0.25">
      <c r="B75" t="s">
        <v>837</v>
      </c>
      <c r="C75">
        <f t="shared" ref="C75:W75" ca="1" si="18">$C$45*((C20*$C$51)/($C$29/100^4))*$C$44</f>
        <v>0</v>
      </c>
      <c r="D75">
        <f t="shared" ca="1" si="18"/>
        <v>238.68924125496241</v>
      </c>
      <c r="E75">
        <f t="shared" ca="1" si="18"/>
        <v>452.25329921992881</v>
      </c>
      <c r="F75">
        <f t="shared" ca="1" si="18"/>
        <v>640.69217389489916</v>
      </c>
      <c r="G75">
        <f t="shared" ca="1" si="18"/>
        <v>804.00586527987343</v>
      </c>
      <c r="H75">
        <f t="shared" ca="1" si="18"/>
        <v>942.19437337485158</v>
      </c>
      <c r="I75">
        <f t="shared" ca="1" si="18"/>
        <v>1055.2576981798341</v>
      </c>
      <c r="J75">
        <f t="shared" ca="1" si="18"/>
        <v>1143.1958396948201</v>
      </c>
      <c r="K75">
        <f t="shared" ca="1" si="18"/>
        <v>1206.0087979198104</v>
      </c>
      <c r="L75">
        <f t="shared" ca="1" si="18"/>
        <v>1243.6965728548041</v>
      </c>
      <c r="M75">
        <f t="shared" ca="1" si="18"/>
        <v>1256.2591644998024</v>
      </c>
      <c r="N75">
        <f t="shared" ca="1" si="18"/>
        <v>1243.6965728548043</v>
      </c>
      <c r="O75">
        <f t="shared" ca="1" si="18"/>
        <v>1206.0087979198104</v>
      </c>
      <c r="P75">
        <f t="shared" ca="1" si="18"/>
        <v>1143.1958396948203</v>
      </c>
      <c r="Q75">
        <f t="shared" ca="1" si="18"/>
        <v>1055.2576981798343</v>
      </c>
      <c r="R75">
        <f t="shared" ca="1" si="18"/>
        <v>942.19437337485192</v>
      </c>
      <c r="S75">
        <f t="shared" ca="1" si="18"/>
        <v>804.00586527987355</v>
      </c>
      <c r="T75">
        <f t="shared" ca="1" si="18"/>
        <v>640.6921738948995</v>
      </c>
      <c r="U75">
        <f t="shared" ca="1" si="18"/>
        <v>452.25329921992807</v>
      </c>
      <c r="V75">
        <f t="shared" ca="1" si="18"/>
        <v>238.68924125496218</v>
      </c>
      <c r="W75">
        <f t="shared" ca="1" si="18"/>
        <v>0</v>
      </c>
    </row>
    <row r="76" spans="2:23" x14ac:dyDescent="0.25">
      <c r="B76" t="s">
        <v>838</v>
      </c>
      <c r="C76">
        <f t="shared" ref="C76:W76" ca="1" si="19">$C$38*(C72+C73+C74+C75)/100^2</f>
        <v>-2.8336161371756439</v>
      </c>
      <c r="D76">
        <f t="shared" ca="1" si="19"/>
        <v>-0.96163736078521578</v>
      </c>
      <c r="E76">
        <f t="shared" ca="1" si="19"/>
        <v>0.71329101809042939</v>
      </c>
      <c r="F76">
        <f t="shared" ca="1" si="19"/>
        <v>2.1911689994512957</v>
      </c>
      <c r="G76">
        <f t="shared" ca="1" si="19"/>
        <v>3.4719965832973756</v>
      </c>
      <c r="H76">
        <f t="shared" ca="1" si="19"/>
        <v>4.5557737696286775</v>
      </c>
      <c r="I76">
        <f t="shared" ca="1" si="19"/>
        <v>5.4425005584451958</v>
      </c>
      <c r="J76">
        <f t="shared" ca="1" si="19"/>
        <v>6.1321769497469321</v>
      </c>
      <c r="K76">
        <f t="shared" ca="1" si="19"/>
        <v>6.6248029435338864</v>
      </c>
      <c r="L76">
        <f t="shared" ca="1" si="19"/>
        <v>6.9203785398060589</v>
      </c>
      <c r="M76">
        <f t="shared" ca="1" si="19"/>
        <v>7.0189037385634512</v>
      </c>
      <c r="N76">
        <f t="shared" ca="1" si="19"/>
        <v>6.9203785398060589</v>
      </c>
      <c r="O76">
        <f t="shared" ca="1" si="19"/>
        <v>6.6248029435338873</v>
      </c>
      <c r="P76">
        <f t="shared" ca="1" si="19"/>
        <v>6.1321769497469321</v>
      </c>
      <c r="Q76">
        <f t="shared" ca="1" si="19"/>
        <v>5.4425005584451966</v>
      </c>
      <c r="R76">
        <f t="shared" ca="1" si="19"/>
        <v>4.5557737696286775</v>
      </c>
      <c r="S76">
        <f t="shared" ca="1" si="19"/>
        <v>3.4719965832973729</v>
      </c>
      <c r="T76">
        <f t="shared" ca="1" si="19"/>
        <v>2.1911689994512997</v>
      </c>
      <c r="U76">
        <f t="shared" ca="1" si="19"/>
        <v>0.71329101809042428</v>
      </c>
      <c r="V76">
        <f t="shared" ca="1" si="19"/>
        <v>-0.96163736078521911</v>
      </c>
      <c r="W76">
        <f t="shared" ca="1" si="19"/>
        <v>-2.8336161371756439</v>
      </c>
    </row>
    <row r="77" spans="2:23" x14ac:dyDescent="0.25">
      <c r="B77" t="s">
        <v>839</v>
      </c>
      <c r="C77">
        <f t="shared" ref="C77:W77" ca="1" si="20">C59/190</f>
        <v>0.56685806267738226</v>
      </c>
      <c r="D77">
        <f t="shared" ca="1" si="20"/>
        <v>0.5690122246237358</v>
      </c>
      <c r="E77">
        <f t="shared" ca="1" si="20"/>
        <v>0.57093963268099945</v>
      </c>
      <c r="F77">
        <f t="shared" ca="1" si="20"/>
        <v>0.57264028684917323</v>
      </c>
      <c r="G77">
        <f t="shared" ca="1" si="20"/>
        <v>0.57411418712825735</v>
      </c>
      <c r="H77">
        <f t="shared" ca="1" si="20"/>
        <v>0.57536133351825147</v>
      </c>
      <c r="I77">
        <f t="shared" ca="1" si="20"/>
        <v>0.57638172601915583</v>
      </c>
      <c r="J77">
        <f t="shared" ca="1" si="20"/>
        <v>0.5771753646309703</v>
      </c>
      <c r="K77">
        <f t="shared" ca="1" si="20"/>
        <v>0.57774224935369478</v>
      </c>
      <c r="L77">
        <f t="shared" ca="1" si="20"/>
        <v>0.5780823801873296</v>
      </c>
      <c r="M77">
        <f t="shared" ca="1" si="20"/>
        <v>0.57819575713187454</v>
      </c>
      <c r="N77">
        <f t="shared" ca="1" si="20"/>
        <v>0.5780823801873296</v>
      </c>
      <c r="O77">
        <f t="shared" ca="1" si="20"/>
        <v>0.57774224935369478</v>
      </c>
      <c r="P77">
        <f t="shared" ca="1" si="20"/>
        <v>0.5771753646309703</v>
      </c>
      <c r="Q77">
        <f t="shared" ca="1" si="20"/>
        <v>0.57638172601915583</v>
      </c>
      <c r="R77">
        <f t="shared" ca="1" si="20"/>
        <v>0.57536133351825147</v>
      </c>
      <c r="S77">
        <f t="shared" ca="1" si="20"/>
        <v>0.57411418712825735</v>
      </c>
      <c r="T77">
        <f t="shared" ca="1" si="20"/>
        <v>0.57264028684917323</v>
      </c>
      <c r="U77">
        <f t="shared" ca="1" si="20"/>
        <v>0.57093963268099945</v>
      </c>
      <c r="V77">
        <f t="shared" ca="1" si="20"/>
        <v>0.5690122246237358</v>
      </c>
      <c r="W77">
        <f t="shared" ca="1" si="20"/>
        <v>0.56685806267738226</v>
      </c>
    </row>
    <row r="78" spans="2:23" x14ac:dyDescent="0.25">
      <c r="B78" t="s">
        <v>840</v>
      </c>
      <c r="C78">
        <f t="shared" ref="C78:W78" ca="1" si="21">C60/190</f>
        <v>0.2673060914751359</v>
      </c>
      <c r="D78">
        <f t="shared" ca="1" si="21"/>
        <v>0.26444586950522797</v>
      </c>
      <c r="E78">
        <f t="shared" ca="1" si="21"/>
        <v>0.26188672353215242</v>
      </c>
      <c r="F78">
        <f t="shared" ca="1" si="21"/>
        <v>0.25962865355590931</v>
      </c>
      <c r="G78">
        <f t="shared" ca="1" si="21"/>
        <v>0.25767165957649857</v>
      </c>
      <c r="H78">
        <f t="shared" ca="1" si="21"/>
        <v>0.25601574159392032</v>
      </c>
      <c r="I78">
        <f t="shared" ca="1" si="21"/>
        <v>0.2546608996081744</v>
      </c>
      <c r="J78">
        <f t="shared" ca="1" si="21"/>
        <v>0.25360713361926096</v>
      </c>
      <c r="K78">
        <f t="shared" ca="1" si="21"/>
        <v>0.25285444362717996</v>
      </c>
      <c r="L78">
        <f t="shared" ca="1" si="21"/>
        <v>0.25240282963193134</v>
      </c>
      <c r="M78">
        <f t="shared" ca="1" si="21"/>
        <v>0.25225229163351515</v>
      </c>
      <c r="N78">
        <f t="shared" ca="1" si="21"/>
        <v>0.25240282963193128</v>
      </c>
      <c r="O78">
        <f t="shared" ca="1" si="21"/>
        <v>0.25285444362717996</v>
      </c>
      <c r="P78">
        <f t="shared" ca="1" si="21"/>
        <v>0.25360713361926096</v>
      </c>
      <c r="Q78">
        <f t="shared" ca="1" si="21"/>
        <v>0.2546608996081744</v>
      </c>
      <c r="R78">
        <f t="shared" ca="1" si="21"/>
        <v>0.25601574159392032</v>
      </c>
      <c r="S78">
        <f t="shared" ca="1" si="21"/>
        <v>0.25767165957649857</v>
      </c>
      <c r="T78">
        <f t="shared" ca="1" si="21"/>
        <v>0.25962865355590931</v>
      </c>
      <c r="U78">
        <f t="shared" ca="1" si="21"/>
        <v>0.26188672353215242</v>
      </c>
      <c r="V78">
        <f t="shared" ca="1" si="21"/>
        <v>0.26444586950522797</v>
      </c>
      <c r="W78">
        <f t="shared" ca="1" si="21"/>
        <v>0.2673060914751359</v>
      </c>
    </row>
    <row r="79" spans="2:23" x14ac:dyDescent="0.25">
      <c r="B79" t="s">
        <v>841</v>
      </c>
      <c r="C79">
        <f ca="1">2.5*IF(C77&lt;=INDEX(Geometria!$K$226:$K$229,1),0,INDEX(Geometria!$L$226:$L$229,MIN(MATCH(C77,Geometria!$K$226:$K$229,1),3))+(C77-INDEX(Geometria!$K$226:$K$229,MIN(MATCH(C77,Geometria!$K$226:$K$229,1),3)))*(INDEX(Geometria!$L$226:$L$229,MIN(MATCH(C77,Geometria!$K$226:$K$229,1),3)+1)-INDEX(Geometria!$L$226:$L$229,MIN(MATCH(C77,Geometria!$K$226:$K$229,1),3)))/(INDEX(Geometria!$K$226:$K$229,MIN(MATCH(C77,Geometria!$K$226:$K$229,1),3)+1)-INDEX(Geometria!$K$226:$K$229,MIN(MATCH(C77,Geometria!$K$226:$K$229,1),3))))</f>
        <v>2.1728870370149238</v>
      </c>
      <c r="D79">
        <f ca="1">2.5*IF(D77&lt;=INDEX(Geometria!$K$226:$K$229,1),0,INDEX(Geometria!$L$226:$L$229,MIN(MATCH(D77,Geometria!$K$226:$K$229,1),3))+(D77-INDEX(Geometria!$K$226:$K$229,MIN(MATCH(D77,Geometria!$K$226:$K$229,1),3)))*(INDEX(Geometria!$L$226:$L$229,MIN(MATCH(D77,Geometria!$K$226:$K$229,1),3)+1)-INDEX(Geometria!$L$226:$L$229,MIN(MATCH(D77,Geometria!$K$226:$K$229,1),3)))/(INDEX(Geometria!$K$226:$K$229,MIN(MATCH(D77,Geometria!$K$226:$K$229,1),3)+1)-INDEX(Geometria!$K$226:$K$229,MIN(MATCH(D77,Geometria!$K$226:$K$229,1),3))))</f>
        <v>2.2428973002714141</v>
      </c>
      <c r="E79">
        <f ca="1">2.5*IF(E77&lt;=INDEX(Geometria!$K$226:$K$229,1),0,INDEX(Geometria!$L$226:$L$229,MIN(MATCH(E77,Geometria!$K$226:$K$229,1),3))+(E77-INDEX(Geometria!$K$226:$K$229,MIN(MATCH(E77,Geometria!$K$226:$K$229,1),3)))*(INDEX(Geometria!$L$226:$L$229,MIN(MATCH(E77,Geometria!$K$226:$K$229,1),3)+1)-INDEX(Geometria!$L$226:$L$229,MIN(MATCH(E77,Geometria!$K$226:$K$229,1),3)))/(INDEX(Geometria!$K$226:$K$229,MIN(MATCH(E77,Geometria!$K$226:$K$229,1),3)+1)-INDEX(Geometria!$K$226:$K$229,MIN(MATCH(E77,Geometria!$K$226:$K$229,1),3))))</f>
        <v>2.3055380621324826</v>
      </c>
      <c r="F79">
        <f ca="1">2.5*IF(F77&lt;=INDEX(Geometria!$K$226:$K$229,1),0,INDEX(Geometria!$L$226:$L$229,MIN(MATCH(F77,Geometria!$K$226:$K$229,1),3))+(F77-INDEX(Geometria!$K$226:$K$229,MIN(MATCH(F77,Geometria!$K$226:$K$229,1),3)))*(INDEX(Geometria!$L$226:$L$229,MIN(MATCH(F77,Geometria!$K$226:$K$229,1),3)+1)-INDEX(Geometria!$L$226:$L$229,MIN(MATCH(F77,Geometria!$K$226:$K$229,1),3)))/(INDEX(Geometria!$K$226:$K$229,MIN(MATCH(F77,Geometria!$K$226:$K$229,1),3)+1)-INDEX(Geometria!$K$226:$K$229,MIN(MATCH(F77,Geometria!$K$226:$K$229,1),3))))</f>
        <v>2.3608093225981306</v>
      </c>
      <c r="G79">
        <f ca="1">2.5*IF(G77&lt;=INDEX(Geometria!$K$226:$K$229,1),0,INDEX(Geometria!$L$226:$L$229,MIN(MATCH(G77,Geometria!$K$226:$K$229,1),3))+(G77-INDEX(Geometria!$K$226:$K$229,MIN(MATCH(G77,Geometria!$K$226:$K$229,1),3)))*(INDEX(Geometria!$L$226:$L$229,MIN(MATCH(G77,Geometria!$K$226:$K$229,1),3)+1)-INDEX(Geometria!$L$226:$L$229,MIN(MATCH(G77,Geometria!$K$226:$K$229,1),3)))/(INDEX(Geometria!$K$226:$K$229,MIN(MATCH(G77,Geometria!$K$226:$K$229,1),3)+1)-INDEX(Geometria!$K$226:$K$229,MIN(MATCH(G77,Geometria!$K$226:$K$229,1),3))))</f>
        <v>2.4087110816683643</v>
      </c>
      <c r="H79">
        <f ca="1">2.5*IF(H77&lt;=INDEX(Geometria!$K$226:$K$229,1),0,INDEX(Geometria!$L$226:$L$229,MIN(MATCH(H77,Geometria!$K$226:$K$229,1),3))+(H77-INDEX(Geometria!$K$226:$K$229,MIN(MATCH(H77,Geometria!$K$226:$K$229,1),3)))*(INDEX(Geometria!$L$226:$L$229,MIN(MATCH(H77,Geometria!$K$226:$K$229,1),3)+1)-INDEX(Geometria!$L$226:$L$229,MIN(MATCH(H77,Geometria!$K$226:$K$229,1),3)))/(INDEX(Geometria!$K$226:$K$229,MIN(MATCH(H77,Geometria!$K$226:$K$229,1),3)+1)-INDEX(Geometria!$K$226:$K$229,MIN(MATCH(H77,Geometria!$K$226:$K$229,1),3))))</f>
        <v>2.4492433393431732</v>
      </c>
      <c r="I79">
        <f ca="1">2.5*IF(I77&lt;=INDEX(Geometria!$K$226:$K$229,1),0,INDEX(Geometria!$L$226:$L$229,MIN(MATCH(I77,Geometria!$K$226:$K$229,1),3))+(I77-INDEX(Geometria!$K$226:$K$229,MIN(MATCH(I77,Geometria!$K$226:$K$229,1),3)))*(INDEX(Geometria!$L$226:$L$229,MIN(MATCH(I77,Geometria!$K$226:$K$229,1),3)+1)-INDEX(Geometria!$L$226:$L$229,MIN(MATCH(I77,Geometria!$K$226:$K$229,1),3)))/(INDEX(Geometria!$K$226:$K$229,MIN(MATCH(I77,Geometria!$K$226:$K$229,1),3)+1)-INDEX(Geometria!$K$226:$K$229,MIN(MATCH(I77,Geometria!$K$226:$K$229,1),3))))</f>
        <v>2.4824060956225651</v>
      </c>
      <c r="J79">
        <f ca="1">2.5*IF(J77&lt;=INDEX(Geometria!$K$226:$K$229,1),0,INDEX(Geometria!$L$226:$L$229,MIN(MATCH(J77,Geometria!$K$226:$K$229,1),3))+(J77-INDEX(Geometria!$K$226:$K$229,MIN(MATCH(J77,Geometria!$K$226:$K$229,1),3)))*(INDEX(Geometria!$L$226:$L$229,MIN(MATCH(J77,Geometria!$K$226:$K$229,1),3)+1)-INDEX(Geometria!$L$226:$L$229,MIN(MATCH(J77,Geometria!$K$226:$K$229,1),3)))/(INDEX(Geometria!$K$226:$K$229,MIN(MATCH(J77,Geometria!$K$226:$K$229,1),3)+1)-INDEX(Geometria!$K$226:$K$229,MIN(MATCH(J77,Geometria!$K$226:$K$229,1),3))))</f>
        <v>2.5081993505065352</v>
      </c>
      <c r="K79">
        <f ca="1">2.5*IF(K77&lt;=INDEX(Geometria!$K$226:$K$229,1),0,INDEX(Geometria!$L$226:$L$229,MIN(MATCH(K77,Geometria!$K$226:$K$229,1),3))+(K77-INDEX(Geometria!$K$226:$K$229,MIN(MATCH(K77,Geometria!$K$226:$K$229,1),3)))*(INDEX(Geometria!$L$226:$L$229,MIN(MATCH(K77,Geometria!$K$226:$K$229,1),3)+1)-INDEX(Geometria!$L$226:$L$229,MIN(MATCH(K77,Geometria!$K$226:$K$229,1),3)))/(INDEX(Geometria!$K$226:$K$229,MIN(MATCH(K77,Geometria!$K$226:$K$229,1),3)+1)-INDEX(Geometria!$K$226:$K$229,MIN(MATCH(K77,Geometria!$K$226:$K$229,1),3))))</f>
        <v>2.5266231039950808</v>
      </c>
      <c r="L79">
        <f ca="1">2.5*IF(L77&lt;=INDEX(Geometria!$K$226:$K$229,1),0,INDEX(Geometria!$L$226:$L$229,MIN(MATCH(L77,Geometria!$K$226:$K$229,1),3))+(L77-INDEX(Geometria!$K$226:$K$229,MIN(MATCH(L77,Geometria!$K$226:$K$229,1),3)))*(INDEX(Geometria!$L$226:$L$229,MIN(MATCH(L77,Geometria!$K$226:$K$229,1),3)+1)-INDEX(Geometria!$L$226:$L$229,MIN(MATCH(L77,Geometria!$K$226:$K$229,1),3)))/(INDEX(Geometria!$K$226:$K$229,MIN(MATCH(L77,Geometria!$K$226:$K$229,1),3)+1)-INDEX(Geometria!$K$226:$K$229,MIN(MATCH(L77,Geometria!$K$226:$K$229,1),3))))</f>
        <v>2.5376773560882127</v>
      </c>
      <c r="M79">
        <f ca="1">2.5*IF(M77&lt;=INDEX(Geometria!$K$226:$K$229,1),0,INDEX(Geometria!$L$226:$L$229,MIN(MATCH(M77,Geometria!$K$226:$K$229,1),3))+(M77-INDEX(Geometria!$K$226:$K$229,MIN(MATCH(M77,Geometria!$K$226:$K$229,1),3)))*(INDEX(Geometria!$L$226:$L$229,MIN(MATCH(M77,Geometria!$K$226:$K$229,1),3)+1)-INDEX(Geometria!$L$226:$L$229,MIN(MATCH(M77,Geometria!$K$226:$K$229,1),3)))/(INDEX(Geometria!$K$226:$K$229,MIN(MATCH(M77,Geometria!$K$226:$K$229,1),3)+1)-INDEX(Geometria!$K$226:$K$229,MIN(MATCH(M77,Geometria!$K$226:$K$229,1),3))))</f>
        <v>2.5413621067859231</v>
      </c>
      <c r="N79">
        <f ca="1">2.5*IF(N77&lt;=INDEX(Geometria!$K$226:$K$229,1),0,INDEX(Geometria!$L$226:$L$229,MIN(MATCH(N77,Geometria!$K$226:$K$229,1),3))+(N77-INDEX(Geometria!$K$226:$K$229,MIN(MATCH(N77,Geometria!$K$226:$K$229,1),3)))*(INDEX(Geometria!$L$226:$L$229,MIN(MATCH(N77,Geometria!$K$226:$K$229,1),3)+1)-INDEX(Geometria!$L$226:$L$229,MIN(MATCH(N77,Geometria!$K$226:$K$229,1),3)))/(INDEX(Geometria!$K$226:$K$229,MIN(MATCH(N77,Geometria!$K$226:$K$229,1),3)+1)-INDEX(Geometria!$K$226:$K$229,MIN(MATCH(N77,Geometria!$K$226:$K$229,1),3))))</f>
        <v>2.5376773560882127</v>
      </c>
      <c r="O79">
        <f ca="1">2.5*IF(O77&lt;=INDEX(Geometria!$K$226:$K$229,1),0,INDEX(Geometria!$L$226:$L$229,MIN(MATCH(O77,Geometria!$K$226:$K$229,1),3))+(O77-INDEX(Geometria!$K$226:$K$229,MIN(MATCH(O77,Geometria!$K$226:$K$229,1),3)))*(INDEX(Geometria!$L$226:$L$229,MIN(MATCH(O77,Geometria!$K$226:$K$229,1),3)+1)-INDEX(Geometria!$L$226:$L$229,MIN(MATCH(O77,Geometria!$K$226:$K$229,1),3)))/(INDEX(Geometria!$K$226:$K$229,MIN(MATCH(O77,Geometria!$K$226:$K$229,1),3)+1)-INDEX(Geometria!$K$226:$K$229,MIN(MATCH(O77,Geometria!$K$226:$K$229,1),3))))</f>
        <v>2.5266231039950808</v>
      </c>
      <c r="P79">
        <f ca="1">2.5*IF(P77&lt;=INDEX(Geometria!$K$226:$K$229,1),0,INDEX(Geometria!$L$226:$L$229,MIN(MATCH(P77,Geometria!$K$226:$K$229,1),3))+(P77-INDEX(Geometria!$K$226:$K$229,MIN(MATCH(P77,Geometria!$K$226:$K$229,1),3)))*(INDEX(Geometria!$L$226:$L$229,MIN(MATCH(P77,Geometria!$K$226:$K$229,1),3)+1)-INDEX(Geometria!$L$226:$L$229,MIN(MATCH(P77,Geometria!$K$226:$K$229,1),3)))/(INDEX(Geometria!$K$226:$K$229,MIN(MATCH(P77,Geometria!$K$226:$K$229,1),3)+1)-INDEX(Geometria!$K$226:$K$229,MIN(MATCH(P77,Geometria!$K$226:$K$229,1),3))))</f>
        <v>2.5081993505065352</v>
      </c>
      <c r="Q79">
        <f ca="1">2.5*IF(Q77&lt;=INDEX(Geometria!$K$226:$K$229,1),0,INDEX(Geometria!$L$226:$L$229,MIN(MATCH(Q77,Geometria!$K$226:$K$229,1),3))+(Q77-INDEX(Geometria!$K$226:$K$229,MIN(MATCH(Q77,Geometria!$K$226:$K$229,1),3)))*(INDEX(Geometria!$L$226:$L$229,MIN(MATCH(Q77,Geometria!$K$226:$K$229,1),3)+1)-INDEX(Geometria!$L$226:$L$229,MIN(MATCH(Q77,Geometria!$K$226:$K$229,1),3)))/(INDEX(Geometria!$K$226:$K$229,MIN(MATCH(Q77,Geometria!$K$226:$K$229,1),3)+1)-INDEX(Geometria!$K$226:$K$229,MIN(MATCH(Q77,Geometria!$K$226:$K$229,1),3))))</f>
        <v>2.4824060956225651</v>
      </c>
      <c r="R79">
        <f ca="1">2.5*IF(R77&lt;=INDEX(Geometria!$K$226:$K$229,1),0,INDEX(Geometria!$L$226:$L$229,MIN(MATCH(R77,Geometria!$K$226:$K$229,1),3))+(R77-INDEX(Geometria!$K$226:$K$229,MIN(MATCH(R77,Geometria!$K$226:$K$229,1),3)))*(INDEX(Geometria!$L$226:$L$229,MIN(MATCH(R77,Geometria!$K$226:$K$229,1),3)+1)-INDEX(Geometria!$L$226:$L$229,MIN(MATCH(R77,Geometria!$K$226:$K$229,1),3)))/(INDEX(Geometria!$K$226:$K$229,MIN(MATCH(R77,Geometria!$K$226:$K$229,1),3)+1)-INDEX(Geometria!$K$226:$K$229,MIN(MATCH(R77,Geometria!$K$226:$K$229,1),3))))</f>
        <v>2.4492433393431732</v>
      </c>
      <c r="S79">
        <f ca="1">2.5*IF(S77&lt;=INDEX(Geometria!$K$226:$K$229,1),0,INDEX(Geometria!$L$226:$L$229,MIN(MATCH(S77,Geometria!$K$226:$K$229,1),3))+(S77-INDEX(Geometria!$K$226:$K$229,MIN(MATCH(S77,Geometria!$K$226:$K$229,1),3)))*(INDEX(Geometria!$L$226:$L$229,MIN(MATCH(S77,Geometria!$K$226:$K$229,1),3)+1)-INDEX(Geometria!$L$226:$L$229,MIN(MATCH(S77,Geometria!$K$226:$K$229,1),3)))/(INDEX(Geometria!$K$226:$K$229,MIN(MATCH(S77,Geometria!$K$226:$K$229,1),3)+1)-INDEX(Geometria!$K$226:$K$229,MIN(MATCH(S77,Geometria!$K$226:$K$229,1),3))))</f>
        <v>2.4087110816683643</v>
      </c>
      <c r="T79">
        <f ca="1">2.5*IF(T77&lt;=INDEX(Geometria!$K$226:$K$229,1),0,INDEX(Geometria!$L$226:$L$229,MIN(MATCH(T77,Geometria!$K$226:$K$229,1),3))+(T77-INDEX(Geometria!$K$226:$K$229,MIN(MATCH(T77,Geometria!$K$226:$K$229,1),3)))*(INDEX(Geometria!$L$226:$L$229,MIN(MATCH(T77,Geometria!$K$226:$K$229,1),3)+1)-INDEX(Geometria!$L$226:$L$229,MIN(MATCH(T77,Geometria!$K$226:$K$229,1),3)))/(INDEX(Geometria!$K$226:$K$229,MIN(MATCH(T77,Geometria!$K$226:$K$229,1),3)+1)-INDEX(Geometria!$K$226:$K$229,MIN(MATCH(T77,Geometria!$K$226:$K$229,1),3))))</f>
        <v>2.3608093225981306</v>
      </c>
      <c r="U79">
        <f ca="1">2.5*IF(U77&lt;=INDEX(Geometria!$K$226:$K$229,1),0,INDEX(Geometria!$L$226:$L$229,MIN(MATCH(U77,Geometria!$K$226:$K$229,1),3))+(U77-INDEX(Geometria!$K$226:$K$229,MIN(MATCH(U77,Geometria!$K$226:$K$229,1),3)))*(INDEX(Geometria!$L$226:$L$229,MIN(MATCH(U77,Geometria!$K$226:$K$229,1),3)+1)-INDEX(Geometria!$L$226:$L$229,MIN(MATCH(U77,Geometria!$K$226:$K$229,1),3)))/(INDEX(Geometria!$K$226:$K$229,MIN(MATCH(U77,Geometria!$K$226:$K$229,1),3)+1)-INDEX(Geometria!$K$226:$K$229,MIN(MATCH(U77,Geometria!$K$226:$K$229,1),3))))</f>
        <v>2.3055380621324826</v>
      </c>
      <c r="V79">
        <f ca="1">2.5*IF(V77&lt;=INDEX(Geometria!$K$226:$K$229,1),0,INDEX(Geometria!$L$226:$L$229,MIN(MATCH(V77,Geometria!$K$226:$K$229,1),3))+(V77-INDEX(Geometria!$K$226:$K$229,MIN(MATCH(V77,Geometria!$K$226:$K$229,1),3)))*(INDEX(Geometria!$L$226:$L$229,MIN(MATCH(V77,Geometria!$K$226:$K$229,1),3)+1)-INDEX(Geometria!$L$226:$L$229,MIN(MATCH(V77,Geometria!$K$226:$K$229,1),3)))/(INDEX(Geometria!$K$226:$K$229,MIN(MATCH(V77,Geometria!$K$226:$K$229,1),3)+1)-INDEX(Geometria!$K$226:$K$229,MIN(MATCH(V77,Geometria!$K$226:$K$229,1),3))))</f>
        <v>2.2428973002714141</v>
      </c>
      <c r="W79">
        <f ca="1">2.5*IF(W77&lt;=INDEX(Geometria!$K$226:$K$229,1),0,INDEX(Geometria!$L$226:$L$229,MIN(MATCH(W77,Geometria!$K$226:$K$229,1),3))+(W77-INDEX(Geometria!$K$226:$K$229,MIN(MATCH(W77,Geometria!$K$226:$K$229,1),3)))*(INDEX(Geometria!$L$226:$L$229,MIN(MATCH(W77,Geometria!$K$226:$K$229,1),3)+1)-INDEX(Geometria!$L$226:$L$229,MIN(MATCH(W77,Geometria!$K$226:$K$229,1),3)))/(INDEX(Geometria!$K$226:$K$229,MIN(MATCH(W77,Geometria!$K$226:$K$229,1),3)+1)-INDEX(Geometria!$K$226:$K$229,MIN(MATCH(W77,Geometria!$K$226:$K$229,1),3))))</f>
        <v>2.1728870370149238</v>
      </c>
    </row>
    <row r="80" spans="2:23" x14ac:dyDescent="0.25">
      <c r="B80" t="s">
        <v>842</v>
      </c>
      <c r="C80">
        <f ca="1">2.5*IF(C78&lt;=INDEX(Geometria!$K$226:$K$229,1),0,INDEX(Geometria!$L$226:$L$229,MIN(MATCH(C78,Geometria!$K$226:$K$229,1),3))+(C78-INDEX(Geometria!$K$226:$K$229,MIN(MATCH(C78,Geometria!$K$226:$K$229,1),3)))*(INDEX(Geometria!$L$226:$L$229,MIN(MATCH(C78,Geometria!$K$226:$K$229,1),3)+1)-INDEX(Geometria!$L$226:$L$229,MIN(MATCH(C78,Geometria!$K$226:$K$229,1),3)))/(INDEX(Geometria!$K$226:$K$229,MIN(MATCH(C78,Geometria!$K$226:$K$229,1),3)+1)-INDEX(Geometria!$K$226:$K$229,MIN(MATCH(C78,Geometria!$K$226:$K$229,1),3))))</f>
        <v>0</v>
      </c>
      <c r="D80">
        <f ca="1">2.5*IF(D78&lt;=INDEX(Geometria!$K$226:$K$229,1),0,INDEX(Geometria!$L$226:$L$229,MIN(MATCH(D78,Geometria!$K$226:$K$229,1),3))+(D78-INDEX(Geometria!$K$226:$K$229,MIN(MATCH(D78,Geometria!$K$226:$K$229,1),3)))*(INDEX(Geometria!$L$226:$L$229,MIN(MATCH(D78,Geometria!$K$226:$K$229,1),3)+1)-INDEX(Geometria!$L$226:$L$229,MIN(MATCH(D78,Geometria!$K$226:$K$229,1),3)))/(INDEX(Geometria!$K$226:$K$229,MIN(MATCH(D78,Geometria!$K$226:$K$229,1),3)+1)-INDEX(Geometria!$K$226:$K$229,MIN(MATCH(D78,Geometria!$K$226:$K$229,1),3))))</f>
        <v>0</v>
      </c>
      <c r="E80">
        <f ca="1">2.5*IF(E78&lt;=INDEX(Geometria!$K$226:$K$229,1),0,INDEX(Geometria!$L$226:$L$229,MIN(MATCH(E78,Geometria!$K$226:$K$229,1),3))+(E78-INDEX(Geometria!$K$226:$K$229,MIN(MATCH(E78,Geometria!$K$226:$K$229,1),3)))*(INDEX(Geometria!$L$226:$L$229,MIN(MATCH(E78,Geometria!$K$226:$K$229,1),3)+1)-INDEX(Geometria!$L$226:$L$229,MIN(MATCH(E78,Geometria!$K$226:$K$229,1),3)))/(INDEX(Geometria!$K$226:$K$229,MIN(MATCH(E78,Geometria!$K$226:$K$229,1),3)+1)-INDEX(Geometria!$K$226:$K$229,MIN(MATCH(E78,Geometria!$K$226:$K$229,1),3))))</f>
        <v>0</v>
      </c>
      <c r="F80">
        <f ca="1">2.5*IF(F78&lt;=INDEX(Geometria!$K$226:$K$229,1),0,INDEX(Geometria!$L$226:$L$229,MIN(MATCH(F78,Geometria!$K$226:$K$229,1),3))+(F78-INDEX(Geometria!$K$226:$K$229,MIN(MATCH(F78,Geometria!$K$226:$K$229,1),3)))*(INDEX(Geometria!$L$226:$L$229,MIN(MATCH(F78,Geometria!$K$226:$K$229,1),3)+1)-INDEX(Geometria!$L$226:$L$229,MIN(MATCH(F78,Geometria!$K$226:$K$229,1),3)))/(INDEX(Geometria!$K$226:$K$229,MIN(MATCH(F78,Geometria!$K$226:$K$229,1),3)+1)-INDEX(Geometria!$K$226:$K$229,MIN(MATCH(F78,Geometria!$K$226:$K$229,1),3))))</f>
        <v>0</v>
      </c>
      <c r="G80">
        <f ca="1">2.5*IF(G78&lt;=INDEX(Geometria!$K$226:$K$229,1),0,INDEX(Geometria!$L$226:$L$229,MIN(MATCH(G78,Geometria!$K$226:$K$229,1),3))+(G78-INDEX(Geometria!$K$226:$K$229,MIN(MATCH(G78,Geometria!$K$226:$K$229,1),3)))*(INDEX(Geometria!$L$226:$L$229,MIN(MATCH(G78,Geometria!$K$226:$K$229,1),3)+1)-INDEX(Geometria!$L$226:$L$229,MIN(MATCH(G78,Geometria!$K$226:$K$229,1),3)))/(INDEX(Geometria!$K$226:$K$229,MIN(MATCH(G78,Geometria!$K$226:$K$229,1),3)+1)-INDEX(Geometria!$K$226:$K$229,MIN(MATCH(G78,Geometria!$K$226:$K$229,1),3))))</f>
        <v>0</v>
      </c>
      <c r="H80">
        <f ca="1">2.5*IF(H78&lt;=INDEX(Geometria!$K$226:$K$229,1),0,INDEX(Geometria!$L$226:$L$229,MIN(MATCH(H78,Geometria!$K$226:$K$229,1),3))+(H78-INDEX(Geometria!$K$226:$K$229,MIN(MATCH(H78,Geometria!$K$226:$K$229,1),3)))*(INDEX(Geometria!$L$226:$L$229,MIN(MATCH(H78,Geometria!$K$226:$K$229,1),3)+1)-INDEX(Geometria!$L$226:$L$229,MIN(MATCH(H78,Geometria!$K$226:$K$229,1),3)))/(INDEX(Geometria!$K$226:$K$229,MIN(MATCH(H78,Geometria!$K$226:$K$229,1),3)+1)-INDEX(Geometria!$K$226:$K$229,MIN(MATCH(H78,Geometria!$K$226:$K$229,1),3))))</f>
        <v>0</v>
      </c>
      <c r="I80">
        <f ca="1">2.5*IF(I78&lt;=INDEX(Geometria!$K$226:$K$229,1),0,INDEX(Geometria!$L$226:$L$229,MIN(MATCH(I78,Geometria!$K$226:$K$229,1),3))+(I78-INDEX(Geometria!$K$226:$K$229,MIN(MATCH(I78,Geometria!$K$226:$K$229,1),3)))*(INDEX(Geometria!$L$226:$L$229,MIN(MATCH(I78,Geometria!$K$226:$K$229,1),3)+1)-INDEX(Geometria!$L$226:$L$229,MIN(MATCH(I78,Geometria!$K$226:$K$229,1),3)))/(INDEX(Geometria!$K$226:$K$229,MIN(MATCH(I78,Geometria!$K$226:$K$229,1),3)+1)-INDEX(Geometria!$K$226:$K$229,MIN(MATCH(I78,Geometria!$K$226:$K$229,1),3))))</f>
        <v>0</v>
      </c>
      <c r="J80">
        <f ca="1">2.5*IF(J78&lt;=INDEX(Geometria!$K$226:$K$229,1),0,INDEX(Geometria!$L$226:$L$229,MIN(MATCH(J78,Geometria!$K$226:$K$229,1),3))+(J78-INDEX(Geometria!$K$226:$K$229,MIN(MATCH(J78,Geometria!$K$226:$K$229,1),3)))*(INDEX(Geometria!$L$226:$L$229,MIN(MATCH(J78,Geometria!$K$226:$K$229,1),3)+1)-INDEX(Geometria!$L$226:$L$229,MIN(MATCH(J78,Geometria!$K$226:$K$229,1),3)))/(INDEX(Geometria!$K$226:$K$229,MIN(MATCH(J78,Geometria!$K$226:$K$229,1),3)+1)-INDEX(Geometria!$K$226:$K$229,MIN(MATCH(J78,Geometria!$K$226:$K$229,1),3))))</f>
        <v>0</v>
      </c>
      <c r="K80">
        <f ca="1">2.5*IF(K78&lt;=INDEX(Geometria!$K$226:$K$229,1),0,INDEX(Geometria!$L$226:$L$229,MIN(MATCH(K78,Geometria!$K$226:$K$229,1),3))+(K78-INDEX(Geometria!$K$226:$K$229,MIN(MATCH(K78,Geometria!$K$226:$K$229,1),3)))*(INDEX(Geometria!$L$226:$L$229,MIN(MATCH(K78,Geometria!$K$226:$K$229,1),3)+1)-INDEX(Geometria!$L$226:$L$229,MIN(MATCH(K78,Geometria!$K$226:$K$229,1),3)))/(INDEX(Geometria!$K$226:$K$229,MIN(MATCH(K78,Geometria!$K$226:$K$229,1),3)+1)-INDEX(Geometria!$K$226:$K$229,MIN(MATCH(K78,Geometria!$K$226:$K$229,1),3))))</f>
        <v>0</v>
      </c>
      <c r="L80">
        <f ca="1">2.5*IF(L78&lt;=INDEX(Geometria!$K$226:$K$229,1),0,INDEX(Geometria!$L$226:$L$229,MIN(MATCH(L78,Geometria!$K$226:$K$229,1),3))+(L78-INDEX(Geometria!$K$226:$K$229,MIN(MATCH(L78,Geometria!$K$226:$K$229,1),3)))*(INDEX(Geometria!$L$226:$L$229,MIN(MATCH(L78,Geometria!$K$226:$K$229,1),3)+1)-INDEX(Geometria!$L$226:$L$229,MIN(MATCH(L78,Geometria!$K$226:$K$229,1),3)))/(INDEX(Geometria!$K$226:$K$229,MIN(MATCH(L78,Geometria!$K$226:$K$229,1),3)+1)-INDEX(Geometria!$K$226:$K$229,MIN(MATCH(L78,Geometria!$K$226:$K$229,1),3))))</f>
        <v>0</v>
      </c>
      <c r="M80">
        <f ca="1">2.5*IF(M78&lt;=INDEX(Geometria!$K$226:$K$229,1),0,INDEX(Geometria!$L$226:$L$229,MIN(MATCH(M78,Geometria!$K$226:$K$229,1),3))+(M78-INDEX(Geometria!$K$226:$K$229,MIN(MATCH(M78,Geometria!$K$226:$K$229,1),3)))*(INDEX(Geometria!$L$226:$L$229,MIN(MATCH(M78,Geometria!$K$226:$K$229,1),3)+1)-INDEX(Geometria!$L$226:$L$229,MIN(MATCH(M78,Geometria!$K$226:$K$229,1),3)))/(INDEX(Geometria!$K$226:$K$229,MIN(MATCH(M78,Geometria!$K$226:$K$229,1),3)+1)-INDEX(Geometria!$K$226:$K$229,MIN(MATCH(M78,Geometria!$K$226:$K$229,1),3))))</f>
        <v>0</v>
      </c>
      <c r="N80">
        <f ca="1">2.5*IF(N78&lt;=INDEX(Geometria!$K$226:$K$229,1),0,INDEX(Geometria!$L$226:$L$229,MIN(MATCH(N78,Geometria!$K$226:$K$229,1),3))+(N78-INDEX(Geometria!$K$226:$K$229,MIN(MATCH(N78,Geometria!$K$226:$K$229,1),3)))*(INDEX(Geometria!$L$226:$L$229,MIN(MATCH(N78,Geometria!$K$226:$K$229,1),3)+1)-INDEX(Geometria!$L$226:$L$229,MIN(MATCH(N78,Geometria!$K$226:$K$229,1),3)))/(INDEX(Geometria!$K$226:$K$229,MIN(MATCH(N78,Geometria!$K$226:$K$229,1),3)+1)-INDEX(Geometria!$K$226:$K$229,MIN(MATCH(N78,Geometria!$K$226:$K$229,1),3))))</f>
        <v>0</v>
      </c>
      <c r="O80">
        <f ca="1">2.5*IF(O78&lt;=INDEX(Geometria!$K$226:$K$229,1),0,INDEX(Geometria!$L$226:$L$229,MIN(MATCH(O78,Geometria!$K$226:$K$229,1),3))+(O78-INDEX(Geometria!$K$226:$K$229,MIN(MATCH(O78,Geometria!$K$226:$K$229,1),3)))*(INDEX(Geometria!$L$226:$L$229,MIN(MATCH(O78,Geometria!$K$226:$K$229,1),3)+1)-INDEX(Geometria!$L$226:$L$229,MIN(MATCH(O78,Geometria!$K$226:$K$229,1),3)))/(INDEX(Geometria!$K$226:$K$229,MIN(MATCH(O78,Geometria!$K$226:$K$229,1),3)+1)-INDEX(Geometria!$K$226:$K$229,MIN(MATCH(O78,Geometria!$K$226:$K$229,1),3))))</f>
        <v>0</v>
      </c>
      <c r="P80">
        <f ca="1">2.5*IF(P78&lt;=INDEX(Geometria!$K$226:$K$229,1),0,INDEX(Geometria!$L$226:$L$229,MIN(MATCH(P78,Geometria!$K$226:$K$229,1),3))+(P78-INDEX(Geometria!$K$226:$K$229,MIN(MATCH(P78,Geometria!$K$226:$K$229,1),3)))*(INDEX(Geometria!$L$226:$L$229,MIN(MATCH(P78,Geometria!$K$226:$K$229,1),3)+1)-INDEX(Geometria!$L$226:$L$229,MIN(MATCH(P78,Geometria!$K$226:$K$229,1),3)))/(INDEX(Geometria!$K$226:$K$229,MIN(MATCH(P78,Geometria!$K$226:$K$229,1),3)+1)-INDEX(Geometria!$K$226:$K$229,MIN(MATCH(P78,Geometria!$K$226:$K$229,1),3))))</f>
        <v>0</v>
      </c>
      <c r="Q80">
        <f ca="1">2.5*IF(Q78&lt;=INDEX(Geometria!$K$226:$K$229,1),0,INDEX(Geometria!$L$226:$L$229,MIN(MATCH(Q78,Geometria!$K$226:$K$229,1),3))+(Q78-INDEX(Geometria!$K$226:$K$229,MIN(MATCH(Q78,Geometria!$K$226:$K$229,1),3)))*(INDEX(Geometria!$L$226:$L$229,MIN(MATCH(Q78,Geometria!$K$226:$K$229,1),3)+1)-INDEX(Geometria!$L$226:$L$229,MIN(MATCH(Q78,Geometria!$K$226:$K$229,1),3)))/(INDEX(Geometria!$K$226:$K$229,MIN(MATCH(Q78,Geometria!$K$226:$K$229,1),3)+1)-INDEX(Geometria!$K$226:$K$229,MIN(MATCH(Q78,Geometria!$K$226:$K$229,1),3))))</f>
        <v>0</v>
      </c>
      <c r="R80">
        <f ca="1">2.5*IF(R78&lt;=INDEX(Geometria!$K$226:$K$229,1),0,INDEX(Geometria!$L$226:$L$229,MIN(MATCH(R78,Geometria!$K$226:$K$229,1),3))+(R78-INDEX(Geometria!$K$226:$K$229,MIN(MATCH(R78,Geometria!$K$226:$K$229,1),3)))*(INDEX(Geometria!$L$226:$L$229,MIN(MATCH(R78,Geometria!$K$226:$K$229,1),3)+1)-INDEX(Geometria!$L$226:$L$229,MIN(MATCH(R78,Geometria!$K$226:$K$229,1),3)))/(INDEX(Geometria!$K$226:$K$229,MIN(MATCH(R78,Geometria!$K$226:$K$229,1),3)+1)-INDEX(Geometria!$K$226:$K$229,MIN(MATCH(R78,Geometria!$K$226:$K$229,1),3))))</f>
        <v>0</v>
      </c>
      <c r="S80">
        <f ca="1">2.5*IF(S78&lt;=INDEX(Geometria!$K$226:$K$229,1),0,INDEX(Geometria!$L$226:$L$229,MIN(MATCH(S78,Geometria!$K$226:$K$229,1),3))+(S78-INDEX(Geometria!$K$226:$K$229,MIN(MATCH(S78,Geometria!$K$226:$K$229,1),3)))*(INDEX(Geometria!$L$226:$L$229,MIN(MATCH(S78,Geometria!$K$226:$K$229,1),3)+1)-INDEX(Geometria!$L$226:$L$229,MIN(MATCH(S78,Geometria!$K$226:$K$229,1),3)))/(INDEX(Geometria!$K$226:$K$229,MIN(MATCH(S78,Geometria!$K$226:$K$229,1),3)+1)-INDEX(Geometria!$K$226:$K$229,MIN(MATCH(S78,Geometria!$K$226:$K$229,1),3))))</f>
        <v>0</v>
      </c>
      <c r="T80">
        <f ca="1">2.5*IF(T78&lt;=INDEX(Geometria!$K$226:$K$229,1),0,INDEX(Geometria!$L$226:$L$229,MIN(MATCH(T78,Geometria!$K$226:$K$229,1),3))+(T78-INDEX(Geometria!$K$226:$K$229,MIN(MATCH(T78,Geometria!$K$226:$K$229,1),3)))*(INDEX(Geometria!$L$226:$L$229,MIN(MATCH(T78,Geometria!$K$226:$K$229,1),3)+1)-INDEX(Geometria!$L$226:$L$229,MIN(MATCH(T78,Geometria!$K$226:$K$229,1),3)))/(INDEX(Geometria!$K$226:$K$229,MIN(MATCH(T78,Geometria!$K$226:$K$229,1),3)+1)-INDEX(Geometria!$K$226:$K$229,MIN(MATCH(T78,Geometria!$K$226:$K$229,1),3))))</f>
        <v>0</v>
      </c>
      <c r="U80">
        <f ca="1">2.5*IF(U78&lt;=INDEX(Geometria!$K$226:$K$229,1),0,INDEX(Geometria!$L$226:$L$229,MIN(MATCH(U78,Geometria!$K$226:$K$229,1),3))+(U78-INDEX(Geometria!$K$226:$K$229,MIN(MATCH(U78,Geometria!$K$226:$K$229,1),3)))*(INDEX(Geometria!$L$226:$L$229,MIN(MATCH(U78,Geometria!$K$226:$K$229,1),3)+1)-INDEX(Geometria!$L$226:$L$229,MIN(MATCH(U78,Geometria!$K$226:$K$229,1),3)))/(INDEX(Geometria!$K$226:$K$229,MIN(MATCH(U78,Geometria!$K$226:$K$229,1),3)+1)-INDEX(Geometria!$K$226:$K$229,MIN(MATCH(U78,Geometria!$K$226:$K$229,1),3))))</f>
        <v>0</v>
      </c>
      <c r="V80">
        <f ca="1">2.5*IF(V78&lt;=INDEX(Geometria!$K$226:$K$229,1),0,INDEX(Geometria!$L$226:$L$229,MIN(MATCH(V78,Geometria!$K$226:$K$229,1),3))+(V78-INDEX(Geometria!$K$226:$K$229,MIN(MATCH(V78,Geometria!$K$226:$K$229,1),3)))*(INDEX(Geometria!$L$226:$L$229,MIN(MATCH(V78,Geometria!$K$226:$K$229,1),3)+1)-INDEX(Geometria!$L$226:$L$229,MIN(MATCH(V78,Geometria!$K$226:$K$229,1),3)))/(INDEX(Geometria!$K$226:$K$229,MIN(MATCH(V78,Geometria!$K$226:$K$229,1),3)+1)-INDEX(Geometria!$K$226:$K$229,MIN(MATCH(V78,Geometria!$K$226:$K$229,1),3))))</f>
        <v>0</v>
      </c>
      <c r="W80">
        <f ca="1">2.5*IF(W78&lt;=INDEX(Geometria!$K$226:$K$229,1),0,INDEX(Geometria!$L$226:$L$229,MIN(MATCH(W78,Geometria!$K$226:$K$229,1),3))+(W78-INDEX(Geometria!$K$226:$K$229,MIN(MATCH(W78,Geometria!$K$226:$K$229,1),3)))*(INDEX(Geometria!$L$226:$L$229,MIN(MATCH(W78,Geometria!$K$226:$K$229,1),3)+1)-INDEX(Geometria!$L$226:$L$229,MIN(MATCH(W78,Geometria!$K$226:$K$229,1),3)))/(INDEX(Geometria!$K$226:$K$229,MIN(MATCH(W78,Geometria!$K$226:$K$229,1),3)+1)-INDEX(Geometria!$K$226:$K$229,MIN(MATCH(W78,Geometria!$K$226:$K$229,1),3))))</f>
        <v>0</v>
      </c>
    </row>
    <row r="81" spans="2:23" x14ac:dyDescent="0.25">
      <c r="B81" t="s">
        <v>127</v>
      </c>
      <c r="C81">
        <f t="shared" ref="C81:W81" ca="1" si="22">-LN(1-C79/100)</f>
        <v>2.1968418707704974E-2</v>
      </c>
      <c r="D81">
        <f t="shared" ca="1" si="22"/>
        <v>2.2684327872556996E-2</v>
      </c>
      <c r="E81">
        <f t="shared" ca="1" si="22"/>
        <v>2.3325312907616073E-2</v>
      </c>
      <c r="F81">
        <f t="shared" ca="1" si="22"/>
        <v>2.389122934035301E-2</v>
      </c>
      <c r="G81">
        <f t="shared" ca="1" si="22"/>
        <v>2.4381949438266805E-2</v>
      </c>
      <c r="H81">
        <f t="shared" ca="1" si="22"/>
        <v>2.4797362304698832E-2</v>
      </c>
      <c r="I81">
        <f t="shared" ca="1" si="22"/>
        <v>2.5137373962180153E-2</v>
      </c>
      <c r="J81">
        <f t="shared" ca="1" si="22"/>
        <v>2.540190742317968E-2</v>
      </c>
      <c r="K81">
        <f t="shared" ca="1" si="22"/>
        <v>2.5590902748143192E-2</v>
      </c>
      <c r="L81">
        <f t="shared" ca="1" si="22"/>
        <v>2.5704317090729619E-2</v>
      </c>
      <c r="M81">
        <f t="shared" ca="1" si="22"/>
        <v>2.5742124730174901E-2</v>
      </c>
      <c r="N81">
        <f t="shared" ca="1" si="22"/>
        <v>2.5704317090729619E-2</v>
      </c>
      <c r="O81">
        <f t="shared" ca="1" si="22"/>
        <v>2.5590902748143192E-2</v>
      </c>
      <c r="P81">
        <f t="shared" ca="1" si="22"/>
        <v>2.540190742317968E-2</v>
      </c>
      <c r="Q81">
        <f t="shared" ca="1" si="22"/>
        <v>2.5137373962180153E-2</v>
      </c>
      <c r="R81">
        <f t="shared" ca="1" si="22"/>
        <v>2.4797362304698832E-2</v>
      </c>
      <c r="S81">
        <f t="shared" ca="1" si="22"/>
        <v>2.4381949438266805E-2</v>
      </c>
      <c r="T81">
        <f t="shared" ca="1" si="22"/>
        <v>2.389122934035301E-2</v>
      </c>
      <c r="U81">
        <f t="shared" ca="1" si="22"/>
        <v>2.3325312907616073E-2</v>
      </c>
      <c r="V81">
        <f t="shared" ca="1" si="22"/>
        <v>2.2684327872556996E-2</v>
      </c>
      <c r="W81">
        <f t="shared" ca="1" si="22"/>
        <v>2.1968418707704974E-2</v>
      </c>
    </row>
    <row r="82" spans="2:23" x14ac:dyDescent="0.25">
      <c r="B82" t="s">
        <v>128</v>
      </c>
      <c r="C82">
        <f t="shared" ref="C82:W82" ca="1" si="23">-LN(1-C80/100)</f>
        <v>0</v>
      </c>
      <c r="D82">
        <f t="shared" ca="1" si="23"/>
        <v>0</v>
      </c>
      <c r="E82">
        <f t="shared" ca="1" si="23"/>
        <v>0</v>
      </c>
      <c r="F82">
        <f t="shared" ca="1" si="23"/>
        <v>0</v>
      </c>
      <c r="G82">
        <f t="shared" ca="1" si="23"/>
        <v>0</v>
      </c>
      <c r="H82">
        <f t="shared" ca="1" si="23"/>
        <v>0</v>
      </c>
      <c r="I82">
        <f t="shared" ca="1" si="23"/>
        <v>0</v>
      </c>
      <c r="J82">
        <f t="shared" ca="1" si="23"/>
        <v>0</v>
      </c>
      <c r="K82">
        <f t="shared" ca="1" si="23"/>
        <v>0</v>
      </c>
      <c r="L82">
        <f t="shared" ca="1" si="23"/>
        <v>0</v>
      </c>
      <c r="M82">
        <f t="shared" ca="1" si="23"/>
        <v>0</v>
      </c>
      <c r="N82">
        <f t="shared" ca="1" si="23"/>
        <v>0</v>
      </c>
      <c r="O82">
        <f t="shared" ca="1" si="23"/>
        <v>0</v>
      </c>
      <c r="P82">
        <f t="shared" ca="1" si="23"/>
        <v>0</v>
      </c>
      <c r="Q82">
        <f t="shared" ca="1" si="23"/>
        <v>0</v>
      </c>
      <c r="R82">
        <f t="shared" ca="1" si="23"/>
        <v>0</v>
      </c>
      <c r="S82">
        <f t="shared" ca="1" si="23"/>
        <v>0</v>
      </c>
      <c r="T82">
        <f t="shared" ca="1" si="23"/>
        <v>0</v>
      </c>
      <c r="U82">
        <f t="shared" ca="1" si="23"/>
        <v>0</v>
      </c>
      <c r="V82">
        <f t="shared" ca="1" si="23"/>
        <v>0</v>
      </c>
      <c r="W82">
        <f t="shared" ca="1" si="23"/>
        <v>0</v>
      </c>
    </row>
    <row r="83" spans="2:23" x14ac:dyDescent="0.25">
      <c r="B83" t="s">
        <v>1724</v>
      </c>
      <c r="C83">
        <f t="shared" ref="C83:W83" ca="1" si="24">1+C81</f>
        <v>1.0219684187077049</v>
      </c>
      <c r="D83">
        <f t="shared" ca="1" si="24"/>
        <v>1.022684327872557</v>
      </c>
      <c r="E83">
        <f t="shared" ca="1" si="24"/>
        <v>1.0233253129076161</v>
      </c>
      <c r="F83">
        <f t="shared" ca="1" si="24"/>
        <v>1.023891229340353</v>
      </c>
      <c r="G83">
        <f t="shared" ca="1" si="24"/>
        <v>1.0243819494382669</v>
      </c>
      <c r="H83">
        <f t="shared" ca="1" si="24"/>
        <v>1.0247973623046989</v>
      </c>
      <c r="I83">
        <f t="shared" ca="1" si="24"/>
        <v>1.0251373739621801</v>
      </c>
      <c r="J83">
        <f t="shared" ca="1" si="24"/>
        <v>1.0254019074231797</v>
      </c>
      <c r="K83">
        <f t="shared" ca="1" si="24"/>
        <v>1.0255909027481431</v>
      </c>
      <c r="L83">
        <f t="shared" ca="1" si="24"/>
        <v>1.0257043170907296</v>
      </c>
      <c r="M83">
        <f t="shared" ca="1" si="24"/>
        <v>1.025742124730175</v>
      </c>
      <c r="N83">
        <f t="shared" ca="1" si="24"/>
        <v>1.0257043170907296</v>
      </c>
      <c r="O83">
        <f t="shared" ca="1" si="24"/>
        <v>1.0255909027481431</v>
      </c>
      <c r="P83">
        <f t="shared" ca="1" si="24"/>
        <v>1.0254019074231797</v>
      </c>
      <c r="Q83">
        <f t="shared" ca="1" si="24"/>
        <v>1.0251373739621801</v>
      </c>
      <c r="R83">
        <f t="shared" ca="1" si="24"/>
        <v>1.0247973623046989</v>
      </c>
      <c r="S83">
        <f t="shared" ca="1" si="24"/>
        <v>1.0243819494382669</v>
      </c>
      <c r="T83">
        <f t="shared" ca="1" si="24"/>
        <v>1.023891229340353</v>
      </c>
      <c r="U83">
        <f t="shared" ca="1" si="24"/>
        <v>1.0233253129076161</v>
      </c>
      <c r="V83">
        <f t="shared" ca="1" si="24"/>
        <v>1.022684327872557</v>
      </c>
      <c r="W83">
        <f t="shared" ca="1" si="24"/>
        <v>1.0219684187077049</v>
      </c>
    </row>
    <row r="84" spans="2:23" x14ac:dyDescent="0.25">
      <c r="B84" t="s">
        <v>843</v>
      </c>
      <c r="C84">
        <f t="shared" ref="C84:W84" ca="1" si="25">1+C82</f>
        <v>1</v>
      </c>
      <c r="D84">
        <f t="shared" ca="1" si="25"/>
        <v>1</v>
      </c>
      <c r="E84">
        <f t="shared" ca="1" si="25"/>
        <v>1</v>
      </c>
      <c r="F84">
        <f t="shared" ca="1" si="25"/>
        <v>1</v>
      </c>
      <c r="G84">
        <f t="shared" ca="1" si="25"/>
        <v>1</v>
      </c>
      <c r="H84">
        <f t="shared" ca="1" si="25"/>
        <v>1</v>
      </c>
      <c r="I84">
        <f t="shared" ca="1" si="25"/>
        <v>1</v>
      </c>
      <c r="J84">
        <f t="shared" ca="1" si="25"/>
        <v>1</v>
      </c>
      <c r="K84">
        <f t="shared" ca="1" si="25"/>
        <v>1</v>
      </c>
      <c r="L84">
        <f t="shared" ca="1" si="25"/>
        <v>1</v>
      </c>
      <c r="M84">
        <f t="shared" ca="1" si="25"/>
        <v>1</v>
      </c>
      <c r="N84">
        <f t="shared" ca="1" si="25"/>
        <v>1</v>
      </c>
      <c r="O84">
        <f t="shared" ca="1" si="25"/>
        <v>1</v>
      </c>
      <c r="P84">
        <f t="shared" ca="1" si="25"/>
        <v>1</v>
      </c>
      <c r="Q84">
        <f t="shared" ca="1" si="25"/>
        <v>1</v>
      </c>
      <c r="R84">
        <f t="shared" ca="1" si="25"/>
        <v>1</v>
      </c>
      <c r="S84">
        <f t="shared" ca="1" si="25"/>
        <v>1</v>
      </c>
      <c r="T84">
        <f t="shared" ca="1" si="25"/>
        <v>1</v>
      </c>
      <c r="U84">
        <f t="shared" ca="1" si="25"/>
        <v>1</v>
      </c>
      <c r="V84">
        <f t="shared" ca="1" si="25"/>
        <v>1</v>
      </c>
      <c r="W84">
        <f t="shared" ca="1" si="25"/>
        <v>1</v>
      </c>
    </row>
    <row r="85" spans="2:23" x14ac:dyDescent="0.25">
      <c r="B85" t="s">
        <v>844</v>
      </c>
      <c r="C85">
        <f t="shared" ref="C85:W85" ca="1" si="26">C59*C81</f>
        <v>2.3660653010596886</v>
      </c>
      <c r="D85">
        <f t="shared" ca="1" si="26"/>
        <v>2.4524553747029958</v>
      </c>
      <c r="E85">
        <f t="shared" ca="1" si="26"/>
        <v>2.5302956608923024</v>
      </c>
      <c r="F85">
        <f t="shared" ca="1" si="26"/>
        <v>2.5994052803014354</v>
      </c>
      <c r="G85">
        <f t="shared" ca="1" si="26"/>
        <v>2.6596243856470352</v>
      </c>
      <c r="H85">
        <f t="shared" ca="1" si="26"/>
        <v>2.7108142542396809</v>
      </c>
      <c r="I85">
        <f t="shared" ca="1" si="26"/>
        <v>2.7528573684629722</v>
      </c>
      <c r="J85">
        <f t="shared" ca="1" si="26"/>
        <v>2.7856574840662174</v>
      </c>
      <c r="K85">
        <f t="shared" ca="1" si="26"/>
        <v>2.8091396861737405</v>
      </c>
      <c r="L85">
        <f t="shared" ca="1" si="26"/>
        <v>2.8232504329307782</v>
      </c>
      <c r="M85">
        <f t="shared" ca="1" si="26"/>
        <v>2.8279575867238598</v>
      </c>
      <c r="N85">
        <f t="shared" ca="1" si="26"/>
        <v>2.8232504329307782</v>
      </c>
      <c r="O85">
        <f t="shared" ca="1" si="26"/>
        <v>2.8091396861737405</v>
      </c>
      <c r="P85">
        <f t="shared" ca="1" si="26"/>
        <v>2.7856574840662174</v>
      </c>
      <c r="Q85">
        <f t="shared" ca="1" si="26"/>
        <v>2.7528573684629722</v>
      </c>
      <c r="R85">
        <f t="shared" ca="1" si="26"/>
        <v>2.7108142542396809</v>
      </c>
      <c r="S85">
        <f t="shared" ca="1" si="26"/>
        <v>2.6596243856470352</v>
      </c>
      <c r="T85">
        <f t="shared" ca="1" si="26"/>
        <v>2.5994052803014354</v>
      </c>
      <c r="U85">
        <f t="shared" ca="1" si="26"/>
        <v>2.530295660892302</v>
      </c>
      <c r="V85">
        <f t="shared" ca="1" si="26"/>
        <v>2.4524553747029958</v>
      </c>
      <c r="W85">
        <f t="shared" ca="1" si="26"/>
        <v>2.3660653010596886</v>
      </c>
    </row>
    <row r="86" spans="2:23" x14ac:dyDescent="0.25">
      <c r="B86" t="s">
        <v>845</v>
      </c>
      <c r="C86">
        <f t="shared" ref="C86:W86" ca="1" si="27">C60*C82</f>
        <v>0</v>
      </c>
      <c r="D86">
        <f t="shared" ca="1" si="27"/>
        <v>0</v>
      </c>
      <c r="E86">
        <f t="shared" ca="1" si="27"/>
        <v>0</v>
      </c>
      <c r="F86">
        <f t="shared" ca="1" si="27"/>
        <v>0</v>
      </c>
      <c r="G86">
        <f t="shared" ca="1" si="27"/>
        <v>0</v>
      </c>
      <c r="H86">
        <f t="shared" ca="1" si="27"/>
        <v>0</v>
      </c>
      <c r="I86">
        <f t="shared" ca="1" si="27"/>
        <v>0</v>
      </c>
      <c r="J86">
        <f t="shared" ca="1" si="27"/>
        <v>0</v>
      </c>
      <c r="K86">
        <f t="shared" ca="1" si="27"/>
        <v>0</v>
      </c>
      <c r="L86">
        <f t="shared" ca="1" si="27"/>
        <v>0</v>
      </c>
      <c r="M86">
        <f t="shared" ca="1" si="27"/>
        <v>0</v>
      </c>
      <c r="N86">
        <f t="shared" ca="1" si="27"/>
        <v>0</v>
      </c>
      <c r="O86">
        <f t="shared" ca="1" si="27"/>
        <v>0</v>
      </c>
      <c r="P86">
        <f t="shared" ca="1" si="27"/>
        <v>0</v>
      </c>
      <c r="Q86">
        <f t="shared" ca="1" si="27"/>
        <v>0</v>
      </c>
      <c r="R86">
        <f t="shared" ca="1" si="27"/>
        <v>0</v>
      </c>
      <c r="S86">
        <f t="shared" ca="1" si="27"/>
        <v>0</v>
      </c>
      <c r="T86">
        <f t="shared" ca="1" si="27"/>
        <v>0</v>
      </c>
      <c r="U86">
        <f t="shared" ca="1" si="27"/>
        <v>0</v>
      </c>
      <c r="V86">
        <f t="shared" ca="1" si="27"/>
        <v>0</v>
      </c>
      <c r="W86">
        <f t="shared" ca="1" si="27"/>
        <v>0</v>
      </c>
    </row>
    <row r="87" spans="2:23" x14ac:dyDescent="0.25">
      <c r="B87" t="s">
        <v>846</v>
      </c>
      <c r="C87">
        <f t="shared" ref="C87:W87" ca="1" si="28">($C$37-C71-C85)/(C83+$C$46*$C$38*$C$47*$C$49)</f>
        <v>-19.880700365018598</v>
      </c>
      <c r="D87">
        <f t="shared" ca="1" si="28"/>
        <v>-18.504672889322372</v>
      </c>
      <c r="E87">
        <f t="shared" ca="1" si="28"/>
        <v>-17.275434577604013</v>
      </c>
      <c r="F87">
        <f t="shared" ca="1" si="28"/>
        <v>-16.192336265122954</v>
      </c>
      <c r="G87">
        <f t="shared" ca="1" si="28"/>
        <v>-15.254805813032402</v>
      </c>
      <c r="H87">
        <f t="shared" ca="1" si="28"/>
        <v>-14.462347862340994</v>
      </c>
      <c r="I87">
        <f t="shared" ca="1" si="28"/>
        <v>-13.814543621313041</v>
      </c>
      <c r="J87">
        <f t="shared" ca="1" si="28"/>
        <v>-13.311050686035015</v>
      </c>
      <c r="K87">
        <f t="shared" ca="1" si="28"/>
        <v>-12.951602893918754</v>
      </c>
      <c r="L87">
        <f t="shared" ca="1" si="28"/>
        <v>-12.736010209953564</v>
      </c>
      <c r="M87">
        <f t="shared" ca="1" si="28"/>
        <v>-12.664158645561795</v>
      </c>
      <c r="N87">
        <f t="shared" ca="1" si="28"/>
        <v>-12.736010209953564</v>
      </c>
      <c r="O87">
        <f t="shared" ca="1" si="28"/>
        <v>-12.95160289391875</v>
      </c>
      <c r="P87">
        <f t="shared" ca="1" si="28"/>
        <v>-13.311050686035015</v>
      </c>
      <c r="Q87">
        <f t="shared" ca="1" si="28"/>
        <v>-13.814543621313039</v>
      </c>
      <c r="R87">
        <f t="shared" ca="1" si="28"/>
        <v>-14.462347862340991</v>
      </c>
      <c r="S87">
        <f t="shared" ca="1" si="28"/>
        <v>-15.254805813032402</v>
      </c>
      <c r="T87">
        <f t="shared" ca="1" si="28"/>
        <v>-16.19233626512295</v>
      </c>
      <c r="U87">
        <f t="shared" ca="1" si="28"/>
        <v>-17.275434577604013</v>
      </c>
      <c r="V87">
        <f t="shared" ca="1" si="28"/>
        <v>-18.504672889322375</v>
      </c>
      <c r="W87">
        <f t="shared" ca="1" si="28"/>
        <v>-19.880700365018598</v>
      </c>
    </row>
    <row r="88" spans="2:23" x14ac:dyDescent="0.25">
      <c r="B88" t="s">
        <v>847</v>
      </c>
      <c r="C88">
        <f t="shared" ref="C88:W88" ca="1" si="29">($C$37-C76-C86)/(C84+$C$46*$C$38*$C$48*$C$49)</f>
        <v>-4.3051288504901253</v>
      </c>
      <c r="D88">
        <f t="shared" ca="1" si="29"/>
        <v>-5.923734233270193</v>
      </c>
      <c r="E88">
        <f t="shared" ca="1" si="29"/>
        <v>-7.3719601020734089</v>
      </c>
      <c r="F88">
        <f t="shared" ca="1" si="29"/>
        <v>-8.6498064568997801</v>
      </c>
      <c r="G88">
        <f t="shared" ca="1" si="29"/>
        <v>-9.7572732977492969</v>
      </c>
      <c r="H88">
        <f t="shared" ca="1" si="29"/>
        <v>-10.69436062462197</v>
      </c>
      <c r="I88">
        <f t="shared" ca="1" si="29"/>
        <v>-11.461068437517788</v>
      </c>
      <c r="J88">
        <f t="shared" ca="1" si="29"/>
        <v>-12.057396736436763</v>
      </c>
      <c r="K88">
        <f t="shared" ca="1" si="29"/>
        <v>-12.483345521378885</v>
      </c>
      <c r="L88">
        <f t="shared" ca="1" si="29"/>
        <v>-12.738914792344158</v>
      </c>
      <c r="M88">
        <f t="shared" ca="1" si="29"/>
        <v>-12.824104549332583</v>
      </c>
      <c r="N88">
        <f t="shared" ca="1" si="29"/>
        <v>-12.738914792344158</v>
      </c>
      <c r="O88">
        <f t="shared" ca="1" si="29"/>
        <v>-12.483345521378885</v>
      </c>
      <c r="P88">
        <f t="shared" ca="1" si="29"/>
        <v>-12.057396736436763</v>
      </c>
      <c r="Q88">
        <f t="shared" ca="1" si="29"/>
        <v>-11.46106843751779</v>
      </c>
      <c r="R88">
        <f t="shared" ca="1" si="29"/>
        <v>-10.69436062462197</v>
      </c>
      <c r="S88">
        <f t="shared" ca="1" si="29"/>
        <v>-9.7572732977492951</v>
      </c>
      <c r="T88">
        <f t="shared" ca="1" si="29"/>
        <v>-8.6498064568997837</v>
      </c>
      <c r="U88">
        <f t="shared" ca="1" si="29"/>
        <v>-7.3719601020734062</v>
      </c>
      <c r="V88">
        <f t="shared" ca="1" si="29"/>
        <v>-5.9237342332701894</v>
      </c>
      <c r="W88">
        <f t="shared" ca="1" si="29"/>
        <v>-4.3051288504901253</v>
      </c>
    </row>
    <row r="90" spans="2:23" x14ac:dyDescent="0.25">
      <c r="B90" t="s">
        <v>848</v>
      </c>
    </row>
    <row r="91" spans="2:23" x14ac:dyDescent="0.25">
      <c r="B91" t="s">
        <v>849</v>
      </c>
      <c r="C91">
        <f t="shared" ref="C91:W91" ca="1" si="30">C59-ABS(C87)</f>
        <v>87.822331543684029</v>
      </c>
      <c r="D91">
        <f t="shared" ca="1" si="30"/>
        <v>89.607649789187434</v>
      </c>
      <c r="E91">
        <f t="shared" ca="1" si="30"/>
        <v>91.203095631785885</v>
      </c>
      <c r="F91">
        <f t="shared" ca="1" si="30"/>
        <v>92.609318236219963</v>
      </c>
      <c r="G91">
        <f t="shared" ca="1" si="30"/>
        <v>93.826889741336487</v>
      </c>
      <c r="H91">
        <f t="shared" ca="1" si="30"/>
        <v>94.856305506126787</v>
      </c>
      <c r="I91">
        <f t="shared" ca="1" si="30"/>
        <v>95.697984322326562</v>
      </c>
      <c r="J91">
        <f t="shared" ca="1" si="30"/>
        <v>96.352268593849331</v>
      </c>
      <c r="K91">
        <f t="shared" ca="1" si="30"/>
        <v>96.819424483283257</v>
      </c>
      <c r="L91">
        <f t="shared" ca="1" si="30"/>
        <v>97.099642025639056</v>
      </c>
      <c r="M91">
        <f t="shared" ca="1" si="30"/>
        <v>97.193035209494369</v>
      </c>
      <c r="N91">
        <f t="shared" ca="1" si="30"/>
        <v>97.099642025639056</v>
      </c>
      <c r="O91">
        <f t="shared" ca="1" si="30"/>
        <v>96.819424483283271</v>
      </c>
      <c r="P91">
        <f t="shared" ca="1" si="30"/>
        <v>96.352268593849331</v>
      </c>
      <c r="Q91">
        <f t="shared" ca="1" si="30"/>
        <v>95.697984322326562</v>
      </c>
      <c r="R91">
        <f t="shared" ca="1" si="30"/>
        <v>94.856305506126787</v>
      </c>
      <c r="S91">
        <f t="shared" ca="1" si="30"/>
        <v>93.826889741336487</v>
      </c>
      <c r="T91">
        <f t="shared" ca="1" si="30"/>
        <v>92.609318236219977</v>
      </c>
      <c r="U91">
        <f t="shared" ca="1" si="30"/>
        <v>91.203095631785871</v>
      </c>
      <c r="V91">
        <f t="shared" ca="1" si="30"/>
        <v>89.60764978918742</v>
      </c>
      <c r="W91">
        <f t="shared" ca="1" si="30"/>
        <v>87.822331543684029</v>
      </c>
    </row>
    <row r="92" spans="2:23" x14ac:dyDescent="0.25">
      <c r="B92" t="s">
        <v>850</v>
      </c>
      <c r="C92">
        <f t="shared" ref="C92:W92" ca="1" si="31">C60-ABS(C88)</f>
        <v>46.483028529785692</v>
      </c>
      <c r="D92">
        <f t="shared" ca="1" si="31"/>
        <v>44.32098097272312</v>
      </c>
      <c r="E92">
        <f t="shared" ca="1" si="31"/>
        <v>42.386517369035552</v>
      </c>
      <c r="F92">
        <f t="shared" ca="1" si="31"/>
        <v>40.679637718722987</v>
      </c>
      <c r="G92">
        <f t="shared" ca="1" si="31"/>
        <v>39.200342021785431</v>
      </c>
      <c r="H92">
        <f t="shared" ca="1" si="31"/>
        <v>37.948630278222886</v>
      </c>
      <c r="I92">
        <f t="shared" ca="1" si="31"/>
        <v>36.924502488035351</v>
      </c>
      <c r="J92">
        <f t="shared" ca="1" si="31"/>
        <v>36.127958651222819</v>
      </c>
      <c r="K92">
        <f t="shared" ca="1" si="31"/>
        <v>35.558998767785305</v>
      </c>
      <c r="L92">
        <f t="shared" ca="1" si="31"/>
        <v>35.2176228377228</v>
      </c>
      <c r="M92">
        <f t="shared" ca="1" si="31"/>
        <v>35.103830861035291</v>
      </c>
      <c r="N92">
        <f t="shared" ca="1" si="31"/>
        <v>35.217622837722786</v>
      </c>
      <c r="O92">
        <f t="shared" ca="1" si="31"/>
        <v>35.558998767785305</v>
      </c>
      <c r="P92">
        <f t="shared" ca="1" si="31"/>
        <v>36.127958651222819</v>
      </c>
      <c r="Q92">
        <f t="shared" ca="1" si="31"/>
        <v>36.924502488035351</v>
      </c>
      <c r="R92">
        <f t="shared" ca="1" si="31"/>
        <v>37.948630278222886</v>
      </c>
      <c r="S92">
        <f t="shared" ca="1" si="31"/>
        <v>39.200342021785438</v>
      </c>
      <c r="T92">
        <f t="shared" ca="1" si="31"/>
        <v>40.679637718722987</v>
      </c>
      <c r="U92">
        <f t="shared" ca="1" si="31"/>
        <v>42.386517369035552</v>
      </c>
      <c r="V92">
        <f t="shared" ca="1" si="31"/>
        <v>44.320980972723127</v>
      </c>
      <c r="W92">
        <f t="shared" ca="1" si="31"/>
        <v>46.483028529785692</v>
      </c>
    </row>
    <row r="93" spans="2:23" x14ac:dyDescent="0.25">
      <c r="B93" t="s">
        <v>851</v>
      </c>
      <c r="C93">
        <f t="shared" ref="C93:W93" ca="1" si="32">100-(C91*100)/$C$30</f>
        <v>24.963831558711533</v>
      </c>
      <c r="D93">
        <f t="shared" ca="1" si="32"/>
        <v>23.438440029744172</v>
      </c>
      <c r="E93">
        <f t="shared" ca="1" si="32"/>
        <v>22.075277143040097</v>
      </c>
      <c r="F93">
        <f t="shared" ca="1" si="32"/>
        <v>20.873788246565312</v>
      </c>
      <c r="G93">
        <f t="shared" ca="1" si="32"/>
        <v>19.833484499883397</v>
      </c>
      <c r="H93">
        <f t="shared" ca="1" si="32"/>
        <v>18.953942663938165</v>
      </c>
      <c r="I93">
        <f t="shared" ca="1" si="32"/>
        <v>18.234804919406585</v>
      </c>
      <c r="J93">
        <f t="shared" ca="1" si="32"/>
        <v>17.675778713389178</v>
      </c>
      <c r="K93">
        <f t="shared" ca="1" si="32"/>
        <v>17.276636634241939</v>
      </c>
      <c r="L93">
        <f t="shared" ca="1" si="32"/>
        <v>17.037216314389056</v>
      </c>
      <c r="M93">
        <f t="shared" ca="1" si="32"/>
        <v>16.957420360992515</v>
      </c>
      <c r="N93">
        <f t="shared" ca="1" si="32"/>
        <v>17.037216314389056</v>
      </c>
      <c r="O93">
        <f t="shared" ca="1" si="32"/>
        <v>17.276636634241925</v>
      </c>
      <c r="P93">
        <f t="shared" ca="1" si="32"/>
        <v>17.675778713389178</v>
      </c>
      <c r="Q93">
        <f t="shared" ca="1" si="32"/>
        <v>18.234804919406585</v>
      </c>
      <c r="R93">
        <f t="shared" ca="1" si="32"/>
        <v>18.953942663938165</v>
      </c>
      <c r="S93">
        <f t="shared" ca="1" si="32"/>
        <v>19.833484499883397</v>
      </c>
      <c r="T93">
        <f t="shared" ca="1" si="32"/>
        <v>20.873788246565312</v>
      </c>
      <c r="U93">
        <f t="shared" ca="1" si="32"/>
        <v>22.075277143040111</v>
      </c>
      <c r="V93">
        <f t="shared" ca="1" si="32"/>
        <v>23.438440029744186</v>
      </c>
      <c r="W93">
        <f t="shared" ca="1" si="32"/>
        <v>24.963831558711533</v>
      </c>
    </row>
    <row r="94" spans="2:23" x14ac:dyDescent="0.25">
      <c r="B94" t="s">
        <v>1725</v>
      </c>
      <c r="C94">
        <f t="shared" ref="C94:W94" ca="1" si="33">100-(C92*100)/$C$33</f>
        <v>7.0339429404286307</v>
      </c>
      <c r="D94">
        <f t="shared" ca="1" si="33"/>
        <v>11.358038054553759</v>
      </c>
      <c r="E94">
        <f t="shared" ca="1" si="33"/>
        <v>15.226965261928896</v>
      </c>
      <c r="F94">
        <f t="shared" ca="1" si="33"/>
        <v>18.640724562554027</v>
      </c>
      <c r="G94">
        <f t="shared" ca="1" si="33"/>
        <v>21.599315956429137</v>
      </c>
      <c r="H94">
        <f t="shared" ca="1" si="33"/>
        <v>24.102739443554228</v>
      </c>
      <c r="I94">
        <f t="shared" ca="1" si="33"/>
        <v>26.150995023929298</v>
      </c>
      <c r="J94">
        <f t="shared" ca="1" si="33"/>
        <v>27.744082697554362</v>
      </c>
      <c r="K94">
        <f t="shared" ca="1" si="33"/>
        <v>28.882002464429391</v>
      </c>
      <c r="L94">
        <f t="shared" ca="1" si="33"/>
        <v>29.5647543245544</v>
      </c>
      <c r="M94">
        <f t="shared" ca="1" si="33"/>
        <v>29.792338277929417</v>
      </c>
      <c r="N94">
        <f t="shared" ca="1" si="33"/>
        <v>29.564754324554428</v>
      </c>
      <c r="O94">
        <f t="shared" ca="1" si="33"/>
        <v>28.882002464429391</v>
      </c>
      <c r="P94">
        <f t="shared" ca="1" si="33"/>
        <v>27.744082697554362</v>
      </c>
      <c r="Q94">
        <f t="shared" ca="1" si="33"/>
        <v>26.150995023929298</v>
      </c>
      <c r="R94">
        <f t="shared" ca="1" si="33"/>
        <v>24.102739443554228</v>
      </c>
      <c r="S94">
        <f t="shared" ca="1" si="33"/>
        <v>21.599315956429123</v>
      </c>
      <c r="T94">
        <f t="shared" ca="1" si="33"/>
        <v>18.640724562554027</v>
      </c>
      <c r="U94">
        <f t="shared" ca="1" si="33"/>
        <v>15.226965261928896</v>
      </c>
      <c r="V94">
        <f t="shared" ca="1" si="33"/>
        <v>11.358038054553745</v>
      </c>
      <c r="W94">
        <f t="shared" ca="1" si="33"/>
        <v>7.0339429404286307</v>
      </c>
    </row>
    <row r="96" spans="2:23" x14ac:dyDescent="0.25">
      <c r="B96" t="s">
        <v>852</v>
      </c>
    </row>
    <row r="97" spans="2:23" x14ac:dyDescent="0.25">
      <c r="B97" t="s">
        <v>853</v>
      </c>
      <c r="C97">
        <f t="shared" ref="C97:W97" ca="1" si="34">$C$23*C91+$C$24*C92</f>
        <v>693.44512986892914</v>
      </c>
      <c r="D97">
        <f t="shared" ca="1" si="34"/>
        <v>707.54200273542392</v>
      </c>
      <c r="E97">
        <f t="shared" ca="1" si="34"/>
        <v>720.13964310858137</v>
      </c>
      <c r="F97">
        <f t="shared" ca="1" si="34"/>
        <v>731.24317679319279</v>
      </c>
      <c r="G97">
        <f t="shared" ca="1" si="34"/>
        <v>740.85712139759289</v>
      </c>
      <c r="H97">
        <f t="shared" ca="1" si="34"/>
        <v>748.98538827637708</v>
      </c>
      <c r="I97">
        <f t="shared" ca="1" si="34"/>
        <v>755.6312842090905</v>
      </c>
      <c r="J97">
        <f t="shared" ca="1" si="34"/>
        <v>760.79751281703432</v>
      </c>
      <c r="K97">
        <f t="shared" ca="1" si="34"/>
        <v>764.48617572000455</v>
      </c>
      <c r="L97">
        <f t="shared" ca="1" si="34"/>
        <v>766.69877343444603</v>
      </c>
      <c r="M97">
        <f t="shared" ca="1" si="34"/>
        <v>767.43620601416751</v>
      </c>
      <c r="N97">
        <f t="shared" ca="1" si="34"/>
        <v>766.69877343444603</v>
      </c>
      <c r="O97">
        <f t="shared" ca="1" si="34"/>
        <v>764.48617572000467</v>
      </c>
      <c r="P97">
        <f t="shared" ca="1" si="34"/>
        <v>760.79751281703432</v>
      </c>
      <c r="Q97">
        <f t="shared" ca="1" si="34"/>
        <v>755.6312842090905</v>
      </c>
      <c r="R97">
        <f t="shared" ca="1" si="34"/>
        <v>748.98538827637708</v>
      </c>
      <c r="S97">
        <f t="shared" ca="1" si="34"/>
        <v>740.85712139759289</v>
      </c>
      <c r="T97">
        <f t="shared" ca="1" si="34"/>
        <v>731.2431767931929</v>
      </c>
      <c r="U97">
        <f t="shared" ca="1" si="34"/>
        <v>720.13964310858125</v>
      </c>
      <c r="V97">
        <f t="shared" ca="1" si="34"/>
        <v>707.54200273542381</v>
      </c>
      <c r="W97">
        <f t="shared" ca="1" si="34"/>
        <v>693.44512986892914</v>
      </c>
    </row>
    <row r="98" spans="2:23" x14ac:dyDescent="0.25">
      <c r="B98" t="s">
        <v>854</v>
      </c>
      <c r="C98">
        <f t="shared" ref="C98:W98" ca="1" si="35">$C$23*C91*$C$25/100-$C$24*C92*$C$26/100</f>
        <v>65.538357220070921</v>
      </c>
      <c r="D98">
        <f t="shared" ca="1" si="35"/>
        <v>66.870670116672969</v>
      </c>
      <c r="E98">
        <f t="shared" ca="1" si="35"/>
        <v>68.061288695336913</v>
      </c>
      <c r="F98">
        <f t="shared" ca="1" si="35"/>
        <v>69.11069740221572</v>
      </c>
      <c r="G98">
        <f t="shared" ca="1" si="35"/>
        <v>70.019323202062694</v>
      </c>
      <c r="H98">
        <f t="shared" ca="1" si="35"/>
        <v>70.787535761840161</v>
      </c>
      <c r="I98">
        <f t="shared" ca="1" si="35"/>
        <v>71.415647609374389</v>
      </c>
      <c r="J98">
        <f t="shared" ca="1" si="35"/>
        <v>71.903914267259736</v>
      </c>
      <c r="K98">
        <f t="shared" ca="1" si="35"/>
        <v>72.252534362183439</v>
      </c>
      <c r="L98">
        <f t="shared" ca="1" si="35"/>
        <v>72.461649709811297</v>
      </c>
      <c r="M98">
        <f t="shared" ca="1" si="35"/>
        <v>72.531345375342383</v>
      </c>
      <c r="N98">
        <f t="shared" ca="1" si="35"/>
        <v>72.461649709811297</v>
      </c>
      <c r="O98">
        <f t="shared" ca="1" si="35"/>
        <v>72.252534362183454</v>
      </c>
      <c r="P98">
        <f t="shared" ca="1" si="35"/>
        <v>71.903914267259736</v>
      </c>
      <c r="Q98">
        <f t="shared" ca="1" si="35"/>
        <v>71.415647609374389</v>
      </c>
      <c r="R98">
        <f t="shared" ca="1" si="35"/>
        <v>70.787535761840161</v>
      </c>
      <c r="S98">
        <f t="shared" ca="1" si="35"/>
        <v>70.019323202062694</v>
      </c>
      <c r="T98">
        <f t="shared" ca="1" si="35"/>
        <v>69.110697402215735</v>
      </c>
      <c r="U98">
        <f t="shared" ca="1" si="35"/>
        <v>68.061288695336913</v>
      </c>
      <c r="V98">
        <f t="shared" ca="1" si="35"/>
        <v>66.870670116672969</v>
      </c>
      <c r="W98">
        <f t="shared" ca="1" si="35"/>
        <v>65.538357220070921</v>
      </c>
    </row>
    <row r="99" spans="2:23" x14ac:dyDescent="0.25">
      <c r="B99" t="s">
        <v>855</v>
      </c>
      <c r="C99">
        <f t="shared" ref="C99:W99" ca="1" si="36">$C$23*C59+$C$24*C60</f>
        <v>850.4231399511159</v>
      </c>
      <c r="D99">
        <f t="shared" ca="1" si="36"/>
        <v>853.65489986951332</v>
      </c>
      <c r="E99">
        <f t="shared" ca="1" si="36"/>
        <v>856.54647453334269</v>
      </c>
      <c r="F99">
        <f t="shared" ca="1" si="36"/>
        <v>859.09786394260368</v>
      </c>
      <c r="G99">
        <f t="shared" ca="1" si="36"/>
        <v>861.30906809729674</v>
      </c>
      <c r="H99">
        <f t="shared" ca="1" si="36"/>
        <v>863.18008699742154</v>
      </c>
      <c r="I99">
        <f t="shared" ca="1" si="36"/>
        <v>864.71092064297829</v>
      </c>
      <c r="J99">
        <f t="shared" ca="1" si="36"/>
        <v>865.90156903396678</v>
      </c>
      <c r="K99">
        <f t="shared" ca="1" si="36"/>
        <v>866.75203217038711</v>
      </c>
      <c r="L99">
        <f t="shared" ca="1" si="36"/>
        <v>867.26231005223929</v>
      </c>
      <c r="M99">
        <f t="shared" ca="1" si="36"/>
        <v>867.43240267952353</v>
      </c>
      <c r="N99">
        <f t="shared" ca="1" si="36"/>
        <v>867.26231005223929</v>
      </c>
      <c r="O99">
        <f t="shared" ca="1" si="36"/>
        <v>866.75203217038711</v>
      </c>
      <c r="P99">
        <f t="shared" ca="1" si="36"/>
        <v>865.90156903396678</v>
      </c>
      <c r="Q99">
        <f t="shared" ca="1" si="36"/>
        <v>864.71092064297829</v>
      </c>
      <c r="R99">
        <f t="shared" ca="1" si="36"/>
        <v>863.18008699742154</v>
      </c>
      <c r="S99">
        <f t="shared" ca="1" si="36"/>
        <v>861.30906809729674</v>
      </c>
      <c r="T99">
        <f t="shared" ca="1" si="36"/>
        <v>859.09786394260368</v>
      </c>
      <c r="U99">
        <f t="shared" ca="1" si="36"/>
        <v>856.54647453334258</v>
      </c>
      <c r="V99">
        <f t="shared" ca="1" si="36"/>
        <v>853.65489986951332</v>
      </c>
      <c r="W99">
        <f t="shared" ca="1" si="36"/>
        <v>850.4231399511159</v>
      </c>
    </row>
    <row r="100" spans="2:23" x14ac:dyDescent="0.25">
      <c r="B100" t="s">
        <v>856</v>
      </c>
      <c r="C100">
        <f t="shared" ref="C100:W100" ca="1" si="37">$C$23*C59*$C$25/100-$C$24*C60*$C$26/100</f>
        <v>80.37454318103778</v>
      </c>
      <c r="D100">
        <f t="shared" ca="1" si="37"/>
        <v>80.679980809565748</v>
      </c>
      <c r="E100">
        <f t="shared" ca="1" si="37"/>
        <v>80.953267108774995</v>
      </c>
      <c r="F100">
        <f t="shared" ca="1" si="37"/>
        <v>81.19440207866549</v>
      </c>
      <c r="G100">
        <f t="shared" ca="1" si="37"/>
        <v>81.403385719237278</v>
      </c>
      <c r="H100">
        <f t="shared" ca="1" si="37"/>
        <v>81.5802180304903</v>
      </c>
      <c r="I100">
        <f t="shared" ca="1" si="37"/>
        <v>81.724899012424615</v>
      </c>
      <c r="J100">
        <f t="shared" ca="1" si="37"/>
        <v>81.837428665040179</v>
      </c>
      <c r="K100">
        <f t="shared" ca="1" si="37"/>
        <v>81.91780698833702</v>
      </c>
      <c r="L100">
        <f t="shared" ca="1" si="37"/>
        <v>81.966033982315111</v>
      </c>
      <c r="M100">
        <f t="shared" ca="1" si="37"/>
        <v>81.982109646974493</v>
      </c>
      <c r="N100">
        <f t="shared" ca="1" si="37"/>
        <v>81.966033982315111</v>
      </c>
      <c r="O100">
        <f t="shared" ca="1" si="37"/>
        <v>81.91780698833702</v>
      </c>
      <c r="P100">
        <f t="shared" ca="1" si="37"/>
        <v>81.837428665040179</v>
      </c>
      <c r="Q100">
        <f t="shared" ca="1" si="37"/>
        <v>81.724899012424615</v>
      </c>
      <c r="R100">
        <f t="shared" ca="1" si="37"/>
        <v>81.5802180304903</v>
      </c>
      <c r="S100">
        <f t="shared" ca="1" si="37"/>
        <v>81.403385719237278</v>
      </c>
      <c r="T100">
        <f t="shared" ca="1" si="37"/>
        <v>81.19440207866549</v>
      </c>
      <c r="U100">
        <f t="shared" ca="1" si="37"/>
        <v>80.953267108774995</v>
      </c>
      <c r="V100">
        <f t="shared" ca="1" si="37"/>
        <v>80.679980809565748</v>
      </c>
      <c r="W100">
        <f t="shared" ca="1" si="37"/>
        <v>80.37454318103778</v>
      </c>
    </row>
    <row r="102" spans="2:23" x14ac:dyDescent="0.25">
      <c r="B102" t="s">
        <v>857</v>
      </c>
    </row>
    <row r="103" spans="2:23" x14ac:dyDescent="0.25">
      <c r="B103" t="s">
        <v>858</v>
      </c>
      <c r="C103" t="s">
        <v>859</v>
      </c>
      <c r="D103" t="s">
        <v>860</v>
      </c>
      <c r="E103" t="s">
        <v>861</v>
      </c>
    </row>
    <row r="104" spans="2:23" x14ac:dyDescent="0.25">
      <c r="B104" t="s">
        <v>1726</v>
      </c>
      <c r="C104">
        <f ca="1">M91</f>
        <v>97.193035209494369</v>
      </c>
      <c r="D104">
        <f ca="1">Geometria!$J$237</f>
        <v>97.193035209494369</v>
      </c>
      <c r="E104">
        <f t="shared" ref="E104:E109" ca="1" si="38">C104-D104</f>
        <v>0</v>
      </c>
    </row>
    <row r="105" spans="2:23" x14ac:dyDescent="0.25">
      <c r="B105" t="s">
        <v>862</v>
      </c>
      <c r="C105">
        <f ca="1">M92</f>
        <v>35.103830861035291</v>
      </c>
      <c r="D105">
        <f ca="1">Geometria!$J$238</f>
        <v>35.103830861035291</v>
      </c>
      <c r="E105">
        <f t="shared" ca="1" si="38"/>
        <v>0</v>
      </c>
    </row>
    <row r="106" spans="2:23" x14ac:dyDescent="0.25">
      <c r="B106" t="s">
        <v>1727</v>
      </c>
      <c r="C106">
        <f ca="1">M97</f>
        <v>767.43620601416751</v>
      </c>
      <c r="D106">
        <f ca="1">Geometria!$J$242</f>
        <v>767.43620601416751</v>
      </c>
      <c r="E106">
        <f t="shared" ca="1" si="38"/>
        <v>0</v>
      </c>
    </row>
    <row r="107" spans="2:23" x14ac:dyDescent="0.25">
      <c r="B107" t="s">
        <v>1728</v>
      </c>
      <c r="C107">
        <f ca="1">M98</f>
        <v>72.531345375342383</v>
      </c>
      <c r="D107">
        <f ca="1">Geometria!$J$243</f>
        <v>72.531345375342383</v>
      </c>
      <c r="E107">
        <f t="shared" ca="1" si="38"/>
        <v>0</v>
      </c>
    </row>
    <row r="108" spans="2:23" x14ac:dyDescent="0.25">
      <c r="B108" t="s">
        <v>863</v>
      </c>
      <c r="C108">
        <f ca="1">M99</f>
        <v>867.43240267952353</v>
      </c>
      <c r="D108">
        <f ca="1">Geometria!$M$166</f>
        <v>867.43240267952342</v>
      </c>
      <c r="E108">
        <f t="shared" ca="1" si="38"/>
        <v>0</v>
      </c>
    </row>
    <row r="109" spans="2:23" x14ac:dyDescent="0.25">
      <c r="B109" t="s">
        <v>864</v>
      </c>
      <c r="C109">
        <f ca="1">M100</f>
        <v>81.982109646974493</v>
      </c>
      <c r="D109">
        <f ca="1">Geometria!$M$167</f>
        <v>81.982109646974479</v>
      </c>
      <c r="E109">
        <f t="shared" ca="1" si="38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59"/>
  <sheetViews>
    <sheetView workbookViewId="0"/>
  </sheetViews>
  <sheetFormatPr defaultRowHeight="15" x14ac:dyDescent="0.25"/>
  <cols>
    <col min="2" max="2" width="70" customWidth="1"/>
    <col min="3" max="3" width="16" customWidth="1"/>
  </cols>
  <sheetData>
    <row r="1" spans="2:3" x14ac:dyDescent="0.25">
      <c r="B1" t="s">
        <v>865</v>
      </c>
    </row>
    <row r="2" spans="2:3" x14ac:dyDescent="0.25">
      <c r="B2" t="s">
        <v>866</v>
      </c>
    </row>
    <row r="3" spans="2:3" x14ac:dyDescent="0.25">
      <c r="B3" t="s">
        <v>867</v>
      </c>
    </row>
    <row r="4" spans="2:3" x14ac:dyDescent="0.25">
      <c r="B4" t="s">
        <v>868</v>
      </c>
    </row>
    <row r="6" spans="2:3" x14ac:dyDescent="0.25">
      <c r="B6" t="s">
        <v>869</v>
      </c>
    </row>
    <row r="7" spans="2:3" x14ac:dyDescent="0.25">
      <c r="B7" t="s">
        <v>870</v>
      </c>
      <c r="C7">
        <v>0</v>
      </c>
    </row>
    <row r="8" spans="2:3" x14ac:dyDescent="0.25">
      <c r="B8" t="s">
        <v>871</v>
      </c>
      <c r="C8">
        <v>0</v>
      </c>
    </row>
    <row r="9" spans="2:3" x14ac:dyDescent="0.25">
      <c r="B9" t="s">
        <v>872</v>
      </c>
      <c r="C9">
        <v>0</v>
      </c>
    </row>
    <row r="10" spans="2:3" x14ac:dyDescent="0.25">
      <c r="B10" t="s">
        <v>873</v>
      </c>
      <c r="C10">
        <v>0</v>
      </c>
    </row>
    <row r="11" spans="2:3" x14ac:dyDescent="0.25">
      <c r="B11" t="s">
        <v>874</v>
      </c>
      <c r="C11" t="str">
        <f>IF(AND(C7&gt;0,C8&gt;0),"Zona A ATIVA. ","Zona A inativa. ")&amp;IF(AND(C9&gt;0,C10&gt;0),"Zona B ATIVA.","Zona B inativa.")</f>
        <v>Zona A inativa. Zona B inativa.</v>
      </c>
    </row>
    <row r="12" spans="2:3" x14ac:dyDescent="0.25">
      <c r="B12" t="s">
        <v>875</v>
      </c>
    </row>
    <row r="13" spans="2:3" x14ac:dyDescent="0.25">
      <c r="B13" t="s">
        <v>876</v>
      </c>
      <c r="C13">
        <f>IFERROR((Geometria!$J$122*(VLOOKUP(Geometria!$K$122,Geometria!$K$110:$M$113,3))*Geometria!$L$122+Geometria!$J$120*(VLOOKUP(Geometria!$K$120,Geometria!$K$110:$M$113,3))*Geometria!$L$120+Geometria!$J$118*(VLOOKUP(Geometria!$K$118,Geometria!$K$110:$M$113,3))*Geometria!$L$118+(Geometria!$J$124-$C$7)*(VLOOKUP(Geometria!$K$124,Geometria!$K$110:$M$113,3))*Geometria!$L$124)/(Geometria!$J$122*(VLOOKUP(Geometria!$K$122,Geometria!$K$110:$M$113,3))+Geometria!$J$120*(VLOOKUP(Geometria!$K$120,Geometria!$K$110:$M$113,3))+Geometria!$J$118*(VLOOKUP(Geometria!$K$118,Geometria!$K$110:$M$113,3))+(Geometria!$J$124-$C$7)*(VLOOKUP(Geometria!$K$124,Geometria!$K$110:$M$113,3))),0)</f>
        <v>3</v>
      </c>
    </row>
    <row r="14" spans="2:3" x14ac:dyDescent="0.25">
      <c r="B14" t="s">
        <v>877</v>
      </c>
      <c r="C14">
        <f ca="1">Geometria!$H$24-C13</f>
        <v>9.4511237294951638</v>
      </c>
    </row>
    <row r="15" spans="2:3" x14ac:dyDescent="0.25">
      <c r="B15" t="s">
        <v>878</v>
      </c>
      <c r="C15">
        <f>Geometria!$H$166-$C$7*(VLOOKUP(Geometria!$K$124,Geometria!$K$110:$M$113,3))</f>
        <v>7.8959999999999999</v>
      </c>
    </row>
    <row r="17" spans="2:3" x14ac:dyDescent="0.25">
      <c r="B17" t="s">
        <v>879</v>
      </c>
      <c r="C17">
        <f ca="1">Geometria!$H$166*Geometria!$H$172*C14/100-Geometria!$H$168*Geometria!$H$191*Geometria!$H$169/100</f>
        <v>85.943479076303248</v>
      </c>
    </row>
    <row r="18" spans="2:3" x14ac:dyDescent="0.25">
      <c r="B18" t="s">
        <v>880</v>
      </c>
      <c r="C18">
        <f ca="1">(Geometria!$H$175/(Geometria!$H$36/100^2)+((C17-Geometria!$J$81)/(Geometria!$H$37/100^4))*C14/100)</f>
        <v>8793.1971567001819</v>
      </c>
    </row>
    <row r="19" spans="2:3" x14ac:dyDescent="0.25">
      <c r="B19" t="s">
        <v>881</v>
      </c>
      <c r="C19">
        <f ca="1">(Geometria!$H$175/(Geometria!$H$36/100^2)+((-C17+Geometria!$J$81)/(Geometria!$H$37/100^4))*Geometria!$H$169/100)</f>
        <v>1903.3007574386606</v>
      </c>
    </row>
    <row r="20" spans="2:3" x14ac:dyDescent="0.25">
      <c r="B20" t="s">
        <v>882</v>
      </c>
      <c r="C20">
        <f ca="1">Geometria!$H$185*C18/10000</f>
        <v>5.3082914211798951</v>
      </c>
    </row>
    <row r="21" spans="2:3" x14ac:dyDescent="0.25">
      <c r="B21" t="s">
        <v>883</v>
      </c>
      <c r="C21">
        <f ca="1">Geometria!$H$185*C19/10000</f>
        <v>1.1489876665552086</v>
      </c>
    </row>
    <row r="22" spans="2:3" x14ac:dyDescent="0.25">
      <c r="B22" t="s">
        <v>884</v>
      </c>
      <c r="C22">
        <f ca="1">Geometria!$I$105-Geometria!$H$151-Geometria!$H$161-C20</f>
        <v>109.85719385505615</v>
      </c>
    </row>
    <row r="23" spans="2:3" x14ac:dyDescent="0.25">
      <c r="B23" t="s">
        <v>1729</v>
      </c>
      <c r="C23">
        <f ca="1">(Geometria!$L$105-Geometria!$H$151-Geometria!$H$190-C21)</f>
        <v>47.927935410367873</v>
      </c>
    </row>
    <row r="25" spans="2:3" x14ac:dyDescent="0.25">
      <c r="B25" t="s">
        <v>885</v>
      </c>
    </row>
    <row r="26" spans="2:3" x14ac:dyDescent="0.25">
      <c r="B26" t="s">
        <v>886</v>
      </c>
      <c r="C26">
        <f ca="1">C15*C22+Geometria!$H$168*C23</f>
        <v>867.43240267952342</v>
      </c>
    </row>
    <row r="27" spans="2:3" x14ac:dyDescent="0.25">
      <c r="B27" t="s">
        <v>887</v>
      </c>
      <c r="C27">
        <f ca="1">C15*C22*C14/100-Geometria!$H$168*C23*Geometria!$H$169/100</f>
        <v>81.982109646974479</v>
      </c>
    </row>
    <row r="28" spans="2:3" x14ac:dyDescent="0.25">
      <c r="B28" t="s">
        <v>888</v>
      </c>
    </row>
    <row r="30" spans="2:3" x14ac:dyDescent="0.25">
      <c r="B30" t="s">
        <v>889</v>
      </c>
    </row>
    <row r="31" spans="2:3" x14ac:dyDescent="0.25">
      <c r="B31" t="s">
        <v>890</v>
      </c>
      <c r="C31">
        <f ca="1">(C26/(Geometria!$H$36/100^2)+(C27-Geometria!$J$81)/(Geometria!$H$37/100^4)*(C14/100))*Geometria!$J$201</f>
        <v>17403.208784682476</v>
      </c>
    </row>
    <row r="32" spans="2:3" x14ac:dyDescent="0.25">
      <c r="B32" t="s">
        <v>891</v>
      </c>
      <c r="C32">
        <f ca="1">((Geometria!$J$82*Geometria!$M$203+Geometria!$J$83*Geometria!$M$204)*(C14/100))/(Geometria!$H$37/100^4)</f>
        <v>4253.0118493384725</v>
      </c>
    </row>
    <row r="33" spans="2:3" x14ac:dyDescent="0.25">
      <c r="B33" t="s">
        <v>892</v>
      </c>
      <c r="C33">
        <f ca="1">Geometria!$M$172</f>
        <v>3885.4124131199569</v>
      </c>
    </row>
    <row r="34" spans="2:3" x14ac:dyDescent="0.25">
      <c r="B34" t="s">
        <v>893</v>
      </c>
      <c r="C34">
        <f ca="1">Geometria!$M$173</f>
        <v>1815.2071612455723</v>
      </c>
    </row>
    <row r="35" spans="2:3" x14ac:dyDescent="0.25">
      <c r="B35" t="s">
        <v>894</v>
      </c>
      <c r="C35">
        <f ca="1">Geometria!$M$176*(C31-C32-C33-C34)/100^2</f>
        <v>3.762604763515474</v>
      </c>
    </row>
    <row r="36" spans="2:3" x14ac:dyDescent="0.25">
      <c r="B36" t="s">
        <v>895</v>
      </c>
      <c r="C36">
        <f ca="1">(C26/(Geometria!$H$36/100^2)+((-C27+Geometria!$J$81)/(Geometria!$H$37/100^4))*Geometria!$H$169/100)*Geometria!$M$201</f>
        <v>4304.4626381534317</v>
      </c>
    </row>
    <row r="37" spans="2:3" x14ac:dyDescent="0.25">
      <c r="B37" t="s">
        <v>896</v>
      </c>
      <c r="C37">
        <f ca="1">Geometria!$M$183</f>
        <v>5647.0025154554041</v>
      </c>
    </row>
    <row r="38" spans="2:3" x14ac:dyDescent="0.25">
      <c r="B38" t="s">
        <v>897</v>
      </c>
      <c r="C38">
        <f ca="1">Geometria!$M$184</f>
        <v>2688.9960859860744</v>
      </c>
    </row>
    <row r="39" spans="2:3" x14ac:dyDescent="0.25">
      <c r="B39" t="s">
        <v>898</v>
      </c>
      <c r="C39">
        <f ca="1">Geometria!$M$185</f>
        <v>1256.2591644998022</v>
      </c>
    </row>
    <row r="40" spans="2:3" x14ac:dyDescent="0.25">
      <c r="B40" t="s">
        <v>899</v>
      </c>
      <c r="C40">
        <f ca="1">Geometria!$M$176*(C36+C37+C38+C39)/100^2</f>
        <v>7.0189037385634494</v>
      </c>
    </row>
    <row r="41" spans="2:3" x14ac:dyDescent="0.25">
      <c r="B41" t="s">
        <v>900</v>
      </c>
      <c r="C41">
        <f ca="1">C22/190</f>
        <v>0.57819575713187443</v>
      </c>
    </row>
    <row r="42" spans="2:3" x14ac:dyDescent="0.25">
      <c r="B42" t="s">
        <v>901</v>
      </c>
      <c r="C42">
        <f ca="1">C23/190</f>
        <v>0.25225229163351515</v>
      </c>
    </row>
    <row r="43" spans="2:3" x14ac:dyDescent="0.25">
      <c r="B43" t="s">
        <v>902</v>
      </c>
      <c r="C43">
        <f ca="1">2.5*IF(C41&lt;=INDEX(Geometria!$K$226:$K$229,1),0,INDEX(Geometria!$L$226:$L$229,MIN(MATCH(C41,Geometria!$K$226:$K$229,1),3))+(C41-INDEX(Geometria!$K$226:$K$229,MIN(MATCH(C41,Geometria!$K$226:$K$229,1),3)))*(INDEX(Geometria!$L$226:$L$229,MIN(MATCH(C41,Geometria!$K$226:$K$229,1),3)+1)-INDEX(Geometria!$L$226:$L$229,MIN(MATCH(C41,Geometria!$K$226:$K$229,1),3)))/(INDEX(Geometria!$K$226:$K$229,MIN(MATCH(C41,Geometria!$K$226:$K$229,1),3)+1)-INDEX(Geometria!$K$226:$K$229,MIN(MATCH(C41,Geometria!$K$226:$K$229,1),3))))</f>
        <v>2.54136210678592</v>
      </c>
    </row>
    <row r="44" spans="2:3" x14ac:dyDescent="0.25">
      <c r="B44" t="s">
        <v>903</v>
      </c>
      <c r="C44">
        <f ca="1">2.5*IF(C42&lt;=INDEX(Geometria!$K$226:$K$229,1),0,INDEX(Geometria!$L$226:$L$229,MIN(MATCH(C42,Geometria!$K$226:$K$229,1),3))+(C42-INDEX(Geometria!$K$226:$K$229,MIN(MATCH(C42,Geometria!$K$226:$K$229,1),3)))*(INDEX(Geometria!$L$226:$L$229,MIN(MATCH(C42,Geometria!$K$226:$K$229,1),3)+1)-INDEX(Geometria!$L$226:$L$229,MIN(MATCH(C42,Geometria!$K$226:$K$229,1),3)))/(INDEX(Geometria!$K$226:$K$229,MIN(MATCH(C42,Geometria!$K$226:$K$229,1),3)+1)-INDEX(Geometria!$K$226:$K$229,MIN(MATCH(C42,Geometria!$K$226:$K$229,1),3))))</f>
        <v>0</v>
      </c>
    </row>
    <row r="45" spans="2:3" x14ac:dyDescent="0.25">
      <c r="B45" t="s">
        <v>904</v>
      </c>
      <c r="C45">
        <f ca="1">-LN(1-C43/100)</f>
        <v>2.5742124730174787E-2</v>
      </c>
    </row>
    <row r="46" spans="2:3" x14ac:dyDescent="0.25">
      <c r="B46" t="s">
        <v>905</v>
      </c>
      <c r="C46">
        <f ca="1">-LN(1-C44/100)</f>
        <v>0</v>
      </c>
    </row>
    <row r="47" spans="2:3" x14ac:dyDescent="0.25">
      <c r="B47" t="s">
        <v>906</v>
      </c>
      <c r="C47">
        <f ca="1">1+C45</f>
        <v>1.0257421247301748</v>
      </c>
    </row>
    <row r="48" spans="2:3" x14ac:dyDescent="0.25">
      <c r="B48" t="s">
        <v>907</v>
      </c>
      <c r="C48">
        <f ca="1">1+C46</f>
        <v>1</v>
      </c>
    </row>
    <row r="49" spans="2:3" x14ac:dyDescent="0.25">
      <c r="B49" t="s">
        <v>908</v>
      </c>
      <c r="C49">
        <f ca="1">C22*C45</f>
        <v>2.8279575867238465</v>
      </c>
    </row>
    <row r="50" spans="2:3" x14ac:dyDescent="0.25">
      <c r="B50" t="s">
        <v>909</v>
      </c>
      <c r="C50">
        <f ca="1">C23*C46</f>
        <v>0</v>
      </c>
    </row>
    <row r="51" spans="2:3" x14ac:dyDescent="0.25">
      <c r="B51" t="s">
        <v>910</v>
      </c>
      <c r="C51">
        <f ca="1">1+(C14/100)^2*((Geometria!$H$36/100^2)/(Geometria!$H$37/100^4))</f>
        <v>2.1191308167331799</v>
      </c>
    </row>
    <row r="52" spans="2:3" x14ac:dyDescent="0.25">
      <c r="B52" t="s">
        <v>911</v>
      </c>
      <c r="C52">
        <f ca="1">(C15+Geometria!$H$168)/Geometria!$H$36</f>
        <v>5.0651647373011381E-3</v>
      </c>
    </row>
    <row r="53" spans="2:3" x14ac:dyDescent="0.25">
      <c r="B53" t="s">
        <v>912</v>
      </c>
      <c r="C53">
        <f ca="1">(Geometria!$H$213-C35-C49)/(C47+Geometria!$L$216*Geometria!$M$176*C51*C52)</f>
        <v>-12.664158645561786</v>
      </c>
    </row>
    <row r="54" spans="2:3" x14ac:dyDescent="0.25">
      <c r="B54" t="s">
        <v>913</v>
      </c>
      <c r="C54">
        <f ca="1">(Geometria!$H$213-C40-C50)/(C48+Geometria!$L$216*Geometria!$M$176*Geometria!$L$218*C52)</f>
        <v>-12.824104549332583</v>
      </c>
    </row>
    <row r="55" spans="2:3" x14ac:dyDescent="0.25">
      <c r="B55" t="s">
        <v>914</v>
      </c>
    </row>
    <row r="56" spans="2:3" x14ac:dyDescent="0.25">
      <c r="B56" t="s">
        <v>915</v>
      </c>
      <c r="C56">
        <f ca="1">C22-ABS(C53)</f>
        <v>97.193035209494369</v>
      </c>
    </row>
    <row r="57" spans="2:3" x14ac:dyDescent="0.25">
      <c r="B57" t="s">
        <v>916</v>
      </c>
      <c r="C57">
        <f ca="1">C23-ABS(C54)</f>
        <v>35.103830861035291</v>
      </c>
    </row>
    <row r="58" spans="2:3" x14ac:dyDescent="0.25">
      <c r="B58" t="s">
        <v>917</v>
      </c>
      <c r="C58">
        <f ca="1">C15*C56+Geometria!$H$168*C57</f>
        <v>767.43620601416751</v>
      </c>
    </row>
    <row r="59" spans="2:3" x14ac:dyDescent="0.25">
      <c r="B59" t="s">
        <v>918</v>
      </c>
      <c r="C59">
        <f ca="1">C15*C56*C14/100-Geometria!$H$168*C57*Geometria!$H$169/100</f>
        <v>72.531345375342383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8397-CD6B-49CC-AB40-0FCD59F8C523}">
  <dimension ref="D2:AW97"/>
  <sheetViews>
    <sheetView showGridLines="0" topLeftCell="C71" workbookViewId="0">
      <selection activeCell="F46" sqref="F46:M97"/>
    </sheetView>
  </sheetViews>
  <sheetFormatPr defaultRowHeight="20.100000000000001" customHeight="1" x14ac:dyDescent="0.25"/>
  <cols>
    <col min="1" max="4" width="9.140625" style="330"/>
    <col min="5" max="14" width="10.85546875" style="330" customWidth="1"/>
    <col min="15" max="15" width="13.28515625" style="330" bestFit="1" customWidth="1"/>
    <col min="16" max="34" width="9.140625" style="330"/>
    <col min="35" max="35" width="13.5703125" style="330" customWidth="1"/>
    <col min="36" max="16384" width="9.140625" style="330"/>
  </cols>
  <sheetData>
    <row r="2" spans="4:49" ht="15" x14ac:dyDescent="0.25">
      <c r="D2" s="909" t="s">
        <v>1009</v>
      </c>
      <c r="E2" s="910"/>
      <c r="F2" s="910"/>
      <c r="G2" s="910"/>
      <c r="H2" s="910"/>
      <c r="I2" s="910"/>
      <c r="J2" s="910"/>
      <c r="K2" s="910"/>
      <c r="L2" s="910"/>
      <c r="M2" s="911"/>
    </row>
    <row r="3" spans="4:49" ht="15" x14ac:dyDescent="0.25">
      <c r="D3" s="417"/>
      <c r="M3" s="418"/>
    </row>
    <row r="4" spans="4:49" ht="18" x14ac:dyDescent="0.25">
      <c r="D4" s="417"/>
      <c r="E4" s="419" t="s">
        <v>965</v>
      </c>
      <c r="G4" s="420" t="s">
        <v>966</v>
      </c>
      <c r="H4" s="421">
        <f>Geometria!G1255</f>
        <v>22.768761111111107</v>
      </c>
      <c r="I4" s="330" t="s">
        <v>967</v>
      </c>
      <c r="J4" s="420" t="s">
        <v>968</v>
      </c>
      <c r="K4" s="421">
        <f>Geometria!H1223</f>
        <v>8</v>
      </c>
      <c r="L4" s="330" t="s">
        <v>187</v>
      </c>
      <c r="M4" s="418"/>
    </row>
    <row r="5" spans="4:49" ht="15" x14ac:dyDescent="0.25">
      <c r="D5" s="417"/>
      <c r="M5" s="418"/>
    </row>
    <row r="6" spans="4:49" ht="15" x14ac:dyDescent="0.25">
      <c r="D6" s="417"/>
      <c r="E6" s="419" t="s">
        <v>969</v>
      </c>
      <c r="I6" s="422"/>
      <c r="M6" s="418"/>
    </row>
    <row r="7" spans="4:49" ht="15.75" thickBot="1" x14ac:dyDescent="0.3">
      <c r="D7" s="417"/>
      <c r="M7" s="418"/>
    </row>
    <row r="8" spans="4:49" ht="15.75" thickBot="1" x14ac:dyDescent="0.3">
      <c r="D8" s="417"/>
      <c r="F8" s="420" t="s">
        <v>970</v>
      </c>
      <c r="G8" s="423">
        <f>Geometria!H59</f>
        <v>30</v>
      </c>
      <c r="H8" s="330" t="s">
        <v>50</v>
      </c>
      <c r="J8" s="420" t="s">
        <v>712</v>
      </c>
      <c r="K8" s="424">
        <f>G8/F10/10</f>
        <v>2.1428571428571432</v>
      </c>
      <c r="L8" s="330" t="s">
        <v>61</v>
      </c>
      <c r="M8" s="418"/>
      <c r="AD8" s="912" t="s">
        <v>971</v>
      </c>
      <c r="AE8" s="913"/>
      <c r="AF8"/>
      <c r="AG8"/>
      <c r="AH8" s="425" t="s">
        <v>972</v>
      </c>
      <c r="AI8" s="426"/>
      <c r="AJ8" s="427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4:49" ht="15" x14ac:dyDescent="0.25">
      <c r="D9" s="417"/>
      <c r="F9" s="420" t="s">
        <v>973</v>
      </c>
      <c r="G9" s="423">
        <f>Geometria!H57</f>
        <v>500</v>
      </c>
      <c r="H9" s="330" t="s">
        <v>50</v>
      </c>
      <c r="J9" s="420" t="s">
        <v>974</v>
      </c>
      <c r="K9" s="424">
        <f>G9/I10/10</f>
        <v>43.478260869565219</v>
      </c>
      <c r="L9" s="330" t="s">
        <v>61</v>
      </c>
      <c r="M9" s="418"/>
      <c r="AD9" s="914" t="s">
        <v>975</v>
      </c>
      <c r="AE9" s="915"/>
      <c r="AF9"/>
      <c r="AG9"/>
      <c r="AH9" s="430" t="s">
        <v>976</v>
      </c>
      <c r="AI9" s="431" t="s">
        <v>977</v>
      </c>
      <c r="AJ9" s="432" t="s">
        <v>978</v>
      </c>
      <c r="AK9"/>
      <c r="AL9" s="433" t="s">
        <v>979</v>
      </c>
      <c r="AM9" s="434">
        <v>0</v>
      </c>
      <c r="AN9" s="434">
        <v>0.5</v>
      </c>
      <c r="AO9" s="434">
        <v>1</v>
      </c>
      <c r="AP9" s="434">
        <v>2</v>
      </c>
      <c r="AQ9" s="434">
        <v>3</v>
      </c>
      <c r="AR9" s="434">
        <v>4</v>
      </c>
      <c r="AS9" s="434">
        <v>5</v>
      </c>
      <c r="AT9" s="434">
        <v>10</v>
      </c>
      <c r="AU9" s="434">
        <v>20</v>
      </c>
      <c r="AV9" s="434">
        <v>40</v>
      </c>
      <c r="AW9" s="8">
        <v>70</v>
      </c>
    </row>
    <row r="10" spans="4:49" ht="15.75" thickBot="1" x14ac:dyDescent="0.3">
      <c r="D10" s="417"/>
      <c r="E10" s="435" t="s">
        <v>980</v>
      </c>
      <c r="F10" s="436">
        <f>Geometria!K52</f>
        <v>1.4</v>
      </c>
      <c r="H10" s="435" t="s">
        <v>981</v>
      </c>
      <c r="I10" s="436">
        <v>1.1499999999999999</v>
      </c>
      <c r="K10" s="435" t="s">
        <v>982</v>
      </c>
      <c r="L10" s="436">
        <f>F10</f>
        <v>1.4</v>
      </c>
      <c r="M10" s="437"/>
      <c r="AD10" s="430" t="s">
        <v>700</v>
      </c>
      <c r="AE10" s="438" t="s">
        <v>983</v>
      </c>
      <c r="AF10"/>
      <c r="AG10"/>
      <c r="AH10" s="430" t="s">
        <v>984</v>
      </c>
      <c r="AI10" s="439">
        <v>8</v>
      </c>
      <c r="AJ10" s="440">
        <f t="shared" ref="AJ10:AJ19" si="0">3.14*(AI10/10)^2/4</f>
        <v>0.50240000000000007</v>
      </c>
      <c r="AK10"/>
      <c r="AL10" s="5" t="s">
        <v>985</v>
      </c>
      <c r="AM10" s="30">
        <v>0</v>
      </c>
      <c r="AN10" s="30">
        <v>0.54</v>
      </c>
      <c r="AO10" s="30">
        <v>0.68</v>
      </c>
      <c r="AP10" s="30">
        <v>0.84</v>
      </c>
      <c r="AQ10" s="30">
        <v>0.95</v>
      </c>
      <c r="AR10" s="30">
        <v>1.04</v>
      </c>
      <c r="AS10" s="30">
        <v>1.1200000000000001</v>
      </c>
      <c r="AT10" s="30">
        <v>1.36</v>
      </c>
      <c r="AU10" s="30">
        <v>1.64</v>
      </c>
      <c r="AV10" s="30">
        <v>1.89</v>
      </c>
      <c r="AW10" s="6">
        <v>2</v>
      </c>
    </row>
    <row r="11" spans="4:49" ht="15" x14ac:dyDescent="0.25">
      <c r="D11" s="417"/>
      <c r="L11" s="441"/>
      <c r="M11" s="437"/>
      <c r="AD11" s="430">
        <v>20</v>
      </c>
      <c r="AE11" s="442">
        <v>1.5E-3</v>
      </c>
      <c r="AF11"/>
      <c r="AG11"/>
      <c r="AH11" s="430" t="s">
        <v>984</v>
      </c>
      <c r="AI11" s="439">
        <v>9.5</v>
      </c>
      <c r="AJ11" s="440">
        <f t="shared" si="0"/>
        <v>0.7084625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pans="4:49" ht="15.75" thickBot="1" x14ac:dyDescent="0.3">
      <c r="D12" s="417"/>
      <c r="E12" s="330" t="s">
        <v>986</v>
      </c>
      <c r="F12" s="443" t="s">
        <v>987</v>
      </c>
      <c r="M12" s="418"/>
      <c r="AD12" s="430">
        <v>25</v>
      </c>
      <c r="AE12" s="442">
        <v>1.5E-3</v>
      </c>
      <c r="AF12"/>
      <c r="AG12"/>
      <c r="AH12" s="430" t="s">
        <v>984</v>
      </c>
      <c r="AI12" s="439">
        <v>10</v>
      </c>
      <c r="AJ12" s="440">
        <f t="shared" si="0"/>
        <v>0.78500000000000003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pans="4:49" ht="15" x14ac:dyDescent="0.25">
      <c r="D13" s="417"/>
      <c r="M13" s="418"/>
      <c r="AD13" s="430">
        <v>30</v>
      </c>
      <c r="AE13" s="442">
        <v>1.73E-3</v>
      </c>
      <c r="AF13"/>
      <c r="AG13"/>
      <c r="AH13" s="430" t="s">
        <v>984</v>
      </c>
      <c r="AI13" s="439">
        <v>12.5</v>
      </c>
      <c r="AJ13" s="440">
        <f t="shared" si="0"/>
        <v>1.2265625</v>
      </c>
      <c r="AK13"/>
      <c r="AL13" s="916" t="s">
        <v>988</v>
      </c>
      <c r="AM13" s="917"/>
      <c r="AN13" s="917"/>
      <c r="AO13" s="917"/>
      <c r="AP13" s="917"/>
      <c r="AQ13" s="917"/>
      <c r="AR13" s="918"/>
      <c r="AS13"/>
      <c r="AT13"/>
      <c r="AU13"/>
      <c r="AV13"/>
      <c r="AW13"/>
    </row>
    <row r="14" spans="4:49" ht="15" x14ac:dyDescent="0.25">
      <c r="D14" s="417"/>
      <c r="E14" s="444" t="s">
        <v>989</v>
      </c>
      <c r="G14" s="445"/>
      <c r="M14" s="418"/>
      <c r="AD14" s="430">
        <v>35</v>
      </c>
      <c r="AE14" s="442">
        <v>2.0100000000000001E-3</v>
      </c>
      <c r="AF14"/>
      <c r="AG14"/>
      <c r="AH14" s="430" t="s">
        <v>984</v>
      </c>
      <c r="AI14" s="439">
        <v>6</v>
      </c>
      <c r="AJ14" s="440">
        <f t="shared" si="0"/>
        <v>0.28260000000000002</v>
      </c>
      <c r="AK14"/>
      <c r="AL14" s="428">
        <v>20</v>
      </c>
      <c r="AM14" s="412">
        <v>25</v>
      </c>
      <c r="AN14" s="412">
        <v>30</v>
      </c>
      <c r="AO14" s="412">
        <v>35</v>
      </c>
      <c r="AP14" s="412">
        <v>40</v>
      </c>
      <c r="AQ14" s="412">
        <v>45</v>
      </c>
      <c r="AR14" s="429">
        <v>50</v>
      </c>
      <c r="AS14"/>
      <c r="AT14"/>
      <c r="AU14"/>
      <c r="AV14"/>
      <c r="AW14"/>
    </row>
    <row r="15" spans="4:49" ht="15.75" thickBot="1" x14ac:dyDescent="0.3">
      <c r="D15" s="417"/>
      <c r="F15" s="420" t="s">
        <v>990</v>
      </c>
      <c r="G15" s="421">
        <v>31</v>
      </c>
      <c r="H15" s="330" t="s">
        <v>80</v>
      </c>
      <c r="I15" s="420" t="s">
        <v>697</v>
      </c>
      <c r="J15" s="421">
        <f>Geometria!H23+Geometria!H33</f>
        <v>30</v>
      </c>
      <c r="K15" s="330" t="s">
        <v>80</v>
      </c>
      <c r="M15" s="418"/>
      <c r="AD15" s="430">
        <v>40</v>
      </c>
      <c r="AE15" s="442">
        <v>2.3E-3</v>
      </c>
      <c r="AF15"/>
      <c r="AG15"/>
      <c r="AH15" s="430" t="s">
        <v>984</v>
      </c>
      <c r="AI15" s="439">
        <v>16</v>
      </c>
      <c r="AJ15" s="440">
        <f t="shared" si="0"/>
        <v>2.0096000000000003</v>
      </c>
      <c r="AK15"/>
      <c r="AL15" s="446">
        <v>8.8400000000000006E-2</v>
      </c>
      <c r="AM15" s="447">
        <v>0.1026</v>
      </c>
      <c r="AN15" s="447">
        <v>0.1159</v>
      </c>
      <c r="AO15" s="447">
        <v>0.12839999999999999</v>
      </c>
      <c r="AP15" s="447">
        <v>0.1404</v>
      </c>
      <c r="AQ15" s="447">
        <v>0.158</v>
      </c>
      <c r="AR15" s="448">
        <v>0.16289999999999999</v>
      </c>
      <c r="AS15"/>
      <c r="AT15"/>
      <c r="AU15"/>
      <c r="AV15"/>
      <c r="AW15"/>
    </row>
    <row r="16" spans="4:49" ht="15" x14ac:dyDescent="0.25">
      <c r="D16" s="417"/>
      <c r="F16" s="420" t="s">
        <v>968</v>
      </c>
      <c r="G16" s="424">
        <f>K4</f>
        <v>8</v>
      </c>
      <c r="H16" s="330" t="s">
        <v>187</v>
      </c>
      <c r="I16" s="420" t="s">
        <v>991</v>
      </c>
      <c r="J16" s="421">
        <v>2.5</v>
      </c>
      <c r="K16" s="330" t="s">
        <v>80</v>
      </c>
      <c r="M16" s="418"/>
      <c r="AD16" s="430">
        <v>45</v>
      </c>
      <c r="AE16" s="442">
        <v>2.5899999999999999E-3</v>
      </c>
      <c r="AF16"/>
      <c r="AG16"/>
      <c r="AH16" s="430" t="s">
        <v>984</v>
      </c>
      <c r="AI16" s="439">
        <v>20</v>
      </c>
      <c r="AJ16" s="440">
        <f t="shared" si="0"/>
        <v>3.14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4:49" ht="15.75" thickBot="1" x14ac:dyDescent="0.3">
      <c r="D17" s="417"/>
      <c r="F17" s="420"/>
      <c r="G17" s="423"/>
      <c r="M17" s="418"/>
      <c r="AD17" s="449">
        <v>50</v>
      </c>
      <c r="AE17" s="450">
        <v>2.8800000000000002E-3</v>
      </c>
      <c r="AF17"/>
      <c r="AG17"/>
      <c r="AH17" s="430" t="s">
        <v>984</v>
      </c>
      <c r="AI17" s="439">
        <v>22.5</v>
      </c>
      <c r="AJ17" s="440">
        <f t="shared" si="0"/>
        <v>3.9740625000000001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pans="4:49" ht="15" x14ac:dyDescent="0.25">
      <c r="D18" s="417"/>
      <c r="F18" s="420" t="s">
        <v>992</v>
      </c>
      <c r="G18" s="215">
        <f>J16+G17/10+G16/20</f>
        <v>2.9</v>
      </c>
      <c r="H18" s="330" t="s">
        <v>80</v>
      </c>
      <c r="I18" s="420" t="s">
        <v>609</v>
      </c>
      <c r="J18" s="451">
        <f>J15-G18</f>
        <v>27.1</v>
      </c>
      <c r="K18" s="330" t="s">
        <v>80</v>
      </c>
      <c r="M18" s="418"/>
      <c r="AD18"/>
      <c r="AE18"/>
      <c r="AF18"/>
      <c r="AG18"/>
      <c r="AH18" s="430" t="s">
        <v>984</v>
      </c>
      <c r="AI18" s="439">
        <v>25</v>
      </c>
      <c r="AJ18" s="440">
        <f t="shared" si="0"/>
        <v>4.90625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4:49" ht="15.75" thickBot="1" x14ac:dyDescent="0.3">
      <c r="D19" s="417"/>
      <c r="E19" s="444" t="s">
        <v>993</v>
      </c>
      <c r="M19" s="418"/>
      <c r="AD19"/>
      <c r="AE19"/>
      <c r="AF19"/>
      <c r="AG19"/>
      <c r="AH19" s="449" t="s">
        <v>984</v>
      </c>
      <c r="AI19" s="452">
        <v>5</v>
      </c>
      <c r="AJ19" s="453">
        <f t="shared" si="0"/>
        <v>0.19625000000000001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4:49" ht="18" x14ac:dyDescent="0.25">
      <c r="D20" s="417"/>
      <c r="F20" s="420" t="s">
        <v>966</v>
      </c>
      <c r="G20" s="454">
        <f>H4</f>
        <v>22.768761111111107</v>
      </c>
      <c r="H20" s="330" t="s">
        <v>967</v>
      </c>
      <c r="M20" s="418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4:49" ht="15.75" thickBot="1" x14ac:dyDescent="0.3">
      <c r="D21" s="417"/>
      <c r="F21" s="420"/>
      <c r="M21" s="418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4:49" ht="15" x14ac:dyDescent="0.25">
      <c r="D22" s="417"/>
      <c r="F22" s="420" t="s">
        <v>994</v>
      </c>
      <c r="G22" s="451">
        <f>G20*L10</f>
        <v>31.876265555555548</v>
      </c>
      <c r="H22" s="330" t="s">
        <v>967</v>
      </c>
      <c r="M22" s="418"/>
      <c r="AD22" s="433" t="s">
        <v>995</v>
      </c>
      <c r="AE22" s="434" t="s">
        <v>996</v>
      </c>
      <c r="AF22" s="8" t="s">
        <v>997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4:49" ht="15" x14ac:dyDescent="0.25">
      <c r="D23" s="417"/>
      <c r="M23" s="418"/>
      <c r="AD23" s="3">
        <v>15</v>
      </c>
      <c r="AE23" s="7">
        <v>265</v>
      </c>
      <c r="AF23" s="455">
        <v>5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4:49" ht="15" x14ac:dyDescent="0.25">
      <c r="D24" s="417"/>
      <c r="M24" s="418"/>
      <c r="AD24" s="3">
        <v>20</v>
      </c>
      <c r="AE24" s="7">
        <v>310</v>
      </c>
      <c r="AF24" s="455">
        <v>7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4:49" ht="15" x14ac:dyDescent="0.25">
      <c r="D25" s="417"/>
      <c r="F25" s="420" t="s">
        <v>998</v>
      </c>
      <c r="G25" s="451">
        <f>1.25*$J$18*(1-SQRT(1-((G22*100)/(0.425*G15*J18^2*K8))))</f>
        <v>2.7125653952420086</v>
      </c>
      <c r="H25" s="330" t="s">
        <v>80</v>
      </c>
      <c r="M25" s="418"/>
      <c r="AD25" s="3">
        <v>25</v>
      </c>
      <c r="AE25" s="7">
        <v>350</v>
      </c>
      <c r="AF25" s="455">
        <v>8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4:49" ht="15.75" thickBot="1" x14ac:dyDescent="0.3">
      <c r="D26" s="417"/>
      <c r="M26" s="418"/>
      <c r="AD26" s="5">
        <v>30</v>
      </c>
      <c r="AE26" s="30">
        <v>400</v>
      </c>
      <c r="AF26" s="456">
        <v>10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4:49" ht="15" x14ac:dyDescent="0.25">
      <c r="D27" s="417"/>
      <c r="M27" s="418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4:49" ht="18" x14ac:dyDescent="0.25">
      <c r="D28" s="417"/>
      <c r="F28" s="420" t="s">
        <v>999</v>
      </c>
      <c r="G28" s="457">
        <f>G25/J18</f>
        <v>0.10009466403107042</v>
      </c>
      <c r="I28" s="330" t="s">
        <v>1000</v>
      </c>
      <c r="J28" s="330" t="str">
        <f>P34</f>
        <v>II</v>
      </c>
      <c r="M28" s="41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4:49" ht="15" x14ac:dyDescent="0.25">
      <c r="D29" s="417"/>
      <c r="M29" s="418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4:49" ht="15" x14ac:dyDescent="0.25">
      <c r="D30" s="417"/>
      <c r="M30" s="418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4:49" ht="18.75" thickBot="1" x14ac:dyDescent="0.3">
      <c r="D31" s="417"/>
      <c r="F31" s="420" t="s">
        <v>1001</v>
      </c>
      <c r="G31" s="451">
        <f>(G22*100)/(K9*(J18-0.4*G25))</f>
        <v>2.8182004419195743</v>
      </c>
      <c r="H31" s="330" t="s">
        <v>1002</v>
      </c>
      <c r="M31" s="418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4:49" ht="15" x14ac:dyDescent="0.25">
      <c r="D32" s="417"/>
      <c r="M32" s="418"/>
      <c r="O32" s="458" t="s">
        <v>1003</v>
      </c>
      <c r="P32" s="459">
        <f>0.269*J18</f>
        <v>7.2899000000000012</v>
      </c>
      <c r="Q32" s="460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4:49" ht="15" x14ac:dyDescent="0.25">
      <c r="D33" s="417"/>
      <c r="M33" s="418"/>
      <c r="O33" s="461" t="s">
        <v>1004</v>
      </c>
      <c r="P33" s="330">
        <f>0.0035*J18/(0.0035+ 0.0027)</f>
        <v>15.298387096774192</v>
      </c>
      <c r="Q33" s="46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4:49" ht="18.75" thickBot="1" x14ac:dyDescent="0.3">
      <c r="D34" s="417"/>
      <c r="F34" s="435" t="s">
        <v>1005</v>
      </c>
      <c r="G34" s="463">
        <f>VLOOKUP(G8,AD11:AE17,2)</f>
        <v>1.73E-3</v>
      </c>
      <c r="J34" s="330">
        <f>VLOOKUP(K4,AI10:AJ19,2,FALSE)</f>
        <v>0.50240000000000007</v>
      </c>
      <c r="M34" s="418"/>
      <c r="O34" s="464" t="s">
        <v>1006</v>
      </c>
      <c r="P34" s="465" t="str">
        <f>IF(G25&lt;P33,IF(G25&lt;P32,"II","III"),"IV")</f>
        <v>II</v>
      </c>
      <c r="Q34" s="46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4:49" ht="15" x14ac:dyDescent="0.25">
      <c r="D35" s="417"/>
      <c r="F35" s="420"/>
      <c r="G35" s="215">
        <f>IF(Geometria!H1218="Sim",5,0)</f>
        <v>0</v>
      </c>
      <c r="M35" s="418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4:49" ht="15" x14ac:dyDescent="0.25">
      <c r="D36" s="417"/>
      <c r="J36"/>
      <c r="K36"/>
      <c r="L36"/>
      <c r="M36" s="418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4:49" ht="15" x14ac:dyDescent="0.25">
      <c r="D37" s="417"/>
      <c r="F37" s="420" t="s">
        <v>1007</v>
      </c>
      <c r="G37" s="451">
        <f>LARGE((G31,G35),1)</f>
        <v>2.8182004419195743</v>
      </c>
      <c r="H37" s="330" t="s">
        <v>1008</v>
      </c>
      <c r="J37">
        <f>G37/J34</f>
        <v>5.6094754019099797</v>
      </c>
      <c r="K37">
        <f>ROUNDUP(J37,-0.5)</f>
        <v>6</v>
      </c>
      <c r="L37">
        <f>IF(Geometria!H1222&gt;0,G15/K37,0)</f>
        <v>5.166666666666667</v>
      </c>
      <c r="M37" s="418"/>
    </row>
    <row r="38" spans="4:49" ht="15" x14ac:dyDescent="0.25">
      <c r="D38" s="467"/>
      <c r="E38" s="468"/>
      <c r="F38" s="468"/>
      <c r="G38" s="468"/>
      <c r="H38" s="468"/>
      <c r="I38" s="468"/>
      <c r="J38" s="468"/>
      <c r="K38" s="468"/>
      <c r="L38" s="468"/>
      <c r="M38" s="469"/>
    </row>
    <row r="39" spans="4:49" ht="15" x14ac:dyDescent="0.25">
      <c r="E39"/>
      <c r="F39"/>
      <c r="G39"/>
      <c r="H39"/>
      <c r="I39"/>
      <c r="J39"/>
      <c r="K39"/>
      <c r="L39"/>
      <c r="M39"/>
    </row>
    <row r="46" spans="4:49" ht="20.100000000000001" customHeight="1" x14ac:dyDescent="0.25">
      <c r="F46" s="135" t="s">
        <v>264</v>
      </c>
      <c r="G46" s="135" t="s">
        <v>265</v>
      </c>
      <c r="H46" s="135" t="s">
        <v>266</v>
      </c>
      <c r="I46" s="135" t="s">
        <v>267</v>
      </c>
      <c r="J46" s="135" t="s">
        <v>268</v>
      </c>
      <c r="K46" s="135" t="s">
        <v>269</v>
      </c>
      <c r="L46" s="135" t="s">
        <v>270</v>
      </c>
      <c r="M46" s="135" t="s">
        <v>271</v>
      </c>
    </row>
    <row r="47" spans="4:49" ht="20.100000000000001" customHeight="1" x14ac:dyDescent="0.25">
      <c r="F47" s="140">
        <v>0</v>
      </c>
      <c r="G47" s="140">
        <v>0</v>
      </c>
      <c r="H47" s="140">
        <v>1</v>
      </c>
      <c r="I47" s="140">
        <v>0</v>
      </c>
      <c r="J47" s="140">
        <v>10</v>
      </c>
      <c r="K47" s="140">
        <v>21.74</v>
      </c>
      <c r="L47" s="140">
        <v>43.48</v>
      </c>
      <c r="M47" s="140">
        <v>52.17</v>
      </c>
    </row>
    <row r="48" spans="4:49" ht="20.100000000000001" customHeight="1" x14ac:dyDescent="0.25">
      <c r="F48" s="140">
        <v>5.0000000000000001E-3</v>
      </c>
      <c r="G48" s="140">
        <v>7.0000000000000001E-3</v>
      </c>
      <c r="H48" s="140">
        <v>0.997</v>
      </c>
      <c r="I48" s="140">
        <v>7.0000000000000007E-2</v>
      </c>
      <c r="J48" s="140">
        <v>10</v>
      </c>
      <c r="K48" s="140">
        <v>21.68</v>
      </c>
      <c r="L48" s="140">
        <v>43.35</v>
      </c>
      <c r="M48" s="140">
        <v>52.02</v>
      </c>
    </row>
    <row r="49" spans="6:13" ht="20.100000000000001" customHeight="1" x14ac:dyDescent="0.25">
      <c r="F49" s="140">
        <v>0.01</v>
      </c>
      <c r="G49" s="140">
        <v>1.4999999999999999E-2</v>
      </c>
      <c r="H49" s="140">
        <v>0.99399999999999999</v>
      </c>
      <c r="I49" s="140">
        <v>0.15</v>
      </c>
      <c r="J49" s="140">
        <v>10</v>
      </c>
      <c r="K49" s="140">
        <v>21.61</v>
      </c>
      <c r="L49" s="140">
        <v>43.22</v>
      </c>
      <c r="M49" s="140">
        <v>51.86</v>
      </c>
    </row>
    <row r="50" spans="6:13" ht="20.100000000000001" customHeight="1" x14ac:dyDescent="0.25">
      <c r="F50" s="140">
        <v>1.4999999999999999E-2</v>
      </c>
      <c r="G50" s="140">
        <v>2.1999999999999999E-2</v>
      </c>
      <c r="H50" s="140">
        <v>0.99099999999999999</v>
      </c>
      <c r="I50" s="140">
        <v>0.23</v>
      </c>
      <c r="J50" s="140">
        <v>10</v>
      </c>
      <c r="K50" s="140">
        <v>21.55</v>
      </c>
      <c r="L50" s="140">
        <v>43.09</v>
      </c>
      <c r="M50" s="140">
        <v>51.71</v>
      </c>
    </row>
    <row r="51" spans="6:13" ht="20.100000000000001" customHeight="1" x14ac:dyDescent="0.25">
      <c r="F51" s="140">
        <v>0.02</v>
      </c>
      <c r="G51" s="140">
        <v>0.03</v>
      </c>
      <c r="H51" s="140">
        <v>0.98799999999999999</v>
      </c>
      <c r="I51" s="140">
        <v>0.31</v>
      </c>
      <c r="J51" s="140">
        <v>10</v>
      </c>
      <c r="K51" s="140">
        <v>21.48</v>
      </c>
      <c r="L51" s="140">
        <v>42.96</v>
      </c>
      <c r="M51" s="140">
        <v>51.55</v>
      </c>
    </row>
    <row r="52" spans="6:13" ht="20.100000000000001" customHeight="1" x14ac:dyDescent="0.25">
      <c r="F52" s="140">
        <v>2.5000000000000001E-2</v>
      </c>
      <c r="G52" s="140">
        <v>3.6999999999999998E-2</v>
      </c>
      <c r="H52" s="140">
        <v>0.98499999999999999</v>
      </c>
      <c r="I52" s="140">
        <v>0.39</v>
      </c>
      <c r="J52" s="140">
        <v>10</v>
      </c>
      <c r="K52" s="140">
        <v>21.42</v>
      </c>
      <c r="L52" s="140">
        <v>42.83</v>
      </c>
      <c r="M52" s="140">
        <v>51.39</v>
      </c>
    </row>
    <row r="53" spans="6:13" ht="20.100000000000001" customHeight="1" x14ac:dyDescent="0.25">
      <c r="F53" s="140">
        <v>0.03</v>
      </c>
      <c r="G53" s="140">
        <v>4.4999999999999998E-2</v>
      </c>
      <c r="H53" s="140">
        <v>0.98199999999999998</v>
      </c>
      <c r="I53" s="140">
        <v>0.47</v>
      </c>
      <c r="J53" s="140">
        <v>10</v>
      </c>
      <c r="K53" s="140">
        <v>21.35</v>
      </c>
      <c r="L53" s="140">
        <v>42.7</v>
      </c>
      <c r="M53" s="140">
        <v>51.23</v>
      </c>
    </row>
    <row r="54" spans="6:13" ht="20.100000000000001" customHeight="1" x14ac:dyDescent="0.25">
      <c r="F54" s="140">
        <v>3.5000000000000003E-2</v>
      </c>
      <c r="G54" s="140">
        <v>5.2999999999999999E-2</v>
      </c>
      <c r="H54" s="140">
        <v>0.97899999999999998</v>
      </c>
      <c r="I54" s="140">
        <v>0.55000000000000004</v>
      </c>
      <c r="J54" s="140">
        <v>10</v>
      </c>
      <c r="K54" s="140">
        <v>21.29</v>
      </c>
      <c r="L54" s="140">
        <v>42.57</v>
      </c>
      <c r="M54" s="140">
        <v>51.08</v>
      </c>
    </row>
    <row r="55" spans="6:13" ht="20.100000000000001" customHeight="1" x14ac:dyDescent="0.25">
      <c r="F55" s="140">
        <v>0.04</v>
      </c>
      <c r="G55" s="140">
        <v>0.06</v>
      </c>
      <c r="H55" s="140">
        <v>0.97599999999999998</v>
      </c>
      <c r="I55" s="140">
        <v>0.64</v>
      </c>
      <c r="J55" s="140">
        <v>10</v>
      </c>
      <c r="K55" s="140">
        <v>21.22</v>
      </c>
      <c r="L55" s="140">
        <v>42.43</v>
      </c>
      <c r="M55" s="140">
        <v>50.91</v>
      </c>
    </row>
    <row r="56" spans="6:13" ht="20.100000000000001" customHeight="1" x14ac:dyDescent="0.25">
      <c r="F56" s="140">
        <v>4.4999999999999998E-2</v>
      </c>
      <c r="G56" s="140">
        <v>6.8000000000000005E-2</v>
      </c>
      <c r="H56" s="140">
        <v>0.97299999999999998</v>
      </c>
      <c r="I56" s="140">
        <v>0.72</v>
      </c>
      <c r="J56" s="140">
        <v>10</v>
      </c>
      <c r="K56" s="140">
        <v>21.16</v>
      </c>
      <c r="L56" s="140">
        <v>42.3</v>
      </c>
      <c r="M56" s="140">
        <v>50.75</v>
      </c>
    </row>
    <row r="57" spans="6:13" ht="20.100000000000001" customHeight="1" x14ac:dyDescent="0.25">
      <c r="F57" s="140">
        <v>0.05</v>
      </c>
      <c r="G57" s="140">
        <v>7.5999999999999998E-2</v>
      </c>
      <c r="H57" s="140">
        <v>0.97</v>
      </c>
      <c r="I57" s="140">
        <v>0.8</v>
      </c>
      <c r="J57" s="140">
        <v>10</v>
      </c>
      <c r="K57" s="140">
        <v>21.09</v>
      </c>
      <c r="L57" s="140">
        <v>42.17</v>
      </c>
      <c r="M57" s="140">
        <v>50.59</v>
      </c>
    </row>
    <row r="58" spans="6:13" ht="20.100000000000001" customHeight="1" x14ac:dyDescent="0.25">
      <c r="F58" s="140">
        <v>5.5E-2</v>
      </c>
      <c r="G58" s="140">
        <v>8.3000000000000004E-2</v>
      </c>
      <c r="H58" s="140">
        <v>0.96699999999999997</v>
      </c>
      <c r="I58" s="140">
        <v>0.88</v>
      </c>
      <c r="J58" s="140">
        <v>10</v>
      </c>
      <c r="K58" s="140">
        <v>21.03</v>
      </c>
      <c r="L58" s="140">
        <v>42.04</v>
      </c>
      <c r="M58" s="140">
        <v>50.42</v>
      </c>
    </row>
    <row r="59" spans="6:13" ht="20.100000000000001" customHeight="1" x14ac:dyDescent="0.25">
      <c r="F59" s="140">
        <v>0.06</v>
      </c>
      <c r="G59" s="140">
        <v>9.0999999999999998E-2</v>
      </c>
      <c r="H59" s="140">
        <v>0.96399999999999997</v>
      </c>
      <c r="I59" s="140">
        <v>0.96</v>
      </c>
      <c r="J59" s="140">
        <v>10</v>
      </c>
      <c r="K59" s="140">
        <v>20.96</v>
      </c>
      <c r="L59" s="140">
        <v>41.91</v>
      </c>
      <c r="M59" s="140">
        <v>50.26</v>
      </c>
    </row>
    <row r="60" spans="6:13" ht="20.100000000000001" customHeight="1" x14ac:dyDescent="0.25">
      <c r="F60" s="140">
        <v>6.5000000000000002E-2</v>
      </c>
      <c r="G60" s="140">
        <v>9.9000000000000005E-2</v>
      </c>
      <c r="H60" s="140">
        <v>0.96099999999999997</v>
      </c>
      <c r="I60" s="140">
        <v>1.05</v>
      </c>
      <c r="J60" s="140">
        <v>10</v>
      </c>
      <c r="K60" s="140">
        <v>20.9</v>
      </c>
      <c r="L60" s="140">
        <v>41.78</v>
      </c>
      <c r="M60" s="140">
        <v>50.1</v>
      </c>
    </row>
    <row r="61" spans="6:13" ht="20.100000000000001" customHeight="1" x14ac:dyDescent="0.25">
      <c r="F61" s="140">
        <v>7.0000000000000007E-2</v>
      </c>
      <c r="G61" s="140">
        <v>0.106</v>
      </c>
      <c r="H61" s="140">
        <v>0.95799999999999996</v>
      </c>
      <c r="I61" s="140">
        <v>1.1299999999999999</v>
      </c>
      <c r="J61" s="140">
        <v>10</v>
      </c>
      <c r="K61" s="140">
        <v>20.83</v>
      </c>
      <c r="L61" s="140">
        <v>41.65</v>
      </c>
      <c r="M61" s="140">
        <v>49.93</v>
      </c>
    </row>
    <row r="62" spans="6:13" ht="20.100000000000001" customHeight="1" x14ac:dyDescent="0.25">
      <c r="F62" s="140">
        <v>7.4999999999999997E-2</v>
      </c>
      <c r="G62" s="140">
        <v>0.114</v>
      </c>
      <c r="H62" s="140">
        <v>0.95499999999999996</v>
      </c>
      <c r="I62" s="140">
        <v>1.21</v>
      </c>
      <c r="J62" s="140">
        <v>10</v>
      </c>
      <c r="K62" s="140">
        <v>20.77</v>
      </c>
      <c r="L62" s="140">
        <v>41.53</v>
      </c>
      <c r="M62" s="140">
        <v>49.77</v>
      </c>
    </row>
    <row r="63" spans="6:13" ht="20.100000000000001" customHeight="1" x14ac:dyDescent="0.25">
      <c r="F63" s="140">
        <v>0.08</v>
      </c>
      <c r="G63" s="140">
        <v>0.122</v>
      </c>
      <c r="H63" s="140">
        <v>0.95199999999999996</v>
      </c>
      <c r="I63" s="140">
        <v>1.29</v>
      </c>
      <c r="J63" s="140">
        <v>10</v>
      </c>
      <c r="K63" s="140">
        <v>20.7</v>
      </c>
      <c r="L63" s="140">
        <v>41.4</v>
      </c>
      <c r="M63" s="140">
        <v>49.61</v>
      </c>
    </row>
    <row r="64" spans="6:13" ht="20.100000000000001" customHeight="1" x14ac:dyDescent="0.25">
      <c r="F64" s="140">
        <v>8.5000000000000006E-2</v>
      </c>
      <c r="G64" s="140">
        <v>0.129</v>
      </c>
      <c r="H64" s="140">
        <v>0.94899999999999995</v>
      </c>
      <c r="I64" s="140">
        <v>1.37</v>
      </c>
      <c r="J64" s="140">
        <v>10</v>
      </c>
      <c r="K64" s="140">
        <v>20.64</v>
      </c>
      <c r="L64" s="140">
        <v>41.27</v>
      </c>
      <c r="M64" s="140">
        <v>49.44</v>
      </c>
    </row>
    <row r="65" spans="6:13" ht="20.100000000000001" customHeight="1" x14ac:dyDescent="0.25">
      <c r="F65" s="140">
        <v>0.09</v>
      </c>
      <c r="G65" s="140">
        <v>0.13700000000000001</v>
      </c>
      <c r="H65" s="140">
        <v>0.94599999999999995</v>
      </c>
      <c r="I65" s="140">
        <v>1.45</v>
      </c>
      <c r="J65" s="140">
        <v>10</v>
      </c>
      <c r="K65" s="140">
        <v>20.57</v>
      </c>
      <c r="L65" s="140">
        <v>41.14</v>
      </c>
      <c r="M65" s="140">
        <v>49.28</v>
      </c>
    </row>
    <row r="66" spans="6:13" ht="20.100000000000001" customHeight="1" x14ac:dyDescent="0.25">
      <c r="F66" s="140">
        <v>9.5000000000000001E-2</v>
      </c>
      <c r="G66" s="140">
        <v>0.14499999999999999</v>
      </c>
      <c r="H66" s="140">
        <v>0.94299999999999995</v>
      </c>
      <c r="I66" s="140">
        <v>1.53</v>
      </c>
      <c r="J66" s="140">
        <v>10</v>
      </c>
      <c r="K66" s="140">
        <v>20.51</v>
      </c>
      <c r="L66" s="140">
        <v>41.01</v>
      </c>
      <c r="M66" s="140">
        <v>49.12</v>
      </c>
    </row>
    <row r="67" spans="6:13" ht="20.100000000000001" customHeight="1" x14ac:dyDescent="0.25">
      <c r="F67" s="140">
        <v>0.1</v>
      </c>
      <c r="G67" s="140">
        <v>0.152</v>
      </c>
      <c r="H67" s="140">
        <v>0.94</v>
      </c>
      <c r="I67" s="140">
        <v>1.62</v>
      </c>
      <c r="J67" s="140">
        <v>10</v>
      </c>
      <c r="K67" s="140">
        <v>20.440000000000001</v>
      </c>
      <c r="L67" s="140">
        <v>40.880000000000003</v>
      </c>
      <c r="M67" s="140">
        <v>48.95</v>
      </c>
    </row>
    <row r="68" spans="6:13" ht="20.100000000000001" customHeight="1" x14ac:dyDescent="0.25">
      <c r="F68" s="140">
        <v>0.105</v>
      </c>
      <c r="G68" s="140">
        <v>0.16</v>
      </c>
      <c r="H68" s="140">
        <v>0.93700000000000006</v>
      </c>
      <c r="I68" s="140">
        <v>1.7</v>
      </c>
      <c r="J68" s="140">
        <v>10</v>
      </c>
      <c r="K68" s="140">
        <v>20.38</v>
      </c>
      <c r="L68" s="140">
        <v>40.75</v>
      </c>
      <c r="M68" s="140">
        <v>48.79</v>
      </c>
    </row>
    <row r="69" spans="6:13" ht="20.100000000000001" customHeight="1" x14ac:dyDescent="0.25">
      <c r="F69" s="140">
        <v>0.11</v>
      </c>
      <c r="G69" s="140">
        <v>0.16800000000000001</v>
      </c>
      <c r="H69" s="140">
        <v>0.93400000000000005</v>
      </c>
      <c r="I69" s="140">
        <v>1.78</v>
      </c>
      <c r="J69" s="140">
        <v>10</v>
      </c>
      <c r="K69" s="140">
        <v>20.309999999999999</v>
      </c>
      <c r="L69" s="140">
        <v>40.619999999999997</v>
      </c>
      <c r="M69" s="140">
        <v>48.63</v>
      </c>
    </row>
    <row r="70" spans="6:13" ht="20.100000000000001" customHeight="1" x14ac:dyDescent="0.25">
      <c r="F70" s="140">
        <v>0.115</v>
      </c>
      <c r="G70" s="140">
        <v>0.17499999999999999</v>
      </c>
      <c r="H70" s="140">
        <v>0.93100000000000005</v>
      </c>
      <c r="I70" s="140">
        <v>1.86</v>
      </c>
      <c r="J70" s="140">
        <v>10</v>
      </c>
      <c r="K70" s="140">
        <v>20.25</v>
      </c>
      <c r="L70" s="140">
        <v>40.5</v>
      </c>
      <c r="M70" s="140">
        <v>48.46</v>
      </c>
    </row>
    <row r="71" spans="6:13" ht="20.100000000000001" customHeight="1" x14ac:dyDescent="0.25">
      <c r="F71" s="140">
        <v>0.12</v>
      </c>
      <c r="G71" s="140">
        <v>0.183</v>
      </c>
      <c r="H71" s="140">
        <v>0.92800000000000005</v>
      </c>
      <c r="I71" s="140">
        <v>1.94</v>
      </c>
      <c r="J71" s="140">
        <v>10</v>
      </c>
      <c r="K71" s="140">
        <v>20.18</v>
      </c>
      <c r="L71" s="140">
        <v>40.369999999999997</v>
      </c>
      <c r="M71" s="140">
        <v>48.3</v>
      </c>
    </row>
    <row r="72" spans="6:13" ht="20.100000000000001" customHeight="1" x14ac:dyDescent="0.25">
      <c r="F72" s="140">
        <v>0.125</v>
      </c>
      <c r="G72" s="140">
        <v>0.2</v>
      </c>
      <c r="H72" s="140">
        <v>0.92</v>
      </c>
      <c r="I72" s="140">
        <v>2.5</v>
      </c>
      <c r="J72" s="140">
        <v>10</v>
      </c>
      <c r="K72" s="140">
        <v>20</v>
      </c>
      <c r="L72" s="140">
        <v>40.01</v>
      </c>
      <c r="M72" s="140">
        <v>48</v>
      </c>
    </row>
    <row r="73" spans="6:13" ht="20.100000000000001" customHeight="1" x14ac:dyDescent="0.25">
      <c r="F73" s="140">
        <v>0.13</v>
      </c>
      <c r="G73" s="140">
        <v>0.20899999999999999</v>
      </c>
      <c r="H73" s="140">
        <v>0.91700000000000004</v>
      </c>
      <c r="I73" s="140">
        <v>2.41</v>
      </c>
      <c r="J73" s="140">
        <v>10</v>
      </c>
      <c r="K73" s="140">
        <v>19.940000000000001</v>
      </c>
      <c r="L73" s="140">
        <v>39.869999999999997</v>
      </c>
      <c r="M73" s="140">
        <v>47.83</v>
      </c>
    </row>
    <row r="74" spans="6:13" ht="20.100000000000001" customHeight="1" x14ac:dyDescent="0.25">
      <c r="F74" s="140">
        <v>0.13500000000000001</v>
      </c>
      <c r="G74" s="140">
        <v>0.217</v>
      </c>
      <c r="H74" s="140">
        <v>0.91300000000000003</v>
      </c>
      <c r="I74" s="140">
        <v>2.78</v>
      </c>
      <c r="J74" s="140">
        <v>10</v>
      </c>
      <c r="K74" s="140">
        <v>19.87</v>
      </c>
      <c r="L74" s="140">
        <v>39.729999999999997</v>
      </c>
      <c r="M74" s="140">
        <v>47.67</v>
      </c>
    </row>
    <row r="75" spans="6:13" ht="20.100000000000001" customHeight="1" x14ac:dyDescent="0.25">
      <c r="F75" s="140">
        <v>0.14000000000000001</v>
      </c>
      <c r="G75" s="140">
        <v>0.22600000000000001</v>
      </c>
      <c r="H75" s="140">
        <v>0.91</v>
      </c>
      <c r="I75" s="140">
        <v>2.86</v>
      </c>
      <c r="J75" s="140">
        <v>10</v>
      </c>
      <c r="K75" s="140">
        <v>19.809999999999999</v>
      </c>
      <c r="L75" s="140">
        <v>39.590000000000003</v>
      </c>
      <c r="M75" s="140">
        <v>47.5</v>
      </c>
    </row>
    <row r="76" spans="6:13" ht="20.100000000000001" customHeight="1" x14ac:dyDescent="0.25">
      <c r="F76" s="140">
        <v>0.14499999999999999</v>
      </c>
      <c r="G76" s="140">
        <v>0.23499999999999999</v>
      </c>
      <c r="H76" s="140">
        <v>0.90600000000000003</v>
      </c>
      <c r="I76" s="140">
        <v>3.03</v>
      </c>
      <c r="J76" s="140">
        <v>10</v>
      </c>
      <c r="K76" s="140">
        <v>19.739999999999998</v>
      </c>
      <c r="L76" s="140">
        <v>39.450000000000003</v>
      </c>
      <c r="M76" s="140">
        <v>47.33</v>
      </c>
    </row>
    <row r="77" spans="6:13" ht="20.100000000000001" customHeight="1" x14ac:dyDescent="0.25">
      <c r="F77" s="140">
        <v>0.15</v>
      </c>
      <c r="G77" s="140">
        <v>0.24399999999999999</v>
      </c>
      <c r="H77" s="140">
        <v>0.90200000000000002</v>
      </c>
      <c r="I77" s="140">
        <v>3.1</v>
      </c>
      <c r="J77" s="140">
        <v>10</v>
      </c>
      <c r="K77" s="140">
        <v>19.68</v>
      </c>
      <c r="L77" s="140">
        <v>39.31</v>
      </c>
      <c r="M77" s="140">
        <v>47.16</v>
      </c>
    </row>
    <row r="78" spans="6:13" ht="20.100000000000001" customHeight="1" x14ac:dyDescent="0.25">
      <c r="F78" s="140">
        <v>0.155</v>
      </c>
      <c r="G78" s="140">
        <v>0.254</v>
      </c>
      <c r="H78" s="140">
        <v>0.89900000000000002</v>
      </c>
      <c r="I78" s="140">
        <v>3.4</v>
      </c>
      <c r="J78" s="140">
        <v>10</v>
      </c>
      <c r="K78" s="140">
        <v>19.53</v>
      </c>
      <c r="L78" s="140">
        <v>39.07</v>
      </c>
      <c r="M78" s="140">
        <v>46.85</v>
      </c>
    </row>
    <row r="79" spans="6:13" ht="20.100000000000001" customHeight="1" x14ac:dyDescent="0.25">
      <c r="F79" s="140">
        <v>0.16</v>
      </c>
      <c r="G79" s="140">
        <v>0.26300000000000001</v>
      </c>
      <c r="H79" s="140">
        <v>0.89500000000000002</v>
      </c>
      <c r="I79" s="140">
        <v>3.5</v>
      </c>
      <c r="J79" s="140">
        <v>9.81</v>
      </c>
      <c r="K79" s="140">
        <v>19.47</v>
      </c>
      <c r="L79" s="140">
        <v>38.93</v>
      </c>
      <c r="M79" s="140">
        <v>46.69</v>
      </c>
    </row>
    <row r="80" spans="6:13" ht="20.100000000000001" customHeight="1" x14ac:dyDescent="0.25">
      <c r="F80" s="140">
        <v>0.16300000000000001</v>
      </c>
      <c r="G80" s="140">
        <v>0.27200000000000002</v>
      </c>
      <c r="H80" s="140">
        <v>0.89100000000000001</v>
      </c>
      <c r="I80" s="140">
        <v>3.5</v>
      </c>
      <c r="J80" s="140">
        <v>9.4499999999999993</v>
      </c>
      <c r="K80" s="140">
        <v>19.41</v>
      </c>
      <c r="L80" s="140">
        <v>38.82</v>
      </c>
      <c r="M80" s="140">
        <v>46.56</v>
      </c>
    </row>
    <row r="81" spans="6:13" ht="20.100000000000001" customHeight="1" x14ac:dyDescent="0.25">
      <c r="F81" s="140">
        <v>0.17</v>
      </c>
      <c r="G81" s="140">
        <v>0.28199999999999997</v>
      </c>
      <c r="H81" s="140">
        <v>0.88700000000000001</v>
      </c>
      <c r="I81" s="140">
        <v>3.5</v>
      </c>
      <c r="J81" s="140">
        <v>8.92</v>
      </c>
      <c r="K81" s="140">
        <v>19.29</v>
      </c>
      <c r="L81" s="140">
        <v>38.58</v>
      </c>
      <c r="M81" s="140">
        <v>46.29</v>
      </c>
    </row>
    <row r="82" spans="6:13" ht="20.100000000000001" customHeight="1" x14ac:dyDescent="0.25">
      <c r="F82" s="140">
        <v>0.17499999999999999</v>
      </c>
      <c r="G82" s="140">
        <v>0.29099999999999998</v>
      </c>
      <c r="H82" s="140">
        <v>0.88300000000000001</v>
      </c>
      <c r="I82" s="140">
        <v>3.5</v>
      </c>
      <c r="J82" s="140">
        <v>8.52</v>
      </c>
      <c r="K82" s="140">
        <v>19.23</v>
      </c>
      <c r="L82" s="140">
        <v>38.46</v>
      </c>
      <c r="M82" s="140">
        <v>46.15</v>
      </c>
    </row>
    <row r="83" spans="6:13" ht="20.100000000000001" customHeight="1" x14ac:dyDescent="0.25">
      <c r="F83" s="140">
        <v>0.18</v>
      </c>
      <c r="G83" s="140">
        <v>0.30099999999999999</v>
      </c>
      <c r="H83" s="140">
        <v>0.88</v>
      </c>
      <c r="I83" s="140">
        <v>3.5</v>
      </c>
      <c r="J83" s="140">
        <v>8.1300000000000008</v>
      </c>
      <c r="K83" s="140">
        <v>19.16</v>
      </c>
      <c r="L83" s="140">
        <v>38.31</v>
      </c>
      <c r="M83" s="140">
        <v>45.99</v>
      </c>
    </row>
    <row r="84" spans="6:13" ht="20.100000000000001" customHeight="1" x14ac:dyDescent="0.25">
      <c r="F84" s="140">
        <v>0.185</v>
      </c>
      <c r="G84" s="140">
        <v>0.311</v>
      </c>
      <c r="H84" s="140">
        <v>0.876</v>
      </c>
      <c r="I84" s="140">
        <v>3.5</v>
      </c>
      <c r="J84" s="140">
        <v>7.77</v>
      </c>
      <c r="K84" s="140">
        <v>19.04</v>
      </c>
      <c r="L84" s="140">
        <v>38.07</v>
      </c>
      <c r="M84" s="140">
        <v>45.77</v>
      </c>
    </row>
    <row r="85" spans="6:13" ht="20.100000000000001" customHeight="1" x14ac:dyDescent="0.25">
      <c r="F85" s="140">
        <v>0.19</v>
      </c>
      <c r="G85" s="140">
        <v>0.32</v>
      </c>
      <c r="H85" s="140">
        <v>0.872</v>
      </c>
      <c r="I85" s="140">
        <v>3.5</v>
      </c>
      <c r="J85" s="140">
        <v>7.41</v>
      </c>
      <c r="K85" s="140">
        <v>18.98</v>
      </c>
      <c r="L85" s="140">
        <v>37.97</v>
      </c>
      <c r="M85" s="140">
        <v>45.65</v>
      </c>
    </row>
    <row r="86" spans="6:13" ht="20.100000000000001" customHeight="1" x14ac:dyDescent="0.25">
      <c r="F86" s="140">
        <v>0.19500000000000001</v>
      </c>
      <c r="G86" s="140">
        <v>0.33</v>
      </c>
      <c r="H86" s="140">
        <v>0.86699999999999999</v>
      </c>
      <c r="I86" s="140">
        <v>3.5</v>
      </c>
      <c r="J86" s="140">
        <v>7.09</v>
      </c>
      <c r="K86" s="140">
        <v>18.87</v>
      </c>
      <c r="L86" s="140">
        <v>37.729999999999997</v>
      </c>
      <c r="M86" s="140">
        <v>45.47</v>
      </c>
    </row>
    <row r="87" spans="6:13" ht="20.100000000000001" customHeight="1" x14ac:dyDescent="0.25">
      <c r="F87" s="140">
        <v>0.2</v>
      </c>
      <c r="G87" s="140">
        <v>0.34</v>
      </c>
      <c r="H87" s="140">
        <v>0.86399999999999999</v>
      </c>
      <c r="I87" s="140">
        <v>3.5</v>
      </c>
      <c r="J87" s="140">
        <v>6.78</v>
      </c>
      <c r="K87" s="140">
        <v>18.8</v>
      </c>
      <c r="L87" s="140">
        <v>37.590000000000003</v>
      </c>
      <c r="M87" s="140">
        <v>45.31</v>
      </c>
    </row>
    <row r="88" spans="6:13" ht="20.100000000000001" customHeight="1" x14ac:dyDescent="0.25">
      <c r="F88" s="140">
        <v>0.20499999999999999</v>
      </c>
      <c r="G88" s="140">
        <v>0.35099999999999998</v>
      </c>
      <c r="H88" s="140">
        <v>0.86</v>
      </c>
      <c r="I88" s="140">
        <v>3.5</v>
      </c>
      <c r="J88" s="140">
        <v>6.48</v>
      </c>
      <c r="K88" s="140">
        <v>18.690000000000001</v>
      </c>
      <c r="L88" s="140">
        <v>37.380000000000003</v>
      </c>
      <c r="M88" s="140">
        <v>45.06</v>
      </c>
    </row>
    <row r="89" spans="6:13" ht="20.100000000000001" customHeight="1" x14ac:dyDescent="0.25">
      <c r="F89" s="140">
        <v>0.21</v>
      </c>
      <c r="G89" s="140">
        <v>0.36099999999999999</v>
      </c>
      <c r="H89" s="140">
        <v>0.85599999999999998</v>
      </c>
      <c r="I89" s="140">
        <v>3.5</v>
      </c>
      <c r="J89" s="140">
        <v>6.2</v>
      </c>
      <c r="K89" s="140">
        <v>18.61</v>
      </c>
      <c r="L89" s="140">
        <v>37.229999999999997</v>
      </c>
      <c r="M89" s="140">
        <v>44.91</v>
      </c>
    </row>
    <row r="90" spans="6:13" ht="20.100000000000001" customHeight="1" x14ac:dyDescent="0.25">
      <c r="F90" s="140">
        <v>0.215</v>
      </c>
      <c r="G90" s="140">
        <v>0.371</v>
      </c>
      <c r="H90" s="140">
        <v>0.85099999999999998</v>
      </c>
      <c r="I90" s="140">
        <v>3.5</v>
      </c>
      <c r="J90" s="140">
        <v>5.93</v>
      </c>
      <c r="K90" s="140">
        <v>18.510000000000002</v>
      </c>
      <c r="L90" s="140">
        <v>37.01</v>
      </c>
      <c r="M90" s="140">
        <v>44.72</v>
      </c>
    </row>
    <row r="91" spans="6:13" ht="20.100000000000001" customHeight="1" x14ac:dyDescent="0.25">
      <c r="F91" s="140">
        <v>0.22</v>
      </c>
      <c r="G91" s="140">
        <v>0.38200000000000001</v>
      </c>
      <c r="H91" s="140">
        <v>0.84699999999999998</v>
      </c>
      <c r="I91" s="140">
        <v>3.5</v>
      </c>
      <c r="J91" s="140">
        <v>5.67</v>
      </c>
      <c r="K91" s="140">
        <v>18.41</v>
      </c>
      <c r="L91" s="140">
        <v>36.82</v>
      </c>
      <c r="M91" s="140">
        <v>44.52</v>
      </c>
    </row>
    <row r="92" spans="6:13" ht="20.100000000000001" customHeight="1" x14ac:dyDescent="0.25">
      <c r="F92" s="140">
        <v>0.22500000000000001</v>
      </c>
      <c r="G92" s="140">
        <v>0.39200000000000002</v>
      </c>
      <c r="H92" s="140">
        <v>0.84299999999999997</v>
      </c>
      <c r="I92" s="140">
        <v>3.5</v>
      </c>
      <c r="J92" s="140">
        <v>5.42</v>
      </c>
      <c r="K92" s="140">
        <v>18.329999999999998</v>
      </c>
      <c r="L92" s="140">
        <v>36.659999999999997</v>
      </c>
      <c r="M92" s="140">
        <v>43.98</v>
      </c>
    </row>
    <row r="93" spans="6:13" ht="20.100000000000001" customHeight="1" x14ac:dyDescent="0.25">
      <c r="F93" s="140">
        <v>0.23</v>
      </c>
      <c r="G93" s="140">
        <v>0.40300000000000002</v>
      </c>
      <c r="H93" s="140">
        <v>0.83899999999999997</v>
      </c>
      <c r="I93" s="140">
        <v>3.5</v>
      </c>
      <c r="J93" s="140">
        <v>5.18</v>
      </c>
      <c r="K93" s="140">
        <v>18.239999999999998</v>
      </c>
      <c r="L93" s="140">
        <v>36.479999999999997</v>
      </c>
      <c r="M93" s="140">
        <v>43.78</v>
      </c>
    </row>
    <row r="94" spans="6:13" ht="20.100000000000001" customHeight="1" x14ac:dyDescent="0.25">
      <c r="F94" s="140">
        <v>0.23499999999999999</v>
      </c>
      <c r="G94" s="140">
        <v>0.41399999999999998</v>
      </c>
      <c r="H94" s="140">
        <v>0.83399999999999996</v>
      </c>
      <c r="I94" s="140">
        <v>3.5</v>
      </c>
      <c r="J94" s="140">
        <v>4.95</v>
      </c>
      <c r="K94" s="140">
        <v>18.14</v>
      </c>
      <c r="L94" s="140">
        <v>36.29</v>
      </c>
      <c r="M94" s="140">
        <v>43.53</v>
      </c>
    </row>
    <row r="95" spans="6:13" ht="20.100000000000001" customHeight="1" x14ac:dyDescent="0.25">
      <c r="F95" s="140">
        <v>0.24</v>
      </c>
      <c r="G95" s="140">
        <v>0.42499999999999999</v>
      </c>
      <c r="H95" s="140">
        <v>0.83</v>
      </c>
      <c r="I95" s="140">
        <v>3.5</v>
      </c>
      <c r="J95" s="140">
        <v>4.7300000000000004</v>
      </c>
      <c r="K95" s="140">
        <v>18.04</v>
      </c>
      <c r="L95" s="140">
        <v>36.08</v>
      </c>
      <c r="M95" s="140">
        <v>43.28</v>
      </c>
    </row>
    <row r="96" spans="6:13" ht="20.100000000000001" customHeight="1" x14ac:dyDescent="0.25">
      <c r="F96" s="140">
        <v>0.245</v>
      </c>
      <c r="G96" s="140">
        <v>0.436</v>
      </c>
      <c r="H96" s="140">
        <v>0.82499999999999996</v>
      </c>
      <c r="I96" s="140">
        <v>3.5</v>
      </c>
      <c r="J96" s="140">
        <v>4.5199999999999996</v>
      </c>
      <c r="K96" s="140">
        <v>17.940000000000001</v>
      </c>
      <c r="L96" s="140">
        <v>35.89</v>
      </c>
      <c r="M96" s="140">
        <v>43.06</v>
      </c>
    </row>
    <row r="97" spans="6:13" ht="20.100000000000001" customHeight="1" x14ac:dyDescent="0.25">
      <c r="F97" s="140">
        <v>0.246</v>
      </c>
      <c r="G97" s="140">
        <v>0.439</v>
      </c>
      <c r="H97" s="140">
        <v>0.82399999999999995</v>
      </c>
      <c r="I97" s="140">
        <v>3.5</v>
      </c>
      <c r="J97" s="140">
        <v>4.4800000000000004</v>
      </c>
      <c r="K97" s="140">
        <v>17.920000000000002</v>
      </c>
      <c r="L97" s="140">
        <v>35.85</v>
      </c>
      <c r="M97" s="140">
        <v>43.01</v>
      </c>
    </row>
  </sheetData>
  <mergeCells count="4">
    <mergeCell ref="D2:M2"/>
    <mergeCell ref="AD8:AE8"/>
    <mergeCell ref="AD9:AE9"/>
    <mergeCell ref="AL13:AR13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D004-16E1-4E6E-AF22-A5196237AF2D}">
  <dimension ref="D2:AW39"/>
  <sheetViews>
    <sheetView showGridLines="0" topLeftCell="A15" workbookViewId="0">
      <selection activeCell="J34" sqref="J34"/>
    </sheetView>
  </sheetViews>
  <sheetFormatPr defaultRowHeight="20.100000000000001" customHeight="1" x14ac:dyDescent="0.25"/>
  <cols>
    <col min="1" max="4" width="9.140625" style="330"/>
    <col min="5" max="14" width="10.85546875" style="330" customWidth="1"/>
    <col min="15" max="15" width="13.28515625" style="330" bestFit="1" customWidth="1"/>
    <col min="16" max="34" width="9.140625" style="330"/>
    <col min="35" max="35" width="13.5703125" style="330" customWidth="1"/>
    <col min="36" max="16384" width="9.140625" style="330"/>
  </cols>
  <sheetData>
    <row r="2" spans="4:49" ht="15" x14ac:dyDescent="0.25">
      <c r="D2" s="909" t="s">
        <v>1009</v>
      </c>
      <c r="E2" s="910"/>
      <c r="F2" s="910"/>
      <c r="G2" s="910"/>
      <c r="H2" s="910"/>
      <c r="I2" s="910"/>
      <c r="J2" s="910"/>
      <c r="K2" s="910"/>
      <c r="L2" s="910"/>
      <c r="M2" s="911"/>
    </row>
    <row r="3" spans="4:49" ht="15" x14ac:dyDescent="0.25">
      <c r="D3" s="417"/>
      <c r="M3" s="418"/>
    </row>
    <row r="4" spans="4:49" ht="18" x14ac:dyDescent="0.25">
      <c r="D4" s="417"/>
      <c r="E4" s="419" t="s">
        <v>965</v>
      </c>
      <c r="G4" s="420" t="s">
        <v>966</v>
      </c>
      <c r="H4" s="421">
        <f>Geometria!G1258</f>
        <v>22.768761111111132</v>
      </c>
      <c r="I4" s="330" t="s">
        <v>967</v>
      </c>
      <c r="J4" s="420" t="s">
        <v>968</v>
      </c>
      <c r="K4" s="421">
        <f>Geometria!H1229</f>
        <v>10</v>
      </c>
      <c r="L4" s="330" t="s">
        <v>187</v>
      </c>
      <c r="M4" s="418"/>
    </row>
    <row r="5" spans="4:49" ht="15" x14ac:dyDescent="0.25">
      <c r="D5" s="417"/>
      <c r="M5" s="418"/>
    </row>
    <row r="6" spans="4:49" ht="15" x14ac:dyDescent="0.25">
      <c r="D6" s="417"/>
      <c r="E6" s="419" t="s">
        <v>969</v>
      </c>
      <c r="I6" s="422"/>
      <c r="M6" s="418"/>
    </row>
    <row r="7" spans="4:49" ht="15.75" thickBot="1" x14ac:dyDescent="0.3">
      <c r="D7" s="417"/>
      <c r="M7" s="418"/>
    </row>
    <row r="8" spans="4:49" ht="15.75" thickBot="1" x14ac:dyDescent="0.3">
      <c r="D8" s="417"/>
      <c r="F8" s="420" t="s">
        <v>970</v>
      </c>
      <c r="G8" s="423">
        <f>Geometria!H59</f>
        <v>30</v>
      </c>
      <c r="H8" s="330" t="s">
        <v>50</v>
      </c>
      <c r="J8" s="420" t="s">
        <v>712</v>
      </c>
      <c r="K8" s="424">
        <f>G8/F10/10</f>
        <v>2.1428571428571432</v>
      </c>
      <c r="L8" s="330" t="s">
        <v>61</v>
      </c>
      <c r="M8" s="418"/>
      <c r="AD8" s="912" t="s">
        <v>971</v>
      </c>
      <c r="AE8" s="913"/>
      <c r="AF8"/>
      <c r="AG8"/>
      <c r="AH8" s="425" t="s">
        <v>972</v>
      </c>
      <c r="AI8" s="426"/>
      <c r="AJ8" s="427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4:49" ht="15" x14ac:dyDescent="0.25">
      <c r="D9" s="417"/>
      <c r="F9" s="420" t="s">
        <v>973</v>
      </c>
      <c r="G9" s="423">
        <f>Geometria!H57</f>
        <v>500</v>
      </c>
      <c r="H9" s="330" t="s">
        <v>50</v>
      </c>
      <c r="J9" s="420" t="s">
        <v>974</v>
      </c>
      <c r="K9" s="424">
        <f>G9/I10/10</f>
        <v>43.478260869565219</v>
      </c>
      <c r="L9" s="330" t="s">
        <v>61</v>
      </c>
      <c r="M9" s="418"/>
      <c r="AD9" s="914" t="s">
        <v>975</v>
      </c>
      <c r="AE9" s="915"/>
      <c r="AF9"/>
      <c r="AG9"/>
      <c r="AH9" s="430" t="s">
        <v>976</v>
      </c>
      <c r="AI9" s="431" t="s">
        <v>977</v>
      </c>
      <c r="AJ9" s="432" t="s">
        <v>978</v>
      </c>
      <c r="AK9"/>
      <c r="AL9" s="433" t="s">
        <v>979</v>
      </c>
      <c r="AM9" s="434">
        <v>0</v>
      </c>
      <c r="AN9" s="434">
        <v>0.5</v>
      </c>
      <c r="AO9" s="434">
        <v>1</v>
      </c>
      <c r="AP9" s="434">
        <v>2</v>
      </c>
      <c r="AQ9" s="434">
        <v>3</v>
      </c>
      <c r="AR9" s="434">
        <v>4</v>
      </c>
      <c r="AS9" s="434">
        <v>5</v>
      </c>
      <c r="AT9" s="434">
        <v>10</v>
      </c>
      <c r="AU9" s="434">
        <v>20</v>
      </c>
      <c r="AV9" s="434">
        <v>40</v>
      </c>
      <c r="AW9" s="8">
        <v>70</v>
      </c>
    </row>
    <row r="10" spans="4:49" ht="15.75" thickBot="1" x14ac:dyDescent="0.3">
      <c r="D10" s="417"/>
      <c r="E10" s="435" t="s">
        <v>980</v>
      </c>
      <c r="F10" s="436">
        <f>Geometria!K52</f>
        <v>1.4</v>
      </c>
      <c r="H10" s="435" t="s">
        <v>981</v>
      </c>
      <c r="I10" s="436">
        <v>1.1499999999999999</v>
      </c>
      <c r="K10" s="435" t="s">
        <v>982</v>
      </c>
      <c r="L10" s="436">
        <f>F10</f>
        <v>1.4</v>
      </c>
      <c r="M10" s="437"/>
      <c r="AD10" s="430" t="s">
        <v>700</v>
      </c>
      <c r="AE10" s="438" t="s">
        <v>983</v>
      </c>
      <c r="AF10"/>
      <c r="AG10"/>
      <c r="AH10" s="430" t="s">
        <v>984</v>
      </c>
      <c r="AI10" s="439">
        <v>8</v>
      </c>
      <c r="AJ10" s="440">
        <f t="shared" ref="AJ10:AJ19" si="0">3.14*(AI10/10)^2/4</f>
        <v>0.50240000000000007</v>
      </c>
      <c r="AK10"/>
      <c r="AL10" s="5" t="s">
        <v>985</v>
      </c>
      <c r="AM10" s="30">
        <v>0</v>
      </c>
      <c r="AN10" s="30">
        <v>0.54</v>
      </c>
      <c r="AO10" s="30">
        <v>0.68</v>
      </c>
      <c r="AP10" s="30">
        <v>0.84</v>
      </c>
      <c r="AQ10" s="30">
        <v>0.95</v>
      </c>
      <c r="AR10" s="30">
        <v>1.04</v>
      </c>
      <c r="AS10" s="30">
        <v>1.1200000000000001</v>
      </c>
      <c r="AT10" s="30">
        <v>1.36</v>
      </c>
      <c r="AU10" s="30">
        <v>1.64</v>
      </c>
      <c r="AV10" s="30">
        <v>1.89</v>
      </c>
      <c r="AW10" s="6">
        <v>2</v>
      </c>
    </row>
    <row r="11" spans="4:49" ht="15" x14ac:dyDescent="0.25">
      <c r="D11" s="417"/>
      <c r="L11" s="441"/>
      <c r="M11" s="437"/>
      <c r="AD11" s="430">
        <v>20</v>
      </c>
      <c r="AE11" s="442">
        <v>1.5E-3</v>
      </c>
      <c r="AF11"/>
      <c r="AG11"/>
      <c r="AH11" s="430" t="s">
        <v>984</v>
      </c>
      <c r="AI11" s="439">
        <v>9.5</v>
      </c>
      <c r="AJ11" s="440">
        <f t="shared" si="0"/>
        <v>0.7084625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pans="4:49" ht="15.75" thickBot="1" x14ac:dyDescent="0.3">
      <c r="D12" s="417"/>
      <c r="E12" s="330" t="s">
        <v>986</v>
      </c>
      <c r="F12" s="443" t="s">
        <v>987</v>
      </c>
      <c r="M12" s="418"/>
      <c r="AD12" s="430">
        <v>25</v>
      </c>
      <c r="AE12" s="442">
        <v>1.5E-3</v>
      </c>
      <c r="AF12"/>
      <c r="AG12"/>
      <c r="AH12" s="430" t="s">
        <v>984</v>
      </c>
      <c r="AI12" s="439">
        <v>10</v>
      </c>
      <c r="AJ12" s="440">
        <f t="shared" si="0"/>
        <v>0.78500000000000003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pans="4:49" ht="15" x14ac:dyDescent="0.25">
      <c r="D13" s="417"/>
      <c r="M13" s="418"/>
      <c r="AD13" s="430">
        <v>30</v>
      </c>
      <c r="AE13" s="442">
        <v>1.73E-3</v>
      </c>
      <c r="AF13"/>
      <c r="AG13"/>
      <c r="AH13" s="430" t="s">
        <v>984</v>
      </c>
      <c r="AI13" s="439">
        <v>12.5</v>
      </c>
      <c r="AJ13" s="440">
        <f t="shared" si="0"/>
        <v>1.2265625</v>
      </c>
      <c r="AK13"/>
      <c r="AL13" s="916" t="s">
        <v>988</v>
      </c>
      <c r="AM13" s="917"/>
      <c r="AN13" s="917"/>
      <c r="AO13" s="917"/>
      <c r="AP13" s="917"/>
      <c r="AQ13" s="917"/>
      <c r="AR13" s="918"/>
      <c r="AS13"/>
      <c r="AT13"/>
      <c r="AU13"/>
      <c r="AV13"/>
      <c r="AW13"/>
    </row>
    <row r="14" spans="4:49" ht="15" x14ac:dyDescent="0.25">
      <c r="D14" s="417"/>
      <c r="E14" s="444" t="s">
        <v>989</v>
      </c>
      <c r="G14" s="445"/>
      <c r="M14" s="418"/>
      <c r="AD14" s="430">
        <v>35</v>
      </c>
      <c r="AE14" s="442">
        <v>2.0100000000000001E-3</v>
      </c>
      <c r="AF14"/>
      <c r="AG14"/>
      <c r="AH14" s="430" t="s">
        <v>984</v>
      </c>
      <c r="AI14" s="439">
        <v>6</v>
      </c>
      <c r="AJ14" s="440">
        <f t="shared" si="0"/>
        <v>0.28260000000000002</v>
      </c>
      <c r="AK14"/>
      <c r="AL14" s="428">
        <v>20</v>
      </c>
      <c r="AM14" s="412">
        <v>25</v>
      </c>
      <c r="AN14" s="412">
        <v>30</v>
      </c>
      <c r="AO14" s="412">
        <v>35</v>
      </c>
      <c r="AP14" s="412">
        <v>40</v>
      </c>
      <c r="AQ14" s="412">
        <v>45</v>
      </c>
      <c r="AR14" s="429">
        <v>50</v>
      </c>
      <c r="AS14"/>
      <c r="AT14"/>
      <c r="AU14"/>
      <c r="AV14"/>
      <c r="AW14"/>
    </row>
    <row r="15" spans="4:49" ht="15.75" thickBot="1" x14ac:dyDescent="0.3">
      <c r="D15" s="417"/>
      <c r="F15" s="420" t="s">
        <v>990</v>
      </c>
      <c r="G15" s="421">
        <v>31</v>
      </c>
      <c r="H15" s="330" t="s">
        <v>80</v>
      </c>
      <c r="I15" s="420" t="s">
        <v>697</v>
      </c>
      <c r="J15" s="421">
        <f>Geometria!H23+Geometria!H33</f>
        <v>30</v>
      </c>
      <c r="K15" s="330" t="s">
        <v>80</v>
      </c>
      <c r="M15" s="418"/>
      <c r="AD15" s="430">
        <v>40</v>
      </c>
      <c r="AE15" s="442">
        <v>2.3E-3</v>
      </c>
      <c r="AF15"/>
      <c r="AG15"/>
      <c r="AH15" s="430" t="s">
        <v>984</v>
      </c>
      <c r="AI15" s="439">
        <v>16</v>
      </c>
      <c r="AJ15" s="440">
        <f t="shared" si="0"/>
        <v>2.0096000000000003</v>
      </c>
      <c r="AK15"/>
      <c r="AL15" s="446">
        <v>8.8400000000000006E-2</v>
      </c>
      <c r="AM15" s="447">
        <v>0.1026</v>
      </c>
      <c r="AN15" s="447">
        <v>0.1159</v>
      </c>
      <c r="AO15" s="447">
        <v>0.12839999999999999</v>
      </c>
      <c r="AP15" s="447">
        <v>0.1404</v>
      </c>
      <c r="AQ15" s="447">
        <v>0.158</v>
      </c>
      <c r="AR15" s="448">
        <v>0.16289999999999999</v>
      </c>
      <c r="AS15"/>
      <c r="AT15"/>
      <c r="AU15"/>
      <c r="AV15"/>
      <c r="AW15"/>
    </row>
    <row r="16" spans="4:49" ht="15" x14ac:dyDescent="0.25">
      <c r="D16" s="417"/>
      <c r="F16" s="420" t="s">
        <v>968</v>
      </c>
      <c r="G16" s="424">
        <f>K4</f>
        <v>10</v>
      </c>
      <c r="H16" s="330" t="s">
        <v>187</v>
      </c>
      <c r="I16" s="420" t="s">
        <v>991</v>
      </c>
      <c r="J16" s="421">
        <v>2.5</v>
      </c>
      <c r="K16" s="330" t="s">
        <v>80</v>
      </c>
      <c r="M16" s="418"/>
      <c r="AD16" s="430">
        <v>45</v>
      </c>
      <c r="AE16" s="442">
        <v>2.5899999999999999E-3</v>
      </c>
      <c r="AF16"/>
      <c r="AG16"/>
      <c r="AH16" s="430" t="s">
        <v>984</v>
      </c>
      <c r="AI16" s="439">
        <v>20</v>
      </c>
      <c r="AJ16" s="440">
        <f t="shared" si="0"/>
        <v>3.14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4:49" ht="15.75" thickBot="1" x14ac:dyDescent="0.3">
      <c r="D17" s="417"/>
      <c r="F17" s="420"/>
      <c r="G17" s="423"/>
      <c r="M17" s="418"/>
      <c r="AD17" s="449">
        <v>50</v>
      </c>
      <c r="AE17" s="450">
        <v>2.8800000000000002E-3</v>
      </c>
      <c r="AF17"/>
      <c r="AG17"/>
      <c r="AH17" s="430" t="s">
        <v>984</v>
      </c>
      <c r="AI17" s="439">
        <v>22.5</v>
      </c>
      <c r="AJ17" s="440">
        <f t="shared" si="0"/>
        <v>3.9740625000000001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pans="4:49" ht="15" x14ac:dyDescent="0.25">
      <c r="D18" s="417"/>
      <c r="F18" s="420" t="s">
        <v>992</v>
      </c>
      <c r="G18" s="215">
        <f>J16+G17/10+G16/20</f>
        <v>3</v>
      </c>
      <c r="H18" s="330" t="s">
        <v>80</v>
      </c>
      <c r="I18" s="420" t="s">
        <v>609</v>
      </c>
      <c r="J18" s="451">
        <f>J15-G18</f>
        <v>27</v>
      </c>
      <c r="K18" s="330" t="s">
        <v>80</v>
      </c>
      <c r="M18" s="418"/>
      <c r="AD18"/>
      <c r="AE18"/>
      <c r="AF18"/>
      <c r="AG18"/>
      <c r="AH18" s="430" t="s">
        <v>984</v>
      </c>
      <c r="AI18" s="439">
        <v>25</v>
      </c>
      <c r="AJ18" s="440">
        <f t="shared" si="0"/>
        <v>4.90625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4:49" ht="15.75" thickBot="1" x14ac:dyDescent="0.3">
      <c r="D19" s="417"/>
      <c r="E19" s="444" t="s">
        <v>993</v>
      </c>
      <c r="M19" s="418"/>
      <c r="AD19"/>
      <c r="AE19"/>
      <c r="AF19"/>
      <c r="AG19"/>
      <c r="AH19" s="449" t="s">
        <v>984</v>
      </c>
      <c r="AI19" s="452">
        <v>5</v>
      </c>
      <c r="AJ19" s="453">
        <f t="shared" si="0"/>
        <v>0.19625000000000001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4:49" ht="18" x14ac:dyDescent="0.25">
      <c r="D20" s="417"/>
      <c r="F20" s="420" t="s">
        <v>966</v>
      </c>
      <c r="G20" s="454">
        <f>H4</f>
        <v>22.768761111111132</v>
      </c>
      <c r="H20" s="330" t="s">
        <v>967</v>
      </c>
      <c r="M20" s="418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4:49" ht="15.75" thickBot="1" x14ac:dyDescent="0.3">
      <c r="D21" s="417"/>
      <c r="F21" s="420"/>
      <c r="M21" s="418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4:49" ht="15" x14ac:dyDescent="0.25">
      <c r="D22" s="417"/>
      <c r="F22" s="420" t="s">
        <v>994</v>
      </c>
      <c r="G22" s="451">
        <f>G20*L10</f>
        <v>31.876265555555584</v>
      </c>
      <c r="H22" s="330" t="s">
        <v>967</v>
      </c>
      <c r="M22" s="418"/>
      <c r="AD22" s="433" t="s">
        <v>995</v>
      </c>
      <c r="AE22" s="434" t="s">
        <v>996</v>
      </c>
      <c r="AF22" s="8" t="s">
        <v>997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4:49" ht="15" x14ac:dyDescent="0.25">
      <c r="D23" s="417"/>
      <c r="M23" s="418"/>
      <c r="AD23" s="3">
        <v>15</v>
      </c>
      <c r="AE23" s="7">
        <v>265</v>
      </c>
      <c r="AF23" s="455">
        <v>5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4:49" ht="15" x14ac:dyDescent="0.25">
      <c r="D24" s="417"/>
      <c r="M24" s="418"/>
      <c r="AD24" s="3">
        <v>20</v>
      </c>
      <c r="AE24" s="7">
        <v>310</v>
      </c>
      <c r="AF24" s="455">
        <v>7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4:49" ht="15" x14ac:dyDescent="0.25">
      <c r="D25" s="417"/>
      <c r="F25" s="420" t="s">
        <v>998</v>
      </c>
      <c r="G25" s="451">
        <f>1.25*$J$18*(1-SQRT(1-((G22*100)/(0.425*G15*J18^2*K8))))</f>
        <v>2.7234918900657097</v>
      </c>
      <c r="H25" s="330" t="s">
        <v>80</v>
      </c>
      <c r="M25" s="418"/>
      <c r="AD25" s="3">
        <v>25</v>
      </c>
      <c r="AE25" s="7">
        <v>350</v>
      </c>
      <c r="AF25" s="455">
        <v>8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4:49" ht="15.75" thickBot="1" x14ac:dyDescent="0.3">
      <c r="D26" s="417"/>
      <c r="M26" s="418"/>
      <c r="AD26" s="5">
        <v>30</v>
      </c>
      <c r="AE26" s="30">
        <v>400</v>
      </c>
      <c r="AF26" s="456">
        <v>10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4:49" ht="15" x14ac:dyDescent="0.25">
      <c r="D27" s="417"/>
      <c r="M27" s="418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4:49" ht="18" x14ac:dyDescent="0.25">
      <c r="D28" s="417"/>
      <c r="F28" s="420" t="s">
        <v>999</v>
      </c>
      <c r="G28" s="457">
        <f>G25/J18</f>
        <v>0.1008700700024337</v>
      </c>
      <c r="I28" s="330" t="s">
        <v>1000</v>
      </c>
      <c r="J28" s="330" t="str">
        <f>P34</f>
        <v>II</v>
      </c>
      <c r="M28" s="41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4:49" ht="15" x14ac:dyDescent="0.25">
      <c r="D29" s="417"/>
      <c r="M29" s="418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4:49" ht="15" x14ac:dyDescent="0.25">
      <c r="D30" s="417"/>
      <c r="M30" s="418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4:49" ht="18.75" thickBot="1" x14ac:dyDescent="0.3">
      <c r="D31" s="417"/>
      <c r="F31" s="420" t="s">
        <v>1001</v>
      </c>
      <c r="G31" s="451">
        <f>(G22*100)/(K9*(J18-0.4*G25))</f>
        <v>2.8295524456702688</v>
      </c>
      <c r="H31" s="330" t="s">
        <v>1002</v>
      </c>
      <c r="M31" s="418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4:49" ht="15" x14ac:dyDescent="0.25">
      <c r="D32" s="417"/>
      <c r="M32" s="418"/>
      <c r="O32" s="458" t="s">
        <v>1003</v>
      </c>
      <c r="P32" s="459">
        <f>0.269*J18</f>
        <v>7.2630000000000008</v>
      </c>
      <c r="Q32" s="460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4:49" ht="15" x14ac:dyDescent="0.25">
      <c r="D33" s="417"/>
      <c r="M33" s="418"/>
      <c r="O33" s="461" t="s">
        <v>1004</v>
      </c>
      <c r="P33" s="330">
        <f>0.0035*J18/(0.0035+ 0.0027)</f>
        <v>15.241935483870966</v>
      </c>
      <c r="Q33" s="46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4:49" ht="18.75" thickBot="1" x14ac:dyDescent="0.3">
      <c r="D34" s="417"/>
      <c r="F34" s="435" t="s">
        <v>1005</v>
      </c>
      <c r="G34" s="463">
        <f>VLOOKUP(G8,AD11:AE17,2)</f>
        <v>1.73E-3</v>
      </c>
      <c r="J34" s="330">
        <f>VLOOKUP(K4,AI10:AJ19,2,FALSE)</f>
        <v>0.78500000000000003</v>
      </c>
      <c r="M34" s="418"/>
      <c r="O34" s="464" t="s">
        <v>1006</v>
      </c>
      <c r="P34" s="465" t="str">
        <f>IF(G25&lt;P33,IF(G25&lt;P32,"II","III"),"IV")</f>
        <v>II</v>
      </c>
      <c r="Q34" s="46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4:49" ht="15" x14ac:dyDescent="0.25">
      <c r="D35" s="417"/>
      <c r="F35" s="420"/>
      <c r="G35" s="215">
        <f>IF(Geometria!H1218="Sim",5,0)</f>
        <v>0</v>
      </c>
      <c r="M35" s="418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4:49" ht="15" x14ac:dyDescent="0.25">
      <c r="D36" s="417"/>
      <c r="J36"/>
      <c r="K36"/>
      <c r="L36"/>
      <c r="M36" s="418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4:49" ht="15" x14ac:dyDescent="0.25">
      <c r="D37" s="417"/>
      <c r="F37" s="420" t="s">
        <v>1007</v>
      </c>
      <c r="G37" s="451">
        <f>LARGE((G31,G35),1)</f>
        <v>2.8295524456702688</v>
      </c>
      <c r="H37" s="330" t="s">
        <v>1008</v>
      </c>
      <c r="J37">
        <f>G37/J34</f>
        <v>3.6045254084971576</v>
      </c>
      <c r="K37">
        <f>ROUNDUP(J37,-0.5)</f>
        <v>4</v>
      </c>
      <c r="L37">
        <f>IF(Geometria!H1228&gt;0,G15/K37,0)</f>
        <v>7.75</v>
      </c>
      <c r="M37" s="418"/>
    </row>
    <row r="38" spans="4:49" ht="15" x14ac:dyDescent="0.25">
      <c r="D38" s="467"/>
      <c r="E38" s="468"/>
      <c r="F38" s="468"/>
      <c r="G38" s="468"/>
      <c r="H38" s="468"/>
      <c r="I38" s="468"/>
      <c r="J38" s="468"/>
      <c r="K38" s="468"/>
      <c r="L38" s="468"/>
      <c r="M38" s="469"/>
    </row>
    <row r="39" spans="4:49" ht="15" x14ac:dyDescent="0.25">
      <c r="E39"/>
      <c r="F39"/>
      <c r="G39"/>
      <c r="H39"/>
      <c r="I39"/>
      <c r="J39"/>
      <c r="K39"/>
      <c r="L39"/>
      <c r="M39"/>
    </row>
  </sheetData>
  <mergeCells count="4">
    <mergeCell ref="D2:M2"/>
    <mergeCell ref="AD8:AE8"/>
    <mergeCell ref="AD9:AE9"/>
    <mergeCell ref="AL13:AR13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AD47"/>
  </sheetPr>
  <dimension ref="B1:T17"/>
  <sheetViews>
    <sheetView showGridLines="0" workbookViewId="0"/>
  </sheetViews>
  <sheetFormatPr defaultRowHeight="15" x14ac:dyDescent="0.25"/>
  <cols>
    <col min="1" max="1" width="3" customWidth="1"/>
    <col min="2" max="2" width="7" customWidth="1"/>
    <col min="3" max="3" width="26" customWidth="1"/>
    <col min="4" max="4" width="15" customWidth="1"/>
    <col min="5" max="5" width="9" customWidth="1"/>
    <col min="6" max="6" width="8" customWidth="1"/>
    <col min="7" max="10" width="10" customWidth="1"/>
    <col min="11" max="11" width="11" customWidth="1"/>
    <col min="12" max="12" width="13" customWidth="1"/>
    <col min="13" max="13" width="10" customWidth="1"/>
    <col min="14" max="15" width="12" customWidth="1"/>
    <col min="16" max="16" width="6" customWidth="1"/>
    <col min="17" max="17" width="13" customWidth="1"/>
    <col min="18" max="18" width="15" customWidth="1"/>
    <col min="19" max="20" width="12" customWidth="1"/>
  </cols>
  <sheetData>
    <row r="1" spans="2:20" ht="18" x14ac:dyDescent="0.3">
      <c r="B1" s="625" t="s">
        <v>1730</v>
      </c>
    </row>
    <row r="2" spans="2:20" ht="32.1" customHeight="1" x14ac:dyDescent="0.25">
      <c r="B2" s="793" t="s">
        <v>1731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</row>
    <row r="3" spans="2:20" ht="32.1" customHeight="1" x14ac:dyDescent="0.25">
      <c r="B3" s="793" t="s">
        <v>1732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</row>
    <row r="4" spans="2:20" ht="32.1" customHeight="1" x14ac:dyDescent="0.25">
      <c r="B4" s="793" t="s">
        <v>1733</v>
      </c>
      <c r="C4" s="816"/>
      <c r="D4" s="816"/>
      <c r="E4" s="816"/>
      <c r="F4" s="816"/>
      <c r="G4" s="816"/>
      <c r="H4" s="816"/>
      <c r="I4" s="816"/>
      <c r="J4" s="816"/>
      <c r="K4" s="816"/>
      <c r="L4" s="816"/>
      <c r="M4" s="816"/>
      <c r="N4" s="816"/>
      <c r="O4" s="816"/>
      <c r="P4" s="816"/>
      <c r="Q4" s="816"/>
      <c r="R4" s="816"/>
      <c r="S4" s="816"/>
      <c r="T4" s="816"/>
    </row>
    <row r="5" spans="2:20" ht="45" customHeight="1" x14ac:dyDescent="0.25">
      <c r="B5" s="622" t="s">
        <v>1734</v>
      </c>
      <c r="C5" s="622" t="s">
        <v>250</v>
      </c>
      <c r="D5" s="622" t="s">
        <v>1735</v>
      </c>
      <c r="E5" s="622" t="s">
        <v>1736</v>
      </c>
      <c r="F5" s="622" t="s">
        <v>1737</v>
      </c>
      <c r="G5" s="622" t="s">
        <v>1738</v>
      </c>
      <c r="H5" s="622" t="s">
        <v>1739</v>
      </c>
      <c r="I5" s="622" t="s">
        <v>1740</v>
      </c>
      <c r="J5" s="622" t="s">
        <v>1741</v>
      </c>
      <c r="K5" s="622" t="s">
        <v>1742</v>
      </c>
      <c r="L5" s="622" t="s">
        <v>1743</v>
      </c>
      <c r="M5" s="622" t="s">
        <v>1744</v>
      </c>
      <c r="N5" s="622" t="s">
        <v>1745</v>
      </c>
      <c r="O5" s="622" t="s">
        <v>1746</v>
      </c>
      <c r="P5" s="622" t="s">
        <v>314</v>
      </c>
      <c r="Q5" s="622" t="s">
        <v>1747</v>
      </c>
      <c r="R5" s="622" t="s">
        <v>1748</v>
      </c>
      <c r="S5" s="622" t="s">
        <v>1465</v>
      </c>
      <c r="T5" s="622" t="s">
        <v>1749</v>
      </c>
    </row>
    <row r="6" spans="2:20" x14ac:dyDescent="0.25">
      <c r="B6" s="624">
        <v>1</v>
      </c>
      <c r="C6" s="624" t="s">
        <v>251</v>
      </c>
      <c r="D6" s="624" t="s">
        <v>260</v>
      </c>
      <c r="E6" s="623">
        <f>Geometria!$I$201</f>
        <v>1</v>
      </c>
      <c r="F6" s="627">
        <f>EXP(Fluência!$B$17*(1-(28/E6)^(1/2)))</f>
        <v>0.42388184737889384</v>
      </c>
      <c r="G6" s="623">
        <f>MAX(Geometria!$H$60,MIN(Geometria!$H$58,F6*Geometria!$H$58))</f>
        <v>35</v>
      </c>
      <c r="H6" s="627">
        <f t="shared" ref="H6:H12" si="0">IF(G6&lt;=50,0.3*G6^(2/3),2.12*LN(1+0.11*G6))</f>
        <v>3.2099624416952368</v>
      </c>
      <c r="I6" s="623">
        <f ca="1">Geometria!$I$194</f>
        <v>109.85719385505615</v>
      </c>
      <c r="J6" s="623">
        <f ca="1">Geometria!$I$195</f>
        <v>47.927935410367873</v>
      </c>
      <c r="K6" s="623">
        <f ca="1">Geometria!$H$166*I6+Geometria!$H$168*J6</f>
        <v>867.43240267952342</v>
      </c>
      <c r="L6" s="623">
        <f ca="1">Geometria!$H$166*I6*Geometria!$H$167-Geometria!$H$168*J6*Geometria!$H$169</f>
        <v>8198.2109646974477</v>
      </c>
      <c r="M6" s="623">
        <f ca="1">Geometria!$H$36</f>
        <v>1558.8831577089454</v>
      </c>
      <c r="N6" s="623">
        <f ca="1">Geometria!$H$41</f>
        <v>9992.8888973875601</v>
      </c>
      <c r="O6" s="623">
        <f ca="1">IF(D6="Composta",Geometria!$I$41,Geometria!$H$41)</f>
        <v>9992.8888973875601</v>
      </c>
      <c r="P6" s="623">
        <f>Geometria!$N$51</f>
        <v>1.3</v>
      </c>
      <c r="Q6" s="623">
        <f t="shared" ref="Q6:Q12" ca="1" si="1">P6*H6/10*O6+N6*K6/M6+L6</f>
        <v>17928.685619076059</v>
      </c>
      <c r="R6" s="623">
        <f>0</f>
        <v>0</v>
      </c>
      <c r="S6" s="626" t="str">
        <f ca="1">IF(Q6&gt;R6,"Estádio I","Estádio II")</f>
        <v>Estádio I</v>
      </c>
      <c r="T6" s="627">
        <f ca="1">IF(S6="Estádio I",1,1/Geometria!$H$1008)</f>
        <v>1</v>
      </c>
    </row>
    <row r="7" spans="2:20" x14ac:dyDescent="0.25">
      <c r="B7" s="624">
        <v>2</v>
      </c>
      <c r="C7" s="624" t="s">
        <v>1750</v>
      </c>
      <c r="D7" s="624" t="s">
        <v>260</v>
      </c>
      <c r="E7" s="623">
        <f>Geometria!$I$202</f>
        <v>1</v>
      </c>
      <c r="F7" s="627">
        <f>EXP(Fluência!$B$17*(1-(28/E7)^(1/2)))</f>
        <v>0.42388184737889384</v>
      </c>
      <c r="G7" s="623">
        <f>MAX(Geometria!$H$60,MIN(Geometria!$H$58,F7*Geometria!$H$58))</f>
        <v>35</v>
      </c>
      <c r="H7" s="627">
        <f t="shared" si="0"/>
        <v>3.2099624416952368</v>
      </c>
      <c r="I7" s="623">
        <f ca="1">Geometria!$I$194</f>
        <v>109.85719385505615</v>
      </c>
      <c r="J7" s="623">
        <f ca="1">Geometria!$I$195</f>
        <v>47.927935410367873</v>
      </c>
      <c r="K7" s="623">
        <f ca="1">Geometria!$H$166*I7+Geometria!$H$168*J7</f>
        <v>867.43240267952342</v>
      </c>
      <c r="L7" s="623">
        <f ca="1">Geometria!$H$166*I7*Geometria!$H$167-Geometria!$H$168*J7*Geometria!$H$169</f>
        <v>8198.2109646974477</v>
      </c>
      <c r="M7" s="623">
        <f ca="1">Geometria!$H$36</f>
        <v>1558.8831577089454</v>
      </c>
      <c r="N7" s="623">
        <f ca="1">Geometria!$H$41</f>
        <v>9992.8888973875601</v>
      </c>
      <c r="O7" s="623">
        <f ca="1">IF(D7="Composta",Geometria!$I$41,Geometria!$H$41)</f>
        <v>9992.8888973875601</v>
      </c>
      <c r="P7" s="623">
        <f>Geometria!$N$51</f>
        <v>1.3</v>
      </c>
      <c r="Q7" s="623">
        <f t="shared" ca="1" si="1"/>
        <v>17928.685619076059</v>
      </c>
      <c r="R7" s="623">
        <f ca="1">R6+Geometria!$J$81*100</f>
        <v>4697.7138817953783</v>
      </c>
      <c r="S7" s="626" t="str">
        <f t="shared" ref="S7:S12" ca="1" si="2">IF(S6="Estádio II","Estádio II",IF(Q7&gt;R7,"Estádio I","Estádio II"))</f>
        <v>Estádio I</v>
      </c>
      <c r="T7" s="627">
        <f ca="1">IF(S7="Estádio I",1,1/Geometria!$H$1008)</f>
        <v>1</v>
      </c>
    </row>
    <row r="8" spans="2:20" x14ac:dyDescent="0.25">
      <c r="B8" s="624">
        <v>3</v>
      </c>
      <c r="C8" s="624" t="s">
        <v>1751</v>
      </c>
      <c r="D8" s="624" t="s">
        <v>260</v>
      </c>
      <c r="E8" s="623">
        <f>Geometria!$I$203</f>
        <v>15</v>
      </c>
      <c r="F8" s="627">
        <f>EXP(Fluência!$B$17*(1-(28/E8)^(1/2)))</f>
        <v>0.92936658114797221</v>
      </c>
      <c r="G8" s="623">
        <f>MAX(Geometria!$H$60,MIN(Geometria!$H$58,F8*Geometria!$H$58))</f>
        <v>46.468329057398613</v>
      </c>
      <c r="H8" s="627">
        <f t="shared" si="0"/>
        <v>3.8775668342279466</v>
      </c>
      <c r="I8" s="623">
        <f ca="1">Geometria!$I$194</f>
        <v>109.85719385505615</v>
      </c>
      <c r="J8" s="623">
        <f ca="1">Geometria!$I$195</f>
        <v>47.927935410367873</v>
      </c>
      <c r="K8" s="623">
        <f ca="1">Geometria!$H$166*I8+Geometria!$H$168*J8</f>
        <v>867.43240267952342</v>
      </c>
      <c r="L8" s="623">
        <f ca="1">Geometria!$H$166*I8*Geometria!$H$167-Geometria!$H$168*J8*Geometria!$H$169</f>
        <v>8198.2109646974477</v>
      </c>
      <c r="M8" s="623">
        <f ca="1">Geometria!$H$36</f>
        <v>1558.8831577089454</v>
      </c>
      <c r="N8" s="623">
        <f ca="1">Geometria!$H$41</f>
        <v>9992.8888973875601</v>
      </c>
      <c r="O8" s="623">
        <f ca="1">IF(D8="Composta",Geometria!$I$41,Geometria!$H$41)</f>
        <v>9992.8888973875601</v>
      </c>
      <c r="P8" s="623">
        <f>Geometria!$N$51</f>
        <v>1.3</v>
      </c>
      <c r="Q8" s="623">
        <f t="shared" ca="1" si="1"/>
        <v>18795.954166934411</v>
      </c>
      <c r="R8" s="623">
        <f ca="1">R7+Geometria!$J$82*100</f>
        <v>4932.8311405578779</v>
      </c>
      <c r="S8" s="626" t="str">
        <f t="shared" ca="1" si="2"/>
        <v>Estádio I</v>
      </c>
      <c r="T8" s="627">
        <f ca="1">IF(S8="Estádio I",1,1/Geometria!$H$1008)</f>
        <v>1</v>
      </c>
    </row>
    <row r="9" spans="2:20" x14ac:dyDescent="0.25">
      <c r="B9" s="624">
        <v>4</v>
      </c>
      <c r="C9" s="624" t="s">
        <v>1752</v>
      </c>
      <c r="D9" s="624" t="s">
        <v>260</v>
      </c>
      <c r="E9" s="623">
        <f>Geometria!$I$204</f>
        <v>30</v>
      </c>
      <c r="F9" s="627">
        <f>EXP(Fluência!$B$17*(1-(28/E9)^(1/2)))</f>
        <v>1.0068046907979593</v>
      </c>
      <c r="G9" s="623">
        <f>MAX(Geometria!$H$60,MIN(Geometria!$H$58,F9*Geometria!$H$58))</f>
        <v>50</v>
      </c>
      <c r="H9" s="627">
        <f t="shared" si="0"/>
        <v>4.0716264248923588</v>
      </c>
      <c r="I9" s="623">
        <f ca="1">Geometria!$I$194</f>
        <v>109.85719385505615</v>
      </c>
      <c r="J9" s="623">
        <f ca="1">Geometria!$I$195</f>
        <v>47.927935410367873</v>
      </c>
      <c r="K9" s="623">
        <f ca="1">Geometria!$H$166*I9+Geometria!$H$168*J9</f>
        <v>867.43240267952342</v>
      </c>
      <c r="L9" s="623">
        <f ca="1">Geometria!$H$166*I9*Geometria!$H$167-Geometria!$H$168*J9*Geometria!$H$169</f>
        <v>8198.2109646974477</v>
      </c>
      <c r="M9" s="623">
        <f ca="1">Geometria!$H$36</f>
        <v>1558.8831577089454</v>
      </c>
      <c r="N9" s="623">
        <f ca="1">Geometria!$H$41</f>
        <v>9992.8888973875601</v>
      </c>
      <c r="O9" s="623">
        <f ca="1">IF(D9="Composta",Geometria!$I$41,Geometria!$H$41)</f>
        <v>9992.8888973875601</v>
      </c>
      <c r="P9" s="623">
        <f>Geometria!$N$51</f>
        <v>1.3</v>
      </c>
      <c r="Q9" s="623">
        <f t="shared" ca="1" si="1"/>
        <v>19048.052237702068</v>
      </c>
      <c r="R9" s="623">
        <f ca="1">R8+Geometria!$J$83*100</f>
        <v>7569.6545780578781</v>
      </c>
      <c r="S9" s="626" t="str">
        <f t="shared" ca="1" si="2"/>
        <v>Estádio I</v>
      </c>
      <c r="T9" s="627">
        <f ca="1">IF(S9="Estádio I",1,1/Geometria!$H$1008)</f>
        <v>1</v>
      </c>
    </row>
    <row r="10" spans="2:20" x14ac:dyDescent="0.25">
      <c r="B10" s="624">
        <v>5</v>
      </c>
      <c r="C10" s="624" t="s">
        <v>1753</v>
      </c>
      <c r="D10" s="624" t="str">
        <f>IF(Geometria!$I$15="1 - Sim","Composta","Pré-fabricada")</f>
        <v>Composta</v>
      </c>
      <c r="E10" s="623">
        <f>Geometria!$I$205</f>
        <v>45</v>
      </c>
      <c r="F10" s="627">
        <f>EXP(Fluência!$B$17*(1-(28/E10)^(1/2)))</f>
        <v>1.0431425841237678</v>
      </c>
      <c r="G10" s="623">
        <f>MAX(Geometria!$H$60,MIN(Geometria!$H$58,F10*Geometria!$H$58))</f>
        <v>50</v>
      </c>
      <c r="H10" s="627">
        <f t="shared" si="0"/>
        <v>4.0716264248923588</v>
      </c>
      <c r="I10" s="623">
        <f ca="1">Geometria!$I$194</f>
        <v>109.85719385505615</v>
      </c>
      <c r="J10" s="623">
        <f ca="1">Geometria!$I$195</f>
        <v>47.927935410367873</v>
      </c>
      <c r="K10" s="623">
        <f ca="1">Geometria!$H$166*I10+Geometria!$H$168*J10</f>
        <v>867.43240267952342</v>
      </c>
      <c r="L10" s="623">
        <f ca="1">Geometria!$H$166*I10*Geometria!$H$167-Geometria!$H$168*J10*Geometria!$H$169</f>
        <v>8198.2109646974477</v>
      </c>
      <c r="M10" s="623">
        <f ca="1">Geometria!$H$36</f>
        <v>1558.8831577089454</v>
      </c>
      <c r="N10" s="623">
        <f ca="1">Geometria!$H$41</f>
        <v>9992.8888973875601</v>
      </c>
      <c r="O10" s="623">
        <f ca="1">IF(D10="Composta",Geometria!$I$41,Geometria!$H$41)</f>
        <v>12831.216171978058</v>
      </c>
      <c r="P10" s="623">
        <f>Geometria!$N$51</f>
        <v>1.3</v>
      </c>
      <c r="Q10" s="623">
        <f t="shared" ca="1" si="1"/>
        <v>20550.411321085063</v>
      </c>
      <c r="R10" s="623">
        <f ca="1">R9+Geometria!$J$85*100</f>
        <v>7569.6545780578781</v>
      </c>
      <c r="S10" s="626" t="str">
        <f t="shared" ca="1" si="2"/>
        <v>Estádio I</v>
      </c>
      <c r="T10" s="627">
        <f ca="1">IF(S10="Estádio I",1,1/Geometria!$H$1008)</f>
        <v>1</v>
      </c>
    </row>
    <row r="11" spans="2:20" x14ac:dyDescent="0.25">
      <c r="B11" s="624">
        <v>6</v>
      </c>
      <c r="C11" s="624" t="s">
        <v>1754</v>
      </c>
      <c r="D11" s="624" t="str">
        <f>IF(Geometria!$I$15="1 - Sim","Composta","Pré-fabricada")</f>
        <v>Composta</v>
      </c>
      <c r="E11" s="623">
        <f>Geometria!$I$206</f>
        <v>60</v>
      </c>
      <c r="F11" s="627">
        <f>EXP(Fluência!$B$17*(1-(28/E11)^(1/2)))</f>
        <v>1.0654252228833427</v>
      </c>
      <c r="G11" s="623">
        <f>MAX(Geometria!$H$60,MIN(Geometria!$H$58,F11*Geometria!$H$58))</f>
        <v>50</v>
      </c>
      <c r="H11" s="627">
        <f t="shared" si="0"/>
        <v>4.0716264248923588</v>
      </c>
      <c r="I11" s="623">
        <f ca="1">Geometria!$I$194</f>
        <v>109.85719385505615</v>
      </c>
      <c r="J11" s="623">
        <f ca="1">Geometria!$I$195</f>
        <v>47.927935410367873</v>
      </c>
      <c r="K11" s="623">
        <f ca="1">Geometria!$H$166*I11+Geometria!$H$168*J11</f>
        <v>867.43240267952342</v>
      </c>
      <c r="L11" s="623">
        <f ca="1">Geometria!$H$166*I11*Geometria!$H$167-Geometria!$H$168*J11*Geometria!$H$169</f>
        <v>8198.2109646974477</v>
      </c>
      <c r="M11" s="623">
        <f ca="1">Geometria!$H$36</f>
        <v>1558.8831577089454</v>
      </c>
      <c r="N11" s="623">
        <f ca="1">Geometria!$H$41</f>
        <v>9992.8888973875601</v>
      </c>
      <c r="O11" s="623">
        <f ca="1">IF(D11="Composta",Geometria!$I$41,Geometria!$H$41)</f>
        <v>12831.216171978058</v>
      </c>
      <c r="P11" s="623">
        <f>Geometria!$N$51</f>
        <v>1.3</v>
      </c>
      <c r="Q11" s="623">
        <f t="shared" ca="1" si="1"/>
        <v>20550.411321085063</v>
      </c>
      <c r="R11" s="623">
        <f ca="1">R10+Geometria!$J$84*100</f>
        <v>12089.923328057877</v>
      </c>
      <c r="S11" s="626" t="str">
        <f t="shared" ca="1" si="2"/>
        <v>Estádio I</v>
      </c>
      <c r="T11" s="627">
        <f ca="1">IF(S11="Estádio I",1,1/Geometria!$H$1008)</f>
        <v>1</v>
      </c>
    </row>
    <row r="12" spans="2:20" x14ac:dyDescent="0.25">
      <c r="B12" s="624">
        <v>7</v>
      </c>
      <c r="C12" s="624" t="s">
        <v>1755</v>
      </c>
      <c r="D12" s="624" t="str">
        <f>IF(Geometria!$I$15="1 - Sim","Composta","Pré-fabricada")</f>
        <v>Composta</v>
      </c>
      <c r="E12" s="623">
        <f>Geometria!$I$207</f>
        <v>75</v>
      </c>
      <c r="F12" s="627">
        <f>EXP(Fluência!$B$17*(1-(28/E12)^(1/2)))</f>
        <v>1.0809042739171246</v>
      </c>
      <c r="G12" s="623">
        <f>MAX(Geometria!$H$60,MIN(Geometria!$H$58,F12*Geometria!$H$58))</f>
        <v>50</v>
      </c>
      <c r="H12" s="627">
        <f t="shared" si="0"/>
        <v>4.0716264248923588</v>
      </c>
      <c r="I12" s="623">
        <f ca="1">Geometria!$J$237</f>
        <v>97.193035209494369</v>
      </c>
      <c r="J12" s="623">
        <f ca="1">Geometria!$J$238</f>
        <v>35.103830861035291</v>
      </c>
      <c r="K12" s="623">
        <f ca="1">Geometria!$H$166*I12+Geometria!$H$168*J12</f>
        <v>767.43620601416751</v>
      </c>
      <c r="L12" s="623">
        <f ca="1">Geometria!$H$166*I12*Geometria!$H$167-Geometria!$H$168*J12*Geometria!$H$169</f>
        <v>7253.134537534238</v>
      </c>
      <c r="M12" s="623">
        <f ca="1">Geometria!$H$36</f>
        <v>1558.8831577089454</v>
      </c>
      <c r="N12" s="623">
        <f ca="1">Geometria!$H$41</f>
        <v>9992.8888973875601</v>
      </c>
      <c r="O12" s="623">
        <f ca="1">IF(D12="Composta",Geometria!$I$41,Geometria!$H$41)</f>
        <v>12831.216171978058</v>
      </c>
      <c r="P12" s="623">
        <f>Geometria!$N$51</f>
        <v>1.3</v>
      </c>
      <c r="Q12" s="623">
        <f t="shared" ca="1" si="1"/>
        <v>18964.330545073291</v>
      </c>
      <c r="R12" s="623">
        <f ca="1">R11+Geometria!$J$86*100</f>
        <v>17815.597078057879</v>
      </c>
      <c r="S12" s="626" t="str">
        <f t="shared" ca="1" si="2"/>
        <v>Estádio I</v>
      </c>
      <c r="T12" s="627">
        <f ca="1">IF(S12="Estádio I",1,1/Geometria!$H$1008)</f>
        <v>1</v>
      </c>
    </row>
    <row r="14" spans="2:20" ht="18" x14ac:dyDescent="0.3">
      <c r="B14" s="625" t="s">
        <v>1756</v>
      </c>
    </row>
    <row r="15" spans="2:20" x14ac:dyDescent="0.25">
      <c r="B15" s="793" t="s">
        <v>1757</v>
      </c>
      <c r="C15" s="816"/>
      <c r="D15" s="816"/>
      <c r="E15" s="816"/>
      <c r="F15" s="816"/>
      <c r="G15" s="816"/>
      <c r="H15" s="816"/>
      <c r="I15" s="816"/>
      <c r="J15" s="816"/>
      <c r="K15" s="816"/>
      <c r="L15" s="816"/>
      <c r="M15" s="816"/>
      <c r="N15" s="816"/>
      <c r="O15" s="816"/>
      <c r="P15" s="816"/>
      <c r="Q15" s="816"/>
      <c r="R15" s="816"/>
      <c r="S15" s="816"/>
      <c r="T15" s="816"/>
    </row>
    <row r="16" spans="2:20" x14ac:dyDescent="0.25">
      <c r="B16" s="793" t="s">
        <v>1758</v>
      </c>
      <c r="C16" s="816"/>
      <c r="D16" s="816"/>
      <c r="E16" s="816"/>
      <c r="F16" s="816"/>
      <c r="G16" s="816"/>
      <c r="H16" s="816"/>
      <c r="I16" s="816"/>
      <c r="J16" s="816"/>
      <c r="K16" s="816"/>
      <c r="L16" s="816"/>
      <c r="M16" s="816"/>
      <c r="N16" s="816"/>
      <c r="O16" s="816"/>
      <c r="P16" s="816"/>
      <c r="Q16" s="816"/>
      <c r="R16" s="816"/>
      <c r="S16" s="816"/>
      <c r="T16" s="816"/>
    </row>
    <row r="17" spans="2:20" x14ac:dyDescent="0.25">
      <c r="B17" s="793" t="s">
        <v>1759</v>
      </c>
      <c r="C17" s="816"/>
      <c r="D17" s="816"/>
      <c r="E17" s="816"/>
      <c r="F17" s="816"/>
      <c r="G17" s="816"/>
      <c r="H17" s="816"/>
      <c r="I17" s="816"/>
      <c r="J17" s="816"/>
      <c r="K17" s="816"/>
      <c r="L17" s="816"/>
      <c r="M17" s="816"/>
      <c r="N17" s="816"/>
      <c r="O17" s="816"/>
      <c r="P17" s="816"/>
      <c r="Q17" s="816"/>
      <c r="R17" s="816"/>
      <c r="S17" s="816"/>
      <c r="T17" s="816"/>
    </row>
  </sheetData>
  <mergeCells count="6">
    <mergeCell ref="B17:T17"/>
    <mergeCell ref="B2:T2"/>
    <mergeCell ref="B3:T3"/>
    <mergeCell ref="B4:T4"/>
    <mergeCell ref="B15:T15"/>
    <mergeCell ref="B16:T16"/>
  </mergeCells>
  <pageMargins left="0.5" right="0.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8</vt:i4>
      </vt:variant>
    </vt:vector>
  </HeadingPairs>
  <TitlesOfParts>
    <vt:vector size="31" baseType="lpstr">
      <vt:lpstr>ELU-Cisalhamento</vt:lpstr>
      <vt:lpstr>Geometria</vt:lpstr>
      <vt:lpstr>Cisalhamento 14861</vt:lpstr>
      <vt:lpstr>Diagrama cortante</vt:lpstr>
      <vt:lpstr>K mola</vt:lpstr>
      <vt:lpstr>Homogeneização</vt:lpstr>
      <vt:lpstr>Tensões</vt:lpstr>
      <vt:lpstr>Frequência</vt:lpstr>
      <vt:lpstr>Deslocamento viga</vt:lpstr>
      <vt:lpstr>Resumo</vt:lpstr>
      <vt:lpstr>Fluência</vt:lpstr>
      <vt:lpstr>Seções Compostas</vt:lpstr>
      <vt:lpstr>Propriedades geométricas VI</vt:lpstr>
      <vt:lpstr>Propriedades geométricas LA </vt:lpstr>
      <vt:lpstr>Valores "A" e "Y" Alv. Preenc.</vt:lpstr>
      <vt:lpstr>Valores "A" e "Y"</vt:lpstr>
      <vt:lpstr>Seções </vt:lpstr>
      <vt:lpstr>Propriedades geométricas chavet</vt:lpstr>
      <vt:lpstr>Perdas por Seção</vt:lpstr>
      <vt:lpstr>Isolamento de cabos</vt:lpstr>
      <vt:lpstr>Armadura Negativo LE</vt:lpstr>
      <vt:lpstr>Armadura Negativo LD</vt:lpstr>
      <vt:lpstr>Estádio - Flechas</vt:lpstr>
      <vt:lpstr>Geometria!Area_de_impressao</vt:lpstr>
      <vt:lpstr>Homogeneização!Area_de_impressao</vt:lpstr>
      <vt:lpstr>Resumo!Area_de_impressao</vt:lpstr>
      <vt:lpstr>'Propriedades geométricas chavet'!FirstX</vt:lpstr>
      <vt:lpstr>'Propriedades geométricas LA '!FirstX</vt:lpstr>
      <vt:lpstr>'Propriedades geométricas VI'!FirstX</vt:lpstr>
      <vt:lpstr>'Valores "A" e "Y"'!FirstX</vt:lpstr>
      <vt:lpstr>'Valores "A" e "Y" Alv. Preenc.'!FirstX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Eduardo Godoy Ferreira</dc:creator>
  <cp:lastModifiedBy>Carlos  Eduardo Godoy Ferreira</cp:lastModifiedBy>
  <cp:lastPrinted>2026-03-16T11:23:42Z</cp:lastPrinted>
  <dcterms:created xsi:type="dcterms:W3CDTF">2025-08-14T17:41:03Z</dcterms:created>
  <dcterms:modified xsi:type="dcterms:W3CDTF">2026-09-25T11:41:04Z</dcterms:modified>
</cp:coreProperties>
</file>