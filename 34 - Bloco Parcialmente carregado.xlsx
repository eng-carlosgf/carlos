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abeça do pilar" sheetId="1" state="visible" r:id="rId1"/>
  </sheets>
  <definedNames>
    <definedName name="_xlnm.Print_Area" localSheetId="0">'Cabeça do pilar'!$K$1:$T$328</definedName>
  </definedNames>
  <calcPr calcId="191029" fullCalcOnLoad="1" iterate="1" iterateCount="1000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FF0000"/>
      <sz val="11"/>
      <scheme val="minor"/>
    </font>
    <font>
      <name val="Aptos Narrow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0080808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pPr>
              <a:defRPr sz="1200" b="1"/>
            </a:pPr>
            <a:r>
              <a:rPr lang="pt-BR" sz="1200" b="1"/>
              <a:t>Cabeça do pilar – elevação com armaduras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'Cabeça do pilar'!$O$212</c:f>
              <c:strCache>
                <c:ptCount val="1"/>
                <c:pt idx="0">
                  <c:v>Contorno da cabeça e do pilar</c:v>
                </c:pt>
              </c:strCache>
            </c:strRef>
          </c:tx>
          <c:spPr>
            <a:ln w="25400" cap="rnd">
              <a:solidFill>
                <a:srgbClr val="000000"/>
              </a:solidFill>
              <a:round/>
            </a:ln>
          </c:spPr>
          <c:marker>
            <c:symbol val="none"/>
          </c:marker>
          <c:xVal>
            <c:numRef>
              <c:f>'Cabeça do pilar'!$L$212:$L$219</c:f>
              <c:numCache>
                <c:formatCode>0.00</c:formatCode>
                <c:ptCount val="8"/>
                <c:pt idx="0">
                  <c:v>17.5</c:v>
                </c:pt>
                <c:pt idx="1">
                  <c:v>17.5</c:v>
                </c:pt>
                <c:pt idx="2">
                  <c:v>42.5</c:v>
                </c:pt>
                <c:pt idx="3">
                  <c:v>42.5</c:v>
                </c:pt>
                <c:pt idx="4">
                  <c:v>-42.5</c:v>
                </c:pt>
                <c:pt idx="5">
                  <c:v>-42.5</c:v>
                </c:pt>
                <c:pt idx="6">
                  <c:v>-17.5</c:v>
                </c:pt>
                <c:pt idx="7">
                  <c:v>-17.5</c:v>
                </c:pt>
              </c:numCache>
            </c:numRef>
          </c:xVal>
          <c:yVal>
            <c:numRef>
              <c:f>'Cabeça do pilar'!$M$212:$M$219</c:f>
              <c:numCache>
                <c:formatCode>0.00</c:formatCode>
                <c:ptCount val="8"/>
                <c:pt idx="0">
                  <c:v>-90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0</c:v>
                </c:pt>
                <c:pt idx="5">
                  <c:v>-25</c:v>
                </c:pt>
                <c:pt idx="6">
                  <c:v>-50</c:v>
                </c:pt>
                <c:pt idx="7">
                  <c:v>-90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1-45DB-B4D3-677AEA52865C}"/>
            </c:ext>
          </c:extLst>
        </c:ser>
        <c:ser>
          <c:idx val="1"/>
          <c:order val="1"/>
          <c:tx>
            <c:strRef>
              <c:f>'Cabeça do pilar'!$O$220</c:f>
              <c:strCache>
                <c:ptCount val="1"/>
                <c:pt idx="0">
                  <c:v>Aparelho de apoio 67 × 32 cm</c:v>
                </c:pt>
              </c:strCache>
            </c:strRef>
          </c:tx>
          <c:spPr>
            <a:ln w="19050" cap="rnd">
              <a:solidFill>
                <a:srgbClr val="7F7F7F"/>
              </a:solidFill>
              <a:round/>
            </a:ln>
          </c:spPr>
          <c:marker>
            <c:symbol val="none"/>
          </c:marker>
          <c:xVal>
            <c:numRef>
              <c:f>'Cabeça do pilar'!$L$220:$L$230</c:f>
              <c:numCache>
                <c:formatCode>0.00</c:formatCode>
                <c:ptCount val="5"/>
                <c:pt idx="0">
                  <c:v>-33.5</c:v>
                </c:pt>
                <c:pt idx="1">
                  <c:v>33.5</c:v>
                </c:pt>
                <c:pt idx="2">
                  <c:v>33.5</c:v>
                </c:pt>
                <c:pt idx="3">
                  <c:v>-33.5</c:v>
                </c:pt>
                <c:pt idx="4">
                  <c:v>-33.5</c:v>
                </c:pt>
              </c:numCache>
            </c:numRef>
          </c:xVal>
          <c:yVal>
            <c:numRef>
              <c:f>'Cabeça do pilar'!$M$220:$M$230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01-45DB-B4D3-677AEA52865C}"/>
            </c:ext>
          </c:extLst>
        </c:ser>
        <c:ser>
          <c:idx val="2"/>
          <c:order val="2"/>
          <c:tx>
            <c:strRef>
              <c:f>'Cabeça do pilar'!$O$231</c:f>
              <c:strCache>
                <c:ptCount val="1"/>
                <c:pt idx="0">
                  <c:v>Tirante 4 Ø25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</c:spPr>
          <c:marker>
            <c:symbol val="none"/>
          </c:marker>
          <c:xVal>
            <c:numRef>
              <c:f>'Cabeça do pilar'!$L$231:$L$234</c:f>
              <c:numCache>
                <c:formatCode>0.00</c:formatCode>
                <c:ptCount val="4"/>
                <c:pt idx="0">
                  <c:v>-39.5</c:v>
                </c:pt>
                <c:pt idx="1">
                  <c:v>-39.5</c:v>
                </c:pt>
                <c:pt idx="2">
                  <c:v>39.5</c:v>
                </c:pt>
                <c:pt idx="3">
                  <c:v>39.5</c:v>
                </c:pt>
              </c:numCache>
            </c:numRef>
          </c:xVal>
          <c:yVal>
            <c:numRef>
              <c:f>'Cabeça do pilar'!$M$231:$M$234</c:f>
              <c:numCache>
                <c:formatCode>0.00</c:formatCode>
                <c:ptCount val="4"/>
                <c:pt idx="0">
                  <c:v>-29.25</c:v>
                </c:pt>
                <c:pt idx="1">
                  <c:v>-4.25</c:v>
                </c:pt>
                <c:pt idx="2">
                  <c:v>-4.25</c:v>
                </c:pt>
                <c:pt idx="3">
                  <c:v>-29.25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01-45DB-B4D3-677AEA52865C}"/>
            </c:ext>
          </c:extLst>
        </c:ser>
        <c:ser>
          <c:idx val="3"/>
          <c:order val="3"/>
          <c:tx>
            <c:strRef>
              <c:f>'Cabeça do pilar'!$O$235</c:f>
              <c:strCache>
                <c:ptCount val="1"/>
                <c:pt idx="0">
                  <c:v>Costura 6 Ø8 c/5</c:v>
                </c:pt>
              </c:strCache>
            </c:strRef>
          </c:tx>
          <c:spPr>
            <a:ln w="19050" cap="flat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'Cabeça do pilar'!$L$235:$L$264</c:f>
              <c:numCache>
                <c:formatCode>0.00</c:formatCode>
                <c:ptCount val="30"/>
                <c:pt idx="0">
                  <c:v>-39.5</c:v>
                </c:pt>
                <c:pt idx="1">
                  <c:v>39.5</c:v>
                </c:pt>
                <c:pt idx="3">
                  <c:v>-39.5</c:v>
                </c:pt>
                <c:pt idx="4">
                  <c:v>39.5</c:v>
                </c:pt>
                <c:pt idx="6">
                  <c:v>-39.5</c:v>
                </c:pt>
                <c:pt idx="7">
                  <c:v>39.5</c:v>
                </c:pt>
                <c:pt idx="9">
                  <c:v>-39.5</c:v>
                </c:pt>
                <c:pt idx="10">
                  <c:v>39.5</c:v>
                </c:pt>
                <c:pt idx="12">
                  <c:v>-35.25</c:v>
                </c:pt>
                <c:pt idx="13">
                  <c:v>35.25</c:v>
                </c:pt>
                <c:pt idx="15">
                  <c:v>-30.25</c:v>
                </c:pt>
                <c:pt idx="16">
                  <c:v>30.25</c:v>
                </c:pt>
                <c:pt idx="18">
                  <c:v>-39.5</c:v>
                </c:pt>
                <c:pt idx="19">
                  <c:v>39.5</c:v>
                </c:pt>
                <c:pt idx="21">
                  <c:v>-39.5</c:v>
                </c:pt>
                <c:pt idx="22">
                  <c:v>39.5</c:v>
                </c:pt>
                <c:pt idx="24">
                  <c:v>-39.5</c:v>
                </c:pt>
                <c:pt idx="25">
                  <c:v>39.5</c:v>
                </c:pt>
                <c:pt idx="27">
                  <c:v>-39.5</c:v>
                </c:pt>
                <c:pt idx="28">
                  <c:v>39.5</c:v>
                </c:pt>
              </c:numCache>
            </c:numRef>
          </c:xVal>
          <c:yVal>
            <c:numRef>
              <c:f>'Cabeça do pilar'!$M$235:$M$264</c:f>
              <c:numCache>
                <c:formatCode>0.00</c:formatCode>
                <c:ptCount val="30"/>
                <c:pt idx="0">
                  <c:v>-9.25</c:v>
                </c:pt>
                <c:pt idx="1">
                  <c:v>-9.25</c:v>
                </c:pt>
                <c:pt idx="3">
                  <c:v>-14.25</c:v>
                </c:pt>
                <c:pt idx="4">
                  <c:v>-14.25</c:v>
                </c:pt>
                <c:pt idx="6">
                  <c:v>-19.25</c:v>
                </c:pt>
                <c:pt idx="7">
                  <c:v>-19.25</c:v>
                </c:pt>
                <c:pt idx="9">
                  <c:v>-24.25</c:v>
                </c:pt>
                <c:pt idx="10">
                  <c:v>-24.25</c:v>
                </c:pt>
                <c:pt idx="12">
                  <c:v>-29.25</c:v>
                </c:pt>
                <c:pt idx="13">
                  <c:v>-29.25</c:v>
                </c:pt>
                <c:pt idx="15">
                  <c:v>-34.25</c:v>
                </c:pt>
                <c:pt idx="16">
                  <c:v>-34.25</c:v>
                </c:pt>
                <c:pt idx="18">
                  <c:v>-9.25</c:v>
                </c:pt>
                <c:pt idx="19">
                  <c:v>-9.25</c:v>
                </c:pt>
                <c:pt idx="21">
                  <c:v>-9.25</c:v>
                </c:pt>
                <c:pt idx="22">
                  <c:v>-9.25</c:v>
                </c:pt>
                <c:pt idx="24">
                  <c:v>-9.25</c:v>
                </c:pt>
                <c:pt idx="25">
                  <c:v>-9.25</c:v>
                </c:pt>
                <c:pt idx="27">
                  <c:v>-9.25</c:v>
                </c:pt>
                <c:pt idx="28">
                  <c:v>-9.25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01-45DB-B4D3-677AEA52865C}"/>
            </c:ext>
          </c:extLst>
        </c:ser>
        <c:ser>
          <c:idx val="4"/>
          <c:order val="4"/>
          <c:tx>
            <c:strRef>
              <c:f>'Cabeça do pilar'!$O$265</c:f>
              <c:strCache>
                <c:ptCount val="1"/>
                <c:pt idx="0">
                  <c:v>Cintas 7 Ø12,5 c/7</c:v>
                </c:pt>
              </c:strCache>
            </c:strRef>
          </c:tx>
          <c:spPr>
            <a:ln w="15875" cap="rnd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xVal>
            <c:numRef>
              <c:f>'Cabeça do pilar'!$L$265:$L$324</c:f>
              <c:numCache>
                <c:formatCode>0.00</c:formatCode>
                <c:ptCount val="60"/>
                <c:pt idx="0">
                  <c:v>-39.5</c:v>
                </c:pt>
                <c:pt idx="1">
                  <c:v>39.5</c:v>
                </c:pt>
                <c:pt idx="3">
                  <c:v>-39.5</c:v>
                </c:pt>
                <c:pt idx="4">
                  <c:v>39.5</c:v>
                </c:pt>
                <c:pt idx="6">
                  <c:v>-39.5</c:v>
                </c:pt>
                <c:pt idx="7">
                  <c:v>39.5</c:v>
                </c:pt>
                <c:pt idx="9">
                  <c:v>-39.5</c:v>
                </c:pt>
                <c:pt idx="10">
                  <c:v>39.5</c:v>
                </c:pt>
                <c:pt idx="12">
                  <c:v>-33</c:v>
                </c:pt>
                <c:pt idx="13">
                  <c:v>33</c:v>
                </c:pt>
                <c:pt idx="15">
                  <c:v>-26</c:v>
                </c:pt>
                <c:pt idx="16">
                  <c:v>26</c:v>
                </c:pt>
                <c:pt idx="18">
                  <c:v>-18.999999999999996</c:v>
                </c:pt>
                <c:pt idx="19">
                  <c:v>18.999999999999996</c:v>
                </c:pt>
                <c:pt idx="21">
                  <c:v>-39.5</c:v>
                </c:pt>
                <c:pt idx="22">
                  <c:v>39.5</c:v>
                </c:pt>
                <c:pt idx="24">
                  <c:v>-39.5</c:v>
                </c:pt>
                <c:pt idx="25">
                  <c:v>39.5</c:v>
                </c:pt>
                <c:pt idx="27">
                  <c:v>-39.5</c:v>
                </c:pt>
                <c:pt idx="28">
                  <c:v>39.5</c:v>
                </c:pt>
                <c:pt idx="30">
                  <c:v>-39.5</c:v>
                </c:pt>
                <c:pt idx="31">
                  <c:v>39.5</c:v>
                </c:pt>
                <c:pt idx="33">
                  <c:v>-39.5</c:v>
                </c:pt>
                <c:pt idx="34">
                  <c:v>39.5</c:v>
                </c:pt>
                <c:pt idx="36">
                  <c:v>-39.5</c:v>
                </c:pt>
                <c:pt idx="37">
                  <c:v>39.5</c:v>
                </c:pt>
                <c:pt idx="39">
                  <c:v>-39.5</c:v>
                </c:pt>
                <c:pt idx="40">
                  <c:v>39.5</c:v>
                </c:pt>
                <c:pt idx="42">
                  <c:v>-39.5</c:v>
                </c:pt>
                <c:pt idx="43">
                  <c:v>39.5</c:v>
                </c:pt>
                <c:pt idx="45">
                  <c:v>-39.5</c:v>
                </c:pt>
                <c:pt idx="46">
                  <c:v>39.5</c:v>
                </c:pt>
                <c:pt idx="48">
                  <c:v>-39.5</c:v>
                </c:pt>
                <c:pt idx="49">
                  <c:v>39.5</c:v>
                </c:pt>
                <c:pt idx="51">
                  <c:v>-39.5</c:v>
                </c:pt>
                <c:pt idx="52">
                  <c:v>39.5</c:v>
                </c:pt>
                <c:pt idx="54">
                  <c:v>-39.5</c:v>
                </c:pt>
                <c:pt idx="55">
                  <c:v>39.5</c:v>
                </c:pt>
                <c:pt idx="57">
                  <c:v>-39.5</c:v>
                </c:pt>
                <c:pt idx="58">
                  <c:v>39.5</c:v>
                </c:pt>
              </c:numCache>
            </c:numRef>
          </c:xVal>
          <c:yVal>
            <c:numRef>
              <c:f>'Cabeça do pilar'!$M$265:$M$324</c:f>
              <c:numCache>
                <c:formatCode>0.00</c:formatCode>
                <c:ptCount val="60"/>
                <c:pt idx="0">
                  <c:v>-3.5</c:v>
                </c:pt>
                <c:pt idx="1">
                  <c:v>-3.5</c:v>
                </c:pt>
                <c:pt idx="3">
                  <c:v>-10.5</c:v>
                </c:pt>
                <c:pt idx="4">
                  <c:v>-10.5</c:v>
                </c:pt>
                <c:pt idx="6">
                  <c:v>-17.5</c:v>
                </c:pt>
                <c:pt idx="7">
                  <c:v>-17.5</c:v>
                </c:pt>
                <c:pt idx="9">
                  <c:v>-24.5</c:v>
                </c:pt>
                <c:pt idx="10">
                  <c:v>-24.5</c:v>
                </c:pt>
                <c:pt idx="12">
                  <c:v>-31.5</c:v>
                </c:pt>
                <c:pt idx="13">
                  <c:v>-31.5</c:v>
                </c:pt>
                <c:pt idx="15">
                  <c:v>-38.5</c:v>
                </c:pt>
                <c:pt idx="16">
                  <c:v>-38.5</c:v>
                </c:pt>
                <c:pt idx="18">
                  <c:v>-45.5</c:v>
                </c:pt>
                <c:pt idx="19">
                  <c:v>-45.5</c:v>
                </c:pt>
                <c:pt idx="21">
                  <c:v>-3.5</c:v>
                </c:pt>
                <c:pt idx="22">
                  <c:v>-3.5</c:v>
                </c:pt>
                <c:pt idx="24">
                  <c:v>-3.5</c:v>
                </c:pt>
                <c:pt idx="25">
                  <c:v>-3.5</c:v>
                </c:pt>
                <c:pt idx="27">
                  <c:v>-3.5</c:v>
                </c:pt>
                <c:pt idx="28">
                  <c:v>-3.5</c:v>
                </c:pt>
                <c:pt idx="30">
                  <c:v>-3.5</c:v>
                </c:pt>
                <c:pt idx="31">
                  <c:v>-3.5</c:v>
                </c:pt>
                <c:pt idx="33">
                  <c:v>-3.5</c:v>
                </c:pt>
                <c:pt idx="34">
                  <c:v>-3.5</c:v>
                </c:pt>
                <c:pt idx="36">
                  <c:v>-3.5</c:v>
                </c:pt>
                <c:pt idx="37">
                  <c:v>-3.5</c:v>
                </c:pt>
                <c:pt idx="39">
                  <c:v>-3.5</c:v>
                </c:pt>
                <c:pt idx="40">
                  <c:v>-3.5</c:v>
                </c:pt>
                <c:pt idx="42">
                  <c:v>-3.5</c:v>
                </c:pt>
                <c:pt idx="43">
                  <c:v>-3.5</c:v>
                </c:pt>
                <c:pt idx="45">
                  <c:v>-3.5</c:v>
                </c:pt>
                <c:pt idx="46">
                  <c:v>-3.5</c:v>
                </c:pt>
                <c:pt idx="48">
                  <c:v>-3.5</c:v>
                </c:pt>
                <c:pt idx="49">
                  <c:v>-3.5</c:v>
                </c:pt>
                <c:pt idx="51">
                  <c:v>-3.5</c:v>
                </c:pt>
                <c:pt idx="52">
                  <c:v>-3.5</c:v>
                </c:pt>
                <c:pt idx="54">
                  <c:v>-3.5</c:v>
                </c:pt>
                <c:pt idx="55">
                  <c:v>-3.5</c:v>
                </c:pt>
                <c:pt idx="57">
                  <c:v>-3.5</c:v>
                </c:pt>
                <c:pt idx="58">
                  <c:v>-3.5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01-45DB-B4D3-677AEA52865C}"/>
            </c:ext>
          </c:extLst>
        </c:ser>
        <c:ser>
          <c:idx val="5"/>
          <c:order val="5"/>
          <c:tx>
            <c:strRef>
              <c:f>'Cabeça do pilar'!$O$325</c:f>
              <c:strCache>
                <c:ptCount val="1"/>
                <c:pt idx="0">
                  <c:v>Eixo do pilar</c:v>
                </c:pt>
              </c:strCache>
            </c:strRef>
          </c:tx>
          <c:spPr>
            <a:ln w="9525" cap="rnd">
              <a:solidFill>
                <a:srgbClr val="A6A6A6"/>
              </a:solidFill>
              <a:prstDash val="dashDot"/>
              <a:round/>
            </a:ln>
          </c:spPr>
          <c:marker>
            <c:symbol val="none"/>
          </c:marker>
          <c:xVal>
            <c:numRef>
              <c:f>'Cabeça do pilar'!$L$325:$L$326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'Cabeça do pilar'!$M$325:$M$326</c:f>
              <c:numCache>
                <c:formatCode>0.00</c:formatCode>
                <c:ptCount val="2"/>
                <c:pt idx="0">
                  <c:v>10</c:v>
                </c:pt>
                <c:pt idx="1">
                  <c:v>-90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01-45DB-B4D3-677AEA52865C}"/>
            </c:ext>
          </c:extLst>
        </c:ser>
        <c:ser>
          <c:idx val="6"/>
          <c:order val="6"/>
          <c:tx>
            <c:strRef>
              <c:f>'Cabeça do pilar'!$O$327</c:f>
              <c:strCache>
                <c:ptCount val="1"/>
                <c:pt idx="0">
                  <c:v>(moldura – mantém a escala)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'Cabeça do pilar'!$L$327:$L$328</c:f>
              <c:numCache>
                <c:formatCode>0.00</c:formatCode>
                <c:ptCount val="2"/>
                <c:pt idx="0">
                  <c:v>-57.5</c:v>
                </c:pt>
                <c:pt idx="1">
                  <c:v>57.5</c:v>
                </c:pt>
              </c:numCache>
            </c:numRef>
          </c:xVal>
          <c:yVal>
            <c:numRef>
              <c:f>'Cabeça do pilar'!$M$327:$M$328</c:f>
              <c:numCache>
                <c:formatCode>0.00</c:formatCode>
                <c:ptCount val="2"/>
                <c:pt idx="0">
                  <c:v>15</c:v>
                </c:pt>
                <c:pt idx="1">
                  <c:v>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01-45DB-B4D3-677AEA528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"/>
        <c:axId val="1002"/>
      </c:scatterChart>
      <c:valAx>
        <c:axId val="1001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2"/>
        <c:crosses val="autoZero"/>
        <c:crossBetween val="midCat"/>
      </c:valAx>
      <c:valAx>
        <c:axId val="100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0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>
      <a:solidFill>
        <a:srgbClr val="BFBFBF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34</xdr:row>
      <xdr:rowOff>0</xdr:rowOff>
    </xdr:from>
    <xdr:ext cx="5334000" cy="3867150"/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0" cy="38671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122</xdr:row>
      <xdr:rowOff>0</xdr:rowOff>
    </xdr:from>
    <xdr:ext cx="1809750" cy="4876800"/>
    <xdr:pic>
      <xdr:nvPicPr>
        <xdr:cNvPr id="3" name="Imagem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09750" cy="487680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73</xdr:row>
      <xdr:rowOff>0</xdr:rowOff>
    </xdr:from>
    <xdr:ext cx="4953000" cy="3714750"/>
    <xdr:pic>
      <xdr:nvPicPr>
        <xdr:cNvPr id="4" name="Imagem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953000" cy="37147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98</xdr:row>
      <xdr:rowOff>0</xdr:rowOff>
    </xdr:from>
    <xdr:ext cx="4000500" cy="2943225"/>
    <xdr:pic>
      <xdr:nvPicPr>
        <xdr:cNvPr id="5" name="Imagem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000500" cy="2943225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115</xdr:row>
      <xdr:rowOff>0</xdr:rowOff>
    </xdr:from>
    <xdr:ext cx="1047750" cy="952500"/>
    <xdr:pic>
      <xdr:nvPicPr>
        <xdr:cNvPr id="6" name="Imagem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" cy="952500"/>
        </a:xfrm>
        <a:prstGeom prst="rect">
          <a:avLst/>
        </a:prstGeom>
      </xdr:spPr>
    </xdr:pic>
    <xdr:clientData/>
  </xdr:oneCellAnchor>
  <xdr:twoCellAnchor editAs="oneCell">
    <xdr:from>
      <xdr:col>10</xdr:col>
      <xdr:colOff>0</xdr:colOff>
      <xdr:row>166</xdr:row>
      <xdr:rowOff>0</xdr:rowOff>
    </xdr:from>
    <xdr:to>
      <xdr:col>15</xdr:col>
      <xdr:colOff>0</xdr:colOff>
      <xdr:row>210</xdr:row>
      <xdr:rowOff>0</xdr:rowOff>
    </xdr:to>
    <xdr:graphicFrame macro="">
      <xdr:nvGraphicFramePr>
        <xdr:cNvPr id="7" name="Desenho da cabeç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28"/>
  <sheetViews>
    <sheetView showGridLines="0" tabSelected="1" view="pageBreakPreview" topLeftCell="B1" zoomScaleNormal="100" zoomScaleSheetLayoutView="100" workbookViewId="0">
      <selection activeCell="L141" sqref="L141"/>
    </sheetView>
  </sheetViews>
  <sheetFormatPr baseColWidth="8" defaultRowHeight="15"/>
  <cols>
    <col width="2.7109375" customWidth="1" style="15" min="10" max="10"/>
    <col width="13.7109375" customWidth="1" style="15" min="11" max="11"/>
    <col width="12.7109375" customWidth="1" style="15" min="12" max="12"/>
    <col width="9.7109375" customWidth="1" style="15" min="13" max="13"/>
    <col width="27.7109375" customWidth="1" style="15" min="14" max="14"/>
    <col width="13.42578125" customWidth="1" style="15" min="15" max="15"/>
  </cols>
  <sheetData>
    <row r="1">
      <c r="K1" s="13" t="inlineStr">
        <is>
          <t>BLOCO PARCIALMENTE CARREGADO – CABEÇA DE PILAR PRÉ-MOLDADO (com mísula)</t>
        </is>
      </c>
      <c r="L1" s="19" t="n"/>
      <c r="M1" s="19" t="n"/>
      <c r="N1" s="19" t="n"/>
      <c r="O1" s="19" t="n"/>
      <c r="P1" s="19" t="n"/>
      <c r="Q1" s="19" t="n"/>
      <c r="R1" s="19" t="n"/>
      <c r="S1" s="19" t="n"/>
      <c r="T1" s="20" t="n"/>
    </row>
    <row r="2" ht="60" customHeight="1" s="15">
      <c r="K2" s="14" t="inlineStr">
        <is>
          <t>Como usar: células CINZA são entradas (preencha/edite). Células com borda branca são calculadas. A coluna de status mostra “Ok” em verde; qualquer outra mensagem em vermelho indica o que ajustar. O item 1.7 diz se a cabeça é BLOCO ou CONSOLO (aviso em amarelo no resumo) – as armaduras e o desenho seguem o modelo adotado. Cada termo tem unidade e descrição à direita; o desenho explicativo está ao lado (coluna V) e o desenho com as armaduras calculadas está no final.</t>
        </is>
      </c>
    </row>
    <row r="3"/>
    <row r="4">
      <c r="K4" s="16" t="inlineStr">
        <is>
          <t>RESUMO DAS VERIFICAÇÕES E ARMADURAS</t>
        </is>
      </c>
      <c r="L4" s="19" t="n"/>
      <c r="M4" s="19" t="n"/>
      <c r="N4" s="19" t="n"/>
      <c r="O4" s="19" t="n"/>
      <c r="P4" s="19" t="n"/>
      <c r="Q4" s="19" t="n"/>
      <c r="R4" s="19" t="n"/>
      <c r="S4" s="19" t="n"/>
      <c r="T4" s="20" t="n"/>
    </row>
    <row r="5"/>
    <row r="6">
      <c r="K6" s="17" t="inlineStr">
        <is>
          <t>Item</t>
        </is>
      </c>
      <c r="L6" s="17" t="inlineStr">
        <is>
          <t>Resultado</t>
        </is>
      </c>
      <c r="M6" s="20" t="n"/>
      <c r="N6" s="17" t="inlineStr">
        <is>
          <t>Status</t>
        </is>
      </c>
      <c r="O6" s="17" t="inlineStr">
        <is>
          <t>O que é</t>
        </is>
      </c>
      <c r="P6" s="19" t="n"/>
      <c r="Q6" s="19" t="n"/>
      <c r="R6" s="19" t="n"/>
      <c r="S6" s="19" t="n"/>
      <c r="T6" s="20" t="n"/>
    </row>
    <row r="7">
      <c r="K7" s="1" t="inlineStr">
        <is>
          <t>Modelo</t>
        </is>
      </c>
      <c r="L7" s="18">
        <f>L69</f>
        <v/>
      </c>
      <c r="M7" s="20" t="n"/>
      <c r="N7" s="5">
        <f>N69</f>
        <v/>
      </c>
      <c r="O7" s="3" t="inlineStr">
        <is>
          <t>Bloco parcialmente carregado ou consolo – item 1.7</t>
        </is>
      </c>
    </row>
    <row r="8" ht="48" customHeight="1" s="15">
      <c r="K8" s="1" t="inlineStr">
        <is>
          <t>Aviso</t>
        </is>
      </c>
      <c r="L8" s="21">
        <f>K70</f>
        <v/>
      </c>
    </row>
    <row r="9">
      <c r="K9" s="1" t="inlineStr">
        <is>
          <t>Compressão</t>
        </is>
      </c>
      <c r="L9" s="18">
        <f>L80</f>
        <v/>
      </c>
      <c r="M9" s="20" t="n"/>
      <c r="N9" s="5">
        <f>N80</f>
        <v/>
      </c>
      <c r="O9" s="3" t="inlineStr">
        <is>
          <t>Tensão sob o aparelho de apoio (MPa) – item 2.1</t>
        </is>
      </c>
    </row>
    <row r="10">
      <c r="K10" s="1" t="inlineStr">
        <is>
          <t>Cintamento</t>
        </is>
      </c>
      <c r="L10" s="18">
        <f>L97&amp;" Ø"&amp;L95&amp;" c/"&amp;L98&amp;" ("&amp;L96&amp;" ramos)"</f>
        <v/>
      </c>
      <c r="M10" s="20" t="n"/>
      <c r="N10" s="5">
        <f>N97</f>
        <v/>
      </c>
      <c r="O10" s="3" t="inlineStr">
        <is>
          <t>Cintas de fendilhamento – item 2.3</t>
        </is>
      </c>
    </row>
    <row r="11">
      <c r="K11" s="1" t="inlineStr">
        <is>
          <t>Tirante topo</t>
        </is>
      </c>
      <c r="L11" s="18">
        <f>L109&amp;" Ø"&amp;L108</f>
        <v/>
      </c>
      <c r="M11" s="20" t="n"/>
      <c r="N11" s="5">
        <f>N109</f>
        <v/>
      </c>
      <c r="O11" s="3" t="inlineStr">
        <is>
          <t>Tirante do topo, de face a face (área do consolo ou da referência) – item 3.1</t>
        </is>
      </c>
    </row>
    <row r="12">
      <c r="K12" s="1" t="inlineStr">
        <is>
          <t>Parede oposta</t>
        </is>
      </c>
      <c r="L12" s="18">
        <f>IF(L113=0,"Não se aplica (consolo)",L113&amp;" Ø"&amp;L112)</f>
        <v/>
      </c>
      <c r="M12" s="20" t="n"/>
      <c r="N12" s="5">
        <f>N113</f>
        <v/>
      </c>
      <c r="O12" s="3" t="inlineStr">
        <is>
          <t>Barras da parede oposta – item 3.2</t>
        </is>
      </c>
    </row>
    <row r="13">
      <c r="K13" s="1" t="inlineStr">
        <is>
          <t>Consolo</t>
        </is>
      </c>
      <c r="L13" s="18">
        <f>L130</f>
        <v/>
      </c>
      <c r="M13" s="20" t="n"/>
      <c r="N13" s="5">
        <f>N122</f>
        <v/>
      </c>
      <c r="O13" s="3" t="inlineStr">
        <is>
          <t>Tipo de consolo e geometria da cabeça – item 4</t>
        </is>
      </c>
    </row>
    <row r="14">
      <c r="K14" s="1" t="inlineStr">
        <is>
          <t>Costura</t>
        </is>
      </c>
      <c r="L14" s="18">
        <f>IF(L142=0,"Não se aplica (bloco)",L142&amp;" Ø"&amp;L140&amp;" c/"&amp;L143&amp;" ("&amp;L141&amp;" ramos)")</f>
        <v/>
      </c>
      <c r="M14" s="20" t="n"/>
      <c r="N14" s="5">
        <f>N142</f>
        <v/>
      </c>
      <c r="O14" s="3" t="inlineStr">
        <is>
          <t>Estribos horizontais do consolo – item 4.3</t>
        </is>
      </c>
    </row>
    <row r="15">
      <c r="K15" s="1" t="inlineStr">
        <is>
          <t>Biela</t>
        </is>
      </c>
      <c r="L15" s="18">
        <f>L145</f>
        <v/>
      </c>
      <c r="M15" s="20" t="n"/>
      <c r="N15" s="5">
        <f>N146</f>
        <v/>
      </c>
      <c r="O15" s="3" t="inlineStr">
        <is>
          <t>Tensão de cisalhamento no consolo (MPa) – item 4.4</t>
        </is>
      </c>
    </row>
    <row r="16">
      <c r="K16" s="1" t="inlineStr">
        <is>
          <t>Aparelho</t>
        </is>
      </c>
      <c r="L16" s="18">
        <f>L152</f>
        <v/>
      </c>
      <c r="M16" s="20" t="n"/>
      <c r="N16" s="5">
        <f>N152</f>
        <v/>
      </c>
      <c r="O16" s="3" t="inlineStr">
        <is>
          <t>Tensão no aparelho de apoio (MPa) – item 5</t>
        </is>
      </c>
    </row>
    <row r="17">
      <c r="K17" s="1" t="inlineStr">
        <is>
          <t>Taxa</t>
        </is>
      </c>
      <c r="L17" s="18">
        <f>L162</f>
        <v/>
      </c>
      <c r="M17" s="20" t="n"/>
      <c r="N17" s="5" t="n"/>
      <c r="O17" s="3" t="inlineStr">
        <is>
          <t>Taxa de aço destas armaduras no volume do pilar (kg/m³) – item 6</t>
        </is>
      </c>
    </row>
    <row r="18"/>
    <row r="19">
      <c r="K19" s="16" t="inlineStr">
        <is>
          <t>1 . DADOS DE ENTRADA</t>
        </is>
      </c>
      <c r="L19" s="19" t="n"/>
      <c r="M19" s="19" t="n"/>
      <c r="N19" s="19" t="n"/>
      <c r="O19" s="19" t="n"/>
      <c r="P19" s="19" t="n"/>
      <c r="Q19" s="19" t="n"/>
      <c r="R19" s="19" t="n"/>
      <c r="S19" s="19" t="n"/>
      <c r="T19" s="20" t="n"/>
    </row>
    <row r="20"/>
    <row r="21">
      <c r="K21" s="12" t="inlineStr">
        <is>
          <t>1.1 Coeficientes</t>
        </is>
      </c>
    </row>
    <row r="22">
      <c r="K22" s="1" t="inlineStr">
        <is>
          <t>γf</t>
        </is>
      </c>
      <c r="L22" s="4" t="n">
        <v>1.4</v>
      </c>
      <c r="M22" s="2" t="inlineStr">
        <is>
          <t>-</t>
        </is>
      </c>
      <c r="O22" s="3" t="inlineStr">
        <is>
          <t>Coeficiente de majoração das cargas.</t>
        </is>
      </c>
    </row>
    <row r="23">
      <c r="K23" s="1" t="inlineStr">
        <is>
          <t>γc</t>
        </is>
      </c>
      <c r="L23" s="4" t="n">
        <v>1.4</v>
      </c>
      <c r="M23" s="2" t="inlineStr">
        <is>
          <t>-</t>
        </is>
      </c>
      <c r="O23" s="3" t="inlineStr">
        <is>
          <t>Coeficiente de minoração do concreto.</t>
        </is>
      </c>
    </row>
    <row r="24">
      <c r="K24" s="1" t="inlineStr">
        <is>
          <t>γs</t>
        </is>
      </c>
      <c r="L24" s="4" t="n">
        <v>1.1</v>
      </c>
      <c r="M24" s="2" t="inlineStr">
        <is>
          <t>-</t>
        </is>
      </c>
      <c r="O24" s="3" t="inlineStr">
        <is>
          <t>Coeficiente de minoração do aço (NBR 9062 – pré-moldado).</t>
        </is>
      </c>
    </row>
    <row r="25">
      <c r="K25" s="12" t="inlineStr">
        <is>
          <t>1.2 Materiais</t>
        </is>
      </c>
    </row>
    <row r="26">
      <c r="K26" s="1" t="inlineStr">
        <is>
          <t>fck</t>
        </is>
      </c>
      <c r="L26" s="4" t="n">
        <v>40</v>
      </c>
      <c r="M26" s="2" t="inlineStr">
        <is>
          <t>MPa</t>
        </is>
      </c>
      <c r="O26" s="3" t="inlineStr">
        <is>
          <t>Resistência característica do concreto à compressão.</t>
        </is>
      </c>
    </row>
    <row r="27">
      <c r="K27" s="1" t="inlineStr">
        <is>
          <t>fcd</t>
        </is>
      </c>
      <c r="L27" s="6">
        <f>L26/L23</f>
        <v/>
      </c>
      <c r="M27" s="2" t="inlineStr">
        <is>
          <t>MPa</t>
        </is>
      </c>
      <c r="O27" s="3" t="inlineStr">
        <is>
          <t>Resistência de cálculo do concreto (fck/γc).</t>
        </is>
      </c>
    </row>
    <row r="28">
      <c r="K28" s="1" t="inlineStr">
        <is>
          <t>fyk</t>
        </is>
      </c>
      <c r="L28" s="4" t="n">
        <v>500</v>
      </c>
      <c r="M28" s="2" t="inlineStr">
        <is>
          <t>MPa</t>
        </is>
      </c>
      <c r="O28" s="3" t="inlineStr">
        <is>
          <t>Resistência característica do aço (CA-50).</t>
        </is>
      </c>
    </row>
    <row r="29">
      <c r="K29" s="1" t="inlineStr">
        <is>
          <t>fyd</t>
        </is>
      </c>
      <c r="L29" s="6">
        <f>L28/L24/10</f>
        <v/>
      </c>
      <c r="M29" s="2" t="inlineStr">
        <is>
          <t>kN/cm²</t>
        </is>
      </c>
      <c r="O29" s="3" t="inlineStr">
        <is>
          <t>Resistência de cálculo do aço (fyk/γs), em kN/cm².</t>
        </is>
      </c>
    </row>
    <row r="30">
      <c r="K30" s="1" t="inlineStr">
        <is>
          <t>ρaço</t>
        </is>
      </c>
      <c r="L30" s="4" t="n">
        <v>0.789</v>
      </c>
      <c r="M30" s="2" t="inlineStr">
        <is>
          <t>kg/m/cm²</t>
        </is>
      </c>
      <c r="O30" s="3" t="inlineStr">
        <is>
          <t>Peso por metro de 1 cm² de barra (usado no peso de aço).</t>
        </is>
      </c>
    </row>
    <row r="31">
      <c r="K31" s="12" t="inlineStr">
        <is>
          <t>1.3 Pilar</t>
        </is>
      </c>
    </row>
    <row r="32">
      <c r="K32" s="1" t="inlineStr">
        <is>
          <t>h,pil</t>
        </is>
      </c>
      <c r="L32" s="4" t="n">
        <v>35</v>
      </c>
      <c r="M32" s="2" t="inlineStr">
        <is>
          <t>cm</t>
        </is>
      </c>
      <c r="O32" s="3" t="inlineStr">
        <is>
          <t>Pilar na direção em que a cabeça alarga (mesma de a0).</t>
        </is>
      </c>
    </row>
    <row r="33">
      <c r="K33" s="1" t="inlineStr">
        <is>
          <t>b</t>
        </is>
      </c>
      <c r="L33" s="4" t="n">
        <v>35</v>
      </c>
      <c r="M33" s="2" t="inlineStr">
        <is>
          <t>cm</t>
        </is>
      </c>
      <c r="O33" s="3" t="inlineStr">
        <is>
          <t>Pilar na outra direção (a cabeça não alarga aqui).</t>
        </is>
      </c>
    </row>
    <row r="34">
      <c r="K34" s="1" t="inlineStr">
        <is>
          <t>l</t>
        </is>
      </c>
      <c r="L34" s="4" t="n">
        <v>395</v>
      </c>
      <c r="M34" s="2" t="inlineStr">
        <is>
          <t>cm</t>
        </is>
      </c>
      <c r="O34" s="3" t="inlineStr">
        <is>
          <t>Comprimento total do pilar (inclui a cabeça).</t>
        </is>
      </c>
    </row>
    <row r="35">
      <c r="K35" s="1" t="inlineStr">
        <is>
          <t>c</t>
        </is>
      </c>
      <c r="L35" s="4" t="n">
        <v>3</v>
      </c>
      <c r="M35" s="2" t="inlineStr">
        <is>
          <t>cm</t>
        </is>
      </c>
      <c r="O35" s="3" t="inlineStr">
        <is>
          <t>Cobrimento das armaduras.</t>
        </is>
      </c>
    </row>
    <row r="36">
      <c r="K36" s="12" t="inlineStr">
        <is>
          <t>1.4 Cabeça</t>
        </is>
      </c>
    </row>
    <row r="37">
      <c r="K37" s="1" t="inlineStr">
        <is>
          <t>a,cab</t>
        </is>
      </c>
      <c r="L37" s="4" t="n">
        <v>85</v>
      </c>
      <c r="M37" s="2" t="inlineStr">
        <is>
          <t>cm</t>
        </is>
      </c>
      <c r="O37" s="3" t="inlineStr">
        <is>
          <t>Largura da cabeça no topo (ver desenho).</t>
        </is>
      </c>
    </row>
    <row r="38">
      <c r="K38" s="1" t="inlineStr">
        <is>
          <t>θ</t>
        </is>
      </c>
      <c r="L38" s="4" t="n">
        <v>45</v>
      </c>
      <c r="M38" s="2" t="inlineStr">
        <is>
          <t>°</t>
        </is>
      </c>
      <c r="O38" s="3" t="inlineStr">
        <is>
          <t>Inclinação da mísula em relação à horizontal.</t>
        </is>
      </c>
    </row>
    <row r="39">
      <c r="K39" s="1" t="inlineStr">
        <is>
          <t>h1</t>
        </is>
      </c>
      <c r="L39" s="9" t="n">
        <v>25</v>
      </c>
      <c r="M39" s="2" t="inlineStr">
        <is>
          <t>cm</t>
        </is>
      </c>
      <c r="O39" s="3" t="inlineStr">
        <is>
          <t>Altura da face vertical da cabeça (a,cab/6 – editável).</t>
        </is>
      </c>
    </row>
    <row r="40">
      <c r="K40" s="12" t="inlineStr">
        <is>
          <t>1.5 Aparelho de apoio</t>
        </is>
      </c>
    </row>
    <row r="41">
      <c r="K41" s="1" t="inlineStr">
        <is>
          <t>f</t>
        </is>
      </c>
      <c r="L41" s="4" t="n">
        <v>1</v>
      </c>
      <c r="M41" s="2" t="inlineStr">
        <is>
          <t>cm</t>
        </is>
      </c>
      <c r="O41" s="3" t="inlineStr">
        <is>
          <t>Folga de montagem da viga.</t>
        </is>
      </c>
    </row>
    <row r="42">
      <c r="K42" s="1" t="inlineStr">
        <is>
          <t>F,ap</t>
        </is>
      </c>
      <c r="L42" s="4" t="n">
        <v>5</v>
      </c>
      <c r="M42" s="2" t="inlineStr">
        <is>
          <t>cm</t>
        </is>
      </c>
      <c r="O42" s="3" t="inlineStr">
        <is>
          <t>Folga da borda da cabeça até o início do aparelho.</t>
        </is>
      </c>
    </row>
    <row r="43">
      <c r="K43" s="1" t="inlineStr">
        <is>
          <t>a0</t>
        </is>
      </c>
      <c r="L43" s="6">
        <f>L37-2*L35-2*L41-2*L42</f>
        <v/>
      </c>
      <c r="M43" s="2" t="inlineStr">
        <is>
          <t>cm</t>
        </is>
      </c>
      <c r="O43" s="3" t="inlineStr">
        <is>
          <t>Soma dos 2 aparelhos (uma viga de cada lado). No centro fica a junta vazia entre as vigas: 2·(c + f).</t>
        </is>
      </c>
    </row>
    <row r="44">
      <c r="K44" s="1" t="inlineStr">
        <is>
          <t>b0</t>
        </is>
      </c>
      <c r="L44" s="6">
        <f>L33-L35</f>
        <v/>
      </c>
      <c r="M44" s="2" t="inlineStr">
        <is>
          <t>cm</t>
        </is>
      </c>
      <c r="O44" s="3" t="inlineStr">
        <is>
          <t>Largura do aparelho de apoio (direção de b).</t>
        </is>
      </c>
    </row>
    <row r="45">
      <c r="K45" s="1" t="inlineStr">
        <is>
          <t>e</t>
        </is>
      </c>
      <c r="L45" s="4" t="n">
        <v>1</v>
      </c>
      <c r="M45" s="2" t="inlineStr">
        <is>
          <t>cm</t>
        </is>
      </c>
      <c r="O45" s="3" t="inlineStr">
        <is>
          <t>Espessura do aparelho de apoio.</t>
        </is>
      </c>
    </row>
    <row r="46">
      <c r="K46" s="1" t="inlineStr">
        <is>
          <t>Ø,furo</t>
        </is>
      </c>
      <c r="L46" s="4" t="n">
        <v>4</v>
      </c>
      <c r="M46" s="2" t="inlineStr">
        <is>
          <t>cm</t>
        </is>
      </c>
      <c r="O46" s="3" t="inlineStr">
        <is>
          <t>Diâmetro de cada furo do aparelho (chumbador).</t>
        </is>
      </c>
    </row>
    <row r="47">
      <c r="K47" s="1" t="inlineStr">
        <is>
          <t>n,furos</t>
        </is>
      </c>
      <c r="L47" s="4" t="n">
        <v>2</v>
      </c>
      <c r="M47" s="2" t="inlineStr">
        <is>
          <t>un</t>
        </is>
      </c>
      <c r="O47" s="3" t="inlineStr">
        <is>
          <t>Furos em cada aparelho (cada viga). Total = 2 aparelhos × n,furos.</t>
        </is>
      </c>
    </row>
    <row r="48">
      <c r="K48" s="1" t="inlineStr">
        <is>
          <t>σ,lim</t>
        </is>
      </c>
      <c r="L48" s="4" t="n">
        <v>9</v>
      </c>
      <c r="M48" s="2" t="inlineStr">
        <is>
          <t>MPa</t>
        </is>
      </c>
      <c r="O48" s="3" t="inlineStr">
        <is>
          <t>Tensão limite no aparelho de apoio (dado do fabricante).</t>
        </is>
      </c>
    </row>
    <row r="49">
      <c r="K49" s="12" t="inlineStr">
        <is>
          <t>1.6 Cargas</t>
        </is>
      </c>
    </row>
    <row r="50">
      <c r="K50" s="1" t="inlineStr">
        <is>
          <t>Nk</t>
        </is>
      </c>
      <c r="L50" s="9">
        <f>2903.585/1.4</f>
        <v/>
      </c>
      <c r="M50" s="2" t="inlineStr">
        <is>
          <t>kN</t>
        </is>
      </c>
      <c r="O50" s="3" t="inlineStr">
        <is>
          <t>Força normal característica transmitida pela viga.</t>
        </is>
      </c>
    </row>
    <row r="51">
      <c r="K51" s="1" t="inlineStr">
        <is>
          <t>Nd</t>
        </is>
      </c>
      <c r="L51" s="6">
        <f>L50*L22</f>
        <v/>
      </c>
      <c r="M51" s="2" t="inlineStr">
        <is>
          <t>kN</t>
        </is>
      </c>
      <c r="O51" s="3" t="inlineStr">
        <is>
          <t>Força normal de cálculo.</t>
        </is>
      </c>
    </row>
    <row r="52">
      <c r="K52" s="1" t="inlineStr">
        <is>
          <t>H?</t>
        </is>
      </c>
      <c r="L52" s="4" t="inlineStr">
        <is>
          <t>Não</t>
        </is>
      </c>
      <c r="M52" s="2" t="inlineStr">
        <is>
          <t>-</t>
        </is>
      </c>
      <c r="O52" s="3" t="inlineStr">
        <is>
          <t>Considerar força horizontal da viga? (Sim/Não)</t>
        </is>
      </c>
    </row>
    <row r="53">
      <c r="K53" s="1" t="inlineStr">
        <is>
          <t>Apoio</t>
        </is>
      </c>
      <c r="L53" s="4" t="inlineStr">
        <is>
          <t>Elastômero</t>
        </is>
      </c>
      <c r="M53" s="2" t="inlineStr">
        <is>
          <t>-</t>
        </is>
      </c>
      <c r="O53" s="3" t="inlineStr">
        <is>
          <t>Tipo de apoio: define μ pela tabela abaixo.</t>
        </is>
      </c>
    </row>
    <row r="54">
      <c r="K54" s="1" t="inlineStr">
        <is>
          <t>μ</t>
        </is>
      </c>
      <c r="L54" s="22">
        <f>IFERROR(INDEX($L$58:$L$63,MATCH(L53,$O$58:$O$63,0)),0)</f>
        <v/>
      </c>
      <c r="M54" s="2" t="inlineStr">
        <is>
          <t>-</t>
        </is>
      </c>
      <c r="O54" s="3" t="inlineStr">
        <is>
          <t>Coeficiente de atrito do tipo de apoio (tabela abaixo).</t>
        </is>
      </c>
    </row>
    <row r="55">
      <c r="K55" s="1" t="inlineStr">
        <is>
          <t>Hk</t>
        </is>
      </c>
      <c r="L55" s="6">
        <f>IF(L52="Sim",L54*L50,0)</f>
        <v/>
      </c>
      <c r="M55" s="2" t="inlineStr">
        <is>
          <t>kN</t>
        </is>
      </c>
      <c r="O55" s="3" t="inlineStr">
        <is>
          <t>Força horizontal característica (μ·Nk).</t>
        </is>
      </c>
    </row>
    <row r="56">
      <c r="K56" s="1" t="inlineStr">
        <is>
          <t>Hd</t>
        </is>
      </c>
      <c r="L56" s="6">
        <f>L55*L22</f>
        <v/>
      </c>
      <c r="M56" s="2" t="inlineStr">
        <is>
          <t>kN</t>
        </is>
      </c>
      <c r="O56" s="3" t="inlineStr">
        <is>
          <t>Força horizontal de cálculo.</t>
        </is>
      </c>
    </row>
    <row r="57">
      <c r="K57" s="1" t="inlineStr">
        <is>
          <t>Tabela μ</t>
        </is>
      </c>
      <c r="L57" s="17" t="inlineStr">
        <is>
          <t>μ</t>
        </is>
      </c>
      <c r="M57" s="17" t="n"/>
      <c r="O57" s="12" t="inlineStr">
        <is>
          <t>Tipo de apoio (escolha em "Apoio")</t>
        </is>
      </c>
    </row>
    <row r="58">
      <c r="L58" s="9" t="n">
        <v>0.8</v>
      </c>
      <c r="M58" s="2" t="inlineStr">
        <is>
          <t>-</t>
        </is>
      </c>
      <c r="O58" s="3" t="inlineStr">
        <is>
          <t>Juntas a seco</t>
        </is>
      </c>
    </row>
    <row r="59">
      <c r="L59" s="9" t="n">
        <v>0.5</v>
      </c>
      <c r="M59" s="2" t="inlineStr">
        <is>
          <t>-</t>
        </is>
      </c>
      <c r="O59" s="3" t="inlineStr">
        <is>
          <t>Argamassa</t>
        </is>
      </c>
    </row>
    <row r="60">
      <c r="L60" s="9" t="n">
        <v>0.16</v>
      </c>
      <c r="M60" s="2" t="inlineStr">
        <is>
          <t>-</t>
        </is>
      </c>
      <c r="O60" s="3" t="inlineStr">
        <is>
          <t>Elastômero</t>
        </is>
      </c>
    </row>
    <row r="61">
      <c r="L61" s="9" t="n">
        <v>0.08</v>
      </c>
      <c r="M61" s="2" t="inlineStr">
        <is>
          <t>-</t>
        </is>
      </c>
      <c r="O61" s="3" t="inlineStr">
        <is>
          <t>Politetrafluoretileno</t>
        </is>
      </c>
    </row>
    <row r="62">
      <c r="L62" s="9" t="n">
        <v>0.25</v>
      </c>
      <c r="M62" s="2" t="inlineStr">
        <is>
          <t>-</t>
        </is>
      </c>
      <c r="O62" s="3" t="inlineStr">
        <is>
          <t>Chapas metálicas não soldadas</t>
        </is>
      </c>
    </row>
    <row r="63">
      <c r="L63" s="9" t="n">
        <v>0.4</v>
      </c>
      <c r="M63" s="2" t="inlineStr">
        <is>
          <t>-</t>
        </is>
      </c>
      <c r="O63" s="3" t="inlineStr">
        <is>
          <t>Concreto x chapa metálica</t>
        </is>
      </c>
    </row>
    <row r="64" s="15">
      <c r="K64" s="12" t="inlineStr">
        <is>
          <t>1.7 Modelo de cálculo – bloco parcialmente carregado × consolo</t>
        </is>
      </c>
    </row>
    <row r="65" ht="78" customHeight="1" s="15">
      <c r="K65" s="14" t="inlineStr">
        <is>
          <t>BLOCO: o aparelho fica todo sobre o pilar (x,ap ≤ 0). A carga desce e se ESPALHA para a seção do pilar → compressão sob o apoio + fendilhamento (item 2), tirante do topo pela referência (item 3). As mísulas não recebem carga.   CONSOLO: parte do aparelho fica fora da face do pilar (x,ap &gt; 0). Essa parte está pendurada na mísula e só chega ao pilar por biela + tirante (NBR 9062, item 4) – vale mesmo para consolo muito curto (a/d ≤ 0,5). Na direção h a carga CONVERGE para o pilar (não espalha), então ali não existe bloco: tirante e costura são do consolo; o fendilhamento de bloco só é verificado na direção b (b0 → b).</t>
        </is>
      </c>
    </row>
    <row r="66">
      <c r="K66" s="1" t="inlineStr">
        <is>
          <t>x,ap</t>
        </is>
      </c>
      <c r="L66" s="23">
        <f>L37/2-L32/2-L42</f>
        <v/>
      </c>
      <c r="M66" s="2" t="inlineStr">
        <is>
          <t>cm</t>
        </is>
      </c>
      <c r="O66" s="3" t="inlineStr">
        <is>
          <t>a,cab/2 − h,pil/2 − F,ap: quanto a borda externa do aparelho passa da face do pilar. ≤ 0 → todo sobre o pilar.</t>
        </is>
      </c>
    </row>
    <row r="67">
      <c r="K67" s="1" t="inlineStr">
        <is>
          <t>Indicado</t>
        </is>
      </c>
      <c r="L67" s="18">
        <f>IF(L66&lt;=0,"Bloco","Consolo")</f>
        <v/>
      </c>
      <c r="M67" s="2" t="inlineStr">
        <is>
          <t>-</t>
        </is>
      </c>
      <c r="O67" s="3" t="inlineStr">
        <is>
          <t>Modelo indicado pela geometria: x,ap ≤ 0 → Bloco; x,ap &gt; 0 → Consolo.</t>
        </is>
      </c>
    </row>
    <row r="68">
      <c r="K68" s="1" t="inlineStr">
        <is>
          <t>Escolha</t>
        </is>
      </c>
      <c r="L68" s="4" t="inlineStr">
        <is>
          <t>Automático</t>
        </is>
      </c>
      <c r="M68" s="2" t="inlineStr">
        <is>
          <t>-</t>
        </is>
      </c>
      <c r="O68" s="3" t="inlineStr">
        <is>
          <t>Automático (recomendado) ou forçar "Bloco" / "Consolo".</t>
        </is>
      </c>
    </row>
    <row r="69">
      <c r="K69" s="1" t="inlineStr">
        <is>
          <t>Modelo</t>
        </is>
      </c>
      <c r="L69" s="18">
        <f>IF(L68="Automático",L67,L68)</f>
        <v/>
      </c>
      <c r="M69" s="2" t="inlineStr">
        <is>
          <t>-</t>
        </is>
      </c>
      <c r="N69" s="5">
        <f>IF(L69=L67,"Ok",IF(L69="Bloco","Inseguro: carga fora do pilar – usar Consolo","Mísula sem carga – usar Bloco"))</f>
        <v/>
      </c>
      <c r="O69" s="3" t="inlineStr">
        <is>
          <t>Modelo adotado: define as armaduras calculadas e o desenho.</t>
        </is>
      </c>
    </row>
    <row r="70" ht="48" customHeight="1" s="15">
      <c r="K70" s="21">
        <f>IF(L69="Bloco","⚠ BLOCO PARCIALMENTE CARREGADO – aparelho todo sobre o pilar. Armaduras: cintas de fendilhamento (item 2: direções h e b + regra 0,25·Nd da referência), tirante do topo pela referência (item 3.1) e parede oposta (3.2). O consolo (item 4) não se aplica: sem costura.",IF(L66&lt;=0,"⚠ CONSOLO forçado, mas o aparelho não passa da face do pilar: a mísula não recebe carga – use o modelo Bloco.","⚠ CONSOLO – o aparelho passa "&amp;ROUND(L66,1)&amp;" cm da face do pilar de cada lado: a mísula é um consolo "&amp;LOWER(L130)&amp;" (a/d = "&amp;ROUND(L129,2)&amp;"). Armaduras: tirante do topo e costura pelo consolo (item 4, NBR 9062); cintas de fendilhamento só na direção b (b0 → b), pois na direção h a carga converge para o pilar e não espalha (item 2). Parede oposta (3.2) não se aplica: o tirante vai de face a face."))</f>
        <v/>
      </c>
    </row>
    <row r="71"/>
    <row r="72"/>
    <row r="73">
      <c r="K73" s="16" t="inlineStr">
        <is>
          <t>2 . BLOCO PARCIALMENTE CARREGADO (região logo abaixo do aparelho)</t>
        </is>
      </c>
      <c r="L73" s="19" t="n"/>
      <c r="M73" s="19" t="n"/>
      <c r="N73" s="19" t="n"/>
      <c r="O73" s="19" t="n"/>
      <c r="P73" s="19" t="n"/>
      <c r="Q73" s="19" t="n"/>
      <c r="R73" s="19" t="n"/>
      <c r="S73" s="19" t="n"/>
      <c r="T73" s="20" t="n"/>
    </row>
    <row r="74"/>
    <row r="75" ht="48" customHeight="1" s="15">
      <c r="K75" s="14" t="inlineStr">
        <is>
          <t>A carga entra por uma área pequena (a0 × b0). Onde ela ESPALHA para uma seção maior surgem compressão sob o apoio (2.1) e tração transversal – fendilhamento (2.2 e 2.3), resistida por cintas a partir do topo. Cada direção é verificada: h (a0 → h,pil) e b (b0 → b). Se a0 ≥ h,pil a carga converge na direção h e ali não há fendilhamento (é o consolo do item 4). A regra 0,25·Nd da referência só entra no modelo Bloco.</t>
        </is>
      </c>
    </row>
    <row r="76">
      <c r="K76" s="12" t="inlineStr">
        <is>
          <t>2.1 Compressão sob o apoio (NBR 6118, 21.2.1)</t>
        </is>
      </c>
    </row>
    <row r="77">
      <c r="K77" s="1" t="inlineStr">
        <is>
          <t>A0</t>
        </is>
      </c>
      <c r="L77" s="6">
        <f>L43*L44</f>
        <v/>
      </c>
      <c r="M77" s="2" t="inlineStr">
        <is>
          <t>cm²</t>
        </is>
      </c>
      <c r="O77" s="3" t="inlineStr">
        <is>
          <t>Área carregada (a0 × b0).</t>
        </is>
      </c>
    </row>
    <row r="78">
      <c r="K78" s="1" t="inlineStr">
        <is>
          <t>β</t>
        </is>
      </c>
      <c r="L78" s="22">
        <f>MIN(L37/L43,L33/L44,3.3)</f>
        <v/>
      </c>
      <c r="M78" s="2" t="inlineStr">
        <is>
          <t>-</t>
        </is>
      </c>
      <c r="O78" s="3" t="inlineStr">
        <is>
          <t>β = √(Ac1/Ac0), Ac1 homotética a A0 na cabeça (≤ 3,3).</t>
        </is>
      </c>
    </row>
    <row r="79">
      <c r="K79" s="1" t="inlineStr">
        <is>
          <t>β·fcd</t>
        </is>
      </c>
      <c r="L79" s="6">
        <f>L78*L27</f>
        <v/>
      </c>
      <c r="M79" s="2" t="inlineStr">
        <is>
          <t>MPa</t>
        </is>
      </c>
      <c r="O79" s="3" t="inlineStr">
        <is>
          <t>Tensão resistente sob o apoio.</t>
        </is>
      </c>
    </row>
    <row r="80">
      <c r="K80" s="1" t="inlineStr">
        <is>
          <t>σc</t>
        </is>
      </c>
      <c r="L80" s="6">
        <f>L51/L77*10</f>
        <v/>
      </c>
      <c r="M80" s="2" t="inlineStr">
        <is>
          <t>MPa</t>
        </is>
      </c>
      <c r="N80" s="5">
        <f>IF(L80&lt;=L79,"Ok","Aumentar apoio ou fck")</f>
        <v/>
      </c>
      <c r="O80" s="3" t="inlineStr">
        <is>
          <t>Tensão atuante sob o apoio (Nd/A0).</t>
        </is>
      </c>
    </row>
    <row r="81">
      <c r="K81" s="12" t="inlineStr">
        <is>
          <t>2.2 Tensão de tração transversal (necessidade de cintamento)</t>
        </is>
      </c>
    </row>
    <row r="82">
      <c r="K82" s="1" t="inlineStr">
        <is>
          <t>σt,h</t>
        </is>
      </c>
      <c r="L82" s="6">
        <f>2.1*L50/(L32*L33)*MAX(0,1-L43/L32)*10</f>
        <v/>
      </c>
      <c r="M82" s="2" t="inlineStr">
        <is>
          <t>MPa</t>
        </is>
      </c>
      <c r="O82" s="3" t="inlineStr">
        <is>
          <t>Direção h: σt = 2,1·Nk/(h,pil·b)·(1−a0/h,pil). Zero se a0 ≥ h,pil (carga converge).</t>
        </is>
      </c>
    </row>
    <row r="83">
      <c r="K83" s="1" t="inlineStr">
        <is>
          <t>σt,b</t>
        </is>
      </c>
      <c r="L83" s="6">
        <f>2.1*L50/(L32*L33)*MAX(0,1-L44/L33)*10</f>
        <v/>
      </c>
      <c r="M83" s="2" t="inlineStr">
        <is>
          <t>MPa</t>
        </is>
      </c>
      <c r="O83" s="3" t="inlineStr">
        <is>
          <t>Direção b: σt = 2,1·Nk/(h,pil·b)·(1−b0/b).</t>
        </is>
      </c>
    </row>
    <row r="84">
      <c r="K84" s="1" t="inlineStr">
        <is>
          <t>σt</t>
        </is>
      </c>
      <c r="L84" s="6">
        <f>MAX(L82,L83)</f>
        <v/>
      </c>
      <c r="M84" s="2" t="inlineStr">
        <is>
          <t>MPa</t>
        </is>
      </c>
      <c r="O84" s="3" t="inlineStr">
        <is>
          <t>Maior das duas direções (compara com fctk/2).</t>
        </is>
      </c>
    </row>
    <row r="85">
      <c r="K85" s="1" t="inlineStr">
        <is>
          <t>fctk/2</t>
        </is>
      </c>
      <c r="L85" s="6">
        <f>0.7*0.3*L26^(2/3)/2</f>
        <v/>
      </c>
      <c r="M85" s="2" t="inlineStr">
        <is>
          <t>MPa</t>
        </is>
      </c>
      <c r="N85" s="5">
        <f>IF(L84&lt;=L85,"Ok – cintas dispensáveis","Calcular cintamento")</f>
        <v/>
      </c>
      <c r="O85" s="3" t="inlineStr">
        <is>
          <t>Limite para dispensar cintas: fctk,inf/2.</t>
        </is>
      </c>
    </row>
    <row r="86">
      <c r="K86" s="12" t="inlineStr">
        <is>
          <t>2.3 Armadura de fendilhamento (cintamento)</t>
        </is>
      </c>
    </row>
    <row r="87" s="15">
      <c r="K87" s="1" t="inlineStr">
        <is>
          <t>Fad,h</t>
        </is>
      </c>
      <c r="L87" s="6">
        <f>0.3*L51*MAX(0,1-L43/L32)</f>
        <v/>
      </c>
      <c r="M87" s="2" t="inlineStr">
        <is>
          <t>kN</t>
        </is>
      </c>
      <c r="O87" s="3" t="inlineStr">
        <is>
          <t>Direção h (NBR 6118): 0,3·Nd·(1−a0/h,pil). Zero se a0 ≥ h,pil.</t>
        </is>
      </c>
    </row>
    <row r="88">
      <c r="K88" s="1" t="inlineStr">
        <is>
          <t>Fad,b</t>
        </is>
      </c>
      <c r="L88" s="6">
        <f>0.3*L51*MAX(0,1-L44/L33)</f>
        <v/>
      </c>
      <c r="M88" s="2" t="inlineStr">
        <is>
          <t>kN</t>
        </is>
      </c>
      <c r="O88" s="3" t="inlineStr">
        <is>
          <t>Direção b (NBR 6118): 0,3·Nd·(1−b0/b).</t>
        </is>
      </c>
    </row>
    <row r="89">
      <c r="K89" s="1" t="inlineStr">
        <is>
          <t>Fad,NBR</t>
        </is>
      </c>
      <c r="L89" s="6">
        <f>MAX(L87,L88)</f>
        <v/>
      </c>
      <c r="M89" s="2" t="inlineStr">
        <is>
          <t>kN</t>
        </is>
      </c>
      <c r="O89" s="3" t="inlineStr">
        <is>
          <t>Força de fendilhamento pela NBR 6118 (maior direção).</t>
        </is>
      </c>
    </row>
    <row r="90">
      <c r="K90" s="1" t="inlineStr">
        <is>
          <t>Fad,ref</t>
        </is>
      </c>
      <c r="L90" s="6">
        <f>0.25*L51+0.25*L56</f>
        <v/>
      </c>
      <c r="M90" s="2" t="inlineStr">
        <is>
          <t>kN</t>
        </is>
      </c>
      <c r="O90" s="3" t="inlineStr">
        <is>
          <t>Planilha de referência: 0,25·Nd + 0,25·Hd (só no modelo Bloco).</t>
        </is>
      </c>
    </row>
    <row r="91">
      <c r="K91" s="1" t="inlineStr">
        <is>
          <t>Fad</t>
        </is>
      </c>
      <c r="L91" s="6">
        <f>IF(L69="Bloco",MAX(L89,L90),L89)</f>
        <v/>
      </c>
      <c r="M91" s="2" t="inlineStr">
        <is>
          <t>kN</t>
        </is>
      </c>
      <c r="O91" s="3" t="inlineStr">
        <is>
          <t>Força adotada: Bloco = maior das duas; Consolo = só a NBR.</t>
        </is>
      </c>
    </row>
    <row r="92">
      <c r="K92" s="1" t="inlineStr">
        <is>
          <t>As,fend</t>
        </is>
      </c>
      <c r="L92" s="6">
        <f>L91/L29</f>
        <v/>
      </c>
      <c r="M92" s="2" t="inlineStr">
        <is>
          <t>cm²</t>
        </is>
      </c>
      <c r="O92" s="3" t="inlineStr">
        <is>
          <t>Área de aço necessária para o fendilhamento.</t>
        </is>
      </c>
    </row>
    <row r="93">
      <c r="K93" s="1" t="inlineStr">
        <is>
          <t>k,dist</t>
        </is>
      </c>
      <c r="L93" s="4" t="n">
        <v>0.6</v>
      </c>
      <c r="M93" s="2" t="inlineStr">
        <is>
          <t>-</t>
        </is>
      </c>
      <c r="O93" s="3" t="inlineStr">
        <is>
          <t>Fração do lado do pilar para distribuir as cintas (0,6·a).</t>
        </is>
      </c>
    </row>
    <row r="94">
      <c r="K94" s="1" t="inlineStr">
        <is>
          <t>dist</t>
        </is>
      </c>
      <c r="L94" s="6">
        <f>L93*IF(L69="Bloco",MAX(L32,L33),L33)</f>
        <v/>
      </c>
      <c r="M94" s="2" t="inlineStr">
        <is>
          <t>cm</t>
        </is>
      </c>
      <c r="O94" s="3" t="inlineStr">
        <is>
          <t>Altura das cintas a partir do topo: 0,6·maior lado do pilar (Bloco) ou 0,6·b (Consolo).</t>
        </is>
      </c>
    </row>
    <row r="95">
      <c r="K95" s="1" t="inlineStr">
        <is>
          <t>Ø</t>
        </is>
      </c>
      <c r="L95" s="4" t="n">
        <v>12.5</v>
      </c>
      <c r="M95" s="2" t="inlineStr">
        <is>
          <t>mm</t>
        </is>
      </c>
      <c r="O95" s="3" t="inlineStr">
        <is>
          <t>Bitola escolhida para as cintas.</t>
        </is>
      </c>
    </row>
    <row r="96">
      <c r="K96" s="1" t="inlineStr">
        <is>
          <t>ramos</t>
        </is>
      </c>
      <c r="L96" s="4" t="n">
        <v>2</v>
      </c>
      <c r="M96" s="2" t="inlineStr">
        <is>
          <t>-</t>
        </is>
      </c>
      <c r="O96" s="3" t="inlineStr">
        <is>
          <t>Ramos de cada cinta (estribo fechado = 2).</t>
        </is>
      </c>
    </row>
    <row r="97">
      <c r="K97" s="1" t="inlineStr">
        <is>
          <t>n</t>
        </is>
      </c>
      <c r="L97" s="7">
        <f>MAX(2,ROUNDUP(L92/(L96*PI()*(L95/10)^2/4),0))</f>
        <v/>
      </c>
      <c r="M97" s="2" t="inlineStr">
        <is>
          <t>un</t>
        </is>
      </c>
      <c r="N97" s="5">
        <f>IF(L97*L96*PI()*(L95/10)^2/4&lt;L92,"Rever",IF(L98&lt;5,"s &lt; 5 cm – aumentar Ø ou ramos","Ok"))</f>
        <v/>
      </c>
      <c r="O97" s="3" t="inlineStr">
        <is>
          <t>Quantidade de cintas necessárias (mínimo 2).</t>
        </is>
      </c>
    </row>
    <row r="98">
      <c r="K98" s="1" t="inlineStr">
        <is>
          <t>s</t>
        </is>
      </c>
      <c r="L98" s="7">
        <f>ROUNDDOWN(L94/L97,0)</f>
        <v/>
      </c>
      <c r="M98" s="2" t="inlineStr">
        <is>
          <t>cm</t>
        </is>
      </c>
      <c r="O98" s="3" t="inlineStr">
        <is>
          <t>Espaçamento das cintas dentro de dist.</t>
        </is>
      </c>
    </row>
    <row r="99"/>
    <row r="100">
      <c r="K100" s="16" t="inlineStr">
        <is>
          <t>3 . TIRANTE NO TOPO DA CABEÇA (detalhamento – área vem do modelo adotado)</t>
        </is>
      </c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20" t="n"/>
    </row>
    <row r="101"/>
    <row r="102" ht="32.1" customHeight="1" s="15">
      <c r="K102" s="14" t="inlineStr">
        <is>
          <t>Barras horizontais logo abaixo do topo, contínuas de uma face à outra da cabeça e ancoradas nas duas faces externas (dobras/laços). Modelo CONSOLO: a área é a do tirante do consolo (item 4.3), nunca menor que a mínima – a regra da referência (As,ref) NÃO é usada. Modelo BLOCO: área pela regra da referência (0,25·Nd + 1,8·Hd) e parede oposta (3.2).</t>
        </is>
      </c>
    </row>
    <row r="103">
      <c r="K103" s="12" t="inlineStr">
        <is>
          <t>3.1 Tirante do topo (contínuo, de face a face)</t>
        </is>
      </c>
    </row>
    <row r="104">
      <c r="K104" s="1" t="inlineStr">
        <is>
          <t>As,ref</t>
        </is>
      </c>
      <c r="L104" s="6">
        <f>(0.25*L51+1.8*L56)/L29</f>
        <v/>
      </c>
      <c r="M104" s="2" t="inlineStr">
        <is>
          <t>cm²</t>
        </is>
      </c>
      <c r="O104" s="3" t="inlineStr">
        <is>
          <t>Referência: (0,25·Nd + 1,8·Hd)/fyd – só no modelo Bloco (no Consolo é só informativo).</t>
        </is>
      </c>
    </row>
    <row r="105">
      <c r="K105" s="1" t="inlineStr">
        <is>
          <t>As,cons</t>
        </is>
      </c>
      <c r="L105" s="6">
        <f>L136</f>
        <v/>
      </c>
      <c r="M105" s="2" t="inlineStr">
        <is>
          <t>cm²</t>
        </is>
      </c>
      <c r="O105" s="3" t="inlineStr">
        <is>
          <t>Tirante do consolo (item 4.3) – é esta a área no modelo Consolo.</t>
        </is>
      </c>
    </row>
    <row r="106">
      <c r="K106" s="1" t="inlineStr">
        <is>
          <t>As,mín</t>
        </is>
      </c>
      <c r="L106" s="6">
        <f>L137</f>
        <v/>
      </c>
      <c r="M106" s="2" t="inlineStr">
        <is>
          <t>cm²</t>
        </is>
      </c>
      <c r="O106" s="3" t="inlineStr">
        <is>
          <t>Armadura mínima do tirante do consolo – modelo Consolo.</t>
        </is>
      </c>
    </row>
    <row r="107">
      <c r="K107" s="1" t="inlineStr">
        <is>
          <t>As,tir</t>
        </is>
      </c>
      <c r="L107" s="6">
        <f>IF(L69="Bloco",L104,MAX(L105,L106))</f>
        <v/>
      </c>
      <c r="M107" s="2" t="inlineStr">
        <is>
          <t>cm²</t>
        </is>
      </c>
      <c r="N107" s="5">
        <f>IF(L69="Bloco","Ok – pela referência (bloco)","Ok – pelo consolo (item 4.3)")</f>
        <v/>
      </c>
      <c r="O107" s="3" t="inlineStr">
        <is>
          <t>Área do tirante: Bloco = As,ref; Consolo = maior entre As,cons e As,mín.</t>
        </is>
      </c>
    </row>
    <row r="108">
      <c r="K108" s="1" t="inlineStr">
        <is>
          <t>Ø</t>
        </is>
      </c>
      <c r="L108" s="4" t="n">
        <v>25</v>
      </c>
      <c r="M108" s="2" t="inlineStr">
        <is>
          <t>mm</t>
        </is>
      </c>
      <c r="O108" s="3" t="inlineStr">
        <is>
          <t>Bitola escolhida para o tirante.</t>
        </is>
      </c>
    </row>
    <row r="109">
      <c r="K109" s="1" t="inlineStr">
        <is>
          <t>n</t>
        </is>
      </c>
      <c r="L109" s="7">
        <f>MAX(2,ROUNDUP(L107/(PI()*(L108/10)^2/4),0))</f>
        <v/>
      </c>
      <c r="M109" s="2" t="inlineStr">
        <is>
          <t>un</t>
        </is>
      </c>
      <c r="N109" s="5">
        <f>"Ok"</f>
        <v/>
      </c>
      <c r="O109" s="3" t="inlineStr">
        <is>
          <t>Quantidade de barras do tirante (mínimo 2).</t>
        </is>
      </c>
    </row>
    <row r="110">
      <c r="K110" s="12" t="inlineStr">
        <is>
          <t>3.2 Parede oposta (só modelo Bloco)</t>
        </is>
      </c>
    </row>
    <row r="111">
      <c r="K111" s="1" t="inlineStr">
        <is>
          <t>As,par</t>
        </is>
      </c>
      <c r="L111" s="6">
        <f>(0.25*L51+2.5*L56)/L29</f>
        <v/>
      </c>
      <c r="M111" s="2" t="inlineStr">
        <is>
          <t>cm²</t>
        </is>
      </c>
      <c r="O111" s="3" t="inlineStr">
        <is>
          <t>Referência: (0,25·Nd + 2,5·Hd)/fyd.</t>
        </is>
      </c>
    </row>
    <row r="112">
      <c r="K112" s="1" t="inlineStr">
        <is>
          <t>Ø</t>
        </is>
      </c>
      <c r="L112" s="4" t="n">
        <v>20</v>
      </c>
      <c r="M112" s="2" t="inlineStr">
        <is>
          <t>mm</t>
        </is>
      </c>
      <c r="O112" s="3" t="inlineStr">
        <is>
          <t>Bitola escolhida para a parede oposta.</t>
        </is>
      </c>
    </row>
    <row r="113">
      <c r="K113" s="1" t="inlineStr">
        <is>
          <t>n</t>
        </is>
      </c>
      <c r="L113" s="7">
        <f>IF(L69&lt;&gt;"Bloco",0,MAX(2,ROUNDUP(L111/(PI()*(L112/10)^2/4),0)))</f>
        <v/>
      </c>
      <c r="M113" s="2" t="inlineStr">
        <is>
          <t>un</t>
        </is>
      </c>
      <c r="N113" s="5">
        <f>IF(L69&lt;&gt;"Bloco","Não se aplica (consolo)","Ok")</f>
        <v/>
      </c>
      <c r="O113" s="3" t="inlineStr">
        <is>
          <t>Barras da parede oposta (mínimo 2). No Consolo o tirante já vai de face a face: não se aplica.</t>
        </is>
      </c>
    </row>
    <row r="114"/>
    <row r="115">
      <c r="K115" s="16" t="inlineStr">
        <is>
          <t>4 . CABEÇA COM MÍSULA – CONSOLO (NBR 9062, consolos)</t>
        </is>
      </c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20" t="n"/>
    </row>
    <row r="116"/>
    <row r="117" ht="60" customHeight="1" s="15">
      <c r="K117" s="14" t="inlineStr">
        <is>
          <t>Aplica-se só no modelo CONSOLO (item 1.7). A cabeça é mais larga que o pilar: o trecho do aparelho que fica fora da face do pilar apoia-se num balanço (a mísula). Esse balanço trabalha como consolo – biela inclinada até o pilar e tirante no topo. O tipo depende de a/d: muito curto (a/d ≤ 0,5), curto (0,5 &lt; a/d ≤ 1) ou viga em balanço (a/d &gt; 1). Só UMA das três fórmulas é usada, conforme o tipo.</t>
        </is>
      </c>
    </row>
    <row r="118">
      <c r="K118" s="12" t="inlineStr">
        <is>
          <t>4.1 Geometria da cabeça</t>
        </is>
      </c>
    </row>
    <row r="119">
      <c r="K119" s="1" t="inlineStr">
        <is>
          <t>p</t>
        </is>
      </c>
      <c r="L119" s="6">
        <f>MAX(0,(L37-L32)/2)</f>
        <v/>
      </c>
      <c r="M119" s="2" t="inlineStr">
        <is>
          <t>cm</t>
        </is>
      </c>
      <c r="O119" s="3" t="inlineStr">
        <is>
          <t>Projeção de cada mísula além da face do pilar.</t>
        </is>
      </c>
    </row>
    <row r="120">
      <c r="K120" s="1" t="inlineStr">
        <is>
          <t>h,mís</t>
        </is>
      </c>
      <c r="L120" s="6">
        <f>L119*TAN(RADIANS(L38))</f>
        <v/>
      </c>
      <c r="M120" s="2" t="inlineStr">
        <is>
          <t>cm</t>
        </is>
      </c>
      <c r="O120" s="3" t="inlineStr">
        <is>
          <t>Altura da parte inclinada (p·tgθ).</t>
        </is>
      </c>
    </row>
    <row r="121">
      <c r="K121" s="1" t="inlineStr">
        <is>
          <t>H,cab</t>
        </is>
      </c>
      <c r="L121" s="6">
        <f>L39+L120</f>
        <v/>
      </c>
      <c r="M121" s="2" t="inlineStr">
        <is>
          <t>cm</t>
        </is>
      </c>
      <c r="O121" s="3" t="inlineStr">
        <is>
          <t>Altura total da cabeça junto à face do pilar (h1 + h,mís).</t>
        </is>
      </c>
    </row>
    <row r="122">
      <c r="K122" s="1" t="inlineStr">
        <is>
          <t>h1,mín</t>
        </is>
      </c>
      <c r="L122" s="6">
        <f>L121/2</f>
        <v/>
      </c>
      <c r="M122" s="2" t="inlineStr">
        <is>
          <t>cm</t>
        </is>
      </c>
      <c r="N122" s="5">
        <f>IF(L69&lt;&gt;"Consolo","Não se aplica (bloco)",IF(L39&gt;=L122,"Ok","Aumentar h1 para "&amp;ROUNDUP(L120,0)&amp;" cm"))</f>
        <v/>
      </c>
      <c r="O122" s="3" t="inlineStr">
        <is>
          <t>NBR 9062: h1 ≥ metade de H,cab.</t>
        </is>
      </c>
    </row>
    <row r="123">
      <c r="K123" s="1" t="inlineStr">
        <is>
          <t>A,cab</t>
        </is>
      </c>
      <c r="L123" s="6">
        <f>L37*L39+(L37+L32)/2*L120</f>
        <v/>
      </c>
      <c r="M123" s="2" t="inlineStr">
        <is>
          <t>cm²</t>
        </is>
      </c>
      <c r="O123" s="3" t="inlineStr">
        <is>
          <t>Área da cabeça vista de frente (retângulo + trapézio).</t>
        </is>
      </c>
    </row>
    <row r="124">
      <c r="K124" s="12" t="inlineStr">
        <is>
          <t>4.2 Carga no balanço e classificação</t>
        </is>
      </c>
    </row>
    <row r="125">
      <c r="K125" s="1" t="inlineStr">
        <is>
          <t>x,ap</t>
        </is>
      </c>
      <c r="L125" s="6">
        <f>MAX(0,MIN(L66,L43/2))</f>
        <v/>
      </c>
      <c r="M125" s="2" t="inlineStr">
        <is>
          <t>cm</t>
        </is>
      </c>
      <c r="O125" s="3" t="inlineStr">
        <is>
          <t>Parte do aparelho fora da face do pilar, de cada lado (item 1.7; limitada a a0/2).</t>
        </is>
      </c>
    </row>
    <row r="126">
      <c r="K126" s="1" t="inlineStr">
        <is>
          <t>Fd,c</t>
        </is>
      </c>
      <c r="L126" s="6">
        <f>L51*L125/L43</f>
        <v/>
      </c>
      <c r="M126" s="2" t="inlineStr">
        <is>
          <t>kN</t>
        </is>
      </c>
      <c r="O126" s="3" t="inlineStr">
        <is>
          <t>Carga de cálculo em cada balanço (pressão uniforme no apoio).</t>
        </is>
      </c>
    </row>
    <row r="127">
      <c r="K127" s="1" t="inlineStr">
        <is>
          <t>a</t>
        </is>
      </c>
      <c r="L127" s="6">
        <f>L125/2</f>
        <v/>
      </c>
      <c r="M127" s="2" t="inlineStr">
        <is>
          <t>cm</t>
        </is>
      </c>
      <c r="O127" s="3" t="inlineStr">
        <is>
          <t>Distância da carga Fd,c até a face do pilar.</t>
        </is>
      </c>
    </row>
    <row r="128">
      <c r="K128" s="1" t="inlineStr">
        <is>
          <t>d</t>
        </is>
      </c>
      <c r="L128" s="6">
        <f>L121-L35-L108/20</f>
        <v/>
      </c>
      <c r="M128" s="2" t="inlineStr">
        <is>
          <t>cm</t>
        </is>
      </c>
      <c r="O128" s="3" t="inlineStr">
        <is>
          <t>Altura útil do consolo (até o eixo do tirante).</t>
        </is>
      </c>
    </row>
    <row r="129">
      <c r="K129" s="1" t="inlineStr">
        <is>
          <t>a/d</t>
        </is>
      </c>
      <c r="L129" s="22">
        <f>IFERROR(L127/L128,0)</f>
        <v/>
      </c>
      <c r="M129" s="2" t="inlineStr">
        <is>
          <t>-</t>
        </is>
      </c>
      <c r="O129" s="3" t="inlineStr">
        <is>
          <t>Define o tipo de consolo.</t>
        </is>
      </c>
    </row>
    <row r="130">
      <c r="K130" s="1" t="inlineStr">
        <is>
          <t>Tipo</t>
        </is>
      </c>
      <c r="L130" s="18">
        <f>IF(L69&lt;&gt;"Consolo","Não se aplica (bloco)",IF(L125=0,"Balanço sem carga",IF(L129&lt;=0.5,"Muito curto",IF(L129&lt;=1,"Curto","Viga em balanço"))))</f>
        <v/>
      </c>
      <c r="M130" s="2" t="inlineStr">
        <is>
          <t>-</t>
        </is>
      </c>
      <c r="O130" s="3" t="inlineStr">
        <is>
          <t>a/d ≤ 0,5 muito curto | ≤ 1 curto | &gt; 1 viga em balanço.</t>
        </is>
      </c>
    </row>
    <row r="131">
      <c r="K131" s="12" t="inlineStr">
        <is>
          <t>4.3 Armaduras do consolo</t>
        </is>
      </c>
    </row>
    <row r="132">
      <c r="K132" s="1" t="inlineStr">
        <is>
          <t>μ,c</t>
        </is>
      </c>
      <c r="L132" s="4" t="n">
        <v>1.4</v>
      </c>
      <c r="M132" s="2" t="inlineStr">
        <is>
          <t>-</t>
        </is>
      </c>
      <c r="O132" s="3" t="inlineStr">
        <is>
          <t>Atrito do consolo muito curto (1,4 = monolítico).</t>
        </is>
      </c>
    </row>
    <row r="133">
      <c r="K133" s="1" t="inlineStr">
        <is>
          <t>As,m.curto</t>
        </is>
      </c>
      <c r="L133" s="6">
        <f>0.8*L126/(L132*L29)+L56/L29</f>
        <v/>
      </c>
      <c r="M133" s="2" t="inlineStr">
        <is>
          <t>cm²</t>
        </is>
      </c>
      <c r="O133" s="3" t="inlineStr">
        <is>
          <t>Muito curto: 0,8·Fd/(μ·fyd) + Hd/fyd.</t>
        </is>
      </c>
    </row>
    <row r="134">
      <c r="K134" s="1" t="inlineStr">
        <is>
          <t>As,curto</t>
        </is>
      </c>
      <c r="L134" s="6">
        <f>(0.1+L129)*L126/L29+L56/L29</f>
        <v/>
      </c>
      <c r="M134" s="2" t="inlineStr">
        <is>
          <t>cm²</t>
        </is>
      </c>
      <c r="O134" s="3" t="inlineStr">
        <is>
          <t>Curto: (0,1 + a/d)·Fd/fyd + Hd/fyd.</t>
        </is>
      </c>
    </row>
    <row r="135">
      <c r="K135" s="1" t="inlineStr">
        <is>
          <t>As,viga</t>
        </is>
      </c>
      <c r="L135" s="6">
        <f>IFERROR(L126*L127/(0.9*L128*L29),0)+L56/L29</f>
        <v/>
      </c>
      <c r="M135" s="2" t="inlineStr">
        <is>
          <t>cm²</t>
        </is>
      </c>
      <c r="O135" s="3" t="inlineStr">
        <is>
          <t>Viga em balanço: Md/(0,9·d·fyd) + Hd/fyd, com Md = Fd·a.</t>
        </is>
      </c>
    </row>
    <row r="136">
      <c r="K136" s="1" t="inlineStr">
        <is>
          <t>As,tir,c</t>
        </is>
      </c>
      <c r="L136" s="6">
        <f>IF(L125=0,0,IF(L129&lt;=0.5,L133,IF(L129&lt;=1,L134,L135)))</f>
        <v/>
      </c>
      <c r="M136" s="2" t="inlineStr">
        <is>
          <t>cm²</t>
        </is>
      </c>
      <c r="O136" s="3" t="inlineStr">
        <is>
          <t>Tirante do consolo: só a fórmula do tipo (vai ao item 3.1).</t>
        </is>
      </c>
    </row>
    <row r="137">
      <c r="K137" s="1" t="inlineStr">
        <is>
          <t>As,mín</t>
        </is>
      </c>
      <c r="L137" s="6">
        <f>0.04*L27/(L29*10)*L33*L128</f>
        <v/>
      </c>
      <c r="M137" s="2" t="inlineStr">
        <is>
          <t>cm²</t>
        </is>
      </c>
      <c r="O137" s="3" t="inlineStr">
        <is>
          <t>Armadura mínima do tirante: 0,04·(fcd/fyd)·b·d.</t>
        </is>
      </c>
    </row>
    <row r="138">
      <c r="K138" s="1" t="inlineStr">
        <is>
          <t>k,cost</t>
        </is>
      </c>
      <c r="L138" s="6">
        <f>IF(L129&lt;=0.5,0.5,0.4)</f>
        <v/>
      </c>
      <c r="M138" s="2" t="inlineStr">
        <is>
          <t>-</t>
        </is>
      </c>
      <c r="O138" s="3" t="inlineStr">
        <is>
          <t>Fração do tirante para a costura (0,5 muito curto; 0,4 curto).</t>
        </is>
      </c>
    </row>
    <row r="139">
      <c r="K139" s="1" t="inlineStr">
        <is>
          <t>As,cost</t>
        </is>
      </c>
      <c r="L139" s="6">
        <f>IF(OR(L69&lt;&gt;"Consolo",L125&lt;=0,L129&gt;1),0,L138*L136)</f>
        <v/>
      </c>
      <c r="M139" s="2" t="inlineStr">
        <is>
          <t>cm²</t>
        </is>
      </c>
      <c r="O139" s="3" t="inlineStr">
        <is>
          <t>Estribos horizontais em 2/3·d (só modelo Consolo; não se aplica a viga).</t>
        </is>
      </c>
    </row>
    <row r="140">
      <c r="K140" s="1" t="inlineStr">
        <is>
          <t>Ø</t>
        </is>
      </c>
      <c r="L140" s="4" t="n">
        <v>8</v>
      </c>
      <c r="M140" s="2" t="inlineStr">
        <is>
          <t>mm</t>
        </is>
      </c>
      <c r="O140" s="3" t="inlineStr">
        <is>
          <t>Bitola escolhida para a costura.</t>
        </is>
      </c>
    </row>
    <row r="141">
      <c r="K141" s="1" t="inlineStr">
        <is>
          <t>ramos</t>
        </is>
      </c>
      <c r="L141" s="4" t="n">
        <v>2</v>
      </c>
      <c r="M141" s="2" t="inlineStr">
        <is>
          <t>-</t>
        </is>
      </c>
      <c r="O141" s="3" t="inlineStr">
        <is>
          <t>Ramos de cada estribo de costura (estribo fechado = 2).</t>
        </is>
      </c>
    </row>
    <row r="142">
      <c r="K142" s="1" t="inlineStr">
        <is>
          <t>n</t>
        </is>
      </c>
      <c r="L142" s="7">
        <f>IF(L69&lt;&gt;"Consolo",0,MAX(2,ROUNDUP(L139/(L141*PI()*(L140/10)^2/4),0)))</f>
        <v/>
      </c>
      <c r="M142" s="2" t="inlineStr">
        <is>
          <t>un</t>
        </is>
      </c>
      <c r="N142" s="5">
        <f>IF(L69&lt;&gt;"Consolo","Não se aplica (bloco)",IF(L129&gt;1,"Viga: estribos por cisalhamento","Ok"))</f>
        <v/>
      </c>
      <c r="O142" s="3" t="inlineStr">
        <is>
          <t>Quantidade de estribos de costura (mínimo 2; zero no modelo Bloco).</t>
        </is>
      </c>
    </row>
    <row r="143">
      <c r="K143" s="1" t="inlineStr">
        <is>
          <t>s</t>
        </is>
      </c>
      <c r="L143" s="7">
        <f>IF(L142=0,0,ROUNDDOWN((2/3*L128)/L142,0))</f>
        <v/>
      </c>
      <c r="M143" s="2" t="inlineStr">
        <is>
          <t>cm</t>
        </is>
      </c>
      <c r="O143" s="3" t="inlineStr">
        <is>
          <t>Espaçamento da costura, distribuída em 2/3·d abaixo do tirante.</t>
        </is>
      </c>
    </row>
    <row r="144">
      <c r="K144" s="12" t="inlineStr">
        <is>
          <t>4.4 Biela (esmagamento do concreto)</t>
        </is>
      </c>
    </row>
    <row r="145">
      <c r="K145" s="1" t="inlineStr">
        <is>
          <t>τwd</t>
        </is>
      </c>
      <c r="L145" s="6">
        <f>IFERROR(L126/(L33*L128)*10,0)</f>
        <v/>
      </c>
      <c r="M145" s="2" t="inlineStr">
        <is>
          <t>MPa</t>
        </is>
      </c>
      <c r="O145" s="3" t="inlineStr">
        <is>
          <t>Tensão de cisalhamento no consolo: Fd,c/(b·d).</t>
        </is>
      </c>
    </row>
    <row r="146">
      <c r="K146" s="1" t="inlineStr">
        <is>
          <t>τwu</t>
        </is>
      </c>
      <c r="L146" s="6">
        <f>0.27*(1-L26/250)*L27</f>
        <v/>
      </c>
      <c r="M146" s="2" t="inlineStr">
        <is>
          <t>MPa</t>
        </is>
      </c>
      <c r="N146" s="5">
        <f>IF(L69&lt;&gt;"Consolo","Não se aplica (bloco)",IF(L145&lt;=L146,"Ok","Aumentar H,cab ou b"))</f>
        <v/>
      </c>
      <c r="O146" s="3" t="inlineStr">
        <is>
          <t>Limite: 0,27·(1 − fck/250)·fcd.</t>
        </is>
      </c>
    </row>
    <row r="147">
      <c r="K147" s="1" t="inlineStr">
        <is>
          <t>σ,pilar</t>
        </is>
      </c>
      <c r="L147" s="6">
        <f>L51/(L32*L33)*10</f>
        <v/>
      </c>
      <c r="M147" s="2" t="inlineStr">
        <is>
          <t>MPa</t>
        </is>
      </c>
      <c r="N147" s="5">
        <f>IF(L147&lt;=0.85*L27,"Ok","Verificar pilar")</f>
        <v/>
      </c>
      <c r="O147" s="3" t="inlineStr">
        <is>
          <t>Tensão média no fuste logo abaixo da cabeça.</t>
        </is>
      </c>
    </row>
    <row r="148"/>
    <row r="149">
      <c r="K149" s="16" t="inlineStr">
        <is>
          <t>5 . APARELHO DE APOIO</t>
        </is>
      </c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20" t="n"/>
    </row>
    <row r="150"/>
    <row r="151" s="15">
      <c r="K151" s="1" t="inlineStr">
        <is>
          <t>A,ap</t>
        </is>
      </c>
      <c r="L151" s="22">
        <f>(L43*L44-2*L47*PI()*(L46/2)^2)/100^2</f>
        <v/>
      </c>
      <c r="M151" s="2" t="inlineStr">
        <is>
          <t>m²</t>
        </is>
      </c>
      <c r="O151" s="3" t="inlineStr">
        <is>
          <t>Área dos 2 aparelhos descontados todos os furos (2 × n,furos).</t>
        </is>
      </c>
    </row>
    <row r="152">
      <c r="K152" s="1" t="inlineStr">
        <is>
          <t>σ,ap</t>
        </is>
      </c>
      <c r="L152" s="6">
        <f>L51/L151/1000</f>
        <v/>
      </c>
      <c r="M152" s="2" t="inlineStr">
        <is>
          <t>MPa</t>
        </is>
      </c>
      <c r="N152" s="5">
        <f>IF(L152&lt;=L48,"Ok","Aumentar apoio")</f>
        <v/>
      </c>
      <c r="O152" s="3" t="inlineStr">
        <is>
          <t>Tensão atuante no aparelho (Nd/A,ap).</t>
        </is>
      </c>
    </row>
    <row r="153"/>
    <row r="154">
      <c r="K154" s="16" t="inlineStr">
        <is>
          <t>6 . PESO DE AÇO E TAXA</t>
        </is>
      </c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20" t="n"/>
    </row>
    <row r="155"/>
    <row r="156">
      <c r="K156" s="1" t="inlineStr">
        <is>
          <t>Cintas</t>
        </is>
      </c>
      <c r="L156" s="6">
        <f>L97*PI()*(L95/10)^2/4*(2*(L37+L33)-8*L35+12)/100*L30</f>
        <v/>
      </c>
      <c r="M156" s="2" t="inlineStr">
        <is>
          <t>kg</t>
        </is>
      </c>
      <c r="O156" s="3" t="inlineStr">
        <is>
          <t>Cintas de fendilhamento (perímetro na cabeça + ganchos).</t>
        </is>
      </c>
    </row>
    <row r="157">
      <c r="K157" s="1" t="inlineStr">
        <is>
          <t>Tirante</t>
        </is>
      </c>
      <c r="L157" s="6">
        <f>L109*PI()*(L108/10)^2/4*(L37-2*L35+2*10*L108/10)/100*L30</f>
        <v/>
      </c>
      <c r="M157" s="2" t="inlineStr">
        <is>
          <t>kg</t>
        </is>
      </c>
      <c r="O157" s="3" t="inlineStr">
        <is>
          <t>Tirante do topo (comprimento a,cab − 2c + 2 dobras de 10Ø).</t>
        </is>
      </c>
    </row>
    <row r="158">
      <c r="K158" s="1" t="inlineStr">
        <is>
          <t>Parede</t>
        </is>
      </c>
      <c r="L158" s="6">
        <f>L113*PI()*(L112/10)^2/4*(L37-2*L35+2*10*L112/10)/100*L30</f>
        <v/>
      </c>
      <c r="M158" s="2" t="inlineStr">
        <is>
          <t>kg</t>
        </is>
      </c>
      <c r="O158" s="3" t="inlineStr">
        <is>
          <t>Parede oposta (mesmo critério de comprimento).</t>
        </is>
      </c>
    </row>
    <row r="159">
      <c r="K159" s="1" t="inlineStr">
        <is>
          <t>Costura</t>
        </is>
      </c>
      <c r="L159" s="6">
        <f>L142*PI()*(L140/10)^2/4*(2*(L37+L33)-8*L35+12)/100*L30</f>
        <v/>
      </c>
      <c r="M159" s="2" t="inlineStr">
        <is>
          <t>kg</t>
        </is>
      </c>
      <c r="O159" s="3" t="inlineStr">
        <is>
          <t>Estribos de costura (perímetro na cabeça + ganchos).</t>
        </is>
      </c>
    </row>
    <row r="160">
      <c r="K160" s="1" t="inlineStr">
        <is>
          <t>Total</t>
        </is>
      </c>
      <c r="L160" s="6">
        <f>L156+L157+L158+L159</f>
        <v/>
      </c>
      <c r="M160" s="2" t="inlineStr">
        <is>
          <t>kg</t>
        </is>
      </c>
      <c r="O160" s="3" t="inlineStr">
        <is>
          <t>Peso de aço destas armaduras.</t>
        </is>
      </c>
    </row>
    <row r="161">
      <c r="K161" s="1" t="inlineStr">
        <is>
          <t>Volume</t>
        </is>
      </c>
      <c r="L161" s="22">
        <f>(L32*L33*(L34-L121)+L123*L33)/100^3</f>
        <v/>
      </c>
      <c r="M161" s="2" t="inlineStr">
        <is>
          <t>m³</t>
        </is>
      </c>
      <c r="O161" s="3" t="inlineStr">
        <is>
          <t>Volume de concreto: pilar (h,pil × b) + cabeça com mísulas.</t>
        </is>
      </c>
    </row>
    <row r="162">
      <c r="K162" s="1" t="inlineStr">
        <is>
          <t>Taxa</t>
        </is>
      </c>
      <c r="L162" s="6">
        <f>L160/L161</f>
        <v/>
      </c>
      <c r="M162" s="2" t="inlineStr">
        <is>
          <t>kg/m³</t>
        </is>
      </c>
      <c r="O162" s="3" t="inlineStr">
        <is>
          <t>Taxa destas armaduras (sem a armadura do pilar).</t>
        </is>
      </c>
    </row>
    <row r="163"/>
    <row r="164">
      <c r="K164" s="16" t="inlineStr">
        <is>
          <t>7 . DESENHO DA CABEÇA COM AS ARMADURAS CALCULADAS (atualiza automaticamente)</t>
        </is>
      </c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20" t="n"/>
    </row>
    <row r="165"/>
    <row r="166" ht="32.1" customHeight="1" s="15">
      <c r="K166" s="14" t="inlineStr">
        <is>
          <t>Gráfico de linhas (dispersão) desenhado a partir da tabela de coordenadas abaixo. Origem no topo da cabeça, no eixo do pilar; y negativo para baixo. Para detalhar outras armaduras no futuro, basta acrescentar um bloco de coordenadas e uma nova série no gráfico.</t>
        </is>
      </c>
    </row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>
      <c r="K211" s="17" t="inlineStr">
        <is>
          <t>Elemento</t>
        </is>
      </c>
      <c r="L211" s="17" t="inlineStr">
        <is>
          <t>x (cm)</t>
        </is>
      </c>
      <c r="M211" s="17" t="inlineStr">
        <is>
          <t>y (cm)</t>
        </is>
      </c>
      <c r="N211" s="17" t="n"/>
      <c r="O211" s="17" t="inlineStr">
        <is>
          <t>Observação</t>
        </is>
      </c>
    </row>
    <row r="212">
      <c r="K212" s="1" t="inlineStr">
        <is>
          <t>Contorno</t>
        </is>
      </c>
      <c r="L212" s="6">
        <f>L32/2</f>
        <v/>
      </c>
      <c r="M212" s="6">
        <f>-(L121+MAX(40,L94-L121+10))</f>
        <v/>
      </c>
      <c r="O212" s="3">
        <f>"Contorno da cabeça e do pilar"</f>
        <v/>
      </c>
    </row>
    <row r="213">
      <c r="L213" s="6">
        <f>L32/2</f>
        <v/>
      </c>
      <c r="M213" s="6">
        <f>-L121</f>
        <v/>
      </c>
    </row>
    <row r="214">
      <c r="L214" s="6">
        <f>L37/2</f>
        <v/>
      </c>
      <c r="M214" s="6">
        <f>-L39</f>
        <v/>
      </c>
    </row>
    <row r="215">
      <c r="L215" s="6">
        <f>L37/2</f>
        <v/>
      </c>
      <c r="M215" s="6">
        <f>0</f>
        <v/>
      </c>
    </row>
    <row r="216">
      <c r="L216" s="6">
        <f>-L37/2</f>
        <v/>
      </c>
      <c r="M216" s="6">
        <f>0</f>
        <v/>
      </c>
    </row>
    <row r="217">
      <c r="L217" s="6">
        <f>-L37/2</f>
        <v/>
      </c>
      <c r="M217" s="6">
        <f>-L39</f>
        <v/>
      </c>
    </row>
    <row r="218">
      <c r="L218" s="6">
        <f>-L32/2</f>
        <v/>
      </c>
      <c r="M218" s="6">
        <f>-L121</f>
        <v/>
      </c>
    </row>
    <row r="219">
      <c r="L219" s="6">
        <f>-L32/2</f>
        <v/>
      </c>
      <c r="M219" s="6">
        <f>-(L121+MAX(40,L94-L121+10))</f>
        <v/>
      </c>
    </row>
    <row r="220">
      <c r="K220" s="1" t="inlineStr">
        <is>
          <t>Aparelho</t>
        </is>
      </c>
      <c r="L220" s="6">
        <f>-(L37/2-L42)</f>
        <v/>
      </c>
      <c r="M220" s="6">
        <f>0</f>
        <v/>
      </c>
      <c r="O220" s="3">
        <f>"Aparelhos 2 × "&amp;L43/2&amp;" × "&amp;L44&amp;" cm (junta "&amp;2*(L37/2-L42-L43/2)&amp;" cm)"</f>
        <v/>
      </c>
    </row>
    <row r="221">
      <c r="L221" s="6">
        <f>-(L37/2-L42-L43/2)</f>
        <v/>
      </c>
      <c r="M221" s="6">
        <f>0</f>
        <v/>
      </c>
    </row>
    <row r="222">
      <c r="L222" s="6">
        <f>-(L37/2-L42-L43/2)</f>
        <v/>
      </c>
      <c r="M222" s="6">
        <f>MAX(L45,2)</f>
        <v/>
      </c>
    </row>
    <row r="223">
      <c r="L223" s="6">
        <f>-(L37/2-L42)</f>
        <v/>
      </c>
      <c r="M223" s="6">
        <f>MAX(L45,2)</f>
        <v/>
      </c>
    </row>
    <row r="224">
      <c r="L224" s="6">
        <f>-(L37/2-L42)</f>
        <v/>
      </c>
      <c r="M224" s="6">
        <f>0</f>
        <v/>
      </c>
    </row>
    <row r="225">
      <c r="L225" s="6" t="n"/>
      <c r="M225" s="6" t="n"/>
    </row>
    <row r="226">
      <c r="L226" s="6">
        <f>(L37/2-L42-L43/2)</f>
        <v/>
      </c>
      <c r="M226" s="6">
        <f>0</f>
        <v/>
      </c>
    </row>
    <row r="227">
      <c r="L227" s="6">
        <f>L37/2-L42</f>
        <v/>
      </c>
      <c r="M227" s="6">
        <f>0</f>
        <v/>
      </c>
    </row>
    <row r="228">
      <c r="L228" s="6">
        <f>L37/2-L42</f>
        <v/>
      </c>
      <c r="M228" s="6">
        <f>MAX(L45,2)</f>
        <v/>
      </c>
    </row>
    <row r="229">
      <c r="L229" s="6">
        <f>(L37/2-L42-L43/2)</f>
        <v/>
      </c>
      <c r="M229" s="6">
        <f>MAX(L45,2)</f>
        <v/>
      </c>
    </row>
    <row r="230">
      <c r="L230" s="6">
        <f>(L37/2-L42-L43/2)</f>
        <v/>
      </c>
      <c r="M230" s="6">
        <f>0</f>
        <v/>
      </c>
    </row>
    <row r="231">
      <c r="K231" s="1" t="inlineStr">
        <is>
          <t>Tirante</t>
        </is>
      </c>
      <c r="L231" s="6">
        <f>-(L37/2-L35)</f>
        <v/>
      </c>
      <c r="M231" s="6">
        <f>(-(L35+L108/20))-(L108)</f>
        <v/>
      </c>
      <c r="O231" s="3">
        <f>"Tirante "&amp;L109&amp;" Ø"&amp;L108&amp;IF(L69="Bloco"," (bloco)"," (consolo)")</f>
        <v/>
      </c>
    </row>
    <row r="232">
      <c r="L232" s="6">
        <f>-(L37/2-L35)</f>
        <v/>
      </c>
      <c r="M232" s="6">
        <f>(-(L35+L108/20))</f>
        <v/>
      </c>
    </row>
    <row r="233">
      <c r="L233" s="6">
        <f>(L37/2-L35)</f>
        <v/>
      </c>
      <c r="M233" s="6">
        <f>(-(L35+L108/20))</f>
        <v/>
      </c>
    </row>
    <row r="234">
      <c r="L234" s="6">
        <f>(L37/2-L35)</f>
        <v/>
      </c>
      <c r="M234" s="6">
        <f>(-(L35+L108/20))-(L108)</f>
        <v/>
      </c>
    </row>
    <row r="235">
      <c r="K235" s="1" t="inlineStr">
        <is>
          <t>Costura</t>
        </is>
      </c>
      <c r="L235" s="6">
        <f>IF(L142=0,L325,-(IF((-((-(L35+L108/20))-IF(1&lt;=L142,1,1)*L143))&lt;=L39,L37,IF((-((-(L35+L108/20))-IF(1&lt;=L142,1,1)*L143))&lt;=L121,L37-2*((-((-(L35+L108/20))-IF(1&lt;=L142,1,1)*L143))-L39)*L119/MAX(L120,0.001),L32))/2-L35))</f>
        <v/>
      </c>
      <c r="M235" s="6">
        <f>IF(L142=0,M325,((-(L35+L108/20))-IF(1&lt;=L142,1,1)*L143))</f>
        <v/>
      </c>
      <c r="O235" s="3">
        <f>IF(L142=0,"Costura – não se aplica (bloco)","Costura "&amp;L142&amp;" Ø"&amp;L140&amp;" c/"&amp;L143)</f>
        <v/>
      </c>
    </row>
    <row r="236">
      <c r="L236" s="6">
        <f>IF(L142=0,L325,(IF((-((-(L35+L108/20))-IF(1&lt;=L142,1,1)*L143))&lt;=L39,L37,IF((-((-(L35+L108/20))-IF(1&lt;=L142,1,1)*L143))&lt;=L121,L37-2*((-((-(L35+L108/20))-IF(1&lt;=L142,1,1)*L143))-L39)*L119/MAX(L120,0.001),L32))/2-L35))</f>
        <v/>
      </c>
      <c r="M236" s="6">
        <f>IF(L142=0,M325,((-(L35+L108/20))-IF(1&lt;=L142,1,1)*L143))</f>
        <v/>
      </c>
    </row>
    <row r="237"/>
    <row r="238">
      <c r="L238" s="6">
        <f>IF(L142=0,L325,-(IF((-((-(L35+L108/20))-IF(2&lt;=L142,2,1)*L143))&lt;=L39,L37,IF((-((-(L35+L108/20))-IF(2&lt;=L142,2,1)*L143))&lt;=L121,L37-2*((-((-(L35+L108/20))-IF(2&lt;=L142,2,1)*L143))-L39)*L119/MAX(L120,0.001),L32))/2-L35))</f>
        <v/>
      </c>
      <c r="M238" s="6">
        <f>IF(L142=0,M325,((-(L35+L108/20))-IF(2&lt;=L142,2,1)*L143))</f>
        <v/>
      </c>
    </row>
    <row r="239">
      <c r="L239" s="6">
        <f>IF(L142=0,L325,(IF((-((-(L35+L108/20))-IF(2&lt;=L142,2,1)*L143))&lt;=L39,L37,IF((-((-(L35+L108/20))-IF(2&lt;=L142,2,1)*L143))&lt;=L121,L37-2*((-((-(L35+L108/20))-IF(2&lt;=L142,2,1)*L143))-L39)*L119/MAX(L120,0.001),L32))/2-L35))</f>
        <v/>
      </c>
      <c r="M239" s="6">
        <f>IF(L142=0,M325,((-(L35+L108/20))-IF(2&lt;=L142,2,1)*L143))</f>
        <v/>
      </c>
    </row>
    <row r="240"/>
    <row r="241">
      <c r="L241" s="6">
        <f>IF(L142=0,L325,-(IF((-((-(L35+L108/20))-IF(3&lt;=L142,3,1)*L143))&lt;=L39,L37,IF((-((-(L35+L108/20))-IF(3&lt;=L142,3,1)*L143))&lt;=L121,L37-2*((-((-(L35+L108/20))-IF(3&lt;=L142,3,1)*L143))-L39)*L119/MAX(L120,0.001),L32))/2-L35))</f>
        <v/>
      </c>
      <c r="M241" s="6">
        <f>IF(L142=0,M325,((-(L35+L108/20))-IF(3&lt;=L142,3,1)*L143))</f>
        <v/>
      </c>
    </row>
    <row r="242">
      <c r="L242" s="6">
        <f>IF(L142=0,L325,(IF((-((-(L35+L108/20))-IF(3&lt;=L142,3,1)*L143))&lt;=L39,L37,IF((-((-(L35+L108/20))-IF(3&lt;=L142,3,1)*L143))&lt;=L121,L37-2*((-((-(L35+L108/20))-IF(3&lt;=L142,3,1)*L143))-L39)*L119/MAX(L120,0.001),L32))/2-L35))</f>
        <v/>
      </c>
      <c r="M242" s="6">
        <f>IF(L142=0,M325,((-(L35+L108/20))-IF(3&lt;=L142,3,1)*L143))</f>
        <v/>
      </c>
    </row>
    <row r="243"/>
    <row r="244">
      <c r="L244" s="6">
        <f>IF(L142=0,L325,-(IF((-((-(L35+L108/20))-IF(4&lt;=L142,4,1)*L143))&lt;=L39,L37,IF((-((-(L35+L108/20))-IF(4&lt;=L142,4,1)*L143))&lt;=L121,L37-2*((-((-(L35+L108/20))-IF(4&lt;=L142,4,1)*L143))-L39)*L119/MAX(L120,0.001),L32))/2-L35))</f>
        <v/>
      </c>
      <c r="M244" s="6">
        <f>IF(L142=0,M325,((-(L35+L108/20))-IF(4&lt;=L142,4,1)*L143))</f>
        <v/>
      </c>
    </row>
    <row r="245">
      <c r="L245" s="6">
        <f>IF(L142=0,L325,(IF((-((-(L35+L108/20))-IF(4&lt;=L142,4,1)*L143))&lt;=L39,L37,IF((-((-(L35+L108/20))-IF(4&lt;=L142,4,1)*L143))&lt;=L121,L37-2*((-((-(L35+L108/20))-IF(4&lt;=L142,4,1)*L143))-L39)*L119/MAX(L120,0.001),L32))/2-L35))</f>
        <v/>
      </c>
      <c r="M245" s="6">
        <f>IF(L142=0,M325,((-(L35+L108/20))-IF(4&lt;=L142,4,1)*L143))</f>
        <v/>
      </c>
    </row>
    <row r="246"/>
    <row r="247">
      <c r="L247" s="6">
        <f>IF(L142=0,L325,-(IF((-((-(L35+L108/20))-IF(5&lt;=L142,5,1)*L143))&lt;=L39,L37,IF((-((-(L35+L108/20))-IF(5&lt;=L142,5,1)*L143))&lt;=L121,L37-2*((-((-(L35+L108/20))-IF(5&lt;=L142,5,1)*L143))-L39)*L119/MAX(L120,0.001),L32))/2-L35))</f>
        <v/>
      </c>
      <c r="M247" s="6">
        <f>IF(L142=0,M325,((-(L35+L108/20))-IF(5&lt;=L142,5,1)*L143))</f>
        <v/>
      </c>
    </row>
    <row r="248">
      <c r="L248" s="6">
        <f>IF(L142=0,L325,(IF((-((-(L35+L108/20))-IF(5&lt;=L142,5,1)*L143))&lt;=L39,L37,IF((-((-(L35+L108/20))-IF(5&lt;=L142,5,1)*L143))&lt;=L121,L37-2*((-((-(L35+L108/20))-IF(5&lt;=L142,5,1)*L143))-L39)*L119/MAX(L120,0.001),L32))/2-L35))</f>
        <v/>
      </c>
      <c r="M248" s="6">
        <f>IF(L142=0,M325,((-(L35+L108/20))-IF(5&lt;=L142,5,1)*L143))</f>
        <v/>
      </c>
    </row>
    <row r="249"/>
    <row r="250">
      <c r="L250" s="6">
        <f>IF(L142=0,L325,-(IF((-((-(L35+L108/20))-IF(6&lt;=L142,6,1)*L143))&lt;=L39,L37,IF((-((-(L35+L108/20))-IF(6&lt;=L142,6,1)*L143))&lt;=L121,L37-2*((-((-(L35+L108/20))-IF(6&lt;=L142,6,1)*L143))-L39)*L119/MAX(L120,0.001),L32))/2-L35))</f>
        <v/>
      </c>
      <c r="M250" s="6">
        <f>IF(L142=0,M325,((-(L35+L108/20))-IF(6&lt;=L142,6,1)*L143))</f>
        <v/>
      </c>
    </row>
    <row r="251">
      <c r="L251" s="6">
        <f>IF(L142=0,L325,(IF((-((-(L35+L108/20))-IF(6&lt;=L142,6,1)*L143))&lt;=L39,L37,IF((-((-(L35+L108/20))-IF(6&lt;=L142,6,1)*L143))&lt;=L121,L37-2*((-((-(L35+L108/20))-IF(6&lt;=L142,6,1)*L143))-L39)*L119/MAX(L120,0.001),L32))/2-L35))</f>
        <v/>
      </c>
      <c r="M251" s="6">
        <f>IF(L142=0,M325,((-(L35+L108/20))-IF(6&lt;=L142,6,1)*L143))</f>
        <v/>
      </c>
    </row>
    <row r="252"/>
    <row r="253">
      <c r="L253" s="6">
        <f>IF(L142=0,L325,-(IF((-((-(L35+L108/20))-IF(7&lt;=L142,7,1)*L143))&lt;=L39,L37,IF((-((-(L35+L108/20))-IF(7&lt;=L142,7,1)*L143))&lt;=L121,L37-2*((-((-(L35+L108/20))-IF(7&lt;=L142,7,1)*L143))-L39)*L119/MAX(L120,0.001),L32))/2-L35))</f>
        <v/>
      </c>
      <c r="M253" s="6">
        <f>IF(L142=0,M325,((-(L35+L108/20))-IF(7&lt;=L142,7,1)*L143))</f>
        <v/>
      </c>
    </row>
    <row r="254">
      <c r="L254" s="6">
        <f>IF(L142=0,L325,(IF((-((-(L35+L108/20))-IF(7&lt;=L142,7,1)*L143))&lt;=L39,L37,IF((-((-(L35+L108/20))-IF(7&lt;=L142,7,1)*L143))&lt;=L121,L37-2*((-((-(L35+L108/20))-IF(7&lt;=L142,7,1)*L143))-L39)*L119/MAX(L120,0.001),L32))/2-L35))</f>
        <v/>
      </c>
      <c r="M254" s="6">
        <f>IF(L142=0,M325,((-(L35+L108/20))-IF(7&lt;=L142,7,1)*L143))</f>
        <v/>
      </c>
    </row>
    <row r="255"/>
    <row r="256">
      <c r="L256" s="6">
        <f>IF(L142=0,L325,-(IF((-((-(L35+L108/20))-IF(8&lt;=L142,8,1)*L143))&lt;=L39,L37,IF((-((-(L35+L108/20))-IF(8&lt;=L142,8,1)*L143))&lt;=L121,L37-2*((-((-(L35+L108/20))-IF(8&lt;=L142,8,1)*L143))-L39)*L119/MAX(L120,0.001),L32))/2-L35))</f>
        <v/>
      </c>
      <c r="M256" s="6">
        <f>IF(L142=0,M325,((-(L35+L108/20))-IF(8&lt;=L142,8,1)*L143))</f>
        <v/>
      </c>
    </row>
    <row r="257">
      <c r="L257" s="6">
        <f>IF(L142=0,L325,(IF((-((-(L35+L108/20))-IF(8&lt;=L142,8,1)*L143))&lt;=L39,L37,IF((-((-(L35+L108/20))-IF(8&lt;=L142,8,1)*L143))&lt;=L121,L37-2*((-((-(L35+L108/20))-IF(8&lt;=L142,8,1)*L143))-L39)*L119/MAX(L120,0.001),L32))/2-L35))</f>
        <v/>
      </c>
      <c r="M257" s="6">
        <f>IF(L142=0,M325,((-(L35+L108/20))-IF(8&lt;=L142,8,1)*L143))</f>
        <v/>
      </c>
    </row>
    <row r="258"/>
    <row r="259">
      <c r="L259" s="6">
        <f>IF(L142=0,L325,-(IF((-((-(L35+L108/20))-IF(9&lt;=L142,9,1)*L143))&lt;=L39,L37,IF((-((-(L35+L108/20))-IF(9&lt;=L142,9,1)*L143))&lt;=L121,L37-2*((-((-(L35+L108/20))-IF(9&lt;=L142,9,1)*L143))-L39)*L119/MAX(L120,0.001),L32))/2-L35))</f>
        <v/>
      </c>
      <c r="M259" s="6">
        <f>IF(L142=0,M325,((-(L35+L108/20))-IF(9&lt;=L142,9,1)*L143))</f>
        <v/>
      </c>
    </row>
    <row r="260">
      <c r="L260" s="6">
        <f>IF(L142=0,L325,(IF((-((-(L35+L108/20))-IF(9&lt;=L142,9,1)*L143))&lt;=L39,L37,IF((-((-(L35+L108/20))-IF(9&lt;=L142,9,1)*L143))&lt;=L121,L37-2*((-((-(L35+L108/20))-IF(9&lt;=L142,9,1)*L143))-L39)*L119/MAX(L120,0.001),L32))/2-L35))</f>
        <v/>
      </c>
      <c r="M260" s="6">
        <f>IF(L142=0,M325,((-(L35+L108/20))-IF(9&lt;=L142,9,1)*L143))</f>
        <v/>
      </c>
    </row>
    <row r="261"/>
    <row r="262">
      <c r="L262" s="6">
        <f>IF(L142=0,L325,-(IF((-((-(L35+L108/20))-IF(10&lt;=L142,10,1)*L143))&lt;=L39,L37,IF((-((-(L35+L108/20))-IF(10&lt;=L142,10,1)*L143))&lt;=L121,L37-2*((-((-(L35+L108/20))-IF(10&lt;=L142,10,1)*L143))-L39)*L119/MAX(L120,0.001),L32))/2-L35))</f>
        <v/>
      </c>
      <c r="M262" s="6">
        <f>IF(L142=0,M325,((-(L35+L108/20))-IF(10&lt;=L142,10,1)*L143))</f>
        <v/>
      </c>
    </row>
    <row r="263">
      <c r="L263" s="6">
        <f>IF(L142=0,L325,(IF((-((-(L35+L108/20))-IF(10&lt;=L142,10,1)*L143))&lt;=L39,L37,IF((-((-(L35+L108/20))-IF(10&lt;=L142,10,1)*L143))&lt;=L121,L37-2*((-((-(L35+L108/20))-IF(10&lt;=L142,10,1)*L143))-L39)*L119/MAX(L120,0.001),L32))/2-L35))</f>
        <v/>
      </c>
      <c r="M263" s="6">
        <f>IF(L142=0,M325,((-(L35+L108/20))-IF(10&lt;=L142,10,1)*L143))</f>
        <v/>
      </c>
    </row>
    <row r="264"/>
    <row r="265">
      <c r="K265" s="1" t="inlineStr">
        <is>
          <t>Cintas</t>
        </is>
      </c>
      <c r="L265" s="6">
        <f>-(IF((-(-(IF(1&lt;=L97,1,1)-0.5)*L98))&lt;=L39,L37,IF((-(-(IF(1&lt;=L97,1,1)-0.5)*L98))&lt;=L121,L37-2*((-(-(IF(1&lt;=L97,1,1)-0.5)*L98))-L39)*L119/MAX(L120,0.001),L32))/2-L35)</f>
        <v/>
      </c>
      <c r="M265" s="6">
        <f>(-(IF(1&lt;=L97,1,1)-0.5)*L98)</f>
        <v/>
      </c>
      <c r="O265" s="3">
        <f>"Cintas "&amp;L97&amp;" Ø"&amp;L95&amp;" c/"&amp;L98</f>
        <v/>
      </c>
    </row>
    <row r="266">
      <c r="L266" s="6">
        <f>(IF((-(-(IF(1&lt;=L97,1,1)-0.5)*L98))&lt;=L39,L37,IF((-(-(IF(1&lt;=L97,1,1)-0.5)*L98))&lt;=L121,L37-2*((-(-(IF(1&lt;=L97,1,1)-0.5)*L98))-L39)*L119/MAX(L120,0.001),L32))/2-L35)</f>
        <v/>
      </c>
      <c r="M266" s="6">
        <f>(-(IF(1&lt;=L97,1,1)-0.5)*L98)</f>
        <v/>
      </c>
    </row>
    <row r="267"/>
    <row r="268">
      <c r="L268" s="6">
        <f>-(IF((-(-(IF(2&lt;=L97,2,1)-0.5)*L98))&lt;=L39,L37,IF((-(-(IF(2&lt;=L97,2,1)-0.5)*L98))&lt;=L121,L37-2*((-(-(IF(2&lt;=L97,2,1)-0.5)*L98))-L39)*L119/MAX(L120,0.001),L32))/2-L35)</f>
        <v/>
      </c>
      <c r="M268" s="6">
        <f>(-(IF(2&lt;=L97,2,1)-0.5)*L98)</f>
        <v/>
      </c>
    </row>
    <row r="269">
      <c r="L269" s="6">
        <f>(IF((-(-(IF(2&lt;=L97,2,1)-0.5)*L98))&lt;=L39,L37,IF((-(-(IF(2&lt;=L97,2,1)-0.5)*L98))&lt;=L121,L37-2*((-(-(IF(2&lt;=L97,2,1)-0.5)*L98))-L39)*L119/MAX(L120,0.001),L32))/2-L35)</f>
        <v/>
      </c>
      <c r="M269" s="6">
        <f>(-(IF(2&lt;=L97,2,1)-0.5)*L98)</f>
        <v/>
      </c>
    </row>
    <row r="270"/>
    <row r="271">
      <c r="L271" s="6">
        <f>-(IF((-(-(IF(3&lt;=L97,3,1)-0.5)*L98))&lt;=L39,L37,IF((-(-(IF(3&lt;=L97,3,1)-0.5)*L98))&lt;=L121,L37-2*((-(-(IF(3&lt;=L97,3,1)-0.5)*L98))-L39)*L119/MAX(L120,0.001),L32))/2-L35)</f>
        <v/>
      </c>
      <c r="M271" s="6">
        <f>(-(IF(3&lt;=L97,3,1)-0.5)*L98)</f>
        <v/>
      </c>
    </row>
    <row r="272">
      <c r="L272" s="6">
        <f>(IF((-(-(IF(3&lt;=L97,3,1)-0.5)*L98))&lt;=L39,L37,IF((-(-(IF(3&lt;=L97,3,1)-0.5)*L98))&lt;=L121,L37-2*((-(-(IF(3&lt;=L97,3,1)-0.5)*L98))-L39)*L119/MAX(L120,0.001),L32))/2-L35)</f>
        <v/>
      </c>
      <c r="M272" s="6">
        <f>(-(IF(3&lt;=L97,3,1)-0.5)*L98)</f>
        <v/>
      </c>
    </row>
    <row r="273"/>
    <row r="274">
      <c r="L274" s="6">
        <f>-(IF((-(-(IF(4&lt;=L97,4,1)-0.5)*L98))&lt;=L39,L37,IF((-(-(IF(4&lt;=L97,4,1)-0.5)*L98))&lt;=L121,L37-2*((-(-(IF(4&lt;=L97,4,1)-0.5)*L98))-L39)*L119/MAX(L120,0.001),L32))/2-L35)</f>
        <v/>
      </c>
      <c r="M274" s="6">
        <f>(-(IF(4&lt;=L97,4,1)-0.5)*L98)</f>
        <v/>
      </c>
    </row>
    <row r="275">
      <c r="L275" s="6">
        <f>(IF((-(-(IF(4&lt;=L97,4,1)-0.5)*L98))&lt;=L39,L37,IF((-(-(IF(4&lt;=L97,4,1)-0.5)*L98))&lt;=L121,L37-2*((-(-(IF(4&lt;=L97,4,1)-0.5)*L98))-L39)*L119/MAX(L120,0.001),L32))/2-L35)</f>
        <v/>
      </c>
      <c r="M275" s="6">
        <f>(-(IF(4&lt;=L97,4,1)-0.5)*L98)</f>
        <v/>
      </c>
    </row>
    <row r="276"/>
    <row r="277">
      <c r="L277" s="6">
        <f>-(IF((-(-(IF(5&lt;=L97,5,1)-0.5)*L98))&lt;=L39,L37,IF((-(-(IF(5&lt;=L97,5,1)-0.5)*L98))&lt;=L121,L37-2*((-(-(IF(5&lt;=L97,5,1)-0.5)*L98))-L39)*L119/MAX(L120,0.001),L32))/2-L35)</f>
        <v/>
      </c>
      <c r="M277" s="6">
        <f>(-(IF(5&lt;=L97,5,1)-0.5)*L98)</f>
        <v/>
      </c>
    </row>
    <row r="278">
      <c r="L278" s="6">
        <f>(IF((-(-(IF(5&lt;=L97,5,1)-0.5)*L98))&lt;=L39,L37,IF((-(-(IF(5&lt;=L97,5,1)-0.5)*L98))&lt;=L121,L37-2*((-(-(IF(5&lt;=L97,5,1)-0.5)*L98))-L39)*L119/MAX(L120,0.001),L32))/2-L35)</f>
        <v/>
      </c>
      <c r="M278" s="6">
        <f>(-(IF(5&lt;=L97,5,1)-0.5)*L98)</f>
        <v/>
      </c>
    </row>
    <row r="279"/>
    <row r="280">
      <c r="L280" s="6">
        <f>-(IF((-(-(IF(6&lt;=L97,6,1)-0.5)*L98))&lt;=L39,L37,IF((-(-(IF(6&lt;=L97,6,1)-0.5)*L98))&lt;=L121,L37-2*((-(-(IF(6&lt;=L97,6,1)-0.5)*L98))-L39)*L119/MAX(L120,0.001),L32))/2-L35)</f>
        <v/>
      </c>
      <c r="M280" s="6">
        <f>(-(IF(6&lt;=L97,6,1)-0.5)*L98)</f>
        <v/>
      </c>
    </row>
    <row r="281">
      <c r="L281" s="6">
        <f>(IF((-(-(IF(6&lt;=L97,6,1)-0.5)*L98))&lt;=L39,L37,IF((-(-(IF(6&lt;=L97,6,1)-0.5)*L98))&lt;=L121,L37-2*((-(-(IF(6&lt;=L97,6,1)-0.5)*L98))-L39)*L119/MAX(L120,0.001),L32))/2-L35)</f>
        <v/>
      </c>
      <c r="M281" s="6">
        <f>(-(IF(6&lt;=L97,6,1)-0.5)*L98)</f>
        <v/>
      </c>
    </row>
    <row r="282"/>
    <row r="283">
      <c r="L283" s="6">
        <f>-(IF((-(-(IF(7&lt;=L97,7,1)-0.5)*L98))&lt;=L39,L37,IF((-(-(IF(7&lt;=L97,7,1)-0.5)*L98))&lt;=L121,L37-2*((-(-(IF(7&lt;=L97,7,1)-0.5)*L98))-L39)*L119/MAX(L120,0.001),L32))/2-L35)</f>
        <v/>
      </c>
      <c r="M283" s="6">
        <f>(-(IF(7&lt;=L97,7,1)-0.5)*L98)</f>
        <v/>
      </c>
    </row>
    <row r="284">
      <c r="L284" s="6">
        <f>(IF((-(-(IF(7&lt;=L97,7,1)-0.5)*L98))&lt;=L39,L37,IF((-(-(IF(7&lt;=L97,7,1)-0.5)*L98))&lt;=L121,L37-2*((-(-(IF(7&lt;=L97,7,1)-0.5)*L98))-L39)*L119/MAX(L120,0.001),L32))/2-L35)</f>
        <v/>
      </c>
      <c r="M284" s="6">
        <f>(-(IF(7&lt;=L97,7,1)-0.5)*L98)</f>
        <v/>
      </c>
    </row>
    <row r="285"/>
    <row r="286">
      <c r="L286" s="6">
        <f>-(IF((-(-(IF(8&lt;=L97,8,1)-0.5)*L98))&lt;=L39,L37,IF((-(-(IF(8&lt;=L97,8,1)-0.5)*L98))&lt;=L121,L37-2*((-(-(IF(8&lt;=L97,8,1)-0.5)*L98))-L39)*L119/MAX(L120,0.001),L32))/2-L35)</f>
        <v/>
      </c>
      <c r="M286" s="6">
        <f>(-(IF(8&lt;=L97,8,1)-0.5)*L98)</f>
        <v/>
      </c>
    </row>
    <row r="287">
      <c r="L287" s="6">
        <f>(IF((-(-(IF(8&lt;=L97,8,1)-0.5)*L98))&lt;=L39,L37,IF((-(-(IF(8&lt;=L97,8,1)-0.5)*L98))&lt;=L121,L37-2*((-(-(IF(8&lt;=L97,8,1)-0.5)*L98))-L39)*L119/MAX(L120,0.001),L32))/2-L35)</f>
        <v/>
      </c>
      <c r="M287" s="6">
        <f>(-(IF(8&lt;=L97,8,1)-0.5)*L98)</f>
        <v/>
      </c>
    </row>
    <row r="288"/>
    <row r="289">
      <c r="L289" s="6">
        <f>-(IF((-(-(IF(9&lt;=L97,9,1)-0.5)*L98))&lt;=L39,L37,IF((-(-(IF(9&lt;=L97,9,1)-0.5)*L98))&lt;=L121,L37-2*((-(-(IF(9&lt;=L97,9,1)-0.5)*L98))-L39)*L119/MAX(L120,0.001),L32))/2-L35)</f>
        <v/>
      </c>
      <c r="M289" s="6">
        <f>(-(IF(9&lt;=L97,9,1)-0.5)*L98)</f>
        <v/>
      </c>
    </row>
    <row r="290">
      <c r="L290" s="6">
        <f>(IF((-(-(IF(9&lt;=L97,9,1)-0.5)*L98))&lt;=L39,L37,IF((-(-(IF(9&lt;=L97,9,1)-0.5)*L98))&lt;=L121,L37-2*((-(-(IF(9&lt;=L97,9,1)-0.5)*L98))-L39)*L119/MAX(L120,0.001),L32))/2-L35)</f>
        <v/>
      </c>
      <c r="M290" s="6">
        <f>(-(IF(9&lt;=L97,9,1)-0.5)*L98)</f>
        <v/>
      </c>
    </row>
    <row r="291"/>
    <row r="292">
      <c r="L292" s="6">
        <f>-(IF((-(-(IF(10&lt;=L97,10,1)-0.5)*L98))&lt;=L39,L37,IF((-(-(IF(10&lt;=L97,10,1)-0.5)*L98))&lt;=L121,L37-2*((-(-(IF(10&lt;=L97,10,1)-0.5)*L98))-L39)*L119/MAX(L120,0.001),L32))/2-L35)</f>
        <v/>
      </c>
      <c r="M292" s="6">
        <f>(-(IF(10&lt;=L97,10,1)-0.5)*L98)</f>
        <v/>
      </c>
    </row>
    <row r="293">
      <c r="L293" s="6">
        <f>(IF((-(-(IF(10&lt;=L97,10,1)-0.5)*L98))&lt;=L39,L37,IF((-(-(IF(10&lt;=L97,10,1)-0.5)*L98))&lt;=L121,L37-2*((-(-(IF(10&lt;=L97,10,1)-0.5)*L98))-L39)*L119/MAX(L120,0.001),L32))/2-L35)</f>
        <v/>
      </c>
      <c r="M293" s="6">
        <f>(-(IF(10&lt;=L97,10,1)-0.5)*L98)</f>
        <v/>
      </c>
    </row>
    <row r="294"/>
    <row r="295">
      <c r="L295" s="6">
        <f>-(IF((-(-(IF(11&lt;=L97,11,1)-0.5)*L98))&lt;=L39,L37,IF((-(-(IF(11&lt;=L97,11,1)-0.5)*L98))&lt;=L121,L37-2*((-(-(IF(11&lt;=L97,11,1)-0.5)*L98))-L39)*L119/MAX(L120,0.001),L32))/2-L35)</f>
        <v/>
      </c>
      <c r="M295" s="6">
        <f>(-(IF(11&lt;=L97,11,1)-0.5)*L98)</f>
        <v/>
      </c>
    </row>
    <row r="296">
      <c r="L296" s="6">
        <f>(IF((-(-(IF(11&lt;=L97,11,1)-0.5)*L98))&lt;=L39,L37,IF((-(-(IF(11&lt;=L97,11,1)-0.5)*L98))&lt;=L121,L37-2*((-(-(IF(11&lt;=L97,11,1)-0.5)*L98))-L39)*L119/MAX(L120,0.001),L32))/2-L35)</f>
        <v/>
      </c>
      <c r="M296" s="6">
        <f>(-(IF(11&lt;=L97,11,1)-0.5)*L98)</f>
        <v/>
      </c>
    </row>
    <row r="297"/>
    <row r="298">
      <c r="L298" s="6">
        <f>-(IF((-(-(IF(12&lt;=L97,12,1)-0.5)*L98))&lt;=L39,L37,IF((-(-(IF(12&lt;=L97,12,1)-0.5)*L98))&lt;=L121,L37-2*((-(-(IF(12&lt;=L97,12,1)-0.5)*L98))-L39)*L119/MAX(L120,0.001),L32))/2-L35)</f>
        <v/>
      </c>
      <c r="M298" s="6">
        <f>(-(IF(12&lt;=L97,12,1)-0.5)*L98)</f>
        <v/>
      </c>
    </row>
    <row r="299">
      <c r="L299" s="6">
        <f>(IF((-(-(IF(12&lt;=L97,12,1)-0.5)*L98))&lt;=L39,L37,IF((-(-(IF(12&lt;=L97,12,1)-0.5)*L98))&lt;=L121,L37-2*((-(-(IF(12&lt;=L97,12,1)-0.5)*L98))-L39)*L119/MAX(L120,0.001),L32))/2-L35)</f>
        <v/>
      </c>
      <c r="M299" s="6">
        <f>(-(IF(12&lt;=L97,12,1)-0.5)*L98)</f>
        <v/>
      </c>
    </row>
    <row r="300"/>
    <row r="301">
      <c r="L301" s="6">
        <f>-(IF((-(-(IF(13&lt;=L97,13,1)-0.5)*L98))&lt;=L39,L37,IF((-(-(IF(13&lt;=L97,13,1)-0.5)*L98))&lt;=L121,L37-2*((-(-(IF(13&lt;=L97,13,1)-0.5)*L98))-L39)*L119/MAX(L120,0.001),L32))/2-L35)</f>
        <v/>
      </c>
      <c r="M301" s="6">
        <f>(-(IF(13&lt;=L97,13,1)-0.5)*L98)</f>
        <v/>
      </c>
    </row>
    <row r="302">
      <c r="L302" s="6">
        <f>(IF((-(-(IF(13&lt;=L97,13,1)-0.5)*L98))&lt;=L39,L37,IF((-(-(IF(13&lt;=L97,13,1)-0.5)*L98))&lt;=L121,L37-2*((-(-(IF(13&lt;=L97,13,1)-0.5)*L98))-L39)*L119/MAX(L120,0.001),L32))/2-L35)</f>
        <v/>
      </c>
      <c r="M302" s="6">
        <f>(-(IF(13&lt;=L97,13,1)-0.5)*L98)</f>
        <v/>
      </c>
    </row>
    <row r="303"/>
    <row r="304">
      <c r="L304" s="6">
        <f>-(IF((-(-(IF(14&lt;=L97,14,1)-0.5)*L98))&lt;=L39,L37,IF((-(-(IF(14&lt;=L97,14,1)-0.5)*L98))&lt;=L121,L37-2*((-(-(IF(14&lt;=L97,14,1)-0.5)*L98))-L39)*L119/MAX(L120,0.001),L32))/2-L35)</f>
        <v/>
      </c>
      <c r="M304" s="6">
        <f>(-(IF(14&lt;=L97,14,1)-0.5)*L98)</f>
        <v/>
      </c>
    </row>
    <row r="305">
      <c r="L305" s="6">
        <f>(IF((-(-(IF(14&lt;=L97,14,1)-0.5)*L98))&lt;=L39,L37,IF((-(-(IF(14&lt;=L97,14,1)-0.5)*L98))&lt;=L121,L37-2*((-(-(IF(14&lt;=L97,14,1)-0.5)*L98))-L39)*L119/MAX(L120,0.001),L32))/2-L35)</f>
        <v/>
      </c>
      <c r="M305" s="6">
        <f>(-(IF(14&lt;=L97,14,1)-0.5)*L98)</f>
        <v/>
      </c>
    </row>
    <row r="306"/>
    <row r="307">
      <c r="L307" s="6">
        <f>-(IF((-(-(IF(15&lt;=L97,15,1)-0.5)*L98))&lt;=L39,L37,IF((-(-(IF(15&lt;=L97,15,1)-0.5)*L98))&lt;=L121,L37-2*((-(-(IF(15&lt;=L97,15,1)-0.5)*L98))-L39)*L119/MAX(L120,0.001),L32))/2-L35)</f>
        <v/>
      </c>
      <c r="M307" s="6">
        <f>(-(IF(15&lt;=L97,15,1)-0.5)*L98)</f>
        <v/>
      </c>
    </row>
    <row r="308">
      <c r="L308" s="6">
        <f>(IF((-(-(IF(15&lt;=L97,15,1)-0.5)*L98))&lt;=L39,L37,IF((-(-(IF(15&lt;=L97,15,1)-0.5)*L98))&lt;=L121,L37-2*((-(-(IF(15&lt;=L97,15,1)-0.5)*L98))-L39)*L119/MAX(L120,0.001),L32))/2-L35)</f>
        <v/>
      </c>
      <c r="M308" s="6">
        <f>(-(IF(15&lt;=L97,15,1)-0.5)*L98)</f>
        <v/>
      </c>
    </row>
    <row r="310">
      <c r="L310" s="6">
        <f>-(IF((-(-(IF(16&lt;=L97,16,1)-0.5)*L98))&lt;=L39,L37,IF((-(-(IF(16&lt;=L97,16,1)-0.5)*L98))&lt;=L121,L37-2*((-(-(IF(16&lt;=L97,16,1)-0.5)*L98))-L39)*L119/MAX(L120,0.001),L32))/2-L35)</f>
        <v/>
      </c>
      <c r="M310" s="6">
        <f>(-(IF(16&lt;=L97,16,1)-0.5)*L98)</f>
        <v/>
      </c>
    </row>
    <row r="311">
      <c r="L311" s="6">
        <f>(IF((-(-(IF(16&lt;=L97,16,1)-0.5)*L98))&lt;=L39,L37,IF((-(-(IF(16&lt;=L97,16,1)-0.5)*L98))&lt;=L121,L37-2*((-(-(IF(16&lt;=L97,16,1)-0.5)*L98))-L39)*L119/MAX(L120,0.001),L32))/2-L35)</f>
        <v/>
      </c>
      <c r="M311" s="6">
        <f>(-(IF(16&lt;=L97,16,1)-0.5)*L98)</f>
        <v/>
      </c>
    </row>
    <row r="313">
      <c r="L313" s="6">
        <f>-(IF((-(-(IF(17&lt;=L97,17,1)-0.5)*L98))&lt;=L39,L37,IF((-(-(IF(17&lt;=L97,17,1)-0.5)*L98))&lt;=L121,L37-2*((-(-(IF(17&lt;=L97,17,1)-0.5)*L98))-L39)*L119/MAX(L120,0.001),L32))/2-L35)</f>
        <v/>
      </c>
      <c r="M313" s="6">
        <f>(-(IF(17&lt;=L97,17,1)-0.5)*L98)</f>
        <v/>
      </c>
    </row>
    <row r="314">
      <c r="L314" s="6">
        <f>(IF((-(-(IF(17&lt;=L97,17,1)-0.5)*L98))&lt;=L39,L37,IF((-(-(IF(17&lt;=L97,17,1)-0.5)*L98))&lt;=L121,L37-2*((-(-(IF(17&lt;=L97,17,1)-0.5)*L98))-L39)*L119/MAX(L120,0.001),L32))/2-L35)</f>
        <v/>
      </c>
      <c r="M314" s="6">
        <f>(-(IF(17&lt;=L97,17,1)-0.5)*L98)</f>
        <v/>
      </c>
    </row>
    <row r="316">
      <c r="L316" s="6">
        <f>-(IF((-(-(IF(18&lt;=L97,18,1)-0.5)*L98))&lt;=L39,L37,IF((-(-(IF(18&lt;=L97,18,1)-0.5)*L98))&lt;=L121,L37-2*((-(-(IF(18&lt;=L97,18,1)-0.5)*L98))-L39)*L119/MAX(L120,0.001),L32))/2-L35)</f>
        <v/>
      </c>
      <c r="M316" s="6">
        <f>(-(IF(18&lt;=L97,18,1)-0.5)*L98)</f>
        <v/>
      </c>
    </row>
    <row r="317">
      <c r="L317" s="6">
        <f>(IF((-(-(IF(18&lt;=L97,18,1)-0.5)*L98))&lt;=L39,L37,IF((-(-(IF(18&lt;=L97,18,1)-0.5)*L98))&lt;=L121,L37-2*((-(-(IF(18&lt;=L97,18,1)-0.5)*L98))-L39)*L119/MAX(L120,0.001),L32))/2-L35)</f>
        <v/>
      </c>
      <c r="M317" s="6">
        <f>(-(IF(18&lt;=L97,18,1)-0.5)*L98)</f>
        <v/>
      </c>
    </row>
    <row r="319">
      <c r="L319" s="6">
        <f>-(IF((-(-(IF(19&lt;=L97,19,1)-0.5)*L98))&lt;=L39,L37,IF((-(-(IF(19&lt;=L97,19,1)-0.5)*L98))&lt;=L121,L37-2*((-(-(IF(19&lt;=L97,19,1)-0.5)*L98))-L39)*L119/MAX(L120,0.001),L32))/2-L35)</f>
        <v/>
      </c>
      <c r="M319" s="6">
        <f>(-(IF(19&lt;=L97,19,1)-0.5)*L98)</f>
        <v/>
      </c>
    </row>
    <row r="320">
      <c r="L320" s="6">
        <f>(IF((-(-(IF(19&lt;=L97,19,1)-0.5)*L98))&lt;=L39,L37,IF((-(-(IF(19&lt;=L97,19,1)-0.5)*L98))&lt;=L121,L37-2*((-(-(IF(19&lt;=L97,19,1)-0.5)*L98))-L39)*L119/MAX(L120,0.001),L32))/2-L35)</f>
        <v/>
      </c>
      <c r="M320" s="6">
        <f>(-(IF(19&lt;=L97,19,1)-0.5)*L98)</f>
        <v/>
      </c>
    </row>
    <row r="322">
      <c r="L322" s="6">
        <f>-(IF((-(-(IF(20&lt;=L97,20,1)-0.5)*L98))&lt;=L39,L37,IF((-(-(IF(20&lt;=L97,20,1)-0.5)*L98))&lt;=L121,L37-2*((-(-(IF(20&lt;=L97,20,1)-0.5)*L98))-L39)*L119/MAX(L120,0.001),L32))/2-L35)</f>
        <v/>
      </c>
      <c r="M322" s="6">
        <f>(-(IF(20&lt;=L97,20,1)-0.5)*L98)</f>
        <v/>
      </c>
    </row>
    <row r="323">
      <c r="L323" s="6">
        <f>(IF((-(-(IF(20&lt;=L97,20,1)-0.5)*L98))&lt;=L39,L37,IF((-(-(IF(20&lt;=L97,20,1)-0.5)*L98))&lt;=L121,L37-2*((-(-(IF(20&lt;=L97,20,1)-0.5)*L98))-L39)*L119/MAX(L120,0.001),L32))/2-L35)</f>
        <v/>
      </c>
      <c r="M323" s="6">
        <f>(-(IF(20&lt;=L97,20,1)-0.5)*L98)</f>
        <v/>
      </c>
    </row>
    <row r="325">
      <c r="K325" s="1" t="inlineStr">
        <is>
          <t>Eixo</t>
        </is>
      </c>
      <c r="L325" s="6">
        <f>0</f>
        <v/>
      </c>
      <c r="M325" s="6">
        <f>MAX(L45,2)+8</f>
        <v/>
      </c>
      <c r="O325" s="3">
        <f>"Eixo do pilar"</f>
        <v/>
      </c>
    </row>
    <row r="326">
      <c r="L326" s="6">
        <f>0</f>
        <v/>
      </c>
      <c r="M326" s="6">
        <f>-(L121+MAX(40,L94-L121+10))</f>
        <v/>
      </c>
    </row>
    <row r="327">
      <c r="K327" s="1" t="inlineStr">
        <is>
          <t>Moldura</t>
        </is>
      </c>
      <c r="L327" s="6">
        <f>-MAX(L37+30,(L121+MAX(40,L94-L121+10))+25)/2</f>
        <v/>
      </c>
      <c r="M327" s="6">
        <f>15</f>
        <v/>
      </c>
      <c r="O327" s="3">
        <f>"(moldura – mantém a escala)"</f>
        <v/>
      </c>
    </row>
    <row r="328">
      <c r="L328" s="6">
        <f>MAX(L37+30,(L121+MAX(40,L94-L121+10))+25)/2</f>
        <v/>
      </c>
      <c r="M328" s="6">
        <f>15-MAX(L37+30,(L121+MAX(40,L94-L121+10))+25)</f>
        <v/>
      </c>
    </row>
  </sheetData>
  <mergeCells count="29">
    <mergeCell ref="L17:M17"/>
    <mergeCell ref="L7:M7"/>
    <mergeCell ref="K70:T70"/>
    <mergeCell ref="L16:M16"/>
    <mergeCell ref="K166:T166"/>
    <mergeCell ref="K73:T73"/>
    <mergeCell ref="L8:T8"/>
    <mergeCell ref="L13:M13"/>
    <mergeCell ref="K65:T65"/>
    <mergeCell ref="K2:T2"/>
    <mergeCell ref="K19:T19"/>
    <mergeCell ref="L12:M12"/>
    <mergeCell ref="K4:T4"/>
    <mergeCell ref="L15:M15"/>
    <mergeCell ref="L14:M14"/>
    <mergeCell ref="K164:T164"/>
    <mergeCell ref="K154:T154"/>
    <mergeCell ref="L10:M10"/>
    <mergeCell ref="K100:T100"/>
    <mergeCell ref="K1:T1"/>
    <mergeCell ref="L9:M9"/>
    <mergeCell ref="O6:T6"/>
    <mergeCell ref="L6:M6"/>
    <mergeCell ref="K75:T75"/>
    <mergeCell ref="K102:T102"/>
    <mergeCell ref="K149:T149"/>
    <mergeCell ref="K115:T115"/>
    <mergeCell ref="L11:M11"/>
    <mergeCell ref="K117:T117"/>
  </mergeCells>
  <conditionalFormatting sqref="N7:N8 N9:N17 N69 N80 N85 N97 N107 N109 N113 N122 N142 N146:N147 N152">
    <cfRule type="beginsWith" priority="1" operator="beginsWith" dxfId="0" text="Ok">
      <formula>LEFT(N7,2)="Ok"</formula>
    </cfRule>
  </conditionalFormatting>
  <conditionalFormatting sqref="N7:N8 N9:N17 N80 N85 N97 N107 N109 N113 N122 N142 N146:N147 N152">
    <cfRule type="beginsWith" priority="2" operator="beginsWith" dxfId="1" text="Não se aplica">
      <formula>LEFT(N7,13)="Não se aplica"</formula>
    </cfRule>
  </conditionalFormatting>
  <dataValidations count="3">
    <dataValidation sqref="L52" showDropDown="0" showInputMessage="1" showErrorMessage="1" allowBlank="1" type="list">
      <formula1>"Sim,Não"</formula1>
    </dataValidation>
    <dataValidation sqref="L53" showDropDown="0" showInputMessage="1" showErrorMessage="1" allowBlank="1" type="list">
      <formula1>$O$58:$O$63</formula1>
    </dataValidation>
    <dataValidation sqref="L68" showDropDown="0" showInputMessage="0" showErrorMessage="1" allowBlank="0" type="list">
      <formula1>"Automático,Bloco,Consolo"</formula1>
    </dataValidation>
  </dataValidations>
  <pageMargins left="0.511811024" right="0.511811024" top="0.787401575" bottom="0.787401575" header="0.31496062" footer="0.31496062"/>
  <pageSetup orientation="portrait" paperSize="9" scale="74" fitToHeight="0"/>
  <rowBreaks count="3" manualBreakCount="3">
    <brk id="72" min="10" max="19" man="1"/>
    <brk id="114" min="0" max="16383" man="1"/>
    <brk id="16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Eduardo</dc:creator>
  <dcterms:created xsi:type="dcterms:W3CDTF">2025-08-06T01:27:58Z</dcterms:created>
  <dcterms:modified xsi:type="dcterms:W3CDTF">2026-09-24T19:24:52Z</dcterms:modified>
  <cp:lastModifiedBy>Carlos  Eduardo Godoy Ferreira</cp:lastModifiedBy>
</cp:coreProperties>
</file>