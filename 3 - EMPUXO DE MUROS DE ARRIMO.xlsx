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carlos.ferreira\Desktop\Carlos\Planilhas\"/>
    </mc:Choice>
  </mc:AlternateContent>
  <xr:revisionPtr revIDLastSave="0" documentId="13_ncr:1_{101037B6-2419-4B80-8897-F70871EB930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CONTENÇÃO RÁPIDA" sheetId="11" r:id="rId99"/>
    <sheet name="MURO DE ARRIMO" sheetId="1" r:id="rId1"/>
    <sheet name="DADOS DO SOLO" sheetId="6" r:id="rId2"/>
    <sheet name="ASSENTAMENTO" sheetId="4" r:id="rId3"/>
    <sheet name="KC E KS" sheetId="3" r:id="rId4"/>
    <sheet name="CÁLCULO FECHAMENTO" sheetId="7" r:id="rId5"/>
    <sheet name="FECHAMENTO EM ALVENARIA" sheetId="9" r:id="rId6"/>
    <sheet name="TABELAS LÍBANO" sheetId="10" r:id="rId7"/>
  </sheets>
  <definedNames>
    <definedName name="_xlnm.Print_Area" localSheetId="0">'CONTENÇÃO RÁPIDA'!$K$1:$T$259</definedName>
  </definedNames>
  <calcPr calcId="191029" fullCalcOnLoad="1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M8" i="1"/>
  <c r="Q23" i="1"/>
  <c r="Q24" i="1"/>
  <c r="M29" i="1"/>
  <c r="M25" i="1"/>
  <c r="M27" i="1" s="1"/>
  <c r="M9" i="1"/>
  <c r="Q27" i="1" l="1"/>
  <c r="M30" i="1"/>
  <c r="M31" i="1"/>
  <c r="M10" i="1"/>
  <c r="M22" i="1" s="1"/>
  <c r="Q25" i="1"/>
  <c r="Q26" i="1" s="1"/>
  <c r="B34" i="1"/>
  <c r="B9" i="1"/>
  <c r="M23" i="1" l="1"/>
  <c r="M24" i="1" s="1"/>
  <c r="M11" i="1"/>
  <c r="M12" i="1" s="1"/>
  <c r="B39" i="1"/>
  <c r="B41" i="1" s="1"/>
  <c r="B8" i="1" a="1"/>
  <c r="B35" i="1" s="1"/>
  <c r="B36" i="1" s="1"/>
  <c r="B37" i="1" s="1"/>
  <c r="G38" i="6"/>
  <c r="F32" i="6"/>
  <c r="G73" i="6"/>
  <c r="G66" i="6"/>
  <c r="G53" i="6"/>
  <c r="G52" i="6"/>
  <c r="G49" i="6"/>
  <c r="G48" i="6"/>
  <c r="F48" i="6"/>
  <c r="K11" i="9"/>
  <c r="K6" i="9"/>
  <c r="C48" i="9"/>
  <c r="B1" i="10"/>
  <c r="B2" i="10"/>
  <c r="C8" i="9"/>
  <c r="C5" i="9"/>
  <c r="E6" i="9" s="1"/>
  <c r="C2" i="9"/>
  <c r="C45" i="9" s="1"/>
  <c r="C13" i="9"/>
  <c r="C16" i="9" s="1"/>
  <c r="M28" i="1" l="1"/>
  <c r="M26" i="1"/>
  <c r="M40" i="1"/>
  <c r="M34" i="1"/>
  <c r="M36" i="1"/>
  <c r="B50" i="1"/>
  <c r="B49" i="1"/>
  <c r="B43" i="1"/>
  <c r="B44" i="1"/>
  <c r="B46" i="1"/>
  <c r="B47" i="1"/>
  <c r="B45" i="1"/>
  <c r="B48" i="1"/>
  <c r="B8" i="10"/>
  <c r="B3" i="10"/>
  <c r="E8" i="9"/>
  <c r="C12" i="9" s="1"/>
  <c r="C19" i="9"/>
  <c r="C18" i="9"/>
  <c r="D21" i="9"/>
  <c r="B38" i="1" l="1"/>
  <c r="B3" i="7"/>
  <c r="B34" i="7" s="1"/>
  <c r="B4" i="7"/>
  <c r="B42" i="1" l="1"/>
  <c r="B40" i="1"/>
  <c r="E84" i="1"/>
  <c r="E85" i="1"/>
  <c r="E86" i="1"/>
  <c r="E87" i="1"/>
  <c r="E88" i="1"/>
  <c r="E89" i="1"/>
  <c r="E90" i="1"/>
  <c r="E4" i="7"/>
  <c r="B8" i="7"/>
  <c r="B5" i="7"/>
  <c r="B27" i="7" l="1"/>
  <c r="B11" i="7" s="1"/>
  <c r="B24" i="1" s="1"/>
  <c r="B35" i="7"/>
  <c r="B43" i="7"/>
  <c r="B7" i="7"/>
  <c r="B6" i="7"/>
  <c r="B21" i="7"/>
  <c r="B31" i="7"/>
  <c r="B30" i="7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2" i="6"/>
  <c r="B36" i="7" l="1"/>
  <c r="B30" i="1" s="1"/>
  <c r="B28" i="7"/>
  <c r="B29" i="7" s="1"/>
  <c r="B50" i="7" s="1"/>
  <c r="B26" i="7"/>
  <c r="B12" i="7" s="1"/>
  <c r="B25" i="1" s="1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G64" i="6"/>
  <c r="G65" i="6" s="1"/>
  <c r="G67" i="6" s="1"/>
  <c r="G68" i="6" s="1"/>
  <c r="G69" i="6" s="1"/>
  <c r="G70" i="6" s="1"/>
  <c r="G71" i="6" s="1"/>
  <c r="G72" i="6" s="1"/>
  <c r="G74" i="6" s="1"/>
  <c r="G75" i="6" s="1"/>
  <c r="G76" i="6" s="1"/>
  <c r="G77" i="6" s="1"/>
  <c r="G78" i="6" s="1"/>
  <c r="G79" i="6" s="1"/>
  <c r="G80" i="6" s="1"/>
  <c r="G81" i="6" s="1"/>
  <c r="G82" i="6" s="1"/>
  <c r="G44" i="6"/>
  <c r="G45" i="6" s="1"/>
  <c r="G46" i="6" s="1"/>
  <c r="G47" i="6" s="1"/>
  <c r="G50" i="6" s="1"/>
  <c r="G51" i="6" s="1"/>
  <c r="G54" i="6" s="1"/>
  <c r="G55" i="6" s="1"/>
  <c r="G56" i="6" s="1"/>
  <c r="G57" i="6" s="1"/>
  <c r="G58" i="6" s="1"/>
  <c r="G59" i="6" s="1"/>
  <c r="G60" i="6" s="1"/>
  <c r="G61" i="6" s="1"/>
  <c r="G62" i="6" s="1"/>
  <c r="G39" i="6"/>
  <c r="G40" i="6" s="1"/>
  <c r="G41" i="6" s="1"/>
  <c r="G42" i="6" s="1"/>
  <c r="B46" i="7" l="1"/>
  <c r="B53" i="7"/>
  <c r="B39" i="7"/>
  <c r="B22" i="7" s="1"/>
  <c r="B23" i="7" l="1"/>
  <c r="B31" i="1"/>
  <c r="B40" i="7"/>
  <c r="B13" i="7" s="1"/>
  <c r="B26" i="1" s="1"/>
  <c r="D24" i="4"/>
  <c r="D26" i="4" s="1"/>
  <c r="B87" i="1" s="1"/>
  <c r="B90" i="1"/>
  <c r="B85" i="1"/>
  <c r="D16" i="4" s="1"/>
  <c r="D21" i="4" s="1"/>
  <c r="B86" i="1" l="1"/>
  <c r="B91" i="1"/>
  <c r="B41" i="7"/>
  <c r="B42" i="7" s="1"/>
  <c r="S13" i="4"/>
  <c r="T13" i="4" s="1"/>
  <c r="O16" i="4" s="1"/>
  <c r="D20" i="4"/>
  <c r="D19" i="4" s="1"/>
  <c r="Q8" i="4" s="1"/>
  <c r="B47" i="7" l="1"/>
  <c r="B14" i="7" s="1"/>
  <c r="B27" i="1" s="1"/>
  <c r="B9" i="7"/>
  <c r="T8" i="4"/>
  <c r="D18" i="4"/>
  <c r="Q7" i="4" s="1"/>
  <c r="Q9" i="4"/>
  <c r="T9" i="4" s="1"/>
  <c r="P9" i="4"/>
  <c r="S9" i="4" s="1"/>
  <c r="P8" i="4"/>
  <c r="S8" i="4" s="1"/>
  <c r="B51" i="7" l="1"/>
  <c r="B52" i="7" s="1"/>
  <c r="B15" i="7" s="1"/>
  <c r="B28" i="1" s="1"/>
  <c r="P7" i="4"/>
  <c r="S7" i="4" s="1"/>
  <c r="T7" i="4"/>
  <c r="Q11" i="4"/>
  <c r="P11" i="4" l="1"/>
  <c r="B89" i="1" l="1"/>
  <c r="B88" i="1"/>
  <c r="B92" i="1" l="1"/>
  <c r="B57" i="1"/>
  <c r="B66" i="1" s="1"/>
  <c r="B58" i="1"/>
  <c r="B74" i="1"/>
  <c r="B78" i="1" s="1"/>
  <c r="B73" i="1"/>
  <c r="B82" i="1" s="1"/>
  <c r="B7" i="10" l="1"/>
  <c r="B80" i="1"/>
  <c r="B81" i="1" s="1"/>
  <c r="E6" i="10" l="1"/>
  <c r="E4" i="10"/>
  <c r="E5" i="10"/>
  <c r="B52" i="1" l="1"/>
  <c r="B62" i="1" s="1"/>
  <c r="B15" i="1"/>
  <c r="C9" i="9" s="1"/>
  <c r="C14" i="9" s="1"/>
  <c r="F21" i="9" s="1"/>
  <c r="C22" i="9" s="1"/>
  <c r="E22" i="9" s="1"/>
  <c r="B53" i="1" l="1"/>
  <c r="B64" i="1"/>
  <c r="B65" i="1" s="1"/>
  <c r="B23" i="1"/>
  <c r="C23" i="9"/>
  <c r="C24" i="9" s="1"/>
  <c r="D24" i="9" s="1"/>
  <c r="B26" i="9" l="1"/>
  <c r="B27" i="9"/>
  <c r="B28" i="9"/>
  <c r="C41" i="9"/>
  <c r="C31" i="9" l="1"/>
  <c r="B38" i="9" s="1"/>
  <c r="B32" i="9" l="1"/>
  <c r="C34" i="9"/>
  <c r="D31" i="9"/>
  <c r="B34" i="9"/>
  <c r="E31" i="9"/>
  <c r="C36" i="9" s="1"/>
  <c r="C44" i="9" s="1"/>
  <c r="E44" i="9" s="1"/>
  <c r="C49" i="9" s="1"/>
  <c r="E48" i="9" l="1"/>
  <c r="B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Eduardo Godoy Ferreira</author>
  </authors>
  <commentList>
    <comment ref="L35" authorId="0" shapeId="0" xr:uid="{22BD783C-E0BE-4287-BF4C-61A406FE96C5}">
      <text>
        <r>
          <rPr>
            <b/>
            <sz val="9"/>
            <color indexed="81"/>
            <rFont val="Segoe UI"/>
            <family val="2"/>
          </rPr>
          <t>Carlos Eduardo Godoy Ferreira:</t>
        </r>
        <r>
          <rPr>
            <sz val="9"/>
            <color indexed="81"/>
            <rFont val="Segoe UI"/>
            <family val="2"/>
          </rPr>
          <t xml:space="preserve">
Momento em pilar biapoiado no comprimento indicado</t>
        </r>
      </text>
    </comment>
    <comment ref="L39" authorId="0" shapeId="0" xr:uid="{3BAEEEE5-0A33-4A3E-9D2E-9063579A261D}">
      <text>
        <r>
          <rPr>
            <b/>
            <sz val="9"/>
            <color indexed="81"/>
            <rFont val="Segoe UI"/>
            <family val="2"/>
          </rPr>
          <t>Carlos Eduardo Godoy Ferreira:</t>
        </r>
        <r>
          <rPr>
            <sz val="9"/>
            <color indexed="81"/>
            <rFont val="Segoe UI"/>
            <family val="2"/>
          </rPr>
          <t xml:space="preserve">
Momento em pilar biapoiado no comprimento indicado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<sst xmlns="http://schemas.openxmlformats.org/spreadsheetml/2006/main" count="559" uniqueCount="298">
  <si>
    <t>Peso específico (γ):</t>
  </si>
  <si>
    <t>Coesão [c]:</t>
  </si>
  <si>
    <t>Ângulo de atrito (φ):</t>
  </si>
  <si>
    <t>KN/m²</t>
  </si>
  <si>
    <t>Kpa</t>
  </si>
  <si>
    <t>KN/m³</t>
  </si>
  <si>
    <t>m</t>
  </si>
  <si>
    <t>KN/m</t>
  </si>
  <si>
    <t>Ea(total)=Ea.D</t>
  </si>
  <si>
    <t>KN</t>
  </si>
  <si>
    <t>Tf</t>
  </si>
  <si>
    <t>Ponto de aplicação=B/3</t>
  </si>
  <si>
    <t>Tensão A=</t>
  </si>
  <si>
    <t>Tensão B=</t>
  </si>
  <si>
    <t>Kgf.m</t>
  </si>
  <si>
    <t>dimensões viga (h):</t>
  </si>
  <si>
    <t>dimensões viga (b):</t>
  </si>
  <si>
    <t>cm</t>
  </si>
  <si>
    <t>As mín:</t>
  </si>
  <si>
    <t>cm²</t>
  </si>
  <si>
    <t>Kc=(b.d²)/Md</t>
  </si>
  <si>
    <t>d:</t>
  </si>
  <si>
    <t>Ø barra:</t>
  </si>
  <si>
    <t>mm</t>
  </si>
  <si>
    <t>estribo:</t>
  </si>
  <si>
    <t>cobrimento:</t>
  </si>
  <si>
    <t>*ver tabela</t>
  </si>
  <si>
    <t>Ks (tabela):</t>
  </si>
  <si>
    <t>As cálculado:</t>
  </si>
  <si>
    <t>Ø</t>
  </si>
  <si>
    <t>barras</t>
  </si>
  <si>
    <t>DIMENSIONAMENTO VIGA</t>
  </si>
  <si>
    <t>CÁLCULO DAS CARGAS</t>
  </si>
  <si>
    <t>DIMENSIONAMENTO PILAR</t>
  </si>
  <si>
    <t>dimensões pilar (h):</t>
  </si>
  <si>
    <t>dimensões pilar (b):</t>
  </si>
  <si>
    <t>Qtd de barras mínima:</t>
  </si>
  <si>
    <t>Qtd de barras cálculado:</t>
  </si>
  <si>
    <t>Momento fletor (Mk):</t>
  </si>
  <si>
    <t>Peso PILAR</t>
  </si>
  <si>
    <t>Peso VIGA</t>
  </si>
  <si>
    <t xml:space="preserve"> </t>
  </si>
  <si>
    <t>Materiais Para Assentamento de tijolo furado</t>
  </si>
  <si>
    <t>- Incluída perda de 7% para tijolos</t>
  </si>
  <si>
    <t>ASSENTAMENTO</t>
  </si>
  <si>
    <t>1 BETONEIRA</t>
  </si>
  <si>
    <t>- Descontar a área das portas e janelas da área da parede</t>
  </si>
  <si>
    <t>TRAÇO EM LATAS DE 18L</t>
  </si>
  <si>
    <t>10L</t>
  </si>
  <si>
    <t>18L</t>
  </si>
  <si>
    <t>- A junta entre os tijolos normalmente é de 1,5 cm</t>
  </si>
  <si>
    <t>CIMENTO</t>
  </si>
  <si>
    <t>Proporção de Cimento</t>
  </si>
  <si>
    <t>CAL</t>
  </si>
  <si>
    <t>Proporção de Cal</t>
  </si>
  <si>
    <t>AREIA</t>
  </si>
  <si>
    <t>Proporção de Areia</t>
  </si>
  <si>
    <t xml:space="preserve">Largura da Junta </t>
  </si>
  <si>
    <t>ÁGUA</t>
  </si>
  <si>
    <t>VOLUME DE ARGAMASSA</t>
  </si>
  <si>
    <t>Largura Tijolo</t>
  </si>
  <si>
    <t>ÁGUA/CIMENTO</t>
  </si>
  <si>
    <t>M³/M²</t>
  </si>
  <si>
    <t>TOTAL M³</t>
  </si>
  <si>
    <t>Altura Tijolo</t>
  </si>
  <si>
    <t>Comprimento Tijolo</t>
  </si>
  <si>
    <t>QTD</t>
  </si>
  <si>
    <t>BETONEIRA 400L (350L)</t>
  </si>
  <si>
    <t>Área de Parede</t>
  </si>
  <si>
    <t>m2</t>
  </si>
  <si>
    <t>Resultado:</t>
  </si>
  <si>
    <t>Quantidade de cimento</t>
  </si>
  <si>
    <t>saco de 50 kg</t>
  </si>
  <si>
    <t>Quantidade de cal</t>
  </si>
  <si>
    <t>saco de 20 Kg</t>
  </si>
  <si>
    <t>Quantidade de areia</t>
  </si>
  <si>
    <t>m3</t>
  </si>
  <si>
    <t>Quantidade de tijolos</t>
  </si>
  <si>
    <t>unidades</t>
  </si>
  <si>
    <t>Área de alvenaria</t>
  </si>
  <si>
    <t>m²</t>
  </si>
  <si>
    <t>Peso dos BlOCOS</t>
  </si>
  <si>
    <t>Peso do bloco</t>
  </si>
  <si>
    <t>kg</t>
  </si>
  <si>
    <t>Peso SAPATA</t>
  </si>
  <si>
    <t>GRAUTE</t>
  </si>
  <si>
    <t>QTD DE GRAUTES</t>
  </si>
  <si>
    <t>ÁREA DO SEPTO</t>
  </si>
  <si>
    <t>M²</t>
  </si>
  <si>
    <t>GRAUTES</t>
  </si>
  <si>
    <t>VOLUME DE GRAUTE</t>
  </si>
  <si>
    <t>PESO ESPECÍFICO GRAUTE</t>
  </si>
  <si>
    <t>M³</t>
  </si>
  <si>
    <t>Peso GRAUTE</t>
  </si>
  <si>
    <t>Peso total da seção do muro</t>
  </si>
  <si>
    <t>barras/ lado</t>
  </si>
  <si>
    <t>Momento fletor (Md):</t>
  </si>
  <si>
    <t>Momento fletor (Md) (Ver no Eberick):</t>
  </si>
  <si>
    <t>Argila/ Silte Fofo(SPT 5-)</t>
  </si>
  <si>
    <t>Argila/ Silte Média(SPT 6-9)</t>
  </si>
  <si>
    <t>Argila/ Silte Rijo(SPT 10-19)</t>
  </si>
  <si>
    <t>Argila/ Silte Duro(SPT 20+)</t>
  </si>
  <si>
    <t>Areia Fofa(SPT 8-)</t>
  </si>
  <si>
    <t>Areia Média(SPT 9-18)</t>
  </si>
  <si>
    <t>Areia Compacta(SPT 19-39)</t>
  </si>
  <si>
    <t>Areia Muito Compacta(SPT 40+)</t>
  </si>
  <si>
    <t>SOLO</t>
  </si>
  <si>
    <t>TIPO DE SOLO</t>
  </si>
  <si>
    <t>SPT</t>
  </si>
  <si>
    <t>coesão KN/M²</t>
  </si>
  <si>
    <t>ângulo de atrito</t>
  </si>
  <si>
    <t>fonte: Alonso (1943)</t>
  </si>
  <si>
    <t>γ (KN/m³)</t>
  </si>
  <si>
    <t>NSPT (laudo de sondagem)</t>
  </si>
  <si>
    <r>
      <rPr>
        <sz val="12"/>
        <color theme="0" tint="-0.34998626667073579"/>
        <rFont val="Calibri"/>
        <family val="2"/>
        <scheme val="minor"/>
      </rPr>
      <t>Tensão</t>
    </r>
    <r>
      <rPr>
        <sz val="16"/>
        <color theme="0" tint="-0.34998626667073579"/>
        <rFont val="Calibri"/>
        <family val="2"/>
        <scheme val="minor"/>
      </rPr>
      <t xml:space="preserve"> (σ</t>
    </r>
    <r>
      <rPr>
        <sz val="11"/>
        <color theme="0" tint="-0.34998626667073579"/>
        <rFont val="Calibri"/>
        <family val="2"/>
        <scheme val="minor"/>
      </rPr>
      <t>a): KN/m²</t>
    </r>
  </si>
  <si>
    <t>cm/cm</t>
  </si>
  <si>
    <t>PESO PRÓPRIO</t>
  </si>
  <si>
    <t>Solo</t>
  </si>
  <si>
    <t>K</t>
  </si>
  <si>
    <t>y</t>
  </si>
  <si>
    <t>C</t>
  </si>
  <si>
    <t>Área efeitva:</t>
  </si>
  <si>
    <t>Peso do bloco:</t>
  </si>
  <si>
    <t>tf/m</t>
  </si>
  <si>
    <t>Fc:</t>
  </si>
  <si>
    <t>Mpa</t>
  </si>
  <si>
    <t>Área por metro:</t>
  </si>
  <si>
    <t>Peso Grout:</t>
  </si>
  <si>
    <t>Espessura blocos</t>
  </si>
  <si>
    <t>Fyk:</t>
  </si>
  <si>
    <t>Fcd:</t>
  </si>
  <si>
    <t>tf/cm²</t>
  </si>
  <si>
    <t>Espessura parede do bloco:</t>
  </si>
  <si>
    <t>Fyd:</t>
  </si>
  <si>
    <t>Nrd:</t>
  </si>
  <si>
    <t>Largura do bloco:</t>
  </si>
  <si>
    <t>Empuxo ativo:</t>
  </si>
  <si>
    <t>tf/m²</t>
  </si>
  <si>
    <t>Coesão</t>
  </si>
  <si>
    <t>Altura efetiva:</t>
  </si>
  <si>
    <t>MOMENTO FLETOR</t>
  </si>
  <si>
    <t>tf.cm/m</t>
  </si>
  <si>
    <t>Momento abaixo do limite?</t>
  </si>
  <si>
    <t>μ (mi)</t>
  </si>
  <si>
    <t>Resiste ao cisalhamento?</t>
  </si>
  <si>
    <t>ξ (xi)</t>
  </si>
  <si>
    <t>Resiste a carga gravitacional?</t>
  </si>
  <si>
    <t>Área de aço (As)</t>
  </si>
  <si>
    <t>cm²/m</t>
  </si>
  <si>
    <t>As barra:</t>
  </si>
  <si>
    <t>Ø Barra:</t>
  </si>
  <si>
    <t>Espaçamento a cada:</t>
  </si>
  <si>
    <t>furos</t>
  </si>
  <si>
    <t>CISALHAMENTO</t>
  </si>
  <si>
    <t>Tf/m</t>
  </si>
  <si>
    <t>Vr:</t>
  </si>
  <si>
    <t>Distância entre pilares:</t>
  </si>
  <si>
    <t>Momento - base do pilar:</t>
  </si>
  <si>
    <t>kgf.m</t>
  </si>
  <si>
    <t>Força horizontal - base pilar:</t>
  </si>
  <si>
    <t>tf</t>
  </si>
  <si>
    <t>Carga no pilar (lançar no pilar)</t>
  </si>
  <si>
    <t>Md (aplicar na fundação):</t>
  </si>
  <si>
    <t>Vd (aplicar na fundação):</t>
  </si>
  <si>
    <t>N/m (aplicar no baldrame):</t>
  </si>
  <si>
    <t>Esbeltez da alvenaria abaixo do limite?</t>
  </si>
  <si>
    <t>Esbeltez da alvenaria:</t>
  </si>
  <si>
    <t>Esbeltez do pilar:</t>
  </si>
  <si>
    <t>Esbeltez do pilar abaixo do limite?</t>
  </si>
  <si>
    <t>Espessura dos blocos:</t>
  </si>
  <si>
    <t>FECHAMENTO DA ALVENARIA/ MURO APENAS DE BLOCO</t>
  </si>
  <si>
    <t>EMPUXO NA ALVENARIA</t>
  </si>
  <si>
    <t>K (coeficiente de empuxo ativo)</t>
  </si>
  <si>
    <t>Ka</t>
  </si>
  <si>
    <t>fator c</t>
  </si>
  <si>
    <t>Altura efetiva da contenção:</t>
  </si>
  <si>
    <t>Peso alvenaria (aplicar no baldrame)</t>
  </si>
  <si>
    <t>kgf/m</t>
  </si>
  <si>
    <t>Pa=σa.Ka - 2.c.√Ka</t>
  </si>
  <si>
    <t>Estimativa de Parâmetros dos Solos - Argilas/ Areias - CURSO DOMINE ENGENHARIA ESTRUTURAL V2.0</t>
  </si>
  <si>
    <t>Quantidade de blocos entre pilares</t>
  </si>
  <si>
    <t>blocos</t>
  </si>
  <si>
    <t>Altura pilar (H):</t>
  </si>
  <si>
    <t>Ea=(Pa.H)/2</t>
  </si>
  <si>
    <t>Fechamento da alvenaria (até 2 metros)</t>
  </si>
  <si>
    <t>AVISOS</t>
  </si>
  <si>
    <t>Momento alvenaria abaixo do limite?</t>
  </si>
  <si>
    <t>Alvenaria resiste ao cisalhamento?</t>
  </si>
  <si>
    <t>Alvenaria resiste a carga gravitacional?</t>
  </si>
  <si>
    <t>Resistência a compressão bloco</t>
  </si>
  <si>
    <t>Distância entre pilares (D):</t>
  </si>
  <si>
    <t>DADOS SOLO E PILARES:</t>
  </si>
  <si>
    <t>DADOS FECHAMENTO EM ALVENARIA:</t>
  </si>
  <si>
    <t>Solo se autosustenta?</t>
  </si>
  <si>
    <t>Considerar solo coesivo?</t>
  </si>
  <si>
    <t>Sim</t>
  </si>
  <si>
    <t>Não</t>
  </si>
  <si>
    <t>Apenas 50% de coesão</t>
  </si>
  <si>
    <t>Aplicar carga em:</t>
  </si>
  <si>
    <t>Aplicar carga:</t>
  </si>
  <si>
    <t>....</t>
  </si>
  <si>
    <t>Fechamento de alvenaria:</t>
  </si>
  <si>
    <t>Altura do pilar do muro de arrimo</t>
  </si>
  <si>
    <t>Fator de Eficiência (%)</t>
  </si>
  <si>
    <t>fpk,oco</t>
  </si>
  <si>
    <r>
      <t>f</t>
    </r>
    <r>
      <rPr>
        <b/>
        <sz val="8"/>
        <rFont val="Arial"/>
        <family val="2"/>
      </rPr>
      <t xml:space="preserve">pk,cheio </t>
    </r>
    <r>
      <rPr>
        <b/>
        <sz val="10"/>
        <rFont val="Arial"/>
        <family val="2"/>
      </rPr>
      <t>/ f</t>
    </r>
    <r>
      <rPr>
        <b/>
        <sz val="8"/>
        <rFont val="Arial"/>
        <family val="2"/>
      </rPr>
      <t>pk,oco</t>
    </r>
    <r>
      <rPr>
        <b/>
        <sz val="10"/>
        <rFont val="Arial"/>
        <family val="2"/>
      </rPr>
      <t xml:space="preserve">         (%)</t>
    </r>
  </si>
  <si>
    <t>Porcentagem de graute</t>
  </si>
  <si>
    <t>fpk,cheio</t>
  </si>
  <si>
    <t>Mk</t>
  </si>
  <si>
    <t>KN.m</t>
  </si>
  <si>
    <t>Valores de cálculo</t>
  </si>
  <si>
    <t>fd</t>
  </si>
  <si>
    <t>kN/cm²</t>
  </si>
  <si>
    <t>fyd</t>
  </si>
  <si>
    <t>Md</t>
  </si>
  <si>
    <t>KN.cm</t>
  </si>
  <si>
    <t>Cálculo de εyd</t>
  </si>
  <si>
    <t>εyd</t>
  </si>
  <si>
    <t>Limíte dos domínios</t>
  </si>
  <si>
    <t>x2lim</t>
  </si>
  <si>
    <t>x3lim</t>
  </si>
  <si>
    <t>Cálculo de x</t>
  </si>
  <si>
    <t>x²        -</t>
  </si>
  <si>
    <t>x      +</t>
  </si>
  <si>
    <t>= 0</t>
  </si>
  <si>
    <t>Δ</t>
  </si>
  <si>
    <t>x</t>
  </si>
  <si>
    <t>βx</t>
  </si>
  <si>
    <t>Verificação do Domínio</t>
  </si>
  <si>
    <t>CÁLCULO DA TENSÃO NO AÇO</t>
  </si>
  <si>
    <t>σ s =</t>
  </si>
  <si>
    <t>σ s</t>
  </si>
  <si>
    <t>Cálculo de Rc</t>
  </si>
  <si>
    <t>Rc</t>
  </si>
  <si>
    <t>kN</t>
  </si>
  <si>
    <t>Cálculo de As</t>
  </si>
  <si>
    <t>As</t>
  </si>
  <si>
    <t>As,min</t>
  </si>
  <si>
    <t>φ</t>
  </si>
  <si>
    <t>C/</t>
  </si>
  <si>
    <t>espaçamento p/painéis</t>
  </si>
  <si>
    <t>n</t>
  </si>
  <si>
    <t>número de barras</t>
  </si>
  <si>
    <t>ALVENARIA ESTRUTURAL - FLEXÃO SIMPLES SEÇÃO RETANGULAR ARMADURA SIMPLES</t>
  </si>
  <si>
    <t>d (espessura - 5 cm)</t>
  </si>
  <si>
    <t>bw (largura da alvenaria</t>
  </si>
  <si>
    <t>Aço CA50</t>
  </si>
  <si>
    <t>Resistência característica do blocofbk (Mpa)</t>
  </si>
  <si>
    <t>Porcentagem de graute:</t>
  </si>
  <si>
    <t>%</t>
  </si>
  <si>
    <t>Momento solicitante (Mk) - Líbano</t>
  </si>
  <si>
    <t>Kn.m</t>
  </si>
  <si>
    <t>La</t>
  </si>
  <si>
    <t>Lb</t>
  </si>
  <si>
    <t>μ'x</t>
  </si>
  <si>
    <t>μx</t>
  </si>
  <si>
    <t>μy</t>
  </si>
  <si>
    <t>p</t>
  </si>
  <si>
    <t>l (menor entre La e Lb</t>
  </si>
  <si>
    <t>mμx</t>
  </si>
  <si>
    <t>mμ'x</t>
  </si>
  <si>
    <t>mμy</t>
  </si>
  <si>
    <t>Kn.m/m</t>
  </si>
  <si>
    <t>Momento no Pilar</t>
  </si>
  <si>
    <t>Ka = tan²(45 - φ/2)</t>
  </si>
  <si>
    <t>Ka = tan²(45 - 30/2) = tan²(30) = 0.33 </t>
  </si>
  <si>
    <t>kN/m</t>
  </si>
  <si>
    <t>Carga Placa 1 h100cm</t>
  </si>
  <si>
    <t>Carga Placa 2 h100cm</t>
  </si>
  <si>
    <t>Carga Placa 3 h100cm</t>
  </si>
  <si>
    <t>Carga Placa 4 h100cm</t>
  </si>
  <si>
    <t>Carga Placa 5 h100cm</t>
  </si>
  <si>
    <t>Carga Placa 6 h100cm</t>
  </si>
  <si>
    <t>Sc</t>
  </si>
  <si>
    <t>kN/m²</t>
  </si>
  <si>
    <t>Pa,sup</t>
  </si>
  <si>
    <t>h,eq</t>
  </si>
  <si>
    <t>Pa,inf</t>
  </si>
  <si>
    <t>Momento máximo</t>
  </si>
  <si>
    <t>kN*m</t>
  </si>
  <si>
    <t>Momento máximo variado</t>
  </si>
  <si>
    <t>Cota de verificação</t>
  </si>
  <si>
    <t>Momento Pilar biapoiado</t>
  </si>
  <si>
    <t>Momento Pilar engastado/livre</t>
  </si>
  <si>
    <t>em ajuste</t>
  </si>
  <si>
    <t>Pa</t>
  </si>
  <si>
    <t>bw,laje</t>
  </si>
  <si>
    <t>º</t>
  </si>
  <si>
    <t>h</t>
  </si>
  <si>
    <t>Pa = G</t>
  </si>
  <si>
    <t>Pa = Q</t>
  </si>
  <si>
    <t>Largura da laje.</t>
  </si>
  <si>
    <t>Altura equivalente ocasionada pela sobrecarga.</t>
  </si>
  <si>
    <t>Altura da contenção.</t>
  </si>
  <si>
    <t>Tensão atuante.</t>
  </si>
  <si>
    <t>Resultante na laje devido às cargas permanentes.</t>
  </si>
  <si>
    <t>Resultante na laje devido às cargas variáveis.</t>
  </si>
  <si>
    <t>Sobrecargas em lajes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</si>
</sst>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0000"/>
    <numFmt numFmtId="167" formatCode="0.000%"/>
    <numFmt numFmtId="168" formatCode="0.00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sz val="16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name val="Arial"/>
      <family val="2"/>
    </font>
    <font>
      <b/>
      <sz val="8"/>
      <name val="Arial"/>
      <family val="2"/>
    </font>
    <font>
      <i/>
      <sz val="11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i/>
      <sz val="11"/>
      <name val="Times New Roman"/>
      <family val="1"/>
    </font>
    <font>
      <i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i/>
      <u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sz val="14"/>
      <color theme="1"/>
      <name val="Calibri"/>
      <family val="2"/>
    </font>
    <font>
      <sz val="14"/>
      <name val="Arial"/>
      <family val="2"/>
    </font>
    <font>
      <sz val="8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2" tint="-9.9978637043366805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i/>
      <sz val="11"/>
      <color theme="1"/>
      <name val="Aptos Narrow"/>
      <family val="2"/>
    </font>
    <font>
      <i/>
      <sz val="11"/>
      <color rgb="FFFF0000"/>
      <name val="Aptos Narrow"/>
      <family val="2"/>
    </font>
    <font>
      <b/>
      <sz val="11"/>
      <color rgb="FFC00000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FFF2CC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 style="thin">
        <color rgb="FFFF0000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9" fontId="15" fillId="0" borderId="0" applyFont="0" applyFill="0" applyBorder="0" applyAlignment="0" applyProtection="0"/>
    <xf numFmtId="0" fontId="3" fillId="0" borderId="0"/>
  </cellStyleXfs>
  <cellXfs count="24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/>
    <xf numFmtId="0" fontId="0" fillId="0" borderId="7" xfId="0" applyBorder="1"/>
    <xf numFmtId="0" fontId="0" fillId="0" borderId="0" xfId="0" applyAlignment="1">
      <alignment horizontal="left"/>
    </xf>
    <xf numFmtId="0" fontId="0" fillId="0" borderId="7" xfId="0" applyBorder="1" applyAlignment="1">
      <alignment vertical="center"/>
    </xf>
    <xf numFmtId="0" fontId="0" fillId="0" borderId="0" xfId="0" applyAlignment="1">
      <alignment horizontal="left" vertical="center"/>
    </xf>
    <xf numFmtId="2" fontId="0" fillId="0" borderId="0" xfId="0" applyNumberFormat="1"/>
    <xf numFmtId="0" fontId="0" fillId="0" borderId="11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2" fillId="5" borderId="7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5" fillId="5" borderId="7" xfId="0" quotePrefix="1" applyFont="1" applyFill="1" applyBorder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9" xfId="0" applyFont="1" applyFill="1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5" borderId="0" xfId="0" applyFill="1" applyAlignment="1">
      <alignment horizontal="left"/>
    </xf>
    <xf numFmtId="0" fontId="0" fillId="5" borderId="9" xfId="0" applyFill="1" applyBorder="1" applyAlignment="1">
      <alignment horizontal="left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0" borderId="18" xfId="0" applyNumberFormat="1" applyBorder="1" applyAlignment="1">
      <alignment horizontal="center"/>
    </xf>
    <xf numFmtId="0" fontId="0" fillId="6" borderId="14" xfId="0" applyFill="1" applyBorder="1"/>
    <xf numFmtId="0" fontId="0" fillId="6" borderId="15" xfId="0" applyFill="1" applyBorder="1"/>
    <xf numFmtId="0" fontId="0" fillId="6" borderId="19" xfId="0" applyFill="1" applyBorder="1" applyProtection="1">
      <protection locked="0"/>
    </xf>
    <xf numFmtId="0" fontId="0" fillId="6" borderId="5" xfId="0" applyFill="1" applyBorder="1"/>
    <xf numFmtId="0" fontId="0" fillId="6" borderId="8" xfId="0" applyFill="1" applyBorder="1"/>
    <xf numFmtId="164" fontId="0" fillId="0" borderId="20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0" fontId="0" fillId="6" borderId="20" xfId="0" applyFill="1" applyBorder="1"/>
    <xf numFmtId="0" fontId="0" fillId="6" borderId="21" xfId="0" applyFill="1" applyBorder="1"/>
    <xf numFmtId="0" fontId="0" fillId="6" borderId="23" xfId="0" applyFill="1" applyBorder="1" applyProtection="1">
      <protection locked="0"/>
    </xf>
    <xf numFmtId="0" fontId="0" fillId="6" borderId="0" xfId="0" applyFill="1"/>
    <xf numFmtId="0" fontId="0" fillId="6" borderId="9" xfId="0" applyFill="1" applyBorder="1"/>
    <xf numFmtId="164" fontId="0" fillId="0" borderId="24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164" fontId="0" fillId="0" borderId="29" xfId="0" applyNumberFormat="1" applyBorder="1" applyAlignment="1">
      <alignment horizontal="center"/>
    </xf>
    <xf numFmtId="164" fontId="0" fillId="0" borderId="30" xfId="0" applyNumberFormat="1" applyBorder="1"/>
    <xf numFmtId="164" fontId="0" fillId="0" borderId="0" xfId="0" applyNumberFormat="1"/>
    <xf numFmtId="165" fontId="0" fillId="0" borderId="20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6" borderId="35" xfId="0" applyFill="1" applyBorder="1" applyProtection="1">
      <protection locked="0"/>
    </xf>
    <xf numFmtId="0" fontId="0" fillId="6" borderId="36" xfId="0" applyFill="1" applyBorder="1"/>
    <xf numFmtId="0" fontId="0" fillId="6" borderId="37" xfId="0" applyFill="1" applyBorder="1"/>
    <xf numFmtId="0" fontId="0" fillId="0" borderId="28" xfId="0" applyBorder="1" applyAlignment="1">
      <alignment horizontal="center"/>
    </xf>
    <xf numFmtId="0" fontId="6" fillId="7" borderId="7" xfId="0" applyFont="1" applyFill="1" applyBorder="1"/>
    <xf numFmtId="0" fontId="0" fillId="7" borderId="0" xfId="0" applyFill="1"/>
    <xf numFmtId="0" fontId="0" fillId="7" borderId="9" xfId="0" applyFill="1" applyBorder="1"/>
    <xf numFmtId="0" fontId="0" fillId="7" borderId="20" xfId="0" applyFill="1" applyBorder="1"/>
    <xf numFmtId="0" fontId="0" fillId="7" borderId="3" xfId="0" applyFill="1" applyBorder="1"/>
    <xf numFmtId="164" fontId="0" fillId="8" borderId="3" xfId="0" applyNumberFormat="1" applyFill="1" applyBorder="1"/>
    <xf numFmtId="0" fontId="0" fillId="7" borderId="38" xfId="0" applyFill="1" applyBorder="1"/>
    <xf numFmtId="0" fontId="0" fillId="7" borderId="39" xfId="0" applyFill="1" applyBorder="1"/>
    <xf numFmtId="0" fontId="0" fillId="7" borderId="24" xfId="0" applyFill="1" applyBorder="1"/>
    <xf numFmtId="0" fontId="0" fillId="7" borderId="40" xfId="0" applyFill="1" applyBorder="1"/>
    <xf numFmtId="1" fontId="0" fillId="8" borderId="40" xfId="0" applyNumberFormat="1" applyFill="1" applyBorder="1"/>
    <xf numFmtId="0" fontId="0" fillId="7" borderId="6" xfId="0" applyFill="1" applyBorder="1"/>
    <xf numFmtId="0" fontId="0" fillId="7" borderId="10" xfId="0" applyFill="1" applyBorder="1"/>
    <xf numFmtId="0" fontId="5" fillId="0" borderId="0" xfId="0" quotePrefix="1" applyFont="1"/>
    <xf numFmtId="0" fontId="0" fillId="0" borderId="0" xfId="0" applyProtection="1">
      <protection locked="0"/>
    </xf>
    <xf numFmtId="0" fontId="6" fillId="0" borderId="0" xfId="0" applyFont="1"/>
    <xf numFmtId="0" fontId="5" fillId="0" borderId="0" xfId="0" applyFont="1"/>
    <xf numFmtId="2" fontId="0" fillId="0" borderId="0" xfId="0" applyNumberFormat="1" applyAlignment="1">
      <alignment horizontal="right" vertical="center"/>
    </xf>
    <xf numFmtId="1" fontId="0" fillId="0" borderId="0" xfId="0" applyNumberFormat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left" vertical="center"/>
    </xf>
    <xf numFmtId="1" fontId="0" fillId="0" borderId="3" xfId="0" applyNumberFormat="1" applyBorder="1"/>
    <xf numFmtId="1" fontId="0" fillId="0" borderId="3" xfId="0" applyNumberFormat="1" applyBorder="1" applyAlignment="1">
      <alignment horizontal="center"/>
    </xf>
    <xf numFmtId="0" fontId="0" fillId="9" borderId="0" xfId="0" applyFill="1"/>
    <xf numFmtId="0" fontId="0" fillId="9" borderId="9" xfId="0" applyFill="1" applyBorder="1"/>
    <xf numFmtId="0" fontId="0" fillId="9" borderId="0" xfId="0" applyFill="1" applyAlignment="1">
      <alignment vertical="center"/>
    </xf>
    <xf numFmtId="2" fontId="0" fillId="0" borderId="3" xfId="0" applyNumberFormat="1" applyBorder="1"/>
    <xf numFmtId="0" fontId="8" fillId="0" borderId="7" xfId="0" applyFont="1" applyBorder="1"/>
    <xf numFmtId="2" fontId="8" fillId="0" borderId="0" xfId="0" applyNumberFormat="1" applyFont="1"/>
    <xf numFmtId="0" fontId="9" fillId="0" borderId="7" xfId="0" applyFont="1" applyBorder="1" applyAlignment="1">
      <alignment horizontal="left" vertical="top" wrapText="1"/>
    </xf>
    <xf numFmtId="2" fontId="9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left"/>
    </xf>
    <xf numFmtId="0" fontId="9" fillId="0" borderId="7" xfId="0" applyFont="1" applyBorder="1"/>
    <xf numFmtId="2" fontId="9" fillId="0" borderId="0" xfId="0" applyNumberFormat="1" applyFont="1"/>
    <xf numFmtId="0" fontId="9" fillId="0" borderId="7" xfId="0" applyFont="1" applyBorder="1" applyAlignment="1">
      <alignment wrapText="1"/>
    </xf>
    <xf numFmtId="0" fontId="9" fillId="0" borderId="0" xfId="0" applyFont="1"/>
    <xf numFmtId="0" fontId="7" fillId="0" borderId="0" xfId="0" applyFont="1"/>
    <xf numFmtId="0" fontId="8" fillId="0" borderId="0" xfId="0" applyFont="1"/>
    <xf numFmtId="165" fontId="8" fillId="0" borderId="0" xfId="0" applyNumberFormat="1" applyFont="1"/>
    <xf numFmtId="0" fontId="8" fillId="0" borderId="0" xfId="0" applyFont="1" applyAlignment="1">
      <alignment horizontal="center"/>
    </xf>
    <xf numFmtId="164" fontId="8" fillId="0" borderId="0" xfId="0" applyNumberFormat="1" applyFont="1"/>
    <xf numFmtId="0" fontId="12" fillId="0" borderId="0" xfId="0" applyFont="1"/>
    <xf numFmtId="0" fontId="12" fillId="0" borderId="7" xfId="0" applyFont="1" applyBorder="1"/>
    <xf numFmtId="0" fontId="14" fillId="0" borderId="7" xfId="0" applyFont="1" applyBorder="1"/>
    <xf numFmtId="2" fontId="14" fillId="0" borderId="0" xfId="0" applyNumberFormat="1" applyFont="1"/>
    <xf numFmtId="0" fontId="7" fillId="0" borderId="0" xfId="0" applyFont="1" applyAlignment="1">
      <alignment horizontal="left"/>
    </xf>
    <xf numFmtId="0" fontId="0" fillId="4" borderId="13" xfId="0" applyFill="1" applyBorder="1" applyAlignment="1">
      <alignment horizontal="center"/>
    </xf>
    <xf numFmtId="0" fontId="0" fillId="4" borderId="13" xfId="0" applyFill="1" applyBorder="1" applyAlignment="1">
      <alignment horizontal="right"/>
    </xf>
    <xf numFmtId="164" fontId="0" fillId="4" borderId="13" xfId="0" applyNumberFormat="1" applyFill="1" applyBorder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0" fillId="4" borderId="13" xfId="0" applyFill="1" applyBorder="1"/>
    <xf numFmtId="0" fontId="14" fillId="0" borderId="0" xfId="0" applyFont="1" applyAlignment="1">
      <alignment horizontal="left"/>
    </xf>
    <xf numFmtId="0" fontId="8" fillId="0" borderId="9" xfId="0" applyFont="1" applyBorder="1"/>
    <xf numFmtId="0" fontId="8" fillId="0" borderId="11" xfId="0" applyFont="1" applyBorder="1"/>
    <xf numFmtId="1" fontId="8" fillId="0" borderId="6" xfId="0" applyNumberFormat="1" applyFont="1" applyBorder="1"/>
    <xf numFmtId="0" fontId="8" fillId="0" borderId="6" xfId="0" applyFont="1" applyBorder="1"/>
    <xf numFmtId="0" fontId="8" fillId="0" borderId="10" xfId="0" applyFont="1" applyBorder="1"/>
    <xf numFmtId="0" fontId="12" fillId="0" borderId="12" xfId="0" applyFont="1" applyBorder="1"/>
    <xf numFmtId="0" fontId="12" fillId="0" borderId="8" xfId="0" applyFont="1" applyBorder="1"/>
    <xf numFmtId="0" fontId="12" fillId="0" borderId="9" xfId="0" applyFont="1" applyBorder="1"/>
    <xf numFmtId="0" fontId="12" fillId="0" borderId="11" xfId="0" applyFont="1" applyBorder="1"/>
    <xf numFmtId="0" fontId="12" fillId="0" borderId="10" xfId="0" applyFont="1" applyBorder="1"/>
    <xf numFmtId="0" fontId="8" fillId="0" borderId="12" xfId="0" applyFont="1" applyBorder="1"/>
    <xf numFmtId="0" fontId="8" fillId="0" borderId="5" xfId="0" applyFont="1" applyBorder="1"/>
    <xf numFmtId="0" fontId="8" fillId="0" borderId="8" xfId="0" applyFont="1" applyBorder="1"/>
    <xf numFmtId="2" fontId="8" fillId="0" borderId="5" xfId="0" applyNumberFormat="1" applyFont="1" applyBorder="1"/>
    <xf numFmtId="0" fontId="12" fillId="0" borderId="5" xfId="0" applyFont="1" applyBorder="1"/>
    <xf numFmtId="2" fontId="8" fillId="0" borderId="6" xfId="0" applyNumberFormat="1" applyFont="1" applyBorder="1"/>
    <xf numFmtId="165" fontId="8" fillId="0" borderId="6" xfId="0" applyNumberFormat="1" applyFont="1" applyBorder="1"/>
    <xf numFmtId="0" fontId="8" fillId="0" borderId="1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1" fontId="14" fillId="0" borderId="0" xfId="0" applyNumberFormat="1" applyFont="1" applyAlignment="1">
      <alignment horizontal="right"/>
    </xf>
    <xf numFmtId="164" fontId="0" fillId="0" borderId="6" xfId="0" applyNumberFormat="1" applyBorder="1"/>
    <xf numFmtId="0" fontId="12" fillId="0" borderId="1" xfId="0" applyFont="1" applyBorder="1"/>
    <xf numFmtId="2" fontId="0" fillId="0" borderId="3" xfId="0" applyNumberFormat="1" applyBorder="1" applyAlignment="1">
      <alignment horizontal="center"/>
    </xf>
    <xf numFmtId="0" fontId="13" fillId="0" borderId="0" xfId="0" applyFont="1" applyAlignment="1">
      <alignment horizontal="center" vertical="center"/>
    </xf>
    <xf numFmtId="167" fontId="20" fillId="5" borderId="0" xfId="2" applyNumberFormat="1" applyFont="1" applyFill="1" applyBorder="1"/>
    <xf numFmtId="9" fontId="0" fillId="4" borderId="13" xfId="2" applyFont="1" applyFill="1" applyBorder="1" applyAlignment="1">
      <alignment horizontal="right"/>
    </xf>
    <xf numFmtId="2" fontId="7" fillId="0" borderId="0" xfId="0" applyNumberFormat="1" applyFont="1"/>
    <xf numFmtId="0" fontId="17" fillId="5" borderId="0" xfId="0" applyFont="1" applyFill="1"/>
    <xf numFmtId="0" fontId="17" fillId="0" borderId="0" xfId="0" applyFont="1"/>
    <xf numFmtId="164" fontId="0" fillId="4" borderId="0" xfId="0" applyNumberFormat="1" applyFill="1" applyAlignment="1">
      <alignment horizontal="right"/>
    </xf>
    <xf numFmtId="0" fontId="16" fillId="5" borderId="0" xfId="0" applyFont="1" applyFill="1" applyAlignment="1">
      <alignment horizontal="left"/>
    </xf>
    <xf numFmtId="9" fontId="0" fillId="4" borderId="0" xfId="2" applyFont="1" applyFill="1" applyBorder="1" applyAlignment="1">
      <alignment horizontal="right"/>
    </xf>
    <xf numFmtId="0" fontId="16" fillId="10" borderId="0" xfId="0" applyFont="1" applyFill="1" applyAlignment="1">
      <alignment horizontal="left"/>
    </xf>
    <xf numFmtId="0" fontId="17" fillId="10" borderId="0" xfId="0" applyFont="1" applyFill="1"/>
    <xf numFmtId="0" fontId="20" fillId="5" borderId="0" xfId="0" applyFont="1" applyFill="1"/>
    <xf numFmtId="0" fontId="14" fillId="0" borderId="0" xfId="0" applyFont="1"/>
    <xf numFmtId="165" fontId="20" fillId="5" borderId="0" xfId="0" applyNumberFormat="1" applyFont="1" applyFill="1"/>
    <xf numFmtId="0" fontId="22" fillId="5" borderId="0" xfId="0" applyFont="1" applyFill="1"/>
    <xf numFmtId="2" fontId="22" fillId="5" borderId="0" xfId="0" applyNumberFormat="1" applyFont="1" applyFill="1"/>
    <xf numFmtId="0" fontId="23" fillId="5" borderId="0" xfId="0" applyFont="1" applyFill="1"/>
    <xf numFmtId="0" fontId="24" fillId="0" borderId="0" xfId="0" applyFont="1"/>
    <xf numFmtId="0" fontId="20" fillId="11" borderId="0" xfId="0" applyFont="1" applyFill="1"/>
    <xf numFmtId="0" fontId="16" fillId="11" borderId="0" xfId="0" applyFont="1" applyFill="1"/>
    <xf numFmtId="2" fontId="20" fillId="5" borderId="0" xfId="0" applyNumberFormat="1" applyFont="1" applyFill="1"/>
    <xf numFmtId="0" fontId="20" fillId="5" borderId="0" xfId="0" quotePrefix="1" applyFont="1" applyFill="1"/>
    <xf numFmtId="2" fontId="20" fillId="11" borderId="0" xfId="0" applyNumberFormat="1" applyFont="1" applyFill="1"/>
    <xf numFmtId="2" fontId="26" fillId="5" borderId="0" xfId="0" applyNumberFormat="1" applyFont="1" applyFill="1"/>
    <xf numFmtId="0" fontId="26" fillId="5" borderId="0" xfId="0" applyFont="1" applyFill="1"/>
    <xf numFmtId="0" fontId="27" fillId="0" borderId="0" xfId="0" applyFont="1" applyAlignment="1">
      <alignment horizontal="center"/>
    </xf>
    <xf numFmtId="0" fontId="17" fillId="12" borderId="0" xfId="0" applyFont="1" applyFill="1"/>
    <xf numFmtId="0" fontId="17" fillId="0" borderId="0" xfId="0" applyFont="1" applyAlignment="1">
      <alignment horizontal="center"/>
    </xf>
    <xf numFmtId="164" fontId="17" fillId="0" borderId="0" xfId="0" applyNumberFormat="1" applyFont="1" applyAlignment="1">
      <alignment horizontal="left"/>
    </xf>
    <xf numFmtId="0" fontId="17" fillId="0" borderId="0" xfId="0" applyFont="1" applyAlignment="1">
      <alignment horizontal="right"/>
    </xf>
    <xf numFmtId="0" fontId="17" fillId="12" borderId="0" xfId="0" applyFont="1" applyFill="1" applyAlignment="1">
      <alignment horizontal="left"/>
    </xf>
    <xf numFmtId="0" fontId="12" fillId="0" borderId="3" xfId="0" applyFont="1" applyBorder="1"/>
    <xf numFmtId="0" fontId="8" fillId="0" borderId="3" xfId="0" applyFont="1" applyBorder="1"/>
    <xf numFmtId="0" fontId="7" fillId="0" borderId="3" xfId="0" applyFont="1" applyBorder="1"/>
    <xf numFmtId="0" fontId="23" fillId="11" borderId="0" xfId="0" applyFont="1" applyFill="1"/>
    <xf numFmtId="2" fontId="26" fillId="11" borderId="0" xfId="0" applyNumberFormat="1" applyFont="1" applyFill="1"/>
    <xf numFmtId="0" fontId="28" fillId="0" borderId="0" xfId="0" applyFont="1"/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wrapText="1"/>
    </xf>
    <xf numFmtId="1" fontId="7" fillId="0" borderId="0" xfId="0" applyNumberFormat="1" applyFont="1"/>
    <xf numFmtId="0" fontId="32" fillId="0" borderId="0" xfId="0" applyFont="1"/>
    <xf numFmtId="0" fontId="9" fillId="0" borderId="3" xfId="0" applyFont="1" applyBorder="1" applyAlignment="1">
      <alignment wrapText="1"/>
    </xf>
    <xf numFmtId="2" fontId="9" fillId="0" borderId="3" xfId="0" applyNumberFormat="1" applyFont="1" applyBorder="1"/>
    <xf numFmtId="0" fontId="9" fillId="0" borderId="3" xfId="0" applyFont="1" applyBorder="1" applyAlignment="1">
      <alignment horizontal="left" vertical="top" wrapText="1"/>
    </xf>
    <xf numFmtId="2" fontId="9" fillId="0" borderId="3" xfId="0" applyNumberFormat="1" applyFont="1" applyBorder="1" applyAlignment="1">
      <alignment horizontal="right" vertical="top" wrapText="1"/>
    </xf>
    <xf numFmtId="0" fontId="9" fillId="0" borderId="3" xfId="0" applyFont="1" applyBorder="1" applyAlignment="1">
      <alignment horizontal="left"/>
    </xf>
    <xf numFmtId="2" fontId="9" fillId="0" borderId="0" xfId="0" applyNumberFormat="1" applyFont="1" applyAlignment="1">
      <alignment horizontal="right" vertical="top" wrapText="1"/>
    </xf>
    <xf numFmtId="0" fontId="33" fillId="0" borderId="0" xfId="0" applyFont="1"/>
    <xf numFmtId="0" fontId="8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13" fillId="0" borderId="12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1" fillId="5" borderId="0" xfId="0" applyFont="1" applyFill="1" applyAlignment="1">
      <alignment horizontal="left"/>
    </xf>
    <xf numFmtId="0" fontId="17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25" fillId="5" borderId="0" xfId="0" applyFont="1" applyFill="1" applyAlignment="1">
      <alignment horizontal="left"/>
    </xf>
    <xf numFmtId="0" fontId="35" fillId="13" borderId="41" xfId="0" applyNumberFormat="1" applyFont="1" applyFill="1" applyBorder="1" applyAlignment="1">
      <alignment horizontal="center" vertical="center" wrapText="1"/>
    </xf>
    <xf numFmtId="0" fontId="36" fillId="0" borderId="0" xfId="0" applyNumberFormat="1" applyFont="1" applyFill="1" applyBorder="1" applyAlignment="1">
      <alignment horizontal="left" vertical="top" wrapText="1"/>
    </xf>
    <xf numFmtId="0" fontId="35" fillId="13" borderId="41" xfId="0" applyNumberFormat="1" applyFont="1" applyFill="1" applyBorder="1" applyAlignment="1">
      <alignment horizontal="left" vertical="center" indent="1"/>
    </xf>
    <xf numFmtId="0" fontId="35" fillId="0" borderId="0" xfId="0" applyNumberFormat="1" applyFont="1" applyFill="1" applyBorder="1" applyAlignment="1">
      <alignment horizontal="left" vertical="center"/>
    </xf>
    <xf numFmtId="0" fontId="34" fillId="0" borderId="0" xfId="0" applyNumberFormat="1" applyFont="1" applyFill="1" applyBorder="1" applyAlignment="1">
      <alignment horizontal="right" vertical="center"/>
    </xf>
    <xf numFmtId="0" fontId="34" fillId="13" borderId="41" xfId="0" applyNumberFormat="1" applyFont="1" applyFill="1" applyBorder="1" applyAlignment="1">
      <alignment horizontal="center" vertical="center"/>
    </xf>
    <xf numFmtId="168" fontId="34" fillId="13" borderId="41" xfId="0" applyNumberFormat="1" applyFont="1" applyFill="1" applyBorder="1" applyAlignment="1">
      <alignment horizontal="center" vertical="center"/>
    </xf>
    <xf numFmtId="165" fontId="34" fillId="13" borderId="41" xfId="0" applyNumberFormat="1" applyFont="1" applyFill="1" applyBorder="1" applyAlignment="1">
      <alignment horizontal="center" vertical="center"/>
    </xf>
    <xf numFmtId="168" fontId="34" fillId="0" borderId="41" xfId="0" applyNumberFormat="1" applyFont="1" applyFill="1" applyBorder="1" applyAlignment="1">
      <alignment horizontal="center" vertical="center"/>
    </xf>
    <xf numFmtId="165" fontId="34" fillId="0" borderId="41" xfId="0" applyNumberFormat="1" applyFont="1" applyFill="1" applyBorder="1" applyAlignment="1">
      <alignment horizontal="center" vertical="center"/>
    </xf>
    <xf numFmtId="1" fontId="34" fillId="0" borderId="41" xfId="0" applyNumberFormat="1" applyFont="1" applyFill="1" applyBorder="1" applyAlignment="1">
      <alignment horizontal="center" vertical="center"/>
    </xf>
    <xf numFmtId="0" fontId="35" fillId="0" borderId="41" xfId="0" applyNumberFormat="1" applyFont="1" applyFill="1" applyBorder="1" applyAlignment="1">
      <alignment horizontal="center" vertical="center"/>
    </xf>
    <xf numFmtId="0" fontId="36" fillId="0" borderId="0" xfId="0" applyNumberFormat="1" applyFont="1" applyFill="1" applyBorder="1" applyAlignment="1">
      <alignment horizontal="left"/>
    </xf>
    <xf numFmtId="0" fontId="37" fillId="0" borderId="41" xfId="0" applyNumberFormat="1" applyFont="1" applyFill="1" applyBorder="1" applyAlignment="1">
      <alignment horizontal="center" vertical="center"/>
    </xf>
    <xf numFmtId="0" fontId="36" fillId="0" borderId="0" xfId="0" applyNumberFormat="1" applyFont="1" applyFill="1" applyBorder="1" applyAlignment="1">
      <alignment/>
    </xf>
    <xf numFmtId="0" fontId="38" fillId="14" borderId="0" xfId="0" applyNumberFormat="1" applyFont="1" applyFill="1" applyBorder="1" applyAlignment="1">
      <alignment horizontal="left" vertical="top" wrapText="1"/>
    </xf>
    <xf numFmtId="0" fontId="35" fillId="13" borderId="41" xfId="0" applyNumberFormat="1" applyFont="1" applyFill="1" applyBorder="1" applyAlignment="1">
      <alignment horizontal="center" vertical="center" wrapText="1"/>
    </xf>
    <xf numFmtId="0" fontId="35" fillId="0" borderId="41" xfId="0" applyNumberFormat="1" applyFont="1" applyFill="1" applyBorder="1" applyAlignment="1">
      <alignment horizontal="center" vertical="center"/>
    </xf>
    <xf numFmtId="0" fontId="34" fillId="0" borderId="41" xfId="0" applyNumberFormat="1" applyFont="1" applyFill="1" applyBorder="1" applyAlignment="1">
      <alignment horizontal="center" vertical="center"/>
    </xf>
    <xf numFmtId="0" fontId="35" fillId="0" borderId="41" xfId="0" applyNumberFormat="1" applyFont="1" applyFill="1" applyBorder="1" applyAlignment="1">
      <alignment horizontal="center" vertical="top"/>
    </xf>
    <xf numFmtId="0" fontId="35" fillId="13" borderId="41" xfId="0" applyNumberFormat="1" applyFont="1" applyFill="1" applyBorder="1" applyAlignment="1">
      <alignment horizontal="left" vertical="center" wrapText="1" indent="1"/>
    </xf>
    <xf numFmtId="0" fontId="35" fillId="0" borderId="41" xfId="0" applyNumberFormat="1" applyFont="1" applyFill="1" applyBorder="1" applyAlignment="1">
      <alignment horizontal="center" vertical="center" wrapText="1"/>
    </xf>
    <xf numFmtId="0" fontId="36" fillId="0" borderId="41" xfId="0" applyNumberFormat="1" applyFont="1" applyFill="1" applyBorder="1" applyAlignment="1">
      <alignment horizontal="left" vertical="top" wrapText="1"/>
    </xf>
  </cellXfs>
  <cellStyles count="4">
    <cellStyle name="Normal" xfId="0" builtinId="0"/>
    <cellStyle name="Normal 14" xfId="3" xr:uid="{E0AA8538-1C0C-4746-AECC-F3C7E3CFC25F}"/>
    <cellStyle name="Normal 2" xfId="1" xr:uid="{00000000-0005-0000-0000-000001000000}"/>
    <cellStyle name="Porcentagem" xfId="2" builtinId="5"/>
  </cellStyles>
  <dxfs count="7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808080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99" Type="http://schemas.openxmlformats.org/officeDocument/2006/relationships/worksheet" Target="worksheets/sheet8.xml"/>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100" b="1"/>
            </a:pPr>
            <a:r>
              <a:rPr lang="pt-BR" sz="1100" b="1">
                <a:latin typeface="Aptos Narrow"/>
              </a:rPr>
              <a:t>PILAR – CARGA TRAPEZOIDAL (kN/m)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Pilar</c:v>
          </c:tx>
          <c:spPr>
            <a:ln w="76200" cap="rnd">
              <a:solidFill>
                <a:srgbClr val="7F7F7F"/>
              </a:solidFill>
              <a:round/>
            </a:ln>
          </c:spPr>
          <c:marker>
            <c:symbol val="none"/>
          </c:marker>
          <c:xVal>
            <c:numRef>
              <c:f>'CONTENÇÃO RÁPIDA'!$L$145:$L$146</c:f>
              <c:numCache>
                <c:formatCode>General</c:formatCode>
                <c:ptCount val="2"/>
                <c:pt idx="0">
                  <c:v>0.0</c:v>
                </c:pt>
                <c:pt idx="1">
                  <c:v>0.0</c:v>
                </c:pt>
              </c:numCache>
            </c:numRef>
          </c:xVal>
          <c:yVal>
            <c:numRef>
              <c:f>'CONTENÇÃO RÁPIDA'!$M$145:$M$146</c:f>
              <c:numCache>
                <c:formatCode>General</c:formatCode>
                <c:ptCount val="2"/>
                <c:pt idx="0">
                  <c:v>0.0</c:v>
                </c:pt>
                <c:pt idx="1">
                  <c:v>2.5</c:v>
                </c:pt>
              </c:numCache>
            </c:numRef>
          </c:yVal>
          <c:smooth val="0"/>
        </c:ser>
        <c:ser>
          <c:idx val="1"/>
          <c:order val="1"/>
          <c:tx>
            <c:v>Carga (kN/m)</c:v>
          </c:tx>
          <c:spPr>
            <a:ln w="22225" cap="rnd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'CONTENÇÃO RÁPIDA'!$L$147:$L$150</c:f>
              <c:numCache>
                <c:formatCode>General</c:formatCode>
                <c:ptCount val="4"/>
                <c:pt idx="0">
                  <c:v>0.0</c:v>
                </c:pt>
                <c:pt idx="1">
                  <c:v>17.247957670388743</c:v>
                </c:pt>
                <c:pt idx="2">
                  <c:v>172.47957670388743</c:v>
                </c:pt>
                <c:pt idx="3">
                  <c:v>0.0</c:v>
                </c:pt>
              </c:numCache>
            </c:numRef>
          </c:xVal>
          <c:yVal>
            <c:numRef>
              <c:f>'CONTENÇÃO RÁPIDA'!$M$147:$M$150</c:f>
              <c:numCache>
                <c:formatCode>General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0.0</c:v>
                </c:pt>
                <c:pt idx="3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v>Sc | solo</c:v>
          </c:tx>
          <c:spPr>
            <a:ln w="9525" cap="rnd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'CONTENÇÃO RÁPIDA'!$L$151:$L$152</c:f>
              <c:numCache>
                <c:formatCode>General</c:formatCode>
                <c:ptCount val="2"/>
                <c:pt idx="0">
                  <c:v>17.247957670388743</c:v>
                </c:pt>
                <c:pt idx="1">
                  <c:v>17.247957670388743</c:v>
                </c:pt>
              </c:numCache>
            </c:numRef>
          </c:xVal>
          <c:yVal>
            <c:numRef>
              <c:f>'CONTENÇÃO RÁPIDA'!$M$151:$M$152</c:f>
              <c:numCache>
                <c:formatCode>General</c:formatCode>
                <c:ptCount val="2"/>
                <c:pt idx="0">
                  <c:v>2.5</c:v>
                </c:pt>
                <c:pt idx="1">
                  <c:v>0.0</c:v>
                </c:pt>
              </c:numCache>
            </c:numRef>
          </c:yVal>
          <c:smooth val="0"/>
        </c:ser>
        <c:ser>
          <c:idx val="3"/>
          <c:order val="3"/>
          <c:tx>
            <c:v>seta</c:v>
          </c:tx>
          <c:spPr>
            <a:ln w="12700" cap="rnd">
              <a:solidFill>
                <a:srgbClr val="C00000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RÁPIDA'!$L$153:$L$154</c:f>
              <c:numCache>
                <c:formatCode>General</c:formatCode>
                <c:ptCount val="2"/>
                <c:pt idx="0">
                  <c:v>146.60764019830432</c:v>
                </c:pt>
                <c:pt idx="1">
                  <c:v>0.0</c:v>
                </c:pt>
              </c:numCache>
            </c:numRef>
          </c:xVal>
          <c:yVal>
            <c:numRef>
              <c:f>'CONTENÇÃO RÁPIDA'!$M$153:$M$154</c:f>
              <c:numCache>
                <c:formatCode>General</c:formatCode>
                <c:ptCount val="2"/>
                <c:pt idx="0">
                  <c:v>0.4166666666666667</c:v>
                </c:pt>
                <c:pt idx="1">
                  <c:v>0.4166666666666667</c:v>
                </c:pt>
              </c:numCache>
            </c:numRef>
          </c:yVal>
          <c:smooth val="0"/>
        </c:ser>
        <c:ser>
          <c:idx val="4"/>
          <c:order val="4"/>
          <c:tx>
            <c:v>seta</c:v>
          </c:tx>
          <c:spPr>
            <a:ln w="12700" cap="rnd">
              <a:solidFill>
                <a:srgbClr val="C00000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RÁPIDA'!$L$155:$L$156</c:f>
              <c:numCache>
                <c:formatCode>General</c:formatCode>
                <c:ptCount val="2"/>
                <c:pt idx="0">
                  <c:v>120.73570369272119</c:v>
                </c:pt>
                <c:pt idx="1">
                  <c:v>0.0</c:v>
                </c:pt>
              </c:numCache>
            </c:numRef>
          </c:xVal>
          <c:yVal>
            <c:numRef>
              <c:f>'CONTENÇÃO RÁPIDA'!$M$155:$M$156</c:f>
              <c:numCache>
                <c:formatCode>General</c:formatCode>
                <c:ptCount val="2"/>
                <c:pt idx="0">
                  <c:v>0.8333333333333334</c:v>
                </c:pt>
                <c:pt idx="1">
                  <c:v>0.8333333333333334</c:v>
                </c:pt>
              </c:numCache>
            </c:numRef>
          </c:yVal>
          <c:smooth val="0"/>
        </c:ser>
        <c:ser>
          <c:idx val="5"/>
          <c:order val="5"/>
          <c:tx>
            <c:v>seta</c:v>
          </c:tx>
          <c:spPr>
            <a:ln w="12700" cap="rnd">
              <a:solidFill>
                <a:srgbClr val="C00000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RÁPIDA'!$L$157:$L$158</c:f>
              <c:numCache>
                <c:formatCode>General</c:formatCode>
                <c:ptCount val="2"/>
                <c:pt idx="0">
                  <c:v>94.86376718713808</c:v>
                </c:pt>
                <c:pt idx="1">
                  <c:v>0.0</c:v>
                </c:pt>
              </c:numCache>
            </c:numRef>
          </c:xVal>
          <c:yVal>
            <c:numRef>
              <c:f>'CONTENÇÃO RÁPIDA'!$M$157:$M$158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</c:ser>
        <c:ser>
          <c:idx val="6"/>
          <c:order val="6"/>
          <c:tx>
            <c:v>seta</c:v>
          </c:tx>
          <c:spPr>
            <a:ln w="12700" cap="rnd">
              <a:solidFill>
                <a:srgbClr val="C00000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RÁPIDA'!$L$159:$L$160</c:f>
              <c:numCache>
                <c:formatCode>General</c:formatCode>
                <c:ptCount val="2"/>
                <c:pt idx="0">
                  <c:v>68.99183068155496</c:v>
                </c:pt>
                <c:pt idx="1">
                  <c:v>0.0</c:v>
                </c:pt>
              </c:numCache>
            </c:numRef>
          </c:xVal>
          <c:yVal>
            <c:numRef>
              <c:f>'CONTENÇÃO RÁPIDA'!$M$159:$M$160</c:f>
              <c:numCache>
                <c:formatCode>General</c:formatCode>
                <c:ptCount val="2"/>
                <c:pt idx="0">
                  <c:v>1.6666666666666667</c:v>
                </c:pt>
                <c:pt idx="1">
                  <c:v>1.6666666666666667</c:v>
                </c:pt>
              </c:numCache>
            </c:numRef>
          </c:yVal>
          <c:smooth val="0"/>
        </c:ser>
        <c:ser>
          <c:idx val="7"/>
          <c:order val="7"/>
          <c:tx>
            <c:v>seta</c:v>
          </c:tx>
          <c:spPr>
            <a:ln w="12700" cap="rnd">
              <a:solidFill>
                <a:srgbClr val="C00000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RÁPIDA'!$L$161:$L$162</c:f>
              <c:numCache>
                <c:formatCode>General</c:formatCode>
                <c:ptCount val="2"/>
                <c:pt idx="0">
                  <c:v>43.119894175971865</c:v>
                </c:pt>
                <c:pt idx="1">
                  <c:v>0.0</c:v>
                </c:pt>
              </c:numCache>
            </c:numRef>
          </c:xVal>
          <c:yVal>
            <c:numRef>
              <c:f>'CONTENÇÃO RÁPIDA'!$M$161:$M$162</c:f>
              <c:numCache>
                <c:formatCode>General</c:formatCode>
                <c:ptCount val="2"/>
                <c:pt idx="0">
                  <c:v>2.0833333333333335</c:v>
                </c:pt>
                <c:pt idx="1">
                  <c:v>2.0833333333333335</c:v>
                </c:pt>
              </c:numCache>
            </c:numRef>
          </c:yVal>
          <c:smooth val="0"/>
        </c:ser>
        <c:ser>
          <c:idx val="8"/>
          <c:order val="8"/>
          <c:tx>
            <c:v>E</c:v>
          </c:tx>
          <c:spPr>
            <a:ln w="28575" cap="rnd">
              <a:solidFill>
                <a:srgbClr val="2F5597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RÁPIDA'!$L$163:$L$164</c:f>
              <c:numCache>
                <c:formatCode>General</c:formatCode>
                <c:ptCount val="2"/>
                <c:pt idx="0">
                  <c:v>198.35151320947054</c:v>
                </c:pt>
                <c:pt idx="1">
                  <c:v>0.0</c:v>
                </c:pt>
              </c:numCache>
            </c:numRef>
          </c:xVal>
          <c:yVal>
            <c:numRef>
              <c:f>'CONTENÇÃO RÁPIDA'!$M$163:$M$164</c:f>
              <c:numCache>
                <c:formatCode>General</c:formatCode>
                <c:ptCount val="2"/>
                <c:pt idx="0">
                  <c:v>0.9090909090909092</c:v>
                </c:pt>
                <c:pt idx="1">
                  <c:v>0.9090909090909092</c:v>
                </c:pt>
              </c:numCache>
            </c:numRef>
          </c:yVal>
          <c:smooth val="0"/>
        </c:ser>
        <c:ser>
          <c:idx val="9"/>
          <c:order val="9"/>
          <c:tx>
            <c:v>R,topo</c:v>
          </c:tx>
          <c:spPr>
            <a:ln w="25400" cap="rnd">
              <a:solidFill>
                <a:srgbClr val="548235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RÁPIDA'!$L$165:$L$166</c:f>
              <c:numCache>
                <c:formatCode>General</c:formatCode>
                <c:ptCount val="2"/>
                <c:pt idx="0">
                  <c:v>0.0</c:v>
                </c:pt>
                <c:pt idx="1">
                  <c:v>-60.367851846360594</c:v>
                </c:pt>
              </c:numCache>
            </c:numRef>
          </c:xVal>
          <c:yVal>
            <c:numRef>
              <c:f>'CONTENÇÃO RÁPIDA'!$M$165:$M$166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0"/>
        </c:ser>
        <c:ser>
          <c:idx val="10"/>
          <c:order val="10"/>
          <c:tx>
            <c:v>R,base</c:v>
          </c:tx>
          <c:spPr>
            <a:ln w="25400" cap="rnd">
              <a:solidFill>
                <a:srgbClr val="548235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RÁPIDA'!$L$167:$L$168</c:f>
              <c:numCache>
                <c:formatCode>General</c:formatCode>
                <c:ptCount val="2"/>
                <c:pt idx="0">
                  <c:v>0.0</c:v>
                </c:pt>
                <c:pt idx="1">
                  <c:v>-60.367851846360594</c:v>
                </c:pt>
              </c:numCache>
            </c:numRef>
          </c:xVal>
          <c:yVal>
            <c:numRef>
              <c:f>'CONTENÇÃO RÁPIDA'!$M$167:$M$168</c:f>
              <c:numCache>
                <c:formatCode>General</c:formatCode>
                <c:ptCount val="2"/>
                <c:pt idx="0">
                  <c:v>0.0</c:v>
                </c:pt>
                <c:pt idx="1">
                  <c:v>0.0</c:v>
                </c:pt>
              </c:numCache>
            </c:numRef>
          </c:yVal>
          <c:smooth val="0"/>
        </c:ser>
        <c:ser>
          <c:idx val="11"/>
          <c:order val="11"/>
          <c:tx>
            <c:strRef>
              <c:f>'CONTENÇÃO RÁPIDA'!$K$169</c:f>
              <c:strCache>
                <c:ptCount val="1"/>
                <c:pt idx="0">
                  <c:v>p,topo = 17,25 kN/m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RÁPIDA'!$L$169:$L$169</c:f>
              <c:numCache>
                <c:formatCode>General</c:formatCode>
                <c:ptCount val="1"/>
                <c:pt idx="0">
                  <c:v>17.247957670388743</c:v>
                </c:pt>
              </c:numCache>
            </c:numRef>
          </c:xVal>
          <c:yVal>
            <c:numRef>
              <c:f>'CONTENÇÃO RÁPIDA'!$M$169:$M$169</c:f>
              <c:numCache>
                <c:formatCode>General</c:formatCode>
                <c:ptCount val="1"/>
                <c:pt idx="0">
                  <c:v>2.5</c:v>
                </c:pt>
              </c:numCache>
            </c:numRef>
          </c:yVal>
          <c:smooth val="0"/>
        </c:ser>
        <c:ser>
          <c:idx val="12"/>
          <c:order val="12"/>
          <c:tx>
            <c:strRef>
              <c:f>'CONTENÇÃO RÁPIDA'!$K$170</c:f>
              <c:strCache>
                <c:ptCount val="1"/>
                <c:pt idx="0">
                  <c:v>p,base = 172,48 kN/m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RÁPIDA'!$L$170:$L$170</c:f>
              <c:numCache>
                <c:formatCode>General</c:formatCode>
                <c:ptCount val="1"/>
                <c:pt idx="0">
                  <c:v>172.47957670388743</c:v>
                </c:pt>
              </c:numCache>
            </c:numRef>
          </c:xVal>
          <c:yVal>
            <c:numRef>
              <c:f>'CONTENÇÃO RÁPIDA'!$M$170:$M$170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3"/>
          <c:order val="13"/>
          <c:tx>
            <c:strRef>
              <c:f>'CONTENÇÃO RÁPIDA'!$K$171</c:f>
              <c:strCache>
                <c:ptCount val="1"/>
                <c:pt idx="0">
                  <c:v>E = 237,2 kN (y = 0,91 m)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RÁPIDA'!$L$171:$L$171</c:f>
              <c:numCache>
                <c:formatCode>General</c:formatCode>
                <c:ptCount val="1"/>
                <c:pt idx="0">
                  <c:v>198.35151320947054</c:v>
                </c:pt>
              </c:numCache>
            </c:numRef>
          </c:xVal>
          <c:yVal>
            <c:numRef>
              <c:f>'CONTENÇÃO RÁPIDA'!$M$171:$M$171</c:f>
              <c:numCache>
                <c:formatCode>General</c:formatCode>
                <c:ptCount val="1"/>
                <c:pt idx="0">
                  <c:v>0.9090909090909092</c:v>
                </c:pt>
              </c:numCache>
            </c:numRef>
          </c:yVal>
          <c:smooth val="0"/>
        </c:ser>
        <c:ser>
          <c:idx val="14"/>
          <c:order val="14"/>
          <c:tx>
            <c:strRef>
              <c:f>'CONTENÇÃO RÁPIDA'!$K$172</c:f>
              <c:strCache>
                <c:ptCount val="1"/>
                <c:pt idx="0">
                  <c:v>R,topo = 55,0 kN → laje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RÁPIDA'!$L$172:$L$172</c:f>
              <c:numCache>
                <c:formatCode>General</c:formatCode>
                <c:ptCount val="1"/>
                <c:pt idx="0">
                  <c:v>-60.367851846360594</c:v>
                </c:pt>
              </c:numCache>
            </c:numRef>
          </c:xVal>
          <c:yVal>
            <c:numRef>
              <c:f>'CONTENÇÃO RÁPIDA'!$M$172:$M$172</c:f>
              <c:numCache>
                <c:formatCode>General</c:formatCode>
                <c:ptCount val="1"/>
                <c:pt idx="0">
                  <c:v>2.5</c:v>
                </c:pt>
              </c:numCache>
            </c:numRef>
          </c:yVal>
          <c:smooth val="0"/>
        </c:ser>
        <c:ser>
          <c:idx val="15"/>
          <c:order val="15"/>
          <c:tx>
            <c:strRef>
              <c:f>'CONTENÇÃO RÁPIDA'!$K$173</c:f>
              <c:strCache>
                <c:ptCount val="1"/>
                <c:pt idx="0">
                  <c:v>R,base = 182,2 kN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l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RÁPIDA'!$L$173:$L$173</c:f>
              <c:numCache>
                <c:formatCode>General</c:formatCode>
                <c:ptCount val="1"/>
                <c:pt idx="0">
                  <c:v>-60.367851846360594</c:v>
                </c:pt>
              </c:numCache>
            </c:numRef>
          </c:xVal>
          <c:yVal>
            <c:numRef>
              <c:f>'CONTENÇÃO RÁPIDA'!$M$173:$M$173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axId val="51"/>
        <c:axId val="52"/>
      </c:scatterChart>
      <c:valAx>
        <c:axId val="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 sz="900" b="0"/>
                  <a:t>carga (kN/m)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6350">
            <a:solidFill>
              <a:srgbClr val="A6A6A6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ptos Narrow"/>
              </a:defRPr>
            </a:pPr>
            <a:endParaRPr lang="pt-BR"/>
          </a:p>
        </c:txPr>
        <c:crossAx val="52"/>
        <c:crosses val="autoZero"/>
        <c:crossBetween val="midCat"/>
      </c:valAx>
      <c:valAx>
        <c:axId val="52"/>
        <c:scaling>
          <c:orientation val="minMax"/>
        </c:scaling>
        <c:delete val="0"/>
        <c:axPos val="l"/>
        <c:majorGridlines>
          <c:spPr>
            <a:ln w="3175">
              <a:solidFill>
                <a:srgbClr val="E7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 sz="900" b="0"/>
                  <a:t>altura a partir da base (m)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6350">
            <a:solidFill>
              <a:srgbClr val="A6A6A6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ptos Narrow"/>
              </a:defRPr>
            </a:pPr>
            <a:endParaRPr lang="pt-BR"/>
          </a:p>
        </c:txPr>
        <c:crossAx val="51"/>
        <c:crosses val="autoZero"/>
        <c:crossBetween val="midCat"/>
      </c:valAx>
    </c:plotArea>
    <c:plotVisOnly val="1"/>
    <c:dispBlanksAs val="gap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900" b="0">
          <a:solidFill>
            <a:srgbClr val="404040"/>
          </a:solidFill>
          <a:latin typeface="Aptos Narrow"/>
        </a:defRPr>
      </a:pPr>
      <a:endParaRPr lang="pt-B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100" b="1"/>
            </a:pPr>
            <a:r>
              <a:rPr lang="pt-BR" sz="1100" b="1">
                <a:latin typeface="Aptos Narrow"/>
              </a:rPr>
              <a:t>LAJE ALVEOLAR – PRESSÃO (kN/m²) E CARGA NA PLACA (kN/m)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Placas</c:v>
          </c:tx>
          <c:spPr>
            <a:ln w="76200" cap="rnd">
              <a:solidFill>
                <a:srgbClr val="7F7F7F"/>
              </a:solidFill>
              <a:round/>
            </a:ln>
          </c:spPr>
          <c:marker>
            <c:symbol val="none"/>
          </c:marker>
          <c:xVal>
            <c:numRef>
              <c:f>'CONTENÇÃO RÁPIDA'!$L$174:$L$175</c:f>
              <c:numCache>
                <c:formatCode>General</c:formatCode>
                <c:ptCount val="2"/>
                <c:pt idx="0">
                  <c:v>0.0</c:v>
                </c:pt>
                <c:pt idx="1">
                  <c:v>0.0</c:v>
                </c:pt>
              </c:numCache>
            </c:numRef>
          </c:xVal>
          <c:yVal>
            <c:numRef>
              <c:f>'CONTENÇÃO RÁPIDA'!$M$174:$M$175</c:f>
              <c:numCache>
                <c:formatCode>General</c:formatCode>
                <c:ptCount val="2"/>
                <c:pt idx="0">
                  <c:v>0.0</c:v>
                </c:pt>
                <c:pt idx="1">
                  <c:v>2.5</c:v>
                </c:pt>
              </c:numCache>
            </c:numRef>
          </c:yVal>
          <c:smooth val="0"/>
        </c:ser>
        <c:ser>
          <c:idx val="1"/>
          <c:order val="1"/>
          <c:tx>
            <c:v>Pressão real</c:v>
          </c:tx>
          <c:spPr>
            <a:ln w="22225" cap="rnd">
              <a:solidFill>
                <a:srgbClr val="C00000"/>
              </a:solidFill>
              <a:round/>
            </a:ln>
          </c:spPr>
          <c:marker>
            <c:symbol val="none"/>
          </c:marker>
          <c:xVal>
            <c:numRef>
              <c:f>'CONTENÇÃO RÁPIDA'!$L$176:$L$179</c:f>
              <c:numCache>
                <c:formatCode>General</c:formatCode>
                <c:ptCount val="4"/>
                <c:pt idx="0">
                  <c:v>0.0</c:v>
                </c:pt>
                <c:pt idx="1">
                  <c:v>2.639320225002103</c:v>
                </c:pt>
                <c:pt idx="2">
                  <c:v>26.39320225002103</c:v>
                </c:pt>
                <c:pt idx="3">
                  <c:v>0.0</c:v>
                </c:pt>
              </c:numCache>
            </c:numRef>
          </c:xVal>
          <c:yVal>
            <c:numRef>
              <c:f>'CONTENÇÃO RÁPIDA'!$M$176:$M$179</c:f>
              <c:numCache>
                <c:formatCode>General</c:formatCode>
                <c:ptCount val="4"/>
                <c:pt idx="0">
                  <c:v>2.5</c:v>
                </c:pt>
                <c:pt idx="1">
                  <c:v>2.5</c:v>
                </c:pt>
                <c:pt idx="2">
                  <c:v>0.0</c:v>
                </c:pt>
                <c:pt idx="3">
                  <c:v>0.0</c:v>
                </c:pt>
              </c:numCache>
            </c:numRef>
          </c:yVal>
          <c:smooth val="0"/>
        </c:ser>
        <c:ser>
          <c:idx val="2"/>
          <c:order val="2"/>
          <c:tx>
            <c:v>Sc | solo</c:v>
          </c:tx>
          <c:spPr>
            <a:ln w="9525" cap="rnd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xVal>
            <c:numRef>
              <c:f>'CONTENÇÃO RÁPIDA'!$L$180:$L$181</c:f>
              <c:numCache>
                <c:formatCode>General</c:formatCode>
                <c:ptCount val="2"/>
                <c:pt idx="0">
                  <c:v>2.639320225002103</c:v>
                </c:pt>
                <c:pt idx="1">
                  <c:v>2.639320225002103</c:v>
                </c:pt>
              </c:numCache>
            </c:numRef>
          </c:xVal>
          <c:yVal>
            <c:numRef>
              <c:f>'CONTENÇÃO RÁPIDA'!$M$180:$M$181</c:f>
              <c:numCache>
                <c:formatCode>General</c:formatCode>
                <c:ptCount val="2"/>
                <c:pt idx="0">
                  <c:v>2.5</c:v>
                </c:pt>
                <c:pt idx="1">
                  <c:v>0.0</c:v>
                </c:pt>
              </c:numCache>
            </c:numRef>
          </c:yVal>
          <c:smooth val="0"/>
        </c:ser>
        <c:ser>
          <c:idx val="3"/>
          <c:order val="3"/>
          <c:tx>
            <c:v>seta</c:v>
          </c:tx>
          <c:spPr>
            <a:ln w="12700" cap="rnd">
              <a:solidFill>
                <a:srgbClr val="C00000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RÁPIDA'!$L$182:$L$183</c:f>
              <c:numCache>
                <c:formatCode>General</c:formatCode>
                <c:ptCount val="2"/>
                <c:pt idx="0">
                  <c:v>20.4547317437663</c:v>
                </c:pt>
                <c:pt idx="1">
                  <c:v>0.0</c:v>
                </c:pt>
              </c:numCache>
            </c:numRef>
          </c:xVal>
          <c:yVal>
            <c:numRef>
              <c:f>'CONTENÇÃO RÁPIDA'!$M$182:$M$183</c:f>
              <c:numCache>
                <c:formatCode>General</c:formatCode>
                <c:ptCount val="2"/>
                <c:pt idx="0">
                  <c:v>0.625</c:v>
                </c:pt>
                <c:pt idx="1">
                  <c:v>0.625</c:v>
                </c:pt>
              </c:numCache>
            </c:numRef>
          </c:yVal>
          <c:smooth val="0"/>
        </c:ser>
        <c:ser>
          <c:idx val="4"/>
          <c:order val="4"/>
          <c:tx>
            <c:v>seta</c:v>
          </c:tx>
          <c:spPr>
            <a:ln w="12700" cap="rnd">
              <a:solidFill>
                <a:srgbClr val="C00000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RÁPIDA'!$L$184:$L$185</c:f>
              <c:numCache>
                <c:formatCode>General</c:formatCode>
                <c:ptCount val="2"/>
                <c:pt idx="0">
                  <c:v>14.516261237511566</c:v>
                </c:pt>
                <c:pt idx="1">
                  <c:v>0.0</c:v>
                </c:pt>
              </c:numCache>
            </c:numRef>
          </c:xVal>
          <c:yVal>
            <c:numRef>
              <c:f>'CONTENÇÃO RÁPIDA'!$M$184:$M$185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</c:ser>
        <c:ser>
          <c:idx val="5"/>
          <c:order val="5"/>
          <c:tx>
            <c:v>seta</c:v>
          </c:tx>
          <c:spPr>
            <a:ln w="12700" cap="rnd">
              <a:solidFill>
                <a:srgbClr val="C00000"/>
              </a:solidFill>
              <a:round/>
              <a:tailEnd type="triangle" w="med" len="med"/>
            </a:ln>
          </c:spPr>
          <c:marker>
            <c:symbol val="none"/>
          </c:marker>
          <c:xVal>
            <c:numRef>
              <c:f>'CONTENÇÃO RÁPIDA'!$L$186:$L$187</c:f>
              <c:numCache>
                <c:formatCode>General</c:formatCode>
                <c:ptCount val="2"/>
                <c:pt idx="0">
                  <c:v>8.577790731256833</c:v>
                </c:pt>
                <c:pt idx="1">
                  <c:v>0.0</c:v>
                </c:pt>
              </c:numCache>
            </c:numRef>
          </c:xVal>
          <c:yVal>
            <c:numRef>
              <c:f>'CONTENÇÃO RÁPIDA'!$M$186:$M$187</c:f>
              <c:numCache>
                <c:formatCode>General</c:formatCode>
                <c:ptCount val="2"/>
                <c:pt idx="0">
                  <c:v>1.875</c:v>
                </c:pt>
                <c:pt idx="1">
                  <c:v>1.875</c:v>
                </c:pt>
              </c:numCache>
            </c:numRef>
          </c:yVal>
          <c:smooth val="0"/>
        </c:ser>
        <c:ser>
          <c:idx val="6"/>
          <c:order val="6"/>
          <c:tx>
            <c:v>Pressão adotada por painel</c:v>
          </c:tx>
          <c:spPr>
            <a:ln w="22225" cap="rnd">
              <a:solidFill>
                <a:srgbClr val="2F5597"/>
              </a:solidFill>
              <a:round/>
            </a:ln>
          </c:spPr>
          <c:marker>
            <c:symbol val="none"/>
          </c:marker>
          <c:xVal>
            <c:numRef>
              <c:f>'CONTENÇÃO RÁPIDA'!$L$188:$L$207</c:f>
              <c:numCache>
                <c:formatCode>General</c:formatCode>
                <c:ptCount val="20"/>
                <c:pt idx="0">
                  <c:v>26.393202250021027</c:v>
                </c:pt>
                <c:pt idx="1">
                  <c:v>26.393202250021027</c:v>
                </c:pt>
                <c:pt idx="2">
                  <c:v>14.516261237511564</c:v>
                </c:pt>
                <c:pt idx="3">
                  <c:v>14.516261237511564</c:v>
                </c:pt>
                <c:pt idx="4">
                  <c:v>14.516261237511564</c:v>
                </c:pt>
                <c:pt idx="5">
                  <c:v>14.516261237511564</c:v>
                </c:pt>
                <c:pt idx="6">
                  <c:v>14.516261237511564</c:v>
                </c:pt>
                <c:pt idx="7">
                  <c:v>14.516261237511564</c:v>
                </c:pt>
                <c:pt idx="8">
                  <c:v>14.516261237511564</c:v>
                </c:pt>
                <c:pt idx="9">
                  <c:v>14.516261237511564</c:v>
                </c:pt>
                <c:pt idx="10">
                  <c:v>14.516261237511564</c:v>
                </c:pt>
                <c:pt idx="11">
                  <c:v>14.516261237511564</c:v>
                </c:pt>
                <c:pt idx="12">
                  <c:v>14.516261237511564</c:v>
                </c:pt>
                <c:pt idx="13">
                  <c:v>14.516261237511564</c:v>
                </c:pt>
                <c:pt idx="14">
                  <c:v>14.516261237511564</c:v>
                </c:pt>
                <c:pt idx="15">
                  <c:v>14.516261237511564</c:v>
                </c:pt>
                <c:pt idx="16">
                  <c:v>14.516261237511564</c:v>
                </c:pt>
                <c:pt idx="17">
                  <c:v>14.516261237511564</c:v>
                </c:pt>
                <c:pt idx="18">
                  <c:v>14.516261237511564</c:v>
                </c:pt>
                <c:pt idx="19">
                  <c:v>14.516261237511564</c:v>
                </c:pt>
              </c:numCache>
            </c:numRef>
          </c:xVal>
          <c:yVal>
            <c:numRef>
              <c:f>'CONTENÇÃO RÁPIDA'!$M$188:$M$207</c:f>
              <c:numCache>
                <c:formatCode>General</c:formatCode>
                <c:ptCount val="20"/>
                <c:pt idx="0">
                  <c:v>0.0</c:v>
                </c:pt>
                <c:pt idx="1">
                  <c:v>1.25</c:v>
                </c:pt>
                <c:pt idx="2">
                  <c:v>1.25</c:v>
                </c:pt>
                <c:pt idx="3">
                  <c:v>2.5</c:v>
                </c:pt>
                <c:pt idx="4">
                  <c:v>2.5</c:v>
                </c:pt>
                <c:pt idx="5">
                  <c:v>2.5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  <c:pt idx="14">
                  <c:v>2.5</c:v>
                </c:pt>
                <c:pt idx="15">
                  <c:v>2.5</c:v>
                </c:pt>
                <c:pt idx="16">
                  <c:v>2.5</c:v>
                </c:pt>
                <c:pt idx="17">
                  <c:v>2.5</c:v>
                </c:pt>
                <c:pt idx="18">
                  <c:v>2.5</c:v>
                </c:pt>
                <c:pt idx="19">
                  <c:v>2.5</c:v>
                </c:pt>
              </c:numCache>
            </c:numRef>
          </c:yVal>
          <c:smooth val="0"/>
        </c:ser>
        <c:ser>
          <c:idx val="7"/>
          <c:order val="7"/>
          <c:tx>
            <c:v>junta 1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RÁPIDA'!$L$208:$L$209</c:f>
              <c:numCache>
                <c:formatCode>General</c:formatCode>
                <c:ptCount val="2"/>
                <c:pt idx="0">
                  <c:v>0.0</c:v>
                </c:pt>
                <c:pt idx="1">
                  <c:v>27.71286236252208</c:v>
                </c:pt>
              </c:numCache>
            </c:numRef>
          </c:xVal>
          <c:yVal>
            <c:numRef>
              <c:f>'CONTENÇÃO RÁPIDA'!$M$208:$M$209</c:f>
              <c:numCache>
                <c:formatCode>General</c:formatCode>
                <c:ptCount val="2"/>
                <c:pt idx="0">
                  <c:v>1.25</c:v>
                </c:pt>
                <c:pt idx="1">
                  <c:v>1.25</c:v>
                </c:pt>
              </c:numCache>
            </c:numRef>
          </c:yVal>
          <c:smooth val="0"/>
        </c:ser>
        <c:ser>
          <c:idx val="8"/>
          <c:order val="8"/>
          <c:tx>
            <c:v>junta 2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RÁPIDA'!$L$210:$L$211</c:f>
              <c:numCache>
                <c:formatCode>General</c:formatCode>
                <c:ptCount val="2"/>
              </c:numCache>
            </c:numRef>
          </c:xVal>
          <c:yVal>
            <c:numRef>
              <c:f>'CONTENÇÃO RÁPIDA'!$M$210:$M$211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0"/>
        </c:ser>
        <c:ser>
          <c:idx val="9"/>
          <c:order val="9"/>
          <c:tx>
            <c:v>junta 3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RÁPIDA'!$L$212:$L$213</c:f>
              <c:numCache>
                <c:formatCode>General</c:formatCode>
                <c:ptCount val="2"/>
              </c:numCache>
            </c:numRef>
          </c:xVal>
          <c:yVal>
            <c:numRef>
              <c:f>'CONTENÇÃO RÁPIDA'!$M$212:$M$213</c:f>
              <c:numCache>
                <c:formatCode>General</c:formatCode>
                <c:ptCount val="2"/>
                <c:pt idx="0">
                  <c:v>3.75</c:v>
                </c:pt>
                <c:pt idx="1">
                  <c:v>3.75</c:v>
                </c:pt>
              </c:numCache>
            </c:numRef>
          </c:yVal>
          <c:smooth val="0"/>
        </c:ser>
        <c:ser>
          <c:idx val="10"/>
          <c:order val="10"/>
          <c:tx>
            <c:v>junta 4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RÁPIDA'!$L$214:$L$215</c:f>
              <c:numCache>
                <c:formatCode>General</c:formatCode>
                <c:ptCount val="2"/>
              </c:numCache>
            </c:numRef>
          </c:xVal>
          <c:yVal>
            <c:numRef>
              <c:f>'CONTENÇÃO RÁPIDA'!$M$214:$M$215</c:f>
              <c:numCache>
                <c:formatCode>General</c:formatCode>
                <c:ptCount val="2"/>
                <c:pt idx="0">
                  <c:v>5.0</c:v>
                </c:pt>
                <c:pt idx="1">
                  <c:v>5.0</c:v>
                </c:pt>
              </c:numCache>
            </c:numRef>
          </c:yVal>
          <c:smooth val="0"/>
        </c:ser>
        <c:ser>
          <c:idx val="11"/>
          <c:order val="11"/>
          <c:tx>
            <c:v>junta 5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RÁPIDA'!$L$216:$L$217</c:f>
              <c:numCache>
                <c:formatCode>General</c:formatCode>
                <c:ptCount val="2"/>
              </c:numCache>
            </c:numRef>
          </c:xVal>
          <c:yVal>
            <c:numRef>
              <c:f>'CONTENÇÃO RÁPIDA'!$M$216:$M$217</c:f>
              <c:numCache>
                <c:formatCode>General</c:formatCode>
                <c:ptCount val="2"/>
                <c:pt idx="0">
                  <c:v>6.25</c:v>
                </c:pt>
                <c:pt idx="1">
                  <c:v>6.25</c:v>
                </c:pt>
              </c:numCache>
            </c:numRef>
          </c:yVal>
          <c:smooth val="0"/>
        </c:ser>
        <c:ser>
          <c:idx val="12"/>
          <c:order val="12"/>
          <c:tx>
            <c:v>junta 6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RÁPIDA'!$L$218:$L$219</c:f>
              <c:numCache>
                <c:formatCode>General</c:formatCode>
                <c:ptCount val="2"/>
              </c:numCache>
            </c:numRef>
          </c:xVal>
          <c:yVal>
            <c:numRef>
              <c:f>'CONTENÇÃO RÁPIDA'!$M$218:$M$219</c:f>
              <c:numCache>
                <c:formatCode>General</c:formatCode>
                <c:ptCount val="2"/>
                <c:pt idx="0">
                  <c:v>7.5</c:v>
                </c:pt>
                <c:pt idx="1">
                  <c:v>7.5</c:v>
                </c:pt>
              </c:numCache>
            </c:numRef>
          </c:yVal>
          <c:smooth val="0"/>
        </c:ser>
        <c:ser>
          <c:idx val="13"/>
          <c:order val="13"/>
          <c:tx>
            <c:v>junta 7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RÁPIDA'!$L$220:$L$221</c:f>
              <c:numCache>
                <c:formatCode>General</c:formatCode>
                <c:ptCount val="2"/>
              </c:numCache>
            </c:numRef>
          </c:xVal>
          <c:yVal>
            <c:numRef>
              <c:f>'CONTENÇÃO RÁPIDA'!$M$220:$M$221</c:f>
              <c:numCache>
                <c:formatCode>General</c:formatCode>
                <c:ptCount val="2"/>
                <c:pt idx="0">
                  <c:v>8.75</c:v>
                </c:pt>
                <c:pt idx="1">
                  <c:v>8.75</c:v>
                </c:pt>
              </c:numCache>
            </c:numRef>
          </c:yVal>
          <c:smooth val="0"/>
        </c:ser>
        <c:ser>
          <c:idx val="14"/>
          <c:order val="14"/>
          <c:tx>
            <c:v>junta 8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RÁPIDA'!$L$222:$L$223</c:f>
              <c:numCache>
                <c:formatCode>General</c:formatCode>
                <c:ptCount val="2"/>
              </c:numCache>
            </c:numRef>
          </c:xVal>
          <c:yVal>
            <c:numRef>
              <c:f>'CONTENÇÃO RÁPIDA'!$M$222:$M$223</c:f>
              <c:numCache>
                <c:formatCode>General</c:formatCode>
                <c:ptCount val="2"/>
                <c:pt idx="0">
                  <c:v>10.0</c:v>
                </c:pt>
                <c:pt idx="1">
                  <c:v>10.0</c:v>
                </c:pt>
              </c:numCache>
            </c:numRef>
          </c:yVal>
          <c:smooth val="0"/>
        </c:ser>
        <c:ser>
          <c:idx val="15"/>
          <c:order val="15"/>
          <c:tx>
            <c:v>junta 9</c:v>
          </c:tx>
          <c:spPr>
            <a:ln w="9525" cap="rnd">
              <a:solidFill>
                <a:srgbClr val="7F7F7F"/>
              </a:solidFill>
              <a:prstDash val="sysDash"/>
              <a:round/>
            </a:ln>
          </c:spPr>
          <c:marker>
            <c:symbol val="none"/>
          </c:marker>
          <c:xVal>
            <c:numRef>
              <c:f>'CONTENÇÃO RÁPIDA'!$L$224:$L$225</c:f>
              <c:numCache>
                <c:formatCode>General</c:formatCode>
                <c:ptCount val="2"/>
              </c:numCache>
            </c:numRef>
          </c:xVal>
          <c:yVal>
            <c:numRef>
              <c:f>'CONTENÇÃO RÁPIDA'!$M$224:$M$225</c:f>
              <c:numCache>
                <c:formatCode>General</c:formatCode>
                <c:ptCount val="2"/>
                <c:pt idx="0">
                  <c:v>11.25</c:v>
                </c:pt>
                <c:pt idx="1">
                  <c:v>11.25</c:v>
                </c:pt>
              </c:numCache>
            </c:numRef>
          </c:yVal>
          <c:smooth val="0"/>
        </c:ser>
        <c:ser>
          <c:idx val="16"/>
          <c:order val="16"/>
          <c:tx>
            <c:strRef>
              <c:f>'CONTENÇÃO RÁPIDA'!$K$226</c:f>
              <c:strCache>
                <c:ptCount val="1"/>
                <c:pt idx="0">
                  <c:v>σq = 2,64 kN/m² (Sc)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RÁPIDA'!$L$226:$L$226</c:f>
              <c:numCache>
                <c:formatCode>General</c:formatCode>
                <c:ptCount val="1"/>
                <c:pt idx="0">
                  <c:v>2.639320225002103</c:v>
                </c:pt>
              </c:numCache>
            </c:numRef>
          </c:xVal>
          <c:yVal>
            <c:numRef>
              <c:f>'CONTENÇÃO RÁPIDA'!$M$226:$M$226</c:f>
              <c:numCache>
                <c:formatCode>General</c:formatCode>
                <c:ptCount val="1"/>
                <c:pt idx="0">
                  <c:v>2.5</c:v>
                </c:pt>
              </c:numCache>
            </c:numRef>
          </c:yVal>
          <c:smooth val="0"/>
        </c:ser>
        <c:ser>
          <c:idx val="17"/>
          <c:order val="17"/>
          <c:tx>
            <c:strRef>
              <c:f>'CONTENÇÃO RÁPIDA'!$K$227</c:f>
              <c:strCache>
                <c:ptCount val="1"/>
                <c:pt idx="0">
                  <c:v>σ,base = 26,39 kN/m² = solo 23,75 + Sc 2,64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RÁPIDA'!$L$227:$L$227</c:f>
              <c:numCache>
                <c:formatCode>General</c:formatCode>
                <c:ptCount val="1"/>
                <c:pt idx="0">
                  <c:v>26.39320225002103</c:v>
                </c:pt>
              </c:numCache>
            </c:numRef>
          </c:xVal>
          <c:yVal>
            <c:numRef>
              <c:f>'CONTENÇÃO RÁPIDA'!$M$227:$M$227</c:f>
              <c:numCache>
                <c:formatCode>General</c:formatCode>
                <c:ptCount val="1"/>
                <c:pt idx="0">
                  <c:v>0.0</c:v>
                </c:pt>
              </c:numCache>
            </c:numRef>
          </c:yVal>
          <c:smooth val="0"/>
        </c:ser>
        <c:ser>
          <c:idx val="18"/>
          <c:order val="18"/>
          <c:tx>
            <c:strRef>
              <c:f>'CONTENÇÃO RÁPIDA'!$K$228</c:f>
              <c:strCache>
                <c:ptCount val="1"/>
                <c:pt idx="0">
                  <c:v>P1: g = 29,69 | q = 3,30 kN/m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RÁPIDA'!$L$228:$L$228</c:f>
              <c:numCache>
                <c:formatCode>General</c:formatCode>
                <c:ptCount val="1"/>
                <c:pt idx="0">
                  <c:v>26.393202250021027</c:v>
                </c:pt>
              </c:numCache>
            </c:numRef>
          </c:xVal>
          <c:yVal>
            <c:numRef>
              <c:f>'CONTENÇÃO RÁPIDA'!$M$228:$M$228</c:f>
              <c:numCache>
                <c:formatCode>General</c:formatCode>
                <c:ptCount val="1"/>
                <c:pt idx="0">
                  <c:v>0.625</c:v>
                </c:pt>
              </c:numCache>
            </c:numRef>
          </c:yVal>
          <c:smooth val="0"/>
        </c:ser>
        <c:ser>
          <c:idx val="19"/>
          <c:order val="19"/>
          <c:tx>
            <c:strRef>
              <c:f>'CONTENÇÃO RÁPIDA'!$K$229</c:f>
              <c:strCache>
                <c:ptCount val="1"/>
                <c:pt idx="0">
                  <c:v>P2: g = 14,85 | q = 3,30 kN/m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RÁPIDA'!$L$229:$L$229</c:f>
              <c:numCache>
                <c:formatCode>General</c:formatCode>
                <c:ptCount val="1"/>
                <c:pt idx="0">
                  <c:v>14.516261237511564</c:v>
                </c:pt>
              </c:numCache>
            </c:numRef>
          </c:xVal>
          <c:yVal>
            <c:numRef>
              <c:f>'CONTENÇÃO RÁPIDA'!$M$229:$M$229</c:f>
              <c:numCache>
                <c:formatCode>General</c:formatCode>
                <c:ptCount val="1"/>
                <c:pt idx="0">
                  <c:v>1.875</c:v>
                </c:pt>
              </c:numCache>
            </c:numRef>
          </c:yVal>
          <c:smooth val="0"/>
        </c:ser>
        <c:ser>
          <c:idx val="20"/>
          <c:order val="20"/>
          <c:tx>
            <c:strRef>
              <c:f>'CONTENÇÃO RÁPIDA'!$K$230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RÁPIDA'!$L$230:$L$230</c:f>
              <c:numCache>
                <c:formatCode>General</c:formatCode>
                <c:ptCount val="1"/>
              </c:numCache>
            </c:numRef>
          </c:xVal>
          <c:yVal>
            <c:numRef>
              <c:f>'CONTENÇÃO RÁPIDA'!$M$230:$M$230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1"/>
          <c:order val="21"/>
          <c:tx>
            <c:strRef>
              <c:f>'CONTENÇÃO RÁPIDA'!$K$231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RÁPIDA'!$L$231:$L$231</c:f>
              <c:numCache>
                <c:formatCode>General</c:formatCode>
                <c:ptCount val="1"/>
              </c:numCache>
            </c:numRef>
          </c:xVal>
          <c:yVal>
            <c:numRef>
              <c:f>'CONTENÇÃO RÁPIDA'!$M$231:$M$231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2"/>
          <c:order val="22"/>
          <c:tx>
            <c:strRef>
              <c:f>'CONTENÇÃO RÁPIDA'!$K$232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RÁPIDA'!$L$232:$L$232</c:f>
              <c:numCache>
                <c:formatCode>General</c:formatCode>
                <c:ptCount val="1"/>
              </c:numCache>
            </c:numRef>
          </c:xVal>
          <c:yVal>
            <c:numRef>
              <c:f>'CONTENÇÃO RÁPIDA'!$M$232:$M$232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3"/>
          <c:order val="23"/>
          <c:tx>
            <c:strRef>
              <c:f>'CONTENÇÃO RÁPIDA'!$K$233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RÁPIDA'!$L$233:$L$233</c:f>
              <c:numCache>
                <c:formatCode>General</c:formatCode>
                <c:ptCount val="1"/>
              </c:numCache>
            </c:numRef>
          </c:xVal>
          <c:yVal>
            <c:numRef>
              <c:f>'CONTENÇÃO RÁPIDA'!$M$233:$M$233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4"/>
          <c:order val="24"/>
          <c:tx>
            <c:strRef>
              <c:f>'CONTENÇÃO RÁPIDA'!$K$234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RÁPIDA'!$L$234:$L$234</c:f>
              <c:numCache>
                <c:formatCode>General</c:formatCode>
                <c:ptCount val="1"/>
              </c:numCache>
            </c:numRef>
          </c:xVal>
          <c:yVal>
            <c:numRef>
              <c:f>'CONTENÇÃO RÁPIDA'!$M$234:$M$234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5"/>
          <c:order val="25"/>
          <c:tx>
            <c:strRef>
              <c:f>'CONTENÇÃO RÁPIDA'!$K$235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RÁPIDA'!$L$235:$L$235</c:f>
              <c:numCache>
                <c:formatCode>General</c:formatCode>
                <c:ptCount val="1"/>
              </c:numCache>
            </c:numRef>
          </c:xVal>
          <c:yVal>
            <c:numRef>
              <c:f>'CONTENÇÃO RÁPIDA'!$M$235:$M$235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6"/>
          <c:order val="26"/>
          <c:tx>
            <c:strRef>
              <c:f>'CONTENÇÃO RÁPIDA'!$K$236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RÁPIDA'!$L$236:$L$236</c:f>
              <c:numCache>
                <c:formatCode>General</c:formatCode>
                <c:ptCount val="1"/>
              </c:numCache>
            </c:numRef>
          </c:xVal>
          <c:yVal>
            <c:numRef>
              <c:f>'CONTENÇÃO RÁPIDA'!$M$236:$M$236</c:f>
              <c:numCache>
                <c:formatCode>General</c:formatCode>
                <c:ptCount val="1"/>
              </c:numCache>
            </c:numRef>
          </c:yVal>
          <c:smooth val="0"/>
        </c:ser>
        <c:ser>
          <c:idx val="27"/>
          <c:order val="27"/>
          <c:tx>
            <c:strRef>
              <c:f>'CONTENÇÃO RÁPIDA'!$K$237</c:f>
              <c:strCache>
                <c:ptCount val="1"/>
                <c:pt idx="0">
                  <c:v/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sz="900" b="1">
                    <a:solidFill>
                      <a:srgbClr val="000000"/>
                    </a:solidFill>
                    <a:latin typeface="Aptos Narrow"/>
                  </a:defRPr>
                </a:pPr>
                <a:endParaRPr lang="pt-BR"/>
              </a:p>
            </c:txPr>
            <c:dLblPos val="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numRef>
              <c:f>'CONTENÇÃO RÁPIDA'!$L$237:$L$237</c:f>
              <c:numCache>
                <c:formatCode>General</c:formatCode>
                <c:ptCount val="1"/>
              </c:numCache>
            </c:numRef>
          </c:xVal>
          <c:yVal>
            <c:numRef>
              <c:f>'CONTENÇÃO RÁPIDA'!$M$237:$M$237</c:f>
              <c:numCache>
                <c:formatCode>General</c:formatCode>
                <c:ptCount val="1"/>
              </c:numCache>
            </c:numRef>
          </c:yVal>
          <c:smooth val="0"/>
        </c:ser>
        <c:axId val="61"/>
        <c:axId val="62"/>
      </c:scatterChart>
      <c:valAx>
        <c:axId val="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 sz="900" b="0"/>
                  <a:t>pressão (kN/m²)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6350">
            <a:solidFill>
              <a:srgbClr val="A6A6A6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ptos Narrow"/>
              </a:defRPr>
            </a:pPr>
            <a:endParaRPr lang="pt-BR"/>
          </a:p>
        </c:txPr>
        <c:crossAx val="62"/>
        <c:crosses val="autoZero"/>
        <c:crossBetween val="midCat"/>
      </c:valAx>
      <c:valAx>
        <c:axId val="62"/>
        <c:scaling>
          <c:orientation val="minMax"/>
        </c:scaling>
        <c:delete val="0"/>
        <c:axPos val="l"/>
        <c:majorGridlines>
          <c:spPr>
            <a:ln w="3175">
              <a:solidFill>
                <a:srgbClr val="E7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0"/>
                </a:pPr>
                <a:r>
                  <a:rPr lang="pt-BR" sz="900" b="0"/>
                  <a:t>altura a partir da base (m)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low"/>
        <c:spPr>
          <a:ln w="6350">
            <a:solidFill>
              <a:srgbClr val="A6A6A6"/>
            </a:solidFill>
          </a:ln>
        </c:spPr>
        <c:txPr>
          <a:bodyPr/>
          <a:lstStyle/>
          <a:p>
            <a:pPr>
              <a:defRPr sz="800" b="0">
                <a:solidFill>
                  <a:srgbClr val="404040"/>
                </a:solidFill>
                <a:latin typeface="Aptos Narrow"/>
              </a:defRPr>
            </a:pPr>
            <a:endParaRPr lang="pt-BR"/>
          </a:p>
        </c:txPr>
        <c:crossAx val="61"/>
        <c:crosses val="autoZero"/>
        <c:crossBetween val="midCat"/>
      </c:valAx>
    </c:plotArea>
    <c:plotVisOnly val="1"/>
    <c:dispBlanksAs val="gap"/>
  </c:chart>
  <c:spPr>
    <a:solidFill>
      <a:srgbClr val="FFFFFF"/>
    </a:solidFill>
    <a:ln w="9525">
      <a:solidFill>
        <a:srgbClr val="000000"/>
      </a:solidFill>
    </a:ln>
  </c:spPr>
  <c:txPr>
    <a:bodyPr/>
    <a:lstStyle/>
    <a:p>
      <a:pPr>
        <a:defRPr sz="900" b="0">
          <a:solidFill>
            <a:srgbClr val="404040"/>
          </a:solidFill>
          <a:latin typeface="Aptos Narrow"/>
        </a:defRPr>
      </a:pPr>
      <a:endParaRPr lang="pt-BR"/>
    </a:p>
  </c:txPr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jpe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361949</xdr:colOff>
      <xdr:row>3</xdr:row>
      <xdr:rowOff>112102</xdr:rowOff>
    </xdr:from>
    <xdr:to>
      <xdr:col>8</xdr:col>
      <xdr:colOff>394682</xdr:colOff>
      <xdr:row>33</xdr:row>
      <xdr:rowOff>169391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5564" y="705583"/>
          <a:ext cx="3901349" cy="381112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33</xdr:row>
      <xdr:rowOff>142875</xdr:rowOff>
    </xdr:from>
    <xdr:to>
      <xdr:col>8</xdr:col>
      <xdr:colOff>369891</xdr:colOff>
      <xdr:row>54</xdr:row>
      <xdr:rowOff>177917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2947"/>
        <a:stretch/>
      </xdr:blipFill>
      <xdr:spPr>
        <a:xfrm>
          <a:off x="5849815" y="6224221"/>
          <a:ext cx="4162307" cy="414047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59</xdr:row>
      <xdr:rowOff>106893</xdr:rowOff>
    </xdr:from>
    <xdr:to>
      <xdr:col>9</xdr:col>
      <xdr:colOff>350651</xdr:colOff>
      <xdr:row>74</xdr:row>
      <xdr:rowOff>89161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8875" y="10355793"/>
          <a:ext cx="4827401" cy="2935018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38</xdr:row>
      <xdr:rowOff>76200</xdr:rowOff>
    </xdr:from>
    <xdr:to>
      <xdr:col>28</xdr:col>
      <xdr:colOff>39065</xdr:colOff>
      <xdr:row>41</xdr:row>
      <xdr:rowOff>162017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D50AA8-EAED-9749-2789-987B9A5C0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182975" y="5495925"/>
          <a:ext cx="6916115" cy="657317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41</xdr:row>
      <xdr:rowOff>152400</xdr:rowOff>
    </xdr:from>
    <xdr:to>
      <xdr:col>19</xdr:col>
      <xdr:colOff>581300</xdr:colOff>
      <xdr:row>44</xdr:row>
      <xdr:rowOff>162006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B6D9B34-1A35-A11F-21C9-6E8E1E46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182975" y="6143625"/>
          <a:ext cx="1971950" cy="5811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0</xdr:row>
      <xdr:rowOff>57150</xdr:rowOff>
    </xdr:from>
    <xdr:to>
      <xdr:col>11</xdr:col>
      <xdr:colOff>314325</xdr:colOff>
      <xdr:row>7</xdr:row>
      <xdr:rowOff>180975</xdr:rowOff>
    </xdr:to>
    <xdr:pic>
      <xdr:nvPicPr>
        <xdr:cNvPr id="4" name="Imagem 12" descr="Largura Junta Alvenaria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5900" y="3238500"/>
          <a:ext cx="2590800" cy="1609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371475</xdr:colOff>
      <xdr:row>18</xdr:row>
      <xdr:rowOff>114300</xdr:rowOff>
    </xdr:from>
    <xdr:to>
      <xdr:col>10</xdr:col>
      <xdr:colOff>314325</xdr:colOff>
      <xdr:row>31</xdr:row>
      <xdr:rowOff>114300</xdr:rowOff>
    </xdr:to>
    <xdr:pic>
      <xdr:nvPicPr>
        <xdr:cNvPr id="6" name="Imagem 5" descr="Blocpar Bloco 19x19x39 estrutural | Rosny Aryon Conrad | Flickr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0" y="7000875"/>
          <a:ext cx="2381250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19050</xdr:colOff>
      <xdr:row>18</xdr:row>
      <xdr:rowOff>76200</xdr:rowOff>
    </xdr:from>
    <xdr:to>
      <xdr:col>20</xdr:col>
      <xdr:colOff>189789</xdr:colOff>
      <xdr:row>30</xdr:row>
      <xdr:rowOff>199723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9325" y="6962775"/>
          <a:ext cx="5685714" cy="2419048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7</xdr:row>
      <xdr:rowOff>133349</xdr:rowOff>
    </xdr:from>
    <xdr:to>
      <xdr:col>11</xdr:col>
      <xdr:colOff>236623</xdr:colOff>
      <xdr:row>17</xdr:row>
      <xdr:rowOff>47624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62575" y="4810124"/>
          <a:ext cx="2446423" cy="1933575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514350</xdr:colOff>
      <xdr:row>17</xdr:row>
      <xdr:rowOff>0</xdr:rowOff>
    </xdr:from>
    <xdr:to>
      <xdr:col>13</xdr:col>
      <xdr:colOff>829763</xdr:colOff>
      <xdr:row>31</xdr:row>
      <xdr:rowOff>123825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77125" y="6696075"/>
          <a:ext cx="2144213" cy="2847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0</xdr:rowOff>
    </xdr:from>
    <xdr:to>
      <xdr:col>17</xdr:col>
      <xdr:colOff>285750</xdr:colOff>
      <xdr:row>103</xdr:row>
      <xdr:rowOff>40305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pSpPr/>
      </xdr:nvGrpSpPr>
      <xdr:grpSpPr>
        <a:xfrm>
          <a:off x="171450" y="0"/>
          <a:ext cx="10477500" cy="19661805"/>
          <a:chOff x="171450" y="0"/>
          <a:chExt cx="7923811" cy="14870098"/>
        </a:xfrm>
      </xdr:grpSpPr>
      <xdr:pic>
        <xdr:nvPicPr>
          <xdr:cNvPr id="5" name="Imagem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0975" y="0"/>
            <a:ext cx="7914286" cy="7647619"/>
          </a:xfrm>
          <a:prstGeom prst="rect">
            <a:avLst/>
          </a:prstGeom>
        </xdr:spPr>
      </xdr:pic>
      <xdr:pic>
        <xdr:nvPicPr>
          <xdr:cNvPr id="6" name="Imagem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1450" y="7612955"/>
            <a:ext cx="7904762" cy="7257143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161925</xdr:colOff>
      <xdr:row>0</xdr:row>
      <xdr:rowOff>47625</xdr:rowOff>
    </xdr:from>
    <xdr:to>
      <xdr:col>17</xdr:col>
      <xdr:colOff>227830</xdr:colOff>
      <xdr:row>48</xdr:row>
      <xdr:rowOff>103625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EA0D4A1-93F1-4325-9A0F-45B6C56ED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29125" y="47625"/>
          <a:ext cx="6161905" cy="920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419100</xdr:colOff>
      <xdr:row>0</xdr:row>
      <xdr:rowOff>57150</xdr:rowOff>
    </xdr:from>
    <xdr:to>
      <xdr:col>27</xdr:col>
      <xdr:colOff>542148</xdr:colOff>
      <xdr:row>49</xdr:row>
      <xdr:rowOff>27412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0726A8-91A9-4CA5-AD0E-8BBDE489C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82300" y="57150"/>
          <a:ext cx="6219048" cy="93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15</xdr:row>
      <xdr:rowOff>76200</xdr:rowOff>
    </xdr:from>
    <xdr:to>
      <xdr:col>6</xdr:col>
      <xdr:colOff>585679</xdr:colOff>
      <xdr:row>35</xdr:row>
      <xdr:rowOff>85725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FB25EA73-BCF9-4AD7-A9BC-2F2CA02D7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1" y="2933700"/>
          <a:ext cx="4929078" cy="3819525"/>
        </a:xfrm>
        <a:prstGeom prst="rect">
          <a:avLst/>
        </a:prstGeom>
      </xdr:spPr>
    </xdr:pic>
    <xdr:clientData/>
  </xdr:twoCellAnchor>
  <xdr:twoCellAnchor>
    <xdr:from>
      <xdr:col>7</xdr:col>
      <xdr:colOff>209550</xdr:colOff>
      <xdr:row>28</xdr:row>
      <xdr:rowOff>114300</xdr:rowOff>
    </xdr:from>
    <xdr:to>
      <xdr:col>13</xdr:col>
      <xdr:colOff>171450</xdr:colOff>
      <xdr:row>29</xdr:row>
      <xdr:rowOff>114300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454FD6FF-B144-D0DD-602F-C13014B76B30}"/>
            </a:ext>
          </a:extLst>
        </xdr:cNvPr>
        <xdr:cNvGrpSpPr/>
      </xdr:nvGrpSpPr>
      <xdr:grpSpPr>
        <a:xfrm>
          <a:off x="5257800" y="5448300"/>
          <a:ext cx="3619500" cy="190500"/>
          <a:chOff x="5257800" y="5448300"/>
          <a:chExt cx="3619500" cy="190500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16CDA6BB-91DA-B44E-515C-D22D447E781C}"/>
              </a:ext>
            </a:extLst>
          </xdr:cNvPr>
          <xdr:cNvSpPr/>
        </xdr:nvSpPr>
        <xdr:spPr>
          <a:xfrm>
            <a:off x="5257800" y="5448300"/>
            <a:ext cx="581025" cy="18097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D0146A24-E3DE-443D-B0C1-5DE19FAF3E6D}"/>
              </a:ext>
            </a:extLst>
          </xdr:cNvPr>
          <xdr:cNvSpPr/>
        </xdr:nvSpPr>
        <xdr:spPr>
          <a:xfrm>
            <a:off x="7077075" y="5457825"/>
            <a:ext cx="1800225" cy="180975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cxnSp macro="">
        <xdr:nvCxnSpPr>
          <xdr:cNvPr id="11" name="Conector reto 10">
            <a:extLst>
              <a:ext uri="{FF2B5EF4-FFF2-40B4-BE49-F238E27FC236}">
                <a16:creationId xmlns:a16="http://schemas.microsoft.com/office/drawing/2014/main" id="{8AB03B44-C3B4-C350-6169-CB5A73405AE8}"/>
              </a:ext>
            </a:extLst>
          </xdr:cNvPr>
          <xdr:cNvCxnSpPr>
            <a:stCxn id="5" idx="3"/>
            <a:endCxn id="6" idx="1"/>
          </xdr:cNvCxnSpPr>
        </xdr:nvCxnSpPr>
        <xdr:spPr>
          <a:xfrm>
            <a:off x="5838825" y="5538788"/>
            <a:ext cx="1238250" cy="9525"/>
          </a:xfrm>
          <a:prstGeom prst="line">
            <a:avLst/>
          </a:prstGeom>
          <a:ln w="285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112</xdr:row>
      <xdr:rowOff>0</xdr:rowOff>
    </xdr:from>
    <xdr:to>
      <xdr:col>14</xdr:col>
      <xdr:colOff>0</xdr:colOff>
      <xdr:row>142</xdr:row>
      <xdr:rowOff>0</xdr:rowOff>
    </xdr:to>
    <xdr:graphicFrame macro="">
      <xdr:nvGraphicFramePr>
        <xdr:cNvPr id="2" name="Diagrama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oneCell">
    <xdr:from>
      <xdr:col>14</xdr:col>
      <xdr:colOff>0</xdr:colOff>
      <xdr:row>112</xdr:row>
      <xdr:rowOff>0</xdr:rowOff>
    </xdr:from>
    <xdr:to>
      <xdr:col>20</xdr:col>
      <xdr:colOff>0</xdr:colOff>
      <xdr:row>142</xdr:row>
      <xdr:rowOff>0</xdr:rowOff>
    </xdr:to>
    <xdr:graphicFrame macro="">
      <xdr:nvGraphicFramePr>
        <xdr:cNvPr id="3" name="Diagrama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D92"/>
  <sheetViews>
    <sheetView topLeftCell="L1" zoomScaleNormal="100" workbookViewId="0">
      <selection activeCell="P15" sqref="P15"/>
    </sheetView>
  </sheetViews>
  <sheetFormatPr defaultRowHeight="15" x14ac:dyDescent="0.25"/>
  <cols>
    <col min="1" max="1" width="35.85546875" bestFit="1" customWidth="1"/>
    <col min="2" max="2" width="28.42578125" bestFit="1" customWidth="1"/>
    <col min="3" max="3" width="12.140625" style="1" bestFit="1" customWidth="1"/>
    <col min="4" max="4" width="10.140625" bestFit="1" customWidth="1"/>
    <col min="5" max="5" width="13.28515625" bestFit="1" customWidth="1"/>
    <col min="6" max="6" width="26.42578125" bestFit="1" customWidth="1"/>
    <col min="12" max="12" width="24" customWidth="1"/>
    <col min="13" max="13" width="10.85546875" customWidth="1"/>
    <col min="16" max="16" width="11" customWidth="1"/>
  </cols>
  <sheetData>
    <row r="1" spans="1:56" s="2" customFormat="1" ht="15.75" thickBot="1" x14ac:dyDescent="0.3">
      <c r="A1" s="197" t="s">
        <v>179</v>
      </c>
      <c r="B1" s="198"/>
      <c r="C1" s="198"/>
      <c r="D1" s="198"/>
      <c r="E1" s="198"/>
      <c r="F1" s="198"/>
      <c r="G1" s="198"/>
      <c r="H1" s="198"/>
      <c r="I1" s="198"/>
      <c r="J1" s="199"/>
      <c r="BD1" s="2" t="s">
        <v>200</v>
      </c>
    </row>
    <row r="2" spans="1:56" ht="15.75" thickBot="1" x14ac:dyDescent="0.3">
      <c r="A2" s="194" t="s">
        <v>191</v>
      </c>
      <c r="B2" s="195"/>
      <c r="D2" s="85"/>
      <c r="E2" s="85"/>
      <c r="F2" s="85"/>
      <c r="G2" s="85"/>
      <c r="H2" s="85"/>
      <c r="I2" s="85"/>
      <c r="J2" s="85"/>
      <c r="L2" t="s">
        <v>273</v>
      </c>
      <c r="M2">
        <v>5</v>
      </c>
      <c r="N2" t="s">
        <v>274</v>
      </c>
    </row>
    <row r="3" spans="1:56" ht="15.75" thickBot="1" x14ac:dyDescent="0.3">
      <c r="A3" s="6" t="s">
        <v>107</v>
      </c>
      <c r="B3" s="108" t="s">
        <v>99</v>
      </c>
      <c r="D3" s="85"/>
      <c r="E3" s="85"/>
      <c r="F3" s="85"/>
      <c r="G3" s="85"/>
      <c r="H3" s="85"/>
      <c r="I3" s="85"/>
      <c r="J3" s="85"/>
      <c r="L3" t="s">
        <v>0</v>
      </c>
      <c r="M3" s="111">
        <v>18</v>
      </c>
      <c r="N3" s="7" t="s">
        <v>5</v>
      </c>
    </row>
    <row r="4" spans="1:56" ht="18.75" thickBot="1" x14ac:dyDescent="0.3">
      <c r="A4" s="6" t="s">
        <v>113</v>
      </c>
      <c r="B4" s="109">
        <v>0</v>
      </c>
      <c r="D4" s="85"/>
      <c r="E4" s="85"/>
      <c r="F4" s="85"/>
      <c r="G4" s="85"/>
      <c r="H4" s="85"/>
      <c r="I4" s="85"/>
      <c r="J4" s="85"/>
      <c r="L4" t="s">
        <v>182</v>
      </c>
      <c r="M4">
        <v>2.5</v>
      </c>
      <c r="N4" t="s">
        <v>6</v>
      </c>
      <c r="Q4" s="175" t="s">
        <v>265</v>
      </c>
    </row>
    <row r="5" spans="1:56" ht="15.75" thickBot="1" x14ac:dyDescent="0.3">
      <c r="A5" s="6" t="s">
        <v>182</v>
      </c>
      <c r="B5" s="109">
        <v>3.85</v>
      </c>
      <c r="C5" s="7" t="s">
        <v>6</v>
      </c>
      <c r="D5" s="85"/>
      <c r="E5" s="85"/>
      <c r="F5" s="85"/>
      <c r="G5" s="85"/>
      <c r="H5" s="85"/>
      <c r="I5" s="85"/>
      <c r="J5" s="85"/>
      <c r="L5" t="s">
        <v>190</v>
      </c>
      <c r="M5">
        <f>13.07/2</f>
        <v>6.5350000000000001</v>
      </c>
      <c r="N5" t="s">
        <v>6</v>
      </c>
      <c r="Q5" s="103" t="s">
        <v>264</v>
      </c>
    </row>
    <row r="6" spans="1:56" ht="15.75" thickBot="1" x14ac:dyDescent="0.3">
      <c r="A6" s="6" t="s">
        <v>190</v>
      </c>
      <c r="B6" s="109">
        <v>4.25</v>
      </c>
      <c r="C6" s="7" t="s">
        <v>6</v>
      </c>
      <c r="D6" s="85"/>
      <c r="E6" s="85"/>
      <c r="F6" s="85"/>
      <c r="G6" s="85"/>
      <c r="H6" s="85"/>
      <c r="I6" s="85"/>
      <c r="J6" s="85"/>
    </row>
    <row r="7" spans="1:56" x14ac:dyDescent="0.25">
      <c r="A7" s="6" t="s">
        <v>0</v>
      </c>
      <c r="B7" s="111">
        <v>18</v>
      </c>
      <c r="C7" s="7" t="s">
        <v>5</v>
      </c>
      <c r="D7" s="85"/>
      <c r="E7" s="85"/>
      <c r="F7" s="85"/>
      <c r="G7" s="85"/>
      <c r="H7" s="85"/>
      <c r="I7" s="85"/>
      <c r="J7" s="85"/>
      <c r="L7" s="179" t="s">
        <v>110</v>
      </c>
      <c r="M7" s="179">
        <v>18</v>
      </c>
      <c r="N7" s="179" t="s">
        <v>287</v>
      </c>
    </row>
    <row r="8" spans="1:56" x14ac:dyDescent="0.25">
      <c r="A8" s="6" t="s">
        <v>1</v>
      </c>
      <c r="B8" s="112" cm="1">
        <f t="array" ref="B8">(IF(B4&gt;30,200,(SUMPRODUCT(('DADOS DO SOLO'!C2:C84=B4)*('DADOS DO SOLO'!A2:A84=B3)*('DADOS DO SOLO'!F2:F84)))))*(VLOOKUP(B10,'CÁLCULO FECHAMENTO'!A17:B19,2,0))</f>
        <v>0</v>
      </c>
      <c r="C8" s="7" t="s">
        <v>4</v>
      </c>
      <c r="D8" s="85"/>
      <c r="E8" s="85"/>
      <c r="F8" s="85"/>
      <c r="G8" s="85"/>
      <c r="H8" s="85"/>
      <c r="I8" s="85"/>
      <c r="J8" s="85"/>
      <c r="L8" s="176" t="s">
        <v>173</v>
      </c>
      <c r="M8" s="92">
        <f>TAN(RADIANS(45 - M7/2))^2</f>
        <v>0.52786404500042061</v>
      </c>
    </row>
    <row r="9" spans="1:56" ht="15.75" customHeight="1" x14ac:dyDescent="0.35">
      <c r="A9" s="6" t="s">
        <v>2</v>
      </c>
      <c r="B9" s="112">
        <f>IF(B4&gt;50,45,(SUMPRODUCT(('DADOS DO SOLO'!C2:C84=B4)*('DADOS DO SOLO'!A2:A84=B3)*('DADOS DO SOLO'!G2:G84))))</f>
        <v>0</v>
      </c>
      <c r="C9" s="7" t="s">
        <v>41</v>
      </c>
      <c r="D9" s="85"/>
      <c r="E9" s="85"/>
      <c r="F9" s="85"/>
      <c r="G9" s="85"/>
      <c r="H9" s="85"/>
      <c r="I9" s="85"/>
      <c r="J9" s="85"/>
      <c r="L9" s="97" t="s">
        <v>114</v>
      </c>
      <c r="M9" s="95">
        <f>M3*M4</f>
        <v>45</v>
      </c>
      <c r="N9" s="93" t="s">
        <v>3</v>
      </c>
    </row>
    <row r="10" spans="1:56" ht="15.75" thickBot="1" x14ac:dyDescent="0.3">
      <c r="A10" s="6" t="s">
        <v>194</v>
      </c>
      <c r="B10" s="112" t="s">
        <v>196</v>
      </c>
      <c r="C10" s="7"/>
      <c r="D10" s="85"/>
      <c r="E10" s="85"/>
      <c r="F10" s="85"/>
      <c r="G10" s="85"/>
      <c r="H10" s="85"/>
      <c r="I10" s="85"/>
      <c r="J10" s="85"/>
      <c r="L10" s="177" t="s">
        <v>178</v>
      </c>
      <c r="M10" s="142">
        <f>(M9*M8)</f>
        <v>23.753882025018928</v>
      </c>
      <c r="N10" s="93" t="s">
        <v>3</v>
      </c>
      <c r="P10" s="196" t="s">
        <v>297</v>
      </c>
      <c r="Q10" s="196"/>
      <c r="R10" s="196"/>
    </row>
    <row r="11" spans="1:56" ht="15.75" hidden="1" thickBot="1" x14ac:dyDescent="0.3">
      <c r="A11" s="194" t="s">
        <v>192</v>
      </c>
      <c r="B11" s="195"/>
      <c r="C11" s="7"/>
      <c r="D11" s="85"/>
      <c r="E11" s="85"/>
      <c r="F11" s="85"/>
      <c r="G11" s="85"/>
      <c r="H11" s="85"/>
      <c r="I11" s="85"/>
      <c r="J11" s="85"/>
      <c r="L11" s="177" t="s">
        <v>183</v>
      </c>
      <c r="M11" s="95" t="e">
        <f>M10*#REF!/2</f>
        <v>#REF!</v>
      </c>
      <c r="N11" s="93" t="s">
        <v>7</v>
      </c>
      <c r="P11" s="81"/>
      <c r="Q11" s="81"/>
      <c r="R11" s="81"/>
    </row>
    <row r="12" spans="1:56" ht="15.75" hidden="1" thickBot="1" x14ac:dyDescent="0.3">
      <c r="A12" s="6" t="s">
        <v>184</v>
      </c>
      <c r="B12" s="110">
        <v>1.75</v>
      </c>
      <c r="C12" s="7" t="s">
        <v>6</v>
      </c>
      <c r="D12" s="85"/>
      <c r="E12" s="85"/>
      <c r="F12" s="85"/>
      <c r="G12" s="85"/>
      <c r="H12" s="85"/>
      <c r="I12" s="85"/>
      <c r="J12" s="85"/>
      <c r="L12" s="97" t="s">
        <v>8</v>
      </c>
      <c r="M12" s="95" t="e">
        <f>(M11*#REF!)</f>
        <v>#REF!</v>
      </c>
      <c r="N12" s="93" t="s">
        <v>9</v>
      </c>
      <c r="P12" s="81"/>
      <c r="Q12" s="81"/>
      <c r="R12" s="81"/>
    </row>
    <row r="13" spans="1:56" ht="15.75" hidden="1" thickBot="1" x14ac:dyDescent="0.3">
      <c r="A13" s="6" t="s">
        <v>169</v>
      </c>
      <c r="B13" s="110">
        <v>14</v>
      </c>
      <c r="C13" s="7" t="s">
        <v>17</v>
      </c>
      <c r="D13" s="85"/>
      <c r="E13" s="85"/>
      <c r="F13" s="85"/>
      <c r="G13" s="85"/>
      <c r="H13" s="85"/>
      <c r="I13" s="85"/>
      <c r="J13" s="85"/>
      <c r="P13" s="81"/>
      <c r="Q13" s="81"/>
      <c r="R13" s="81"/>
    </row>
    <row r="14" spans="1:56" ht="15.75" hidden="1" thickBot="1" x14ac:dyDescent="0.3">
      <c r="A14" s="6" t="s">
        <v>248</v>
      </c>
      <c r="B14" s="141">
        <v>0.5</v>
      </c>
      <c r="C14" s="7" t="s">
        <v>249</v>
      </c>
      <c r="D14" s="85"/>
      <c r="E14" s="85"/>
      <c r="F14" s="85"/>
      <c r="G14" s="85"/>
      <c r="H14" s="85"/>
      <c r="I14" s="85"/>
      <c r="J14" s="85"/>
      <c r="P14" s="81"/>
      <c r="Q14" s="81"/>
      <c r="R14" s="81"/>
    </row>
    <row r="15" spans="1:56" ht="15.75" hidden="1" thickBot="1" x14ac:dyDescent="0.3">
      <c r="A15" s="6" t="s">
        <v>250</v>
      </c>
      <c r="B15" s="77">
        <f>MAX('TABELAS LÍBANO'!E4:E6)</f>
        <v>23.555733200999999</v>
      </c>
      <c r="C15" s="7" t="s">
        <v>251</v>
      </c>
      <c r="D15" s="85"/>
      <c r="E15" s="85"/>
      <c r="F15" s="85"/>
      <c r="G15" s="85"/>
      <c r="H15" s="85"/>
      <c r="I15" s="85"/>
      <c r="J15" s="85"/>
      <c r="P15" s="81"/>
      <c r="Q15" s="81"/>
      <c r="R15" s="81"/>
    </row>
    <row r="16" spans="1:56" ht="15.75" hidden="1" thickBot="1" x14ac:dyDescent="0.3">
      <c r="A16" s="6" t="s">
        <v>132</v>
      </c>
      <c r="B16" s="110">
        <v>2</v>
      </c>
      <c r="C16" s="7" t="s">
        <v>17</v>
      </c>
      <c r="D16" s="85"/>
      <c r="E16" s="85"/>
      <c r="F16" s="85"/>
      <c r="G16" s="85"/>
      <c r="H16" s="85"/>
      <c r="I16" s="85"/>
      <c r="J16" s="85"/>
      <c r="K16" s="98"/>
      <c r="L16" s="98"/>
      <c r="P16" s="81"/>
      <c r="Q16" s="81"/>
      <c r="R16" s="81"/>
    </row>
    <row r="17" spans="1:20" ht="15.75" hidden="1" thickBot="1" x14ac:dyDescent="0.3">
      <c r="A17" s="6" t="s">
        <v>135</v>
      </c>
      <c r="B17" s="110">
        <v>39</v>
      </c>
      <c r="C17" s="7" t="s">
        <v>17</v>
      </c>
      <c r="D17" s="85"/>
      <c r="E17" s="85"/>
      <c r="F17" s="85"/>
      <c r="G17" s="85"/>
      <c r="H17" s="85"/>
      <c r="I17" s="85"/>
      <c r="J17" s="85"/>
      <c r="K17" s="98"/>
      <c r="L17" s="98"/>
      <c r="P17" s="81"/>
      <c r="Q17" s="81"/>
      <c r="R17" s="81"/>
    </row>
    <row r="18" spans="1:20" ht="15.75" hidden="1" thickBot="1" x14ac:dyDescent="0.3">
      <c r="A18" s="6" t="s">
        <v>189</v>
      </c>
      <c r="B18" s="110">
        <v>8</v>
      </c>
      <c r="C18" s="7" t="s">
        <v>125</v>
      </c>
      <c r="D18" s="85"/>
      <c r="E18" s="85"/>
      <c r="F18" s="85"/>
      <c r="G18" s="85"/>
      <c r="H18" s="85"/>
      <c r="I18" s="85"/>
      <c r="J18" s="85"/>
      <c r="K18" s="178"/>
      <c r="L18" s="98"/>
      <c r="P18" s="81"/>
      <c r="Q18" s="81"/>
      <c r="R18" s="81"/>
    </row>
    <row r="19" spans="1:20" ht="15.75" hidden="1" thickBot="1" x14ac:dyDescent="0.3">
      <c r="A19" s="89" t="s">
        <v>150</v>
      </c>
      <c r="B19" s="110">
        <v>8</v>
      </c>
      <c r="D19" s="85"/>
      <c r="E19" s="85"/>
      <c r="F19" s="85"/>
      <c r="G19" s="85"/>
      <c r="H19" s="85"/>
      <c r="I19" s="85"/>
      <c r="J19" s="85"/>
      <c r="P19" s="81"/>
      <c r="Q19" s="81"/>
      <c r="R19" s="81"/>
    </row>
    <row r="20" spans="1:20" ht="15.75" hidden="1" thickBot="1" x14ac:dyDescent="0.3">
      <c r="A20" s="105" t="s">
        <v>151</v>
      </c>
      <c r="B20" s="135" t="e">
        <f>'FECHAMENTO EM ALVENARIA'!E48</f>
        <v>#NUM!</v>
      </c>
      <c r="C20" s="114" t="s">
        <v>17</v>
      </c>
      <c r="D20" s="85"/>
      <c r="E20" s="85"/>
      <c r="F20" s="85"/>
      <c r="G20" s="85"/>
      <c r="H20" s="85"/>
      <c r="I20" s="85"/>
      <c r="J20" s="85"/>
      <c r="P20" s="81"/>
      <c r="Q20" s="81"/>
      <c r="R20" s="81"/>
    </row>
    <row r="21" spans="1:20" ht="15.75" hidden="1" thickBot="1" x14ac:dyDescent="0.3">
      <c r="A21" s="105"/>
      <c r="B21" s="135"/>
      <c r="C21" s="114"/>
      <c r="D21" s="85"/>
      <c r="E21" s="85"/>
      <c r="F21" s="85"/>
      <c r="G21" s="85"/>
      <c r="H21" s="85"/>
      <c r="I21" s="85"/>
      <c r="J21" s="85"/>
      <c r="P21" s="81"/>
      <c r="Q21" s="81"/>
      <c r="R21" s="81"/>
    </row>
    <row r="22" spans="1:20" ht="15.75" thickBot="1" x14ac:dyDescent="0.3">
      <c r="A22" s="194" t="s">
        <v>185</v>
      </c>
      <c r="B22" s="195"/>
      <c r="C22" s="114"/>
      <c r="D22" s="85"/>
      <c r="E22" s="85"/>
      <c r="F22" s="85"/>
      <c r="G22" s="85"/>
      <c r="H22" s="85"/>
      <c r="I22" s="85"/>
      <c r="J22" s="85"/>
      <c r="L22" s="177" t="s">
        <v>183</v>
      </c>
      <c r="M22" s="95">
        <f>M10*M4/2</f>
        <v>29.692352531273659</v>
      </c>
      <c r="N22" s="93" t="s">
        <v>7</v>
      </c>
      <c r="P22" s="180" t="s">
        <v>286</v>
      </c>
      <c r="Q22" s="181">
        <v>1.25</v>
      </c>
      <c r="R22" s="181" t="s">
        <v>6</v>
      </c>
      <c r="T22" s="186" t="s">
        <v>291</v>
      </c>
    </row>
    <row r="23" spans="1:20" ht="15.75" thickBot="1" x14ac:dyDescent="0.3">
      <c r="A23" s="120" t="s">
        <v>193</v>
      </c>
      <c r="B23" s="121" t="str">
        <f>IF(B38&gt;0,"Não","Sim")</f>
        <v>Não</v>
      </c>
      <c r="C23" s="114"/>
      <c r="D23" s="85"/>
      <c r="E23" s="85"/>
      <c r="F23" s="85"/>
      <c r="G23" s="85"/>
      <c r="H23" s="85"/>
      <c r="I23" s="85"/>
      <c r="J23" s="85"/>
      <c r="L23" s="97" t="s">
        <v>8</v>
      </c>
      <c r="M23" s="95">
        <f>(M22*M5)</f>
        <v>194.03952379187336</v>
      </c>
      <c r="N23" s="93" t="s">
        <v>9</v>
      </c>
      <c r="P23" s="180" t="s">
        <v>288</v>
      </c>
      <c r="Q23" s="181">
        <f>M4</f>
        <v>2.5</v>
      </c>
      <c r="R23" s="181" t="s">
        <v>6</v>
      </c>
      <c r="T23" s="186" t="s">
        <v>293</v>
      </c>
    </row>
    <row r="24" spans="1:20" ht="15.75" thickBot="1" x14ac:dyDescent="0.3">
      <c r="A24" s="137" t="s">
        <v>168</v>
      </c>
      <c r="B24" s="121" t="str">
        <f>IF('CÁLCULO FECHAMENTO'!B11="Não","Aumentar largura pilar",'CÁLCULO FECHAMENTO'!B11)</f>
        <v>Sim</v>
      </c>
      <c r="C24" s="114"/>
      <c r="D24" s="85"/>
      <c r="E24" s="85"/>
      <c r="F24" s="85"/>
      <c r="G24" s="85"/>
      <c r="H24" s="85"/>
      <c r="I24" s="85"/>
      <c r="J24" s="85"/>
      <c r="L24" s="151" t="s">
        <v>161</v>
      </c>
      <c r="M24" s="106">
        <f>M23*0.1</f>
        <v>19.403952379187338</v>
      </c>
      <c r="N24" s="107" t="s">
        <v>10</v>
      </c>
      <c r="P24" s="180" t="s">
        <v>276</v>
      </c>
      <c r="Q24" s="181">
        <f>M2/M3</f>
        <v>0.27777777777777779</v>
      </c>
      <c r="R24" s="181" t="s">
        <v>6</v>
      </c>
      <c r="T24" s="186" t="s">
        <v>292</v>
      </c>
    </row>
    <row r="25" spans="1:20" ht="15.75" thickBot="1" x14ac:dyDescent="0.3">
      <c r="A25" s="137" t="s">
        <v>165</v>
      </c>
      <c r="B25" s="121" t="str">
        <f>IF('CÁLCULO FECHAMENTO'!B12="Não","Aumentar largura da alvenaria",'CÁLCULO FECHAMENTO'!B12)</f>
        <v>Sim</v>
      </c>
      <c r="C25" s="114"/>
      <c r="D25" s="85"/>
      <c r="E25" s="85"/>
      <c r="F25" s="85"/>
      <c r="G25" s="85"/>
      <c r="H25" s="85"/>
      <c r="I25" s="85"/>
      <c r="J25" s="85"/>
      <c r="L25" s="151" t="s">
        <v>11</v>
      </c>
      <c r="M25" s="106">
        <f>M4/3</f>
        <v>0.83333333333333337</v>
      </c>
      <c r="N25" s="107" t="s">
        <v>6</v>
      </c>
      <c r="P25" s="182" t="s">
        <v>285</v>
      </c>
      <c r="Q25" s="183">
        <f>Q23*M8*M3</f>
        <v>23.753882025018925</v>
      </c>
      <c r="R25" s="184" t="s">
        <v>3</v>
      </c>
      <c r="T25" s="186" t="s">
        <v>294</v>
      </c>
    </row>
    <row r="26" spans="1:20" ht="15.75" thickBot="1" x14ac:dyDescent="0.3">
      <c r="A26" s="137" t="s">
        <v>186</v>
      </c>
      <c r="B26" s="121" t="str">
        <f>IF('CÁLCULO FECHAMENTO'!B13="Não","Aumentar resistência do bloco",'CÁLCULO FECHAMENTO'!B13)</f>
        <v>Sim</v>
      </c>
      <c r="C26" s="114"/>
      <c r="D26" s="85"/>
      <c r="E26" s="85"/>
      <c r="F26" s="85"/>
      <c r="G26" s="85"/>
      <c r="H26" s="85"/>
      <c r="I26" s="85"/>
      <c r="J26" s="85"/>
      <c r="L26" t="s">
        <v>263</v>
      </c>
      <c r="M26" s="95">
        <f>M24*M25</f>
        <v>16.169960315989449</v>
      </c>
      <c r="N26" s="1"/>
      <c r="P26" s="182" t="s">
        <v>289</v>
      </c>
      <c r="Q26" s="183">
        <f>Q25*Q22</f>
        <v>29.692352531273656</v>
      </c>
      <c r="R26" s="184" t="s">
        <v>7</v>
      </c>
      <c r="T26" s="186" t="s">
        <v>295</v>
      </c>
    </row>
    <row r="27" spans="1:20" ht="15.75" thickBot="1" x14ac:dyDescent="0.3">
      <c r="A27" s="137" t="s">
        <v>187</v>
      </c>
      <c r="B27" s="121" t="str">
        <f>IF('CÁLCULO FECHAMENTO'!B14="Não","Aumentar resistência do bloco",'CÁLCULO FECHAMENTO'!B14)</f>
        <v>Sim</v>
      </c>
      <c r="C27" s="114"/>
      <c r="D27" s="85"/>
      <c r="E27" s="85"/>
      <c r="F27" s="85"/>
      <c r="G27" s="85"/>
      <c r="H27" s="85"/>
      <c r="I27" s="85"/>
      <c r="J27" s="85"/>
      <c r="L27" t="s">
        <v>198</v>
      </c>
      <c r="M27" s="142">
        <f>M25</f>
        <v>0.83333333333333337</v>
      </c>
      <c r="N27" s="95" t="s">
        <v>6</v>
      </c>
      <c r="P27" s="182" t="s">
        <v>290</v>
      </c>
      <c r="Q27" s="183">
        <f>Q24*M3*M8*Q22</f>
        <v>3.2991502812526283</v>
      </c>
      <c r="R27" s="184" t="s">
        <v>7</v>
      </c>
      <c r="T27" s="186" t="s">
        <v>296</v>
      </c>
    </row>
    <row r="28" spans="1:20" ht="15.75" thickBot="1" x14ac:dyDescent="0.3">
      <c r="A28" s="123" t="s">
        <v>188</v>
      </c>
      <c r="B28" s="121" t="e">
        <f>IF('CÁLCULO FECHAMENTO'!B15="Não","Aumentar resistência do bloco",'CÁLCULO FECHAMENTO'!B15)</f>
        <v>#DIV/0!</v>
      </c>
      <c r="C28" s="7"/>
      <c r="D28" s="85"/>
      <c r="E28" s="85"/>
      <c r="F28" s="85"/>
      <c r="G28" s="85"/>
      <c r="H28" s="85"/>
      <c r="I28" s="85"/>
      <c r="J28" s="85"/>
      <c r="L28" t="s">
        <v>199</v>
      </c>
      <c r="M28" s="95">
        <f>M25*M24/M27</f>
        <v>19.403952379187338</v>
      </c>
      <c r="N28" s="95" t="s">
        <v>160</v>
      </c>
    </row>
    <row r="29" spans="1:20" x14ac:dyDescent="0.25">
      <c r="A29" s="104"/>
      <c r="C29" s="7"/>
      <c r="D29" s="85"/>
      <c r="E29" s="85"/>
      <c r="F29" s="85"/>
      <c r="G29" s="85"/>
      <c r="H29" s="85"/>
      <c r="I29" s="85"/>
      <c r="J29" s="85"/>
      <c r="L29" s="177" t="s">
        <v>276</v>
      </c>
      <c r="M29" s="95">
        <f>M2/M3</f>
        <v>0.27777777777777779</v>
      </c>
      <c r="N29" s="95" t="s">
        <v>6</v>
      </c>
    </row>
    <row r="30" spans="1:20" s="2" customFormat="1" x14ac:dyDescent="0.25">
      <c r="A30" s="8" t="s">
        <v>175</v>
      </c>
      <c r="B30" s="77">
        <f>'CÁLCULO FECHAMENTO'!B36</f>
        <v>0.95824573970644744</v>
      </c>
      <c r="C30" s="9" t="s">
        <v>6</v>
      </c>
      <c r="D30" s="87"/>
      <c r="E30" s="87"/>
      <c r="F30" s="87"/>
      <c r="G30" s="87"/>
      <c r="H30" s="87"/>
      <c r="I30" s="87"/>
      <c r="J30" s="87"/>
      <c r="K30"/>
      <c r="L30" s="177" t="s">
        <v>275</v>
      </c>
      <c r="M30" s="95">
        <f>M29*M8*M3*M5</f>
        <v>17.247957670388743</v>
      </c>
      <c r="N30" s="93" t="s">
        <v>7</v>
      </c>
      <c r="P30"/>
      <c r="Q30"/>
      <c r="R30"/>
    </row>
    <row r="31" spans="1:20" ht="15.75" thickBot="1" x14ac:dyDescent="0.3">
      <c r="A31" s="105" t="s">
        <v>176</v>
      </c>
      <c r="B31" s="106">
        <f>'CÁLCULO FECHAMENTO'!B46*1000</f>
        <v>1590.8419602055767</v>
      </c>
      <c r="C31" s="114" t="s">
        <v>177</v>
      </c>
      <c r="D31" s="85"/>
      <c r="E31" s="85"/>
      <c r="F31" s="85"/>
      <c r="G31" s="85"/>
      <c r="H31" s="85"/>
      <c r="I31" s="85"/>
      <c r="J31" s="85"/>
      <c r="L31" s="177" t="s">
        <v>277</v>
      </c>
      <c r="M31" s="95">
        <f>(M29+M4)*M8*M3*M5</f>
        <v>172.47957670388743</v>
      </c>
      <c r="N31" s="93" t="s">
        <v>7</v>
      </c>
      <c r="P31" s="176"/>
      <c r="Q31" s="185"/>
      <c r="R31" s="93"/>
    </row>
    <row r="32" spans="1:20" ht="15.75" thickBot="1" x14ac:dyDescent="0.3">
      <c r="A32" s="194" t="s">
        <v>32</v>
      </c>
      <c r="B32" s="195"/>
      <c r="C32" s="7"/>
      <c r="D32" s="85"/>
      <c r="E32" s="85"/>
      <c r="F32" s="85"/>
      <c r="G32" s="85"/>
      <c r="H32" s="85"/>
      <c r="I32" s="85"/>
      <c r="J32" s="85"/>
      <c r="P32" s="176"/>
      <c r="Q32" s="185"/>
      <c r="R32" s="93"/>
    </row>
    <row r="33" spans="1:18" x14ac:dyDescent="0.25">
      <c r="A33" s="91" t="s">
        <v>173</v>
      </c>
      <c r="B33" s="92">
        <v>0.36</v>
      </c>
      <c r="C33" s="93"/>
      <c r="D33" s="85"/>
      <c r="E33" s="85"/>
      <c r="F33" s="85"/>
      <c r="G33" s="85"/>
      <c r="H33" s="85"/>
      <c r="I33" s="85"/>
      <c r="J33" s="86"/>
      <c r="L33" s="187" t="s">
        <v>283</v>
      </c>
      <c r="M33" s="187"/>
      <c r="N33" s="187"/>
      <c r="P33" s="176"/>
      <c r="Q33" s="185"/>
      <c r="R33" s="93"/>
    </row>
    <row r="34" spans="1:18" ht="21" x14ac:dyDescent="0.35">
      <c r="A34" s="94" t="s">
        <v>114</v>
      </c>
      <c r="B34" s="95">
        <f>B7*B5</f>
        <v>69.3</v>
      </c>
      <c r="C34" s="93" t="s">
        <v>3</v>
      </c>
      <c r="D34" s="85"/>
      <c r="E34" s="85"/>
      <c r="F34" s="85"/>
      <c r="G34" s="85"/>
      <c r="H34" s="85"/>
      <c r="I34" s="85"/>
      <c r="J34" s="86"/>
      <c r="L34" t="s">
        <v>278</v>
      </c>
      <c r="M34" s="10">
        <f>(((M31-M30)*(M4-M35)^3)/(6*M4))+(M30*M4^2)/2</f>
        <v>215.5994708798593</v>
      </c>
      <c r="N34" t="s">
        <v>279</v>
      </c>
    </row>
    <row r="35" spans="1:18" x14ac:dyDescent="0.25">
      <c r="A35" s="96" t="s">
        <v>178</v>
      </c>
      <c r="B35" s="142">
        <f>(B34*B33)-(2*B8*SQRT(B33))</f>
        <v>24.947999999999997</v>
      </c>
      <c r="C35" s="93" t="s">
        <v>3</v>
      </c>
      <c r="D35" s="85"/>
      <c r="E35" s="85"/>
      <c r="F35" s="85"/>
      <c r="G35" s="85"/>
      <c r="H35" s="85"/>
      <c r="I35" s="85"/>
      <c r="J35" s="86"/>
      <c r="L35" t="s">
        <v>281</v>
      </c>
      <c r="M35">
        <v>0</v>
      </c>
      <c r="N35" t="s">
        <v>6</v>
      </c>
    </row>
    <row r="36" spans="1:18" x14ac:dyDescent="0.25">
      <c r="A36" s="96" t="s">
        <v>183</v>
      </c>
      <c r="B36" s="95">
        <f>B35*B5/2</f>
        <v>48.024899999999995</v>
      </c>
      <c r="C36" s="93" t="s">
        <v>7</v>
      </c>
      <c r="D36" s="85"/>
      <c r="E36" s="85"/>
      <c r="F36" s="85"/>
      <c r="G36" s="85"/>
      <c r="H36" s="85"/>
      <c r="I36" s="85"/>
      <c r="J36" s="86"/>
      <c r="L36" t="s">
        <v>280</v>
      </c>
      <c r="M36" s="10">
        <f>((M31-M30)*(M4-M35)^3)/(6*M4)+(M30*(M4-M35)^2)/2</f>
        <v>215.5994708798593</v>
      </c>
      <c r="N36" t="s">
        <v>279</v>
      </c>
    </row>
    <row r="37" spans="1:18" x14ac:dyDescent="0.25">
      <c r="A37" s="94" t="s">
        <v>8</v>
      </c>
      <c r="B37" s="95">
        <f>(B36*B6)</f>
        <v>204.10582499999998</v>
      </c>
      <c r="C37" s="93" t="s">
        <v>9</v>
      </c>
      <c r="D37" s="85"/>
      <c r="E37" s="85"/>
      <c r="F37" s="85"/>
      <c r="G37" s="85"/>
      <c r="H37" s="85"/>
      <c r="I37" s="85"/>
      <c r="J37" s="86"/>
    </row>
    <row r="38" spans="1:18" x14ac:dyDescent="0.25">
      <c r="A38" s="105" t="s">
        <v>161</v>
      </c>
      <c r="B38" s="106">
        <f>B37*0.1</f>
        <v>20.4105825</v>
      </c>
      <c r="C38" s="107" t="s">
        <v>10</v>
      </c>
      <c r="D38" s="85"/>
      <c r="E38" s="85"/>
      <c r="F38" s="85"/>
      <c r="G38" s="85"/>
      <c r="H38" s="85"/>
      <c r="I38" s="85"/>
      <c r="J38" s="86"/>
      <c r="L38" s="187" t="s">
        <v>282</v>
      </c>
      <c r="M38" s="187"/>
      <c r="N38" s="187"/>
    </row>
    <row r="39" spans="1:18" x14ac:dyDescent="0.25">
      <c r="A39" s="105" t="s">
        <v>11</v>
      </c>
      <c r="B39" s="106">
        <f>B5/3</f>
        <v>1.2833333333333334</v>
      </c>
      <c r="C39" s="107" t="s">
        <v>6</v>
      </c>
      <c r="D39" s="85"/>
      <c r="E39" s="85"/>
      <c r="F39" s="85"/>
      <c r="G39" s="85"/>
      <c r="H39" s="85"/>
      <c r="I39" s="85"/>
      <c r="J39" s="86"/>
      <c r="L39" t="s">
        <v>281</v>
      </c>
      <c r="M39">
        <v>0</v>
      </c>
      <c r="N39" t="s">
        <v>6</v>
      </c>
      <c r="O39" t="s">
        <v>284</v>
      </c>
    </row>
    <row r="40" spans="1:18" x14ac:dyDescent="0.25">
      <c r="A40" s="6" t="s">
        <v>263</v>
      </c>
      <c r="B40" s="10">
        <f>B38*B39</f>
        <v>26.193580875000002</v>
      </c>
      <c r="D40" s="85"/>
      <c r="E40" s="85"/>
      <c r="F40" s="85"/>
      <c r="G40" s="85"/>
      <c r="H40" s="85"/>
      <c r="I40" s="85"/>
      <c r="J40" s="86"/>
      <c r="L40" t="s">
        <v>280</v>
      </c>
      <c r="M40" s="10">
        <f>-(M4^2*M30)/8-(M4^2*(M31-M30)/15+(5*M4*M39*M30)/8+(2*M4*M39*(M31-M30))/5-(M39^2*M30)/2-(M39^2*(M31-M30))/2-(M39^2*(M31-M30))/2+(M39^3*(M31-M30))/(6*M4))</f>
        <v>-78.154808193949009</v>
      </c>
      <c r="N40" t="s">
        <v>279</v>
      </c>
    </row>
    <row r="41" spans="1:18" x14ac:dyDescent="0.25">
      <c r="A41" t="s">
        <v>198</v>
      </c>
      <c r="B41" s="142">
        <f>B39</f>
        <v>1.2833333333333334</v>
      </c>
      <c r="C41" s="1" t="s">
        <v>6</v>
      </c>
      <c r="D41" s="85"/>
      <c r="E41" s="85"/>
      <c r="F41" s="85"/>
      <c r="G41" s="85"/>
      <c r="H41" s="85"/>
      <c r="I41" s="85"/>
      <c r="J41" s="86"/>
    </row>
    <row r="42" spans="1:18" x14ac:dyDescent="0.25">
      <c r="A42" t="s">
        <v>199</v>
      </c>
      <c r="B42" s="10">
        <f>B39*B38/B41</f>
        <v>20.4105825</v>
      </c>
      <c r="C42" s="1" t="s">
        <v>160</v>
      </c>
      <c r="D42" s="85"/>
      <c r="E42" s="85"/>
      <c r="F42" s="85"/>
      <c r="G42" s="85"/>
      <c r="H42" s="85"/>
      <c r="I42" s="85"/>
      <c r="J42" s="86"/>
    </row>
    <row r="43" spans="1:18" x14ac:dyDescent="0.25">
      <c r="A43" s="94" t="s">
        <v>12</v>
      </c>
      <c r="B43" s="95">
        <f>B35*(1/6)</f>
        <v>4.1579999999999995</v>
      </c>
      <c r="C43" s="93" t="s">
        <v>3</v>
      </c>
      <c r="D43" s="85"/>
      <c r="E43" s="85"/>
      <c r="F43" s="85"/>
      <c r="G43" s="85"/>
      <c r="H43" s="85"/>
      <c r="I43" s="85"/>
      <c r="J43" s="86"/>
    </row>
    <row r="44" spans="1:18" x14ac:dyDescent="0.25">
      <c r="A44" s="94" t="s">
        <v>13</v>
      </c>
      <c r="B44" s="95">
        <f>B35*(5/6)</f>
        <v>20.79</v>
      </c>
      <c r="C44" s="93" t="s">
        <v>3</v>
      </c>
      <c r="D44" s="85"/>
      <c r="E44" s="85"/>
      <c r="F44" s="85"/>
      <c r="G44" s="85"/>
      <c r="H44" s="85"/>
      <c r="I44" s="85"/>
      <c r="J44" s="86"/>
    </row>
    <row r="45" spans="1:18" x14ac:dyDescent="0.25">
      <c r="A45" s="6" t="s">
        <v>267</v>
      </c>
      <c r="B45" s="10">
        <f>$B$35*1/6</f>
        <v>4.1579999999999995</v>
      </c>
      <c r="C45" s="7" t="s">
        <v>266</v>
      </c>
      <c r="D45" s="85"/>
      <c r="E45" s="85"/>
      <c r="F45" s="85"/>
      <c r="G45" s="85"/>
      <c r="H45" s="85"/>
      <c r="I45" s="85"/>
      <c r="J45" s="86"/>
    </row>
    <row r="46" spans="1:18" x14ac:dyDescent="0.25">
      <c r="A46" s="6" t="s">
        <v>268</v>
      </c>
      <c r="B46" s="10">
        <f>$B$35*2/6</f>
        <v>8.3159999999999989</v>
      </c>
      <c r="C46" s="7" t="s">
        <v>266</v>
      </c>
      <c r="D46" s="85"/>
      <c r="E46" s="85"/>
      <c r="F46" s="85"/>
      <c r="G46" s="85"/>
      <c r="H46" s="85"/>
      <c r="I46" s="85"/>
      <c r="J46" s="86"/>
    </row>
    <row r="47" spans="1:18" x14ac:dyDescent="0.25">
      <c r="A47" s="6" t="s">
        <v>269</v>
      </c>
      <c r="B47" s="10">
        <f>$B$35*3/6</f>
        <v>12.473999999999998</v>
      </c>
      <c r="C47" s="7" t="s">
        <v>266</v>
      </c>
      <c r="D47" s="85"/>
      <c r="E47" s="85"/>
      <c r="F47" s="85"/>
      <c r="G47" s="85"/>
      <c r="H47" s="85"/>
      <c r="I47" s="85"/>
      <c r="J47" s="86"/>
    </row>
    <row r="48" spans="1:18" x14ac:dyDescent="0.25">
      <c r="A48" s="6" t="s">
        <v>270</v>
      </c>
      <c r="B48" s="10">
        <f>$B$35*4/6</f>
        <v>16.631999999999998</v>
      </c>
      <c r="C48" s="7" t="s">
        <v>266</v>
      </c>
      <c r="D48" s="85"/>
      <c r="E48" s="85"/>
      <c r="F48" s="85"/>
      <c r="G48" s="85"/>
      <c r="H48" s="85"/>
      <c r="I48" s="85"/>
      <c r="J48" s="86"/>
    </row>
    <row r="49" spans="1:10" x14ac:dyDescent="0.25">
      <c r="A49" s="6" t="s">
        <v>271</v>
      </c>
      <c r="B49" s="10">
        <f>$B$35*5/6</f>
        <v>20.789999999999996</v>
      </c>
      <c r="C49" s="7" t="s">
        <v>266</v>
      </c>
      <c r="D49" s="85"/>
      <c r="E49" s="85"/>
      <c r="F49" s="85"/>
      <c r="G49" s="85"/>
      <c r="H49" s="85"/>
      <c r="I49" s="85"/>
      <c r="J49" s="86"/>
    </row>
    <row r="50" spans="1:10" ht="15.75" thickBot="1" x14ac:dyDescent="0.3">
      <c r="A50" s="6" t="s">
        <v>272</v>
      </c>
      <c r="B50" s="10">
        <f>$B$35*6/6</f>
        <v>24.947999999999997</v>
      </c>
      <c r="C50" s="7" t="s">
        <v>266</v>
      </c>
      <c r="D50" s="85"/>
      <c r="E50" s="85"/>
      <c r="F50" s="85"/>
      <c r="G50" s="85"/>
      <c r="H50" s="85"/>
      <c r="I50" s="85"/>
      <c r="J50" s="86"/>
    </row>
    <row r="51" spans="1:10" ht="15.75" thickBot="1" x14ac:dyDescent="0.3">
      <c r="A51" s="194" t="s">
        <v>33</v>
      </c>
      <c r="B51" s="195"/>
      <c r="D51" s="85"/>
      <c r="E51" s="85"/>
      <c r="F51" s="85"/>
      <c r="G51" s="85"/>
      <c r="H51" s="85"/>
      <c r="I51" s="85"/>
      <c r="J51" s="86"/>
    </row>
    <row r="52" spans="1:10" x14ac:dyDescent="0.25">
      <c r="A52" s="94" t="s">
        <v>38</v>
      </c>
      <c r="B52" s="95">
        <f>(B37*((B5/3)+0.6))*100</f>
        <v>38439.930374999996</v>
      </c>
      <c r="C52" s="93" t="s">
        <v>14</v>
      </c>
      <c r="D52" s="85"/>
      <c r="E52" s="85"/>
      <c r="F52" s="85"/>
      <c r="G52" s="85"/>
      <c r="H52" s="85"/>
      <c r="I52" s="85"/>
      <c r="J52" s="86"/>
    </row>
    <row r="53" spans="1:10" ht="15.75" thickBot="1" x14ac:dyDescent="0.3">
      <c r="A53" s="94" t="s">
        <v>96</v>
      </c>
      <c r="B53" s="95">
        <f>B52*1.4</f>
        <v>53815.90252499999</v>
      </c>
      <c r="C53" s="93" t="s">
        <v>14</v>
      </c>
      <c r="D53" s="85"/>
      <c r="E53" s="85"/>
      <c r="F53" s="85"/>
      <c r="G53" s="85"/>
      <c r="H53" s="85"/>
      <c r="I53" s="85"/>
      <c r="J53" s="86"/>
    </row>
    <row r="54" spans="1:10" ht="15.75" thickBot="1" x14ac:dyDescent="0.3">
      <c r="A54" s="6" t="s">
        <v>34</v>
      </c>
      <c r="B54" s="113">
        <v>30</v>
      </c>
      <c r="C54" s="7" t="s">
        <v>17</v>
      </c>
      <c r="D54" s="85"/>
      <c r="E54" s="85"/>
      <c r="F54" s="85"/>
      <c r="G54" s="85"/>
      <c r="H54" s="85"/>
      <c r="I54" s="85"/>
      <c r="J54" s="86"/>
    </row>
    <row r="55" spans="1:10" ht="15.75" thickBot="1" x14ac:dyDescent="0.3">
      <c r="A55" s="6" t="s">
        <v>35</v>
      </c>
      <c r="B55" s="113">
        <v>20</v>
      </c>
      <c r="C55" s="7" t="s">
        <v>17</v>
      </c>
      <c r="D55" s="85"/>
      <c r="E55" s="85"/>
      <c r="F55" s="85"/>
      <c r="G55" s="85"/>
      <c r="H55" s="85"/>
      <c r="I55" s="85"/>
      <c r="J55" s="86"/>
    </row>
    <row r="56" spans="1:10" x14ac:dyDescent="0.25">
      <c r="A56" s="6"/>
      <c r="D56" s="85"/>
      <c r="E56" s="85"/>
      <c r="F56" s="85"/>
      <c r="G56" s="85"/>
      <c r="H56" s="85"/>
      <c r="I56" s="85"/>
      <c r="J56" s="86"/>
    </row>
    <row r="57" spans="1:10" x14ac:dyDescent="0.25">
      <c r="A57" s="94" t="s">
        <v>18</v>
      </c>
      <c r="B57" s="97">
        <f>(0.15/100)*B54*B55</f>
        <v>0.89999999999999991</v>
      </c>
      <c r="C57" s="93" t="s">
        <v>19</v>
      </c>
      <c r="D57" s="85"/>
      <c r="E57" s="85"/>
      <c r="F57" s="85"/>
      <c r="G57" s="85"/>
      <c r="H57" s="85"/>
      <c r="I57" s="85"/>
      <c r="J57" s="86"/>
    </row>
    <row r="58" spans="1:10" ht="15.75" thickBot="1" x14ac:dyDescent="0.3">
      <c r="A58" s="94" t="s">
        <v>21</v>
      </c>
      <c r="B58" s="97">
        <f>B54-B59-(B60/10)-(B61/10/2)</f>
        <v>25.875</v>
      </c>
      <c r="C58" s="93" t="s">
        <v>17</v>
      </c>
      <c r="D58" s="85"/>
      <c r="E58" s="85"/>
      <c r="F58" s="85"/>
      <c r="G58" s="85"/>
      <c r="H58" s="85"/>
      <c r="I58" s="85"/>
      <c r="J58" s="86"/>
    </row>
    <row r="59" spans="1:10" ht="15.75" thickBot="1" x14ac:dyDescent="0.3">
      <c r="A59" s="6" t="s">
        <v>25</v>
      </c>
      <c r="B59" s="113">
        <v>3</v>
      </c>
      <c r="D59" s="85"/>
      <c r="E59" s="85"/>
      <c r="F59" s="85"/>
      <c r="G59" s="85"/>
      <c r="H59" s="85"/>
      <c r="I59" s="85"/>
      <c r="J59" s="86"/>
    </row>
    <row r="60" spans="1:10" ht="15.75" thickBot="1" x14ac:dyDescent="0.3">
      <c r="A60" s="6" t="s">
        <v>24</v>
      </c>
      <c r="B60" s="113">
        <v>5</v>
      </c>
      <c r="C60" t="s">
        <v>23</v>
      </c>
      <c r="D60" s="85"/>
      <c r="E60" s="85"/>
      <c r="F60" s="85"/>
      <c r="G60" s="85"/>
      <c r="H60" s="85"/>
      <c r="I60" s="85"/>
      <c r="J60" s="86"/>
    </row>
    <row r="61" spans="1:10" ht="15.75" thickBot="1" x14ac:dyDescent="0.3">
      <c r="A61" s="6" t="s">
        <v>22</v>
      </c>
      <c r="B61" s="113">
        <v>12.5</v>
      </c>
      <c r="C61" s="7" t="s">
        <v>23</v>
      </c>
      <c r="D61" s="85"/>
      <c r="E61" s="85"/>
      <c r="F61" s="85"/>
      <c r="G61" s="85"/>
      <c r="H61" s="85"/>
      <c r="I61" s="85"/>
      <c r="J61" s="86"/>
    </row>
    <row r="62" spans="1:10" ht="15.75" thickBot="1" x14ac:dyDescent="0.3">
      <c r="A62" s="6" t="s">
        <v>20</v>
      </c>
      <c r="B62" s="10">
        <f>(B55*B58^2)/(B52*1.4)</f>
        <v>0.24881702009512108</v>
      </c>
      <c r="C62" s="7" t="s">
        <v>26</v>
      </c>
      <c r="D62" s="85"/>
      <c r="E62" s="85"/>
      <c r="F62" s="85"/>
      <c r="G62" s="85"/>
      <c r="H62" s="85"/>
      <c r="I62" s="85"/>
      <c r="J62" s="86"/>
    </row>
    <row r="63" spans="1:10" ht="15.75" thickBot="1" x14ac:dyDescent="0.3">
      <c r="A63" s="6" t="s">
        <v>27</v>
      </c>
      <c r="B63" s="113">
        <v>2.8000000000000001E-2</v>
      </c>
      <c r="C63" s="7" t="s">
        <v>26</v>
      </c>
      <c r="D63" s="85"/>
      <c r="E63" s="85"/>
      <c r="F63" s="85"/>
      <c r="G63" s="85"/>
      <c r="H63" s="85"/>
      <c r="I63" s="85"/>
      <c r="J63" s="86"/>
    </row>
    <row r="64" spans="1:10" x14ac:dyDescent="0.25">
      <c r="A64" s="6" t="s">
        <v>28</v>
      </c>
      <c r="B64" s="10">
        <f>B63*B52*1.4/B58</f>
        <v>58.235566017391299</v>
      </c>
      <c r="C64" s="7" t="s">
        <v>19</v>
      </c>
      <c r="D64" s="85"/>
      <c r="E64" s="85"/>
      <c r="F64" s="85"/>
      <c r="G64" s="85"/>
      <c r="H64" s="85"/>
      <c r="I64" s="85"/>
      <c r="J64" s="86"/>
    </row>
    <row r="65" spans="1:10" x14ac:dyDescent="0.25">
      <c r="A65" s="6" t="s">
        <v>37</v>
      </c>
      <c r="B65">
        <f>ROUNDUP(B64/((3.14*(B61/10/2)^2)),0)</f>
        <v>48</v>
      </c>
      <c r="C65" s="7" t="s">
        <v>95</v>
      </c>
      <c r="D65" s="85"/>
      <c r="E65" s="85"/>
      <c r="F65" s="85"/>
      <c r="G65" s="85"/>
      <c r="H65" s="85"/>
      <c r="I65" s="85"/>
      <c r="J65" s="86"/>
    </row>
    <row r="66" spans="1:10" x14ac:dyDescent="0.25">
      <c r="A66" s="6" t="s">
        <v>36</v>
      </c>
      <c r="B66">
        <f>ROUNDUP(B57/((3.14*(B61/10/2)^2)),0)</f>
        <v>1</v>
      </c>
      <c r="C66" s="7" t="s">
        <v>30</v>
      </c>
      <c r="D66" s="85"/>
      <c r="E66" s="85"/>
      <c r="F66" s="85"/>
      <c r="G66" s="85"/>
      <c r="H66" s="85"/>
      <c r="I66" s="85"/>
      <c r="J66" s="86"/>
    </row>
    <row r="67" spans="1:10" ht="15.75" thickBot="1" x14ac:dyDescent="0.3">
      <c r="A67" s="6"/>
      <c r="D67" s="85"/>
      <c r="E67" s="85"/>
      <c r="F67" s="85"/>
      <c r="G67" s="85"/>
      <c r="H67" s="85"/>
      <c r="I67" s="85"/>
      <c r="J67" s="86"/>
    </row>
    <row r="68" spans="1:10" ht="15.75" thickBot="1" x14ac:dyDescent="0.3">
      <c r="A68" s="194" t="s">
        <v>31</v>
      </c>
      <c r="B68" s="195"/>
      <c r="D68" s="85"/>
      <c r="E68" s="85"/>
      <c r="F68" s="85"/>
      <c r="G68" s="85"/>
      <c r="H68" s="85"/>
      <c r="I68" s="85"/>
      <c r="J68" s="86"/>
    </row>
    <row r="69" spans="1:10" ht="15.75" thickBot="1" x14ac:dyDescent="0.3">
      <c r="A69" s="6" t="s">
        <v>97</v>
      </c>
      <c r="B69" s="113">
        <v>1188</v>
      </c>
      <c r="C69" s="7" t="s">
        <v>14</v>
      </c>
      <c r="D69" s="85"/>
      <c r="E69" s="85"/>
      <c r="F69" s="85"/>
      <c r="G69" s="85"/>
      <c r="H69" s="85"/>
      <c r="I69" s="85"/>
      <c r="J69" s="86"/>
    </row>
    <row r="70" spans="1:10" ht="15.75" thickBot="1" x14ac:dyDescent="0.3">
      <c r="A70" s="6" t="s">
        <v>15</v>
      </c>
      <c r="B70" s="113">
        <v>40</v>
      </c>
      <c r="C70" s="7" t="s">
        <v>17</v>
      </c>
      <c r="D70" s="85"/>
      <c r="E70" s="85"/>
      <c r="F70" s="85"/>
      <c r="G70" s="85"/>
      <c r="H70" s="85"/>
      <c r="I70" s="85"/>
      <c r="J70" s="86"/>
    </row>
    <row r="71" spans="1:10" ht="15.75" thickBot="1" x14ac:dyDescent="0.3">
      <c r="A71" s="6" t="s">
        <v>16</v>
      </c>
      <c r="B71" s="113">
        <v>19</v>
      </c>
      <c r="C71" s="7" t="s">
        <v>17</v>
      </c>
      <c r="D71" s="85"/>
      <c r="E71" s="85"/>
      <c r="F71" s="85"/>
      <c r="G71" s="85"/>
      <c r="H71" s="85"/>
      <c r="I71" s="85"/>
      <c r="J71" s="86"/>
    </row>
    <row r="72" spans="1:10" x14ac:dyDescent="0.25">
      <c r="A72" s="6"/>
      <c r="D72" s="85"/>
      <c r="E72" s="85"/>
      <c r="F72" s="85"/>
      <c r="G72" s="85"/>
      <c r="H72" s="85"/>
      <c r="I72" s="85"/>
      <c r="J72" s="86"/>
    </row>
    <row r="73" spans="1:10" x14ac:dyDescent="0.25">
      <c r="A73" s="6" t="s">
        <v>18</v>
      </c>
      <c r="B73">
        <f>(0.15/100)*B70*B71</f>
        <v>1.1399999999999999</v>
      </c>
      <c r="C73" s="7" t="s">
        <v>19</v>
      </c>
      <c r="D73" s="85"/>
      <c r="E73" s="85"/>
      <c r="F73" s="85"/>
      <c r="G73" s="85"/>
      <c r="H73" s="85"/>
      <c r="I73" s="85"/>
      <c r="J73" s="86"/>
    </row>
    <row r="74" spans="1:10" ht="15.75" thickBot="1" x14ac:dyDescent="0.3">
      <c r="A74" s="6" t="s">
        <v>21</v>
      </c>
      <c r="B74">
        <f>B70-B75-(B76/10)-(B77/10/2)</f>
        <v>36.1</v>
      </c>
      <c r="C74" s="7" t="s">
        <v>17</v>
      </c>
      <c r="D74" s="85"/>
      <c r="E74" s="85"/>
      <c r="F74" s="85"/>
      <c r="G74" s="85"/>
      <c r="H74" s="85"/>
      <c r="I74" s="85"/>
      <c r="J74" s="86"/>
    </row>
    <row r="75" spans="1:10" ht="15.75" thickBot="1" x14ac:dyDescent="0.3">
      <c r="A75" s="6" t="s">
        <v>25</v>
      </c>
      <c r="B75" s="113">
        <v>3</v>
      </c>
      <c r="D75" s="85"/>
      <c r="E75" s="85"/>
      <c r="F75" s="85"/>
      <c r="G75" s="85"/>
      <c r="H75" s="85"/>
      <c r="I75" s="85"/>
      <c r="J75" s="86"/>
    </row>
    <row r="76" spans="1:10" ht="15.75" thickBot="1" x14ac:dyDescent="0.3">
      <c r="A76" s="6" t="s">
        <v>24</v>
      </c>
      <c r="B76" s="113">
        <v>5</v>
      </c>
      <c r="C76" t="s">
        <v>23</v>
      </c>
      <c r="D76" s="85"/>
      <c r="E76" s="85"/>
      <c r="F76" s="85"/>
      <c r="G76" s="85"/>
      <c r="H76" s="85"/>
      <c r="I76" s="85"/>
      <c r="J76" s="86"/>
    </row>
    <row r="77" spans="1:10" ht="15.75" thickBot="1" x14ac:dyDescent="0.3">
      <c r="A77" s="6" t="s">
        <v>22</v>
      </c>
      <c r="B77" s="113">
        <v>8</v>
      </c>
      <c r="C77" s="7" t="s">
        <v>23</v>
      </c>
      <c r="D77" s="85"/>
      <c r="E77" s="85"/>
      <c r="F77" s="85"/>
      <c r="G77" s="85"/>
      <c r="H77" s="85"/>
      <c r="I77" s="85"/>
      <c r="J77" s="86"/>
    </row>
    <row r="78" spans="1:10" ht="15.75" thickBot="1" x14ac:dyDescent="0.3">
      <c r="A78" s="6" t="s">
        <v>20</v>
      </c>
      <c r="B78" s="10">
        <f>(B71*B74^2)/B69</f>
        <v>20.842584175084177</v>
      </c>
      <c r="C78" s="7" t="s">
        <v>26</v>
      </c>
      <c r="D78" s="85"/>
      <c r="E78" s="85"/>
      <c r="F78" s="85"/>
      <c r="G78" s="85"/>
      <c r="H78" s="85"/>
      <c r="I78" s="85"/>
      <c r="J78" s="86"/>
    </row>
    <row r="79" spans="1:10" ht="15.75" thickBot="1" x14ac:dyDescent="0.3">
      <c r="A79" s="6" t="s">
        <v>27</v>
      </c>
      <c r="B79" s="113">
        <v>2.3E-2</v>
      </c>
      <c r="C79" s="7" t="s">
        <v>26</v>
      </c>
      <c r="D79" s="85"/>
      <c r="E79" s="85"/>
      <c r="F79" s="85"/>
      <c r="G79" s="85"/>
      <c r="H79" s="85"/>
      <c r="I79" s="85"/>
      <c r="J79" s="86"/>
    </row>
    <row r="80" spans="1:10" x14ac:dyDescent="0.25">
      <c r="A80" s="6" t="s">
        <v>28</v>
      </c>
      <c r="B80" s="10">
        <f>B79*B69/B74</f>
        <v>0.75689750692520763</v>
      </c>
      <c r="C80" s="7" t="s">
        <v>19</v>
      </c>
      <c r="D80" s="85"/>
      <c r="E80" s="85"/>
      <c r="F80" s="85"/>
      <c r="G80" s="85"/>
      <c r="H80" s="85"/>
      <c r="I80" s="85"/>
      <c r="J80" s="86"/>
    </row>
    <row r="81" spans="1:10" x14ac:dyDescent="0.25">
      <c r="A81" s="6" t="s">
        <v>37</v>
      </c>
      <c r="B81">
        <f>ROUNDUP(B80/((3.14*(B77/10/2)^2)),0)</f>
        <v>2</v>
      </c>
      <c r="C81" s="7" t="s">
        <v>30</v>
      </c>
      <c r="D81" s="85"/>
      <c r="E81" s="85"/>
      <c r="F81" s="85"/>
      <c r="G81" s="85"/>
      <c r="H81" s="85"/>
      <c r="I81" s="85"/>
      <c r="J81" s="86"/>
    </row>
    <row r="82" spans="1:10" ht="15.75" thickBot="1" x14ac:dyDescent="0.3">
      <c r="A82" s="11" t="s">
        <v>36</v>
      </c>
      <c r="B82" s="12">
        <f>ROUNDUP(B73/((3.14*(B77/10/2)^2)),0)</f>
        <v>3</v>
      </c>
      <c r="C82" s="13" t="s">
        <v>30</v>
      </c>
      <c r="J82" s="5"/>
    </row>
    <row r="83" spans="1:10" x14ac:dyDescent="0.25">
      <c r="A83" s="6"/>
      <c r="D83" s="3" t="s">
        <v>29</v>
      </c>
      <c r="E83" s="3" t="s">
        <v>19</v>
      </c>
      <c r="J83" s="5"/>
    </row>
    <row r="84" spans="1:10" x14ac:dyDescent="0.25">
      <c r="A84" s="6"/>
      <c r="D84" s="4">
        <v>6.3</v>
      </c>
      <c r="E84" s="138">
        <f>3.14*(D84/10/2)^2</f>
        <v>0.31156650000000002</v>
      </c>
      <c r="J84" s="5"/>
    </row>
    <row r="85" spans="1:10" x14ac:dyDescent="0.25">
      <c r="A85" s="6" t="s">
        <v>79</v>
      </c>
      <c r="B85" s="50">
        <f>B6*B5-B55*B5/100-((B6*B71/100-(B71*B55/100/100))*3)</f>
        <v>13.284000000000001</v>
      </c>
      <c r="C85" s="7" t="s">
        <v>80</v>
      </c>
      <c r="D85" s="4">
        <v>8</v>
      </c>
      <c r="E85" s="138">
        <f t="shared" ref="E85:E90" si="0">3.14*(D85/10/2)^2</f>
        <v>0.50240000000000007</v>
      </c>
      <c r="J85" s="5"/>
    </row>
    <row r="86" spans="1:10" x14ac:dyDescent="0.25">
      <c r="A86" s="6" t="s">
        <v>81</v>
      </c>
      <c r="B86" s="50">
        <f>ASSENTAMENTO!D15*ASSENTAMENTO!D21/100</f>
        <v>25.600000000000005</v>
      </c>
      <c r="C86" s="7" t="s">
        <v>9</v>
      </c>
      <c r="D86" s="4">
        <v>10</v>
      </c>
      <c r="E86" s="138">
        <f t="shared" si="0"/>
        <v>0.78500000000000003</v>
      </c>
      <c r="J86" s="5"/>
    </row>
    <row r="87" spans="1:10" x14ac:dyDescent="0.25">
      <c r="A87" s="6" t="s">
        <v>93</v>
      </c>
      <c r="B87" s="50">
        <f>ASSENTAMENTO!D26*ASSENTAMENTO!D27</f>
        <v>0.24037860000000003</v>
      </c>
      <c r="C87" s="7" t="s">
        <v>9</v>
      </c>
      <c r="D87" s="4">
        <v>12.5</v>
      </c>
      <c r="E87" s="138">
        <f t="shared" si="0"/>
        <v>1.2265625</v>
      </c>
      <c r="J87" s="5"/>
    </row>
    <row r="88" spans="1:10" x14ac:dyDescent="0.25">
      <c r="A88" s="6" t="s">
        <v>39</v>
      </c>
      <c r="B88" s="50">
        <f>B5*(B54/100)*(B55/100)*25</f>
        <v>5.7750000000000004</v>
      </c>
      <c r="C88" s="7" t="s">
        <v>9</v>
      </c>
      <c r="D88" s="4">
        <v>16</v>
      </c>
      <c r="E88" s="138">
        <f t="shared" si="0"/>
        <v>2.0096000000000003</v>
      </c>
      <c r="J88" s="5"/>
    </row>
    <row r="89" spans="1:10" x14ac:dyDescent="0.25">
      <c r="A89" s="6" t="s">
        <v>40</v>
      </c>
      <c r="B89" s="50">
        <f>(B6-B55/100)*(B70/100)*(B71/100)*25*3</f>
        <v>23.085000000000001</v>
      </c>
      <c r="C89" s="7" t="s">
        <v>9</v>
      </c>
      <c r="D89" s="4">
        <v>20</v>
      </c>
      <c r="E89" s="138">
        <f t="shared" si="0"/>
        <v>3.14</v>
      </c>
      <c r="J89" s="5"/>
    </row>
    <row r="90" spans="1:10" ht="15.75" thickBot="1" x14ac:dyDescent="0.3">
      <c r="A90" s="6" t="s">
        <v>84</v>
      </c>
      <c r="B90">
        <f>1.2*1*0.5*25</f>
        <v>15</v>
      </c>
      <c r="C90" s="7" t="s">
        <v>9</v>
      </c>
      <c r="D90" s="4">
        <v>25</v>
      </c>
      <c r="E90" s="138">
        <f t="shared" si="0"/>
        <v>4.90625</v>
      </c>
      <c r="J90" s="5"/>
    </row>
    <row r="91" spans="1:10" ht="15.75" thickBot="1" x14ac:dyDescent="0.3">
      <c r="A91" s="6" t="s">
        <v>180</v>
      </c>
      <c r="B91" s="78">
        <f>ASSENTAMENTO!D21</f>
        <v>160.00000000000003</v>
      </c>
      <c r="C91" s="7" t="s">
        <v>181</v>
      </c>
      <c r="D91" s="191"/>
      <c r="E91" s="192"/>
      <c r="F91" s="192"/>
      <c r="G91" s="192"/>
      <c r="H91" s="192"/>
      <c r="I91" s="192"/>
      <c r="J91" s="193"/>
    </row>
    <row r="92" spans="1:10" ht="15.75" customHeight="1" thickBot="1" x14ac:dyDescent="0.3">
      <c r="A92" s="11" t="s">
        <v>94</v>
      </c>
      <c r="B92" s="136">
        <f>SUM(B86:B90)</f>
        <v>69.700378600000008</v>
      </c>
      <c r="C92" s="13" t="s">
        <v>9</v>
      </c>
      <c r="D92" s="188"/>
      <c r="E92" s="189"/>
      <c r="F92" s="189"/>
      <c r="G92" s="189"/>
      <c r="H92" s="189"/>
      <c r="I92" s="189"/>
      <c r="J92" s="190"/>
    </row>
  </sheetData>
  <mergeCells count="12">
    <mergeCell ref="P10:R10"/>
    <mergeCell ref="A1:J1"/>
    <mergeCell ref="A2:B2"/>
    <mergeCell ref="A32:B32"/>
    <mergeCell ref="A11:B11"/>
    <mergeCell ref="A22:B22"/>
    <mergeCell ref="L33:N33"/>
    <mergeCell ref="L38:N38"/>
    <mergeCell ref="D92:J92"/>
    <mergeCell ref="D91:J91"/>
    <mergeCell ref="A68:B68"/>
    <mergeCell ref="A51:B51"/>
  </mergeCells>
  <phoneticPr fontId="29" type="noConversion"/>
  <conditionalFormatting sqref="B23:B28">
    <cfRule type="containsText" dxfId="4" priority="4" operator="containsText" text="Não">
      <formula>NOT(ISERROR(SEARCH("Não",B23)))</formula>
    </cfRule>
    <cfRule type="containsText" dxfId="3" priority="5" operator="containsText" text="Sim">
      <formula>NOT(ISERROR(SEARCH("Sim",B23)))</formula>
    </cfRule>
  </conditionalFormatting>
  <conditionalFormatting sqref="B24">
    <cfRule type="containsText" dxfId="2" priority="3" operator="containsText" text="Aumentar largura pilar">
      <formula>NOT(ISERROR(SEARCH("Aumentar largura pilar",B24)))</formula>
    </cfRule>
  </conditionalFormatting>
  <conditionalFormatting sqref="B25">
    <cfRule type="containsText" dxfId="1" priority="2" operator="containsText" text="Aumentar largura da alvenaria">
      <formula>NOT(ISERROR(SEARCH("Aumentar largura da alvenaria",B25)))</formula>
    </cfRule>
  </conditionalFormatting>
  <conditionalFormatting sqref="B26">
    <cfRule type="containsText" dxfId="0" priority="1" operator="containsText" text="Aumentar resistência do bloco">
      <formula>NOT(ISERROR(SEARCH("Aumentar resistência do bloco",B26)))</formula>
    </cfRule>
  </conditionalFormatting>
  <pageMargins left="0.511811024" right="0.511811024" top="0.78740157499999996" bottom="0.78740157499999996" header="0.31496062000000002" footer="0.31496062000000002"/>
  <pageSetup paperSize="9" scale="15" orientation="portrait" verticalDpi="30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00000000-0002-0000-0000-000000000000}">
          <x14:formula1>
            <xm:f>'DADOS DO SOLO'!$K$2:$K$9</xm:f>
          </x14:formula1>
          <xm:sqref>B3</xm:sqref>
        </x14:dataValidation>
        <x14:dataValidation type="list" allowBlank="1" showInputMessage="1" showErrorMessage="1" xr:uid="{00000000-0002-0000-0000-000001000000}">
          <x14:formula1>
            <xm:f>'CÁLCULO FECHAMENTO'!$A$17:$A$19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6"/>
  <sheetViews>
    <sheetView topLeftCell="A31" workbookViewId="0">
      <selection activeCell="G32" sqref="A32:G32"/>
    </sheetView>
  </sheetViews>
  <sheetFormatPr defaultRowHeight="15" x14ac:dyDescent="0.25"/>
  <cols>
    <col min="1" max="1" width="29.140625" style="7" bestFit="1" customWidth="1"/>
    <col min="2" max="2" width="29.140625" style="1" bestFit="1" customWidth="1"/>
    <col min="3" max="3" width="4.140625" bestFit="1" customWidth="1"/>
    <col min="4" max="4" width="9.7109375" bestFit="1" customWidth="1"/>
    <col min="5" max="5" width="11" customWidth="1"/>
    <col min="6" max="6" width="13.5703125" bestFit="1" customWidth="1"/>
    <col min="7" max="7" width="15.140625" bestFit="1" customWidth="1"/>
    <col min="11" max="11" width="29.140625" bestFit="1" customWidth="1"/>
  </cols>
  <sheetData>
    <row r="1" spans="1:14" x14ac:dyDescent="0.25">
      <c r="A1" s="79" t="s">
        <v>106</v>
      </c>
      <c r="B1" s="4" t="s">
        <v>172</v>
      </c>
      <c r="C1" s="4" t="s">
        <v>108</v>
      </c>
      <c r="D1" s="80" t="s">
        <v>112</v>
      </c>
      <c r="E1" s="4" t="s">
        <v>174</v>
      </c>
      <c r="F1" s="4" t="s">
        <v>109</v>
      </c>
      <c r="G1" s="81" t="s">
        <v>110</v>
      </c>
      <c r="K1" s="101" t="s">
        <v>117</v>
      </c>
      <c r="L1" s="99" t="s">
        <v>118</v>
      </c>
      <c r="M1" s="99" t="s">
        <v>119</v>
      </c>
      <c r="N1" s="99" t="s">
        <v>120</v>
      </c>
    </row>
    <row r="2" spans="1:14" x14ac:dyDescent="0.25">
      <c r="A2" s="82" t="s">
        <v>98</v>
      </c>
      <c r="B2" s="4">
        <v>0.85</v>
      </c>
      <c r="C2" s="4">
        <v>0</v>
      </c>
      <c r="D2" s="4">
        <v>13</v>
      </c>
      <c r="E2" s="4">
        <v>0.8</v>
      </c>
      <c r="F2" s="88">
        <f>E2*(D2/10)^0.5*10</f>
        <v>9.1214034007931044</v>
      </c>
      <c r="G2" s="4">
        <v>0</v>
      </c>
      <c r="K2" s="4" t="s">
        <v>98</v>
      </c>
      <c r="L2" s="99">
        <v>0.85</v>
      </c>
      <c r="M2" s="99">
        <v>1.3</v>
      </c>
      <c r="N2" s="99">
        <v>0.8</v>
      </c>
    </row>
    <row r="3" spans="1:14" x14ac:dyDescent="0.25">
      <c r="A3" s="82" t="s">
        <v>98</v>
      </c>
      <c r="B3" s="4">
        <v>0.85</v>
      </c>
      <c r="C3" s="4">
        <v>1</v>
      </c>
      <c r="D3" s="4">
        <v>13</v>
      </c>
      <c r="E3" s="4">
        <v>0.8</v>
      </c>
      <c r="F3" s="88">
        <f t="shared" ref="F3:F31" si="0">E3*(D3/10)^0.5*10</f>
        <v>9.1214034007931044</v>
      </c>
      <c r="G3" s="4">
        <v>0</v>
      </c>
      <c r="K3" s="4" t="s">
        <v>99</v>
      </c>
      <c r="L3" s="99">
        <v>0.75</v>
      </c>
      <c r="M3" s="99">
        <v>1.5</v>
      </c>
      <c r="N3" s="99">
        <v>1.6</v>
      </c>
    </row>
    <row r="4" spans="1:14" x14ac:dyDescent="0.25">
      <c r="A4" s="82" t="s">
        <v>98</v>
      </c>
      <c r="B4" s="4">
        <v>0.85</v>
      </c>
      <c r="C4" s="4">
        <v>2</v>
      </c>
      <c r="D4" s="4">
        <v>13</v>
      </c>
      <c r="E4" s="4">
        <v>0.8</v>
      </c>
      <c r="F4" s="88">
        <f t="shared" si="0"/>
        <v>9.1214034007931044</v>
      </c>
      <c r="G4" s="4">
        <v>0</v>
      </c>
      <c r="K4" s="4" t="s">
        <v>100</v>
      </c>
      <c r="L4" s="99">
        <v>0.65</v>
      </c>
      <c r="M4" s="99">
        <v>1.7</v>
      </c>
      <c r="N4" s="99">
        <v>4.8</v>
      </c>
    </row>
    <row r="5" spans="1:14" x14ac:dyDescent="0.25">
      <c r="A5" s="82" t="s">
        <v>98</v>
      </c>
      <c r="B5" s="4">
        <v>0.85</v>
      </c>
      <c r="C5" s="4">
        <v>3</v>
      </c>
      <c r="D5" s="4">
        <v>13</v>
      </c>
      <c r="E5" s="4">
        <v>0.8</v>
      </c>
      <c r="F5" s="88">
        <f t="shared" si="0"/>
        <v>9.1214034007931044</v>
      </c>
      <c r="G5" s="4">
        <v>0</v>
      </c>
      <c r="K5" s="4" t="s">
        <v>101</v>
      </c>
      <c r="L5" s="99">
        <v>0.55000000000000004</v>
      </c>
      <c r="M5" s="99">
        <v>1.9</v>
      </c>
      <c r="N5" s="99">
        <v>9.6</v>
      </c>
    </row>
    <row r="6" spans="1:14" x14ac:dyDescent="0.25">
      <c r="A6" s="82" t="s">
        <v>98</v>
      </c>
      <c r="B6" s="4">
        <v>0.85</v>
      </c>
      <c r="C6" s="4">
        <v>4</v>
      </c>
      <c r="D6" s="4">
        <v>13</v>
      </c>
      <c r="E6" s="4">
        <v>0.8</v>
      </c>
      <c r="F6" s="88">
        <f t="shared" si="0"/>
        <v>9.1214034007931044</v>
      </c>
      <c r="G6" s="4">
        <v>0</v>
      </c>
      <c r="K6" s="4" t="s">
        <v>102</v>
      </c>
      <c r="L6" s="99">
        <v>0.6</v>
      </c>
      <c r="M6" s="99">
        <v>1.7</v>
      </c>
      <c r="N6" s="99">
        <v>0</v>
      </c>
    </row>
    <row r="7" spans="1:14" x14ac:dyDescent="0.25">
      <c r="A7" s="82" t="s">
        <v>98</v>
      </c>
      <c r="B7" s="4">
        <v>0.85</v>
      </c>
      <c r="C7" s="4">
        <v>5</v>
      </c>
      <c r="D7" s="4">
        <v>13</v>
      </c>
      <c r="E7" s="4">
        <v>0.8</v>
      </c>
      <c r="F7" s="88">
        <f t="shared" si="0"/>
        <v>9.1214034007931044</v>
      </c>
      <c r="G7" s="4">
        <v>0</v>
      </c>
      <c r="K7" s="4" t="s">
        <v>103</v>
      </c>
      <c r="L7" s="99">
        <v>0.55000000000000004</v>
      </c>
      <c r="M7" s="99">
        <v>1.9</v>
      </c>
      <c r="N7" s="99">
        <v>0</v>
      </c>
    </row>
    <row r="8" spans="1:14" x14ac:dyDescent="0.25">
      <c r="A8" s="82" t="s">
        <v>99</v>
      </c>
      <c r="B8" s="4">
        <v>0.75</v>
      </c>
      <c r="C8" s="4">
        <v>6</v>
      </c>
      <c r="D8" s="4">
        <v>15</v>
      </c>
      <c r="E8" s="4">
        <v>1.6</v>
      </c>
      <c r="F8" s="88">
        <f t="shared" si="0"/>
        <v>19.595917942265423</v>
      </c>
      <c r="G8" s="4">
        <v>0</v>
      </c>
      <c r="K8" s="4" t="s">
        <v>104</v>
      </c>
      <c r="L8" s="99">
        <v>0.5</v>
      </c>
      <c r="M8" s="99">
        <v>2</v>
      </c>
      <c r="N8" s="99">
        <v>0</v>
      </c>
    </row>
    <row r="9" spans="1:14" x14ac:dyDescent="0.25">
      <c r="A9" s="82" t="s">
        <v>99</v>
      </c>
      <c r="B9" s="4">
        <v>0.75</v>
      </c>
      <c r="C9" s="4">
        <v>7</v>
      </c>
      <c r="D9" s="4">
        <v>15</v>
      </c>
      <c r="E9" s="4">
        <v>1.6</v>
      </c>
      <c r="F9" s="88">
        <f t="shared" si="0"/>
        <v>19.595917942265423</v>
      </c>
      <c r="G9" s="4">
        <v>0</v>
      </c>
      <c r="K9" s="4" t="s">
        <v>105</v>
      </c>
      <c r="L9" s="99">
        <v>0.45</v>
      </c>
      <c r="M9" s="99">
        <v>2.1</v>
      </c>
      <c r="N9" s="99">
        <v>0</v>
      </c>
    </row>
    <row r="10" spans="1:14" x14ac:dyDescent="0.25">
      <c r="A10" s="82" t="s">
        <v>99</v>
      </c>
      <c r="B10" s="4">
        <v>0.75</v>
      </c>
      <c r="C10" s="4">
        <v>8</v>
      </c>
      <c r="D10" s="4">
        <v>15</v>
      </c>
      <c r="E10" s="4">
        <v>1.6</v>
      </c>
      <c r="F10" s="88">
        <f t="shared" si="0"/>
        <v>19.595917942265423</v>
      </c>
      <c r="G10" s="4">
        <v>0</v>
      </c>
    </row>
    <row r="11" spans="1:14" x14ac:dyDescent="0.25">
      <c r="A11" s="82" t="s">
        <v>99</v>
      </c>
      <c r="B11" s="4">
        <v>0.75</v>
      </c>
      <c r="C11" s="4">
        <v>9</v>
      </c>
      <c r="D11" s="4">
        <v>15</v>
      </c>
      <c r="E11" s="4">
        <v>1.6</v>
      </c>
      <c r="F11" s="88">
        <f t="shared" si="0"/>
        <v>19.595917942265423</v>
      </c>
      <c r="G11" s="4">
        <v>0</v>
      </c>
      <c r="K11" s="101" t="s">
        <v>117</v>
      </c>
    </row>
    <row r="12" spans="1:14" x14ac:dyDescent="0.25">
      <c r="A12" s="79" t="s">
        <v>100</v>
      </c>
      <c r="B12" s="4">
        <v>0.65</v>
      </c>
      <c r="C12" s="4">
        <v>10</v>
      </c>
      <c r="D12" s="4">
        <v>17</v>
      </c>
      <c r="E12" s="4">
        <v>4.8</v>
      </c>
      <c r="F12" s="88">
        <f t="shared" si="0"/>
        <v>62.584343089945421</v>
      </c>
      <c r="G12" s="4">
        <v>0</v>
      </c>
      <c r="K12" s="101" t="s">
        <v>98</v>
      </c>
    </row>
    <row r="13" spans="1:14" x14ac:dyDescent="0.25">
      <c r="A13" s="79" t="s">
        <v>100</v>
      </c>
      <c r="B13" s="4">
        <v>0.65</v>
      </c>
      <c r="C13" s="4">
        <v>11</v>
      </c>
      <c r="D13" s="4">
        <v>17</v>
      </c>
      <c r="E13" s="4">
        <v>4.8</v>
      </c>
      <c r="F13" s="88">
        <f t="shared" si="0"/>
        <v>62.584343089945421</v>
      </c>
      <c r="G13" s="4">
        <v>0</v>
      </c>
      <c r="K13" s="101" t="s">
        <v>99</v>
      </c>
    </row>
    <row r="14" spans="1:14" x14ac:dyDescent="0.25">
      <c r="A14" s="79" t="s">
        <v>100</v>
      </c>
      <c r="B14" s="4">
        <v>0.65</v>
      </c>
      <c r="C14" s="4">
        <v>12</v>
      </c>
      <c r="D14" s="4">
        <v>17</v>
      </c>
      <c r="E14" s="4">
        <v>4.8</v>
      </c>
      <c r="F14" s="88">
        <f t="shared" si="0"/>
        <v>62.584343089945421</v>
      </c>
      <c r="G14" s="4">
        <v>0</v>
      </c>
      <c r="K14" s="101" t="s">
        <v>100</v>
      </c>
    </row>
    <row r="15" spans="1:14" x14ac:dyDescent="0.25">
      <c r="A15" s="79" t="s">
        <v>100</v>
      </c>
      <c r="B15" s="4">
        <v>0.65</v>
      </c>
      <c r="C15" s="4">
        <v>13</v>
      </c>
      <c r="D15" s="4">
        <v>17</v>
      </c>
      <c r="E15" s="4">
        <v>4.8</v>
      </c>
      <c r="F15" s="88">
        <f t="shared" si="0"/>
        <v>62.584343089945421</v>
      </c>
      <c r="G15" s="4">
        <v>0</v>
      </c>
      <c r="K15" s="101" t="s">
        <v>101</v>
      </c>
    </row>
    <row r="16" spans="1:14" x14ac:dyDescent="0.25">
      <c r="A16" s="79" t="s">
        <v>100</v>
      </c>
      <c r="B16" s="4">
        <v>0.65</v>
      </c>
      <c r="C16" s="4">
        <v>14</v>
      </c>
      <c r="D16" s="4">
        <v>17</v>
      </c>
      <c r="E16" s="4">
        <v>4.8</v>
      </c>
      <c r="F16" s="88">
        <f t="shared" si="0"/>
        <v>62.584343089945421</v>
      </c>
      <c r="G16" s="4">
        <v>0</v>
      </c>
      <c r="K16" s="101" t="s">
        <v>102</v>
      </c>
    </row>
    <row r="17" spans="1:11" x14ac:dyDescent="0.25">
      <c r="A17" s="79" t="s">
        <v>100</v>
      </c>
      <c r="B17" s="4">
        <v>0.65</v>
      </c>
      <c r="C17" s="4">
        <v>15</v>
      </c>
      <c r="D17" s="4">
        <v>17</v>
      </c>
      <c r="E17" s="4">
        <v>4.8</v>
      </c>
      <c r="F17" s="88">
        <f t="shared" si="0"/>
        <v>62.584343089945421</v>
      </c>
      <c r="G17" s="4">
        <v>0</v>
      </c>
      <c r="K17" s="101" t="s">
        <v>103</v>
      </c>
    </row>
    <row r="18" spans="1:11" x14ac:dyDescent="0.25">
      <c r="A18" s="79" t="s">
        <v>100</v>
      </c>
      <c r="B18" s="4">
        <v>0.55000000000000004</v>
      </c>
      <c r="C18" s="4">
        <v>16</v>
      </c>
      <c r="D18" s="4">
        <v>17</v>
      </c>
      <c r="E18" s="4">
        <v>4.8</v>
      </c>
      <c r="F18" s="88">
        <f t="shared" si="0"/>
        <v>62.584343089945421</v>
      </c>
      <c r="G18" s="4">
        <v>0</v>
      </c>
      <c r="K18" s="101" t="s">
        <v>104</v>
      </c>
    </row>
    <row r="19" spans="1:11" x14ac:dyDescent="0.25">
      <c r="A19" s="79" t="s">
        <v>100</v>
      </c>
      <c r="B19" s="4">
        <v>0.55000000000000004</v>
      </c>
      <c r="C19" s="4">
        <v>17</v>
      </c>
      <c r="D19" s="4">
        <v>17</v>
      </c>
      <c r="E19" s="4">
        <v>4.8</v>
      </c>
      <c r="F19" s="88">
        <f t="shared" si="0"/>
        <v>62.584343089945421</v>
      </c>
      <c r="G19" s="4">
        <v>0</v>
      </c>
      <c r="K19" s="101" t="s">
        <v>105</v>
      </c>
    </row>
    <row r="20" spans="1:11" x14ac:dyDescent="0.25">
      <c r="A20" s="79" t="s">
        <v>100</v>
      </c>
      <c r="B20" s="4">
        <v>0.55000000000000004</v>
      </c>
      <c r="C20" s="4">
        <v>18</v>
      </c>
      <c r="D20" s="4">
        <v>17</v>
      </c>
      <c r="E20" s="4">
        <v>4.8</v>
      </c>
      <c r="F20" s="88">
        <f t="shared" si="0"/>
        <v>62.584343089945421</v>
      </c>
      <c r="G20" s="4">
        <v>0</v>
      </c>
    </row>
    <row r="21" spans="1:11" x14ac:dyDescent="0.25">
      <c r="A21" s="79" t="s">
        <v>100</v>
      </c>
      <c r="B21" s="4">
        <v>0.55000000000000004</v>
      </c>
      <c r="C21" s="4">
        <v>19</v>
      </c>
      <c r="D21" s="4">
        <v>17</v>
      </c>
      <c r="E21" s="4">
        <v>4.8</v>
      </c>
      <c r="F21" s="88">
        <f t="shared" si="0"/>
        <v>62.584343089945421</v>
      </c>
      <c r="G21" s="4">
        <v>0</v>
      </c>
    </row>
    <row r="22" spans="1:11" x14ac:dyDescent="0.25">
      <c r="A22" s="79" t="s">
        <v>101</v>
      </c>
      <c r="B22" s="4">
        <v>0.55000000000000004</v>
      </c>
      <c r="C22" s="4">
        <v>20</v>
      </c>
      <c r="D22" s="4">
        <v>19</v>
      </c>
      <c r="E22" s="4">
        <v>9.6</v>
      </c>
      <c r="F22" s="88">
        <f t="shared" si="0"/>
        <v>132.32686802006612</v>
      </c>
      <c r="G22" s="4">
        <v>0</v>
      </c>
    </row>
    <row r="23" spans="1:11" x14ac:dyDescent="0.25">
      <c r="A23" s="79" t="s">
        <v>101</v>
      </c>
      <c r="B23" s="4">
        <v>0.55000000000000004</v>
      </c>
      <c r="C23" s="4">
        <v>21</v>
      </c>
      <c r="D23" s="4">
        <v>19</v>
      </c>
      <c r="E23" s="4">
        <v>9.6</v>
      </c>
      <c r="F23" s="88">
        <f t="shared" si="0"/>
        <v>132.32686802006612</v>
      </c>
      <c r="G23" s="4">
        <v>0</v>
      </c>
    </row>
    <row r="24" spans="1:11" x14ac:dyDescent="0.25">
      <c r="A24" s="79" t="s">
        <v>101</v>
      </c>
      <c r="B24" s="4">
        <v>0.55000000000000004</v>
      </c>
      <c r="C24" s="4">
        <v>22</v>
      </c>
      <c r="D24" s="4">
        <v>19</v>
      </c>
      <c r="E24" s="4">
        <v>9.6</v>
      </c>
      <c r="F24" s="88">
        <f t="shared" si="0"/>
        <v>132.32686802006612</v>
      </c>
      <c r="G24" s="4">
        <v>0</v>
      </c>
    </row>
    <row r="25" spans="1:11" x14ac:dyDescent="0.25">
      <c r="A25" s="79" t="s">
        <v>101</v>
      </c>
      <c r="B25" s="4">
        <v>0.55000000000000004</v>
      </c>
      <c r="C25" s="4">
        <v>23</v>
      </c>
      <c r="D25" s="4">
        <v>19</v>
      </c>
      <c r="E25" s="4">
        <v>9.6</v>
      </c>
      <c r="F25" s="88">
        <f t="shared" si="0"/>
        <v>132.32686802006612</v>
      </c>
      <c r="G25" s="4">
        <v>0</v>
      </c>
    </row>
    <row r="26" spans="1:11" x14ac:dyDescent="0.25">
      <c r="A26" s="79" t="s">
        <v>101</v>
      </c>
      <c r="B26" s="4">
        <v>0.55000000000000004</v>
      </c>
      <c r="C26" s="4">
        <v>24</v>
      </c>
      <c r="D26" s="4">
        <v>19</v>
      </c>
      <c r="E26" s="4">
        <v>9.6</v>
      </c>
      <c r="F26" s="88">
        <f t="shared" si="0"/>
        <v>132.32686802006612</v>
      </c>
      <c r="G26" s="4">
        <v>0</v>
      </c>
    </row>
    <row r="27" spans="1:11" x14ac:dyDescent="0.25">
      <c r="A27" s="79" t="s">
        <v>101</v>
      </c>
      <c r="B27" s="4">
        <v>0.55000000000000004</v>
      </c>
      <c r="C27" s="4">
        <v>25</v>
      </c>
      <c r="D27" s="4">
        <v>19</v>
      </c>
      <c r="E27" s="4">
        <v>9.6</v>
      </c>
      <c r="F27" s="88">
        <f t="shared" si="0"/>
        <v>132.32686802006612</v>
      </c>
      <c r="G27" s="4">
        <v>0</v>
      </c>
    </row>
    <row r="28" spans="1:11" x14ac:dyDescent="0.25">
      <c r="A28" s="79" t="s">
        <v>101</v>
      </c>
      <c r="B28" s="4">
        <v>0.55000000000000004</v>
      </c>
      <c r="C28" s="4">
        <v>26</v>
      </c>
      <c r="D28" s="4">
        <v>19</v>
      </c>
      <c r="E28" s="4">
        <v>9.6</v>
      </c>
      <c r="F28" s="88">
        <f t="shared" si="0"/>
        <v>132.32686802006612</v>
      </c>
      <c r="G28" s="4">
        <v>0</v>
      </c>
    </row>
    <row r="29" spans="1:11" x14ac:dyDescent="0.25">
      <c r="A29" s="79" t="s">
        <v>101</v>
      </c>
      <c r="B29" s="4">
        <v>0.55000000000000004</v>
      </c>
      <c r="C29" s="4">
        <v>27</v>
      </c>
      <c r="D29" s="4">
        <v>19</v>
      </c>
      <c r="E29" s="4">
        <v>9.6</v>
      </c>
      <c r="F29" s="88">
        <f t="shared" si="0"/>
        <v>132.32686802006612</v>
      </c>
      <c r="G29" s="4">
        <v>0</v>
      </c>
    </row>
    <row r="30" spans="1:11" x14ac:dyDescent="0.25">
      <c r="A30" s="79" t="s">
        <v>101</v>
      </c>
      <c r="B30" s="4">
        <v>0.55000000000000004</v>
      </c>
      <c r="C30" s="4">
        <v>28</v>
      </c>
      <c r="D30" s="4">
        <v>19</v>
      </c>
      <c r="E30" s="4">
        <v>9.6</v>
      </c>
      <c r="F30" s="88">
        <f t="shared" si="0"/>
        <v>132.32686802006612</v>
      </c>
      <c r="G30" s="4">
        <v>0</v>
      </c>
    </row>
    <row r="31" spans="1:11" x14ac:dyDescent="0.25">
      <c r="A31" s="79" t="s">
        <v>101</v>
      </c>
      <c r="B31" s="4">
        <v>0.55000000000000004</v>
      </c>
      <c r="C31" s="4">
        <v>29</v>
      </c>
      <c r="D31" s="4">
        <v>19</v>
      </c>
      <c r="E31" s="4">
        <v>9.6</v>
      </c>
      <c r="F31" s="88">
        <f t="shared" si="0"/>
        <v>132.32686802006612</v>
      </c>
      <c r="G31" s="4">
        <v>0</v>
      </c>
    </row>
    <row r="32" spans="1:11" x14ac:dyDescent="0.25">
      <c r="A32" s="79" t="s">
        <v>101</v>
      </c>
      <c r="B32" s="4">
        <v>0.55000000000000004</v>
      </c>
      <c r="C32" s="4">
        <v>30</v>
      </c>
      <c r="D32" s="4">
        <v>19</v>
      </c>
      <c r="E32" s="4">
        <v>9.6</v>
      </c>
      <c r="F32" s="88">
        <f>E32*(D32/10)^0.5*10</f>
        <v>132.32686802006612</v>
      </c>
      <c r="G32" s="4">
        <v>0</v>
      </c>
    </row>
    <row r="33" spans="1:7" x14ac:dyDescent="0.25">
      <c r="A33" s="4" t="s">
        <v>102</v>
      </c>
      <c r="B33" s="4">
        <v>0.6</v>
      </c>
      <c r="C33" s="4">
        <v>0</v>
      </c>
      <c r="D33" s="4">
        <v>17</v>
      </c>
      <c r="E33" s="4">
        <v>0</v>
      </c>
      <c r="F33" s="83">
        <f t="shared" ref="F33:F66" si="1">((D33/10)*E33)^0.5*10</f>
        <v>0</v>
      </c>
      <c r="G33" s="84">
        <v>0</v>
      </c>
    </row>
    <row r="34" spans="1:7" x14ac:dyDescent="0.25">
      <c r="A34" s="4" t="s">
        <v>102</v>
      </c>
      <c r="B34" s="4">
        <v>0.6</v>
      </c>
      <c r="C34" s="4">
        <v>1</v>
      </c>
      <c r="D34" s="4">
        <v>17</v>
      </c>
      <c r="E34" s="4">
        <v>0</v>
      </c>
      <c r="F34" s="83">
        <f t="shared" si="1"/>
        <v>0</v>
      </c>
      <c r="G34" s="84">
        <v>7.5</v>
      </c>
    </row>
    <row r="35" spans="1:7" x14ac:dyDescent="0.25">
      <c r="A35" s="4" t="s">
        <v>102</v>
      </c>
      <c r="B35" s="4">
        <v>0.6</v>
      </c>
      <c r="C35" s="4">
        <v>2</v>
      </c>
      <c r="D35" s="4">
        <v>17</v>
      </c>
      <c r="E35" s="4">
        <v>0</v>
      </c>
      <c r="F35" s="83">
        <f t="shared" si="1"/>
        <v>0</v>
      </c>
      <c r="G35" s="84">
        <v>15</v>
      </c>
    </row>
    <row r="36" spans="1:7" x14ac:dyDescent="0.25">
      <c r="A36" s="4" t="s">
        <v>102</v>
      </c>
      <c r="B36" s="4">
        <v>0.6</v>
      </c>
      <c r="C36" s="4">
        <v>3</v>
      </c>
      <c r="D36" s="4">
        <v>17</v>
      </c>
      <c r="E36" s="4">
        <v>0</v>
      </c>
      <c r="F36" s="83">
        <f t="shared" si="1"/>
        <v>0</v>
      </c>
      <c r="G36" s="84">
        <v>22.5</v>
      </c>
    </row>
    <row r="37" spans="1:7" x14ac:dyDescent="0.25">
      <c r="A37" s="4" t="s">
        <v>102</v>
      </c>
      <c r="B37" s="4">
        <v>0.6</v>
      </c>
      <c r="C37" s="4">
        <v>4</v>
      </c>
      <c r="D37" s="4">
        <v>17</v>
      </c>
      <c r="E37" s="4">
        <v>0</v>
      </c>
      <c r="F37" s="83">
        <f t="shared" si="1"/>
        <v>0</v>
      </c>
      <c r="G37" s="84">
        <v>30</v>
      </c>
    </row>
    <row r="38" spans="1:7" x14ac:dyDescent="0.25">
      <c r="A38" s="4" t="s">
        <v>102</v>
      </c>
      <c r="B38" s="4">
        <v>0.6</v>
      </c>
      <c r="C38" s="4">
        <v>5</v>
      </c>
      <c r="D38" s="4">
        <v>17</v>
      </c>
      <c r="E38" s="4">
        <v>0</v>
      </c>
      <c r="F38" s="83">
        <f t="shared" si="1"/>
        <v>0</v>
      </c>
      <c r="G38" s="84">
        <f>G37-((C37-C38)*(G37-G43)/(C37-C43))</f>
        <v>30.833333333333332</v>
      </c>
    </row>
    <row r="39" spans="1:7" x14ac:dyDescent="0.25">
      <c r="A39" s="4" t="s">
        <v>102</v>
      </c>
      <c r="B39" s="4">
        <v>0.6</v>
      </c>
      <c r="C39" s="4">
        <v>6</v>
      </c>
      <c r="D39" s="4">
        <v>17</v>
      </c>
      <c r="E39" s="4">
        <v>0</v>
      </c>
      <c r="F39" s="83">
        <f t="shared" si="1"/>
        <v>0</v>
      </c>
      <c r="G39" s="84">
        <f>G38-((C38-C39)*(G38-G$43)/(C38-C$43))</f>
        <v>31.666666666666664</v>
      </c>
    </row>
    <row r="40" spans="1:7" x14ac:dyDescent="0.25">
      <c r="A40" s="4" t="s">
        <v>102</v>
      </c>
      <c r="B40" s="4">
        <v>0.6</v>
      </c>
      <c r="C40" s="4">
        <v>7</v>
      </c>
      <c r="D40" s="4">
        <v>17</v>
      </c>
      <c r="E40" s="4">
        <v>0</v>
      </c>
      <c r="F40" s="83">
        <f t="shared" si="1"/>
        <v>0</v>
      </c>
      <c r="G40" s="84">
        <f>G39-((C39-C40)*(G39-$G$43)/(C39-$C$43))</f>
        <v>32.5</v>
      </c>
    </row>
    <row r="41" spans="1:7" x14ac:dyDescent="0.25">
      <c r="A41" s="4" t="s">
        <v>102</v>
      </c>
      <c r="B41" s="4">
        <v>0.6</v>
      </c>
      <c r="C41" s="4">
        <v>8</v>
      </c>
      <c r="D41" s="4">
        <v>17</v>
      </c>
      <c r="E41" s="4">
        <v>0</v>
      </c>
      <c r="F41" s="83">
        <f t="shared" si="1"/>
        <v>0</v>
      </c>
      <c r="G41" s="84">
        <f>G40-((C40-C41)*(G40-$G$43)/(C40-$C$43))</f>
        <v>33.333333333333336</v>
      </c>
    </row>
    <row r="42" spans="1:7" x14ac:dyDescent="0.25">
      <c r="A42" s="4" t="s">
        <v>103</v>
      </c>
      <c r="B42" s="4">
        <v>0.55000000000000004</v>
      </c>
      <c r="C42" s="4">
        <v>9</v>
      </c>
      <c r="D42" s="4">
        <v>19</v>
      </c>
      <c r="E42" s="4">
        <v>0</v>
      </c>
      <c r="F42" s="83">
        <f t="shared" si="1"/>
        <v>0</v>
      </c>
      <c r="G42" s="84">
        <f>G41-((C41-C42)*(G41-G43)/(C41-C43))</f>
        <v>34.166666666666671</v>
      </c>
    </row>
    <row r="43" spans="1:7" x14ac:dyDescent="0.25">
      <c r="A43" s="4" t="s">
        <v>103</v>
      </c>
      <c r="B43" s="4">
        <v>0.55000000000000004</v>
      </c>
      <c r="C43" s="4">
        <v>10</v>
      </c>
      <c r="D43" s="4">
        <v>19</v>
      </c>
      <c r="E43" s="4">
        <v>0</v>
      </c>
      <c r="F43" s="83">
        <f t="shared" si="1"/>
        <v>0</v>
      </c>
      <c r="G43" s="84">
        <v>35</v>
      </c>
    </row>
    <row r="44" spans="1:7" x14ac:dyDescent="0.25">
      <c r="A44" s="4" t="s">
        <v>103</v>
      </c>
      <c r="B44" s="4">
        <v>0.55000000000000004</v>
      </c>
      <c r="C44" s="4">
        <v>11</v>
      </c>
      <c r="D44" s="4">
        <v>19</v>
      </c>
      <c r="E44" s="4">
        <v>0</v>
      </c>
      <c r="F44" s="83">
        <f t="shared" si="1"/>
        <v>0</v>
      </c>
      <c r="G44" s="84">
        <f>G43-((C43-C44)*(G43-G63)/(C43-C63))</f>
        <v>35.25</v>
      </c>
    </row>
    <row r="45" spans="1:7" x14ac:dyDescent="0.25">
      <c r="A45" s="4" t="s">
        <v>103</v>
      </c>
      <c r="B45" s="4">
        <v>0.55000000000000004</v>
      </c>
      <c r="C45" s="4">
        <v>12</v>
      </c>
      <c r="D45" s="4">
        <v>19</v>
      </c>
      <c r="E45" s="4">
        <v>0</v>
      </c>
      <c r="F45" s="83">
        <f t="shared" si="1"/>
        <v>0</v>
      </c>
      <c r="G45" s="84">
        <f t="shared" ref="G45:G62" si="2">G44-((C44-C45)*(G44-$G$63)/(C44-$C$63))</f>
        <v>35.5</v>
      </c>
    </row>
    <row r="46" spans="1:7" x14ac:dyDescent="0.25">
      <c r="A46" s="4" t="s">
        <v>103</v>
      </c>
      <c r="B46" s="4">
        <v>0.55000000000000004</v>
      </c>
      <c r="C46" s="4">
        <v>13</v>
      </c>
      <c r="D46" s="4">
        <v>19</v>
      </c>
      <c r="E46" s="4">
        <v>0</v>
      </c>
      <c r="F46" s="83">
        <f t="shared" si="1"/>
        <v>0</v>
      </c>
      <c r="G46" s="84">
        <f t="shared" si="2"/>
        <v>35.75</v>
      </c>
    </row>
    <row r="47" spans="1:7" x14ac:dyDescent="0.25">
      <c r="A47" s="4" t="s">
        <v>103</v>
      </c>
      <c r="B47" s="4">
        <v>0.55000000000000004</v>
      </c>
      <c r="C47" s="4">
        <v>14</v>
      </c>
      <c r="D47" s="4">
        <v>19</v>
      </c>
      <c r="E47" s="4">
        <v>0</v>
      </c>
      <c r="F47" s="83">
        <f t="shared" si="1"/>
        <v>0</v>
      </c>
      <c r="G47" s="84">
        <f t="shared" si="2"/>
        <v>36</v>
      </c>
    </row>
    <row r="48" spans="1:7" x14ac:dyDescent="0.25">
      <c r="A48" s="4" t="s">
        <v>103</v>
      </c>
      <c r="B48" s="4">
        <v>0.55000000000000004</v>
      </c>
      <c r="C48" s="4">
        <v>15</v>
      </c>
      <c r="D48" s="4">
        <v>19</v>
      </c>
      <c r="E48" s="4">
        <v>0</v>
      </c>
      <c r="F48" s="83">
        <f>((D48/10)*E48)^0.5*10</f>
        <v>0</v>
      </c>
      <c r="G48" s="84">
        <f>G47-((C47-C48)*(G47-$G$63)/(C47-$C$63))</f>
        <v>36.25</v>
      </c>
    </row>
    <row r="49" spans="1:7" x14ac:dyDescent="0.25">
      <c r="A49" s="4" t="s">
        <v>103</v>
      </c>
      <c r="B49" s="4">
        <v>0.55000000000000004</v>
      </c>
      <c r="C49" s="4">
        <v>16</v>
      </c>
      <c r="D49" s="4">
        <v>19</v>
      </c>
      <c r="E49" s="4">
        <v>0</v>
      </c>
      <c r="F49" s="83">
        <f t="shared" si="1"/>
        <v>0</v>
      </c>
      <c r="G49" s="84">
        <f>G48-((C48-C49)*(G48-$G$63)/(C48-$C$63))</f>
        <v>36.5</v>
      </c>
    </row>
    <row r="50" spans="1:7" x14ac:dyDescent="0.25">
      <c r="A50" s="4" t="s">
        <v>103</v>
      </c>
      <c r="B50" s="4">
        <v>0.55000000000000004</v>
      </c>
      <c r="C50" s="4">
        <v>17</v>
      </c>
      <c r="D50" s="4">
        <v>19</v>
      </c>
      <c r="E50" s="4">
        <v>0</v>
      </c>
      <c r="F50" s="83">
        <f t="shared" si="1"/>
        <v>0</v>
      </c>
      <c r="G50" s="84">
        <f t="shared" si="2"/>
        <v>36.75</v>
      </c>
    </row>
    <row r="51" spans="1:7" x14ac:dyDescent="0.25">
      <c r="A51" s="4" t="s">
        <v>103</v>
      </c>
      <c r="B51" s="4">
        <v>0.55000000000000004</v>
      </c>
      <c r="C51" s="4">
        <v>18</v>
      </c>
      <c r="D51" s="4">
        <v>19</v>
      </c>
      <c r="E51" s="4">
        <v>0</v>
      </c>
      <c r="F51" s="83">
        <f t="shared" si="1"/>
        <v>0</v>
      </c>
      <c r="G51" s="84">
        <f t="shared" si="2"/>
        <v>37</v>
      </c>
    </row>
    <row r="52" spans="1:7" x14ac:dyDescent="0.25">
      <c r="A52" s="4" t="s">
        <v>104</v>
      </c>
      <c r="B52" s="4">
        <v>0.5</v>
      </c>
      <c r="C52" s="4">
        <v>19</v>
      </c>
      <c r="D52" s="4">
        <v>20</v>
      </c>
      <c r="E52" s="4">
        <v>0</v>
      </c>
      <c r="F52" s="83">
        <f t="shared" si="1"/>
        <v>0</v>
      </c>
      <c r="G52" s="84">
        <f>G51-((C51-C52)*(G51-$G$63)/(C51-$C$63))</f>
        <v>37.25</v>
      </c>
    </row>
    <row r="53" spans="1:7" x14ac:dyDescent="0.25">
      <c r="A53" s="4" t="s">
        <v>104</v>
      </c>
      <c r="B53" s="4">
        <v>0.5</v>
      </c>
      <c r="C53" s="4">
        <v>20</v>
      </c>
      <c r="D53" s="4">
        <v>20</v>
      </c>
      <c r="E53" s="4">
        <v>0</v>
      </c>
      <c r="F53" s="83">
        <f t="shared" si="1"/>
        <v>0</v>
      </c>
      <c r="G53" s="84">
        <f>G52-((C52-C53)*(G52-$G$63)/(C52-$C$63))</f>
        <v>37.5</v>
      </c>
    </row>
    <row r="54" spans="1:7" x14ac:dyDescent="0.25">
      <c r="A54" s="4" t="s">
        <v>104</v>
      </c>
      <c r="B54" s="4">
        <v>0.5</v>
      </c>
      <c r="C54" s="4">
        <v>21</v>
      </c>
      <c r="D54" s="4">
        <v>20</v>
      </c>
      <c r="E54" s="4">
        <v>0</v>
      </c>
      <c r="F54" s="83">
        <f t="shared" si="1"/>
        <v>0</v>
      </c>
      <c r="G54" s="84">
        <f t="shared" si="2"/>
        <v>37.75</v>
      </c>
    </row>
    <row r="55" spans="1:7" x14ac:dyDescent="0.25">
      <c r="A55" s="4" t="s">
        <v>104</v>
      </c>
      <c r="B55" s="4">
        <v>0.5</v>
      </c>
      <c r="C55" s="4">
        <v>22</v>
      </c>
      <c r="D55" s="4">
        <v>20</v>
      </c>
      <c r="E55" s="4">
        <v>0</v>
      </c>
      <c r="F55" s="83">
        <f t="shared" si="1"/>
        <v>0</v>
      </c>
      <c r="G55" s="84">
        <f t="shared" si="2"/>
        <v>38</v>
      </c>
    </row>
    <row r="56" spans="1:7" x14ac:dyDescent="0.25">
      <c r="A56" s="4" t="s">
        <v>104</v>
      </c>
      <c r="B56" s="4">
        <v>0.5</v>
      </c>
      <c r="C56" s="4">
        <v>23</v>
      </c>
      <c r="D56" s="4">
        <v>20</v>
      </c>
      <c r="E56" s="4">
        <v>0</v>
      </c>
      <c r="F56" s="83">
        <f t="shared" si="1"/>
        <v>0</v>
      </c>
      <c r="G56" s="84">
        <f t="shared" si="2"/>
        <v>38.25</v>
      </c>
    </row>
    <row r="57" spans="1:7" x14ac:dyDescent="0.25">
      <c r="A57" s="4" t="s">
        <v>104</v>
      </c>
      <c r="B57" s="4">
        <v>0.5</v>
      </c>
      <c r="C57" s="4">
        <v>24</v>
      </c>
      <c r="D57" s="4">
        <v>20</v>
      </c>
      <c r="E57" s="4">
        <v>0</v>
      </c>
      <c r="F57" s="83">
        <f t="shared" si="1"/>
        <v>0</v>
      </c>
      <c r="G57" s="84">
        <f t="shared" si="2"/>
        <v>38.5</v>
      </c>
    </row>
    <row r="58" spans="1:7" x14ac:dyDescent="0.25">
      <c r="A58" s="4" t="s">
        <v>104</v>
      </c>
      <c r="B58" s="4">
        <v>0.5</v>
      </c>
      <c r="C58" s="4">
        <v>25</v>
      </c>
      <c r="D58" s="4">
        <v>20</v>
      </c>
      <c r="E58" s="4">
        <v>0</v>
      </c>
      <c r="F58" s="83">
        <f t="shared" si="1"/>
        <v>0</v>
      </c>
      <c r="G58" s="84">
        <f t="shared" si="2"/>
        <v>38.75</v>
      </c>
    </row>
    <row r="59" spans="1:7" x14ac:dyDescent="0.25">
      <c r="A59" s="4" t="s">
        <v>104</v>
      </c>
      <c r="B59" s="4">
        <v>0.5</v>
      </c>
      <c r="C59" s="4">
        <v>26</v>
      </c>
      <c r="D59" s="4">
        <v>20</v>
      </c>
      <c r="E59" s="4">
        <v>0</v>
      </c>
      <c r="F59" s="83">
        <f t="shared" si="1"/>
        <v>0</v>
      </c>
      <c r="G59" s="84">
        <f t="shared" si="2"/>
        <v>39</v>
      </c>
    </row>
    <row r="60" spans="1:7" x14ac:dyDescent="0.25">
      <c r="A60" s="4" t="s">
        <v>104</v>
      </c>
      <c r="B60" s="4">
        <v>0.5</v>
      </c>
      <c r="C60" s="4">
        <v>27</v>
      </c>
      <c r="D60" s="4">
        <v>20</v>
      </c>
      <c r="E60" s="4">
        <v>0</v>
      </c>
      <c r="F60" s="83">
        <f t="shared" si="1"/>
        <v>0</v>
      </c>
      <c r="G60" s="84">
        <f t="shared" si="2"/>
        <v>39.25</v>
      </c>
    </row>
    <row r="61" spans="1:7" x14ac:dyDescent="0.25">
      <c r="A61" s="4" t="s">
        <v>104</v>
      </c>
      <c r="B61" s="4">
        <v>0.5</v>
      </c>
      <c r="C61" s="4">
        <v>28</v>
      </c>
      <c r="D61" s="4">
        <v>20</v>
      </c>
      <c r="E61" s="4">
        <v>0</v>
      </c>
      <c r="F61" s="83">
        <f t="shared" si="1"/>
        <v>0</v>
      </c>
      <c r="G61" s="84">
        <f t="shared" si="2"/>
        <v>39.5</v>
      </c>
    </row>
    <row r="62" spans="1:7" x14ac:dyDescent="0.25">
      <c r="A62" s="4" t="s">
        <v>104</v>
      </c>
      <c r="B62" s="4">
        <v>0.5</v>
      </c>
      <c r="C62" s="4">
        <v>29</v>
      </c>
      <c r="D62" s="4">
        <v>20</v>
      </c>
      <c r="E62" s="4">
        <v>0</v>
      </c>
      <c r="F62" s="83">
        <f t="shared" si="1"/>
        <v>0</v>
      </c>
      <c r="G62" s="84">
        <f t="shared" si="2"/>
        <v>39.75</v>
      </c>
    </row>
    <row r="63" spans="1:7" x14ac:dyDescent="0.25">
      <c r="A63" s="4" t="s">
        <v>104</v>
      </c>
      <c r="B63" s="4">
        <v>0.5</v>
      </c>
      <c r="C63" s="4">
        <v>30</v>
      </c>
      <c r="D63" s="4">
        <v>20</v>
      </c>
      <c r="E63" s="4">
        <v>0</v>
      </c>
      <c r="F63" s="83">
        <f t="shared" si="1"/>
        <v>0</v>
      </c>
      <c r="G63" s="84">
        <v>40</v>
      </c>
    </row>
    <row r="64" spans="1:7" x14ac:dyDescent="0.25">
      <c r="A64" s="4" t="s">
        <v>104</v>
      </c>
      <c r="B64" s="4">
        <v>0.5</v>
      </c>
      <c r="C64" s="4">
        <v>31</v>
      </c>
      <c r="D64" s="4">
        <v>20</v>
      </c>
      <c r="E64" s="4">
        <v>0</v>
      </c>
      <c r="F64" s="83">
        <f t="shared" si="1"/>
        <v>0</v>
      </c>
      <c r="G64" s="84">
        <f>G63-((C63-C64)*(G63-$G$83)/(C63-$C$83))</f>
        <v>40.25</v>
      </c>
    </row>
    <row r="65" spans="1:7" x14ac:dyDescent="0.25">
      <c r="A65" s="4" t="s">
        <v>104</v>
      </c>
      <c r="B65" s="4">
        <v>0.5</v>
      </c>
      <c r="C65" s="4">
        <v>32</v>
      </c>
      <c r="D65" s="4">
        <v>20</v>
      </c>
      <c r="E65" s="4">
        <v>0</v>
      </c>
      <c r="F65" s="83">
        <f t="shared" si="1"/>
        <v>0</v>
      </c>
      <c r="G65" s="84">
        <f t="shared" ref="G65:G82" si="3">G64-((C64-C65)*(G64-$G$83)/(C64-$C$83))</f>
        <v>40.5</v>
      </c>
    </row>
    <row r="66" spans="1:7" x14ac:dyDescent="0.25">
      <c r="A66" s="4" t="s">
        <v>104</v>
      </c>
      <c r="B66" s="4">
        <v>0.5</v>
      </c>
      <c r="C66" s="4">
        <v>33</v>
      </c>
      <c r="D66" s="4">
        <v>20</v>
      </c>
      <c r="E66" s="4">
        <v>0</v>
      </c>
      <c r="F66" s="83">
        <f t="shared" si="1"/>
        <v>0</v>
      </c>
      <c r="G66" s="84">
        <f>G65-((C65-C66)*(G65-$G$83)/(C65-$C$83))</f>
        <v>40.75</v>
      </c>
    </row>
    <row r="67" spans="1:7" x14ac:dyDescent="0.25">
      <c r="A67" s="4" t="s">
        <v>104</v>
      </c>
      <c r="B67" s="4">
        <v>0.5</v>
      </c>
      <c r="C67" s="4">
        <v>34</v>
      </c>
      <c r="D67" s="4">
        <v>20</v>
      </c>
      <c r="E67" s="4">
        <v>0</v>
      </c>
      <c r="F67" s="83">
        <f t="shared" ref="F67:F84" si="4">((D67/10)*E67)^0.5*10</f>
        <v>0</v>
      </c>
      <c r="G67" s="84">
        <f t="shared" si="3"/>
        <v>41</v>
      </c>
    </row>
    <row r="68" spans="1:7" x14ac:dyDescent="0.25">
      <c r="A68" s="4" t="s">
        <v>104</v>
      </c>
      <c r="B68" s="4">
        <v>0.5</v>
      </c>
      <c r="C68" s="4">
        <v>35</v>
      </c>
      <c r="D68" s="4">
        <v>20</v>
      </c>
      <c r="E68" s="4">
        <v>0</v>
      </c>
      <c r="F68" s="83">
        <f t="shared" si="4"/>
        <v>0</v>
      </c>
      <c r="G68" s="84">
        <f t="shared" si="3"/>
        <v>41.25</v>
      </c>
    </row>
    <row r="69" spans="1:7" x14ac:dyDescent="0.25">
      <c r="A69" s="4" t="s">
        <v>104</v>
      </c>
      <c r="B69" s="4">
        <v>0.5</v>
      </c>
      <c r="C69" s="4">
        <v>36</v>
      </c>
      <c r="D69" s="4">
        <v>20</v>
      </c>
      <c r="E69" s="4">
        <v>0</v>
      </c>
      <c r="F69" s="83">
        <f t="shared" si="4"/>
        <v>0</v>
      </c>
      <c r="G69" s="84">
        <f t="shared" si="3"/>
        <v>41.5</v>
      </c>
    </row>
    <row r="70" spans="1:7" x14ac:dyDescent="0.25">
      <c r="A70" s="4" t="s">
        <v>104</v>
      </c>
      <c r="B70" s="4">
        <v>0.5</v>
      </c>
      <c r="C70" s="4">
        <v>37</v>
      </c>
      <c r="D70" s="4">
        <v>20</v>
      </c>
      <c r="E70" s="4">
        <v>0</v>
      </c>
      <c r="F70" s="83">
        <f t="shared" si="4"/>
        <v>0</v>
      </c>
      <c r="G70" s="84">
        <f t="shared" si="3"/>
        <v>41.75</v>
      </c>
    </row>
    <row r="71" spans="1:7" x14ac:dyDescent="0.25">
      <c r="A71" s="4" t="s">
        <v>104</v>
      </c>
      <c r="B71" s="4">
        <v>0.5</v>
      </c>
      <c r="C71" s="4">
        <v>38</v>
      </c>
      <c r="D71" s="4">
        <v>20</v>
      </c>
      <c r="E71" s="4">
        <v>0</v>
      </c>
      <c r="F71" s="83">
        <f t="shared" si="4"/>
        <v>0</v>
      </c>
      <c r="G71" s="84">
        <f t="shared" si="3"/>
        <v>42</v>
      </c>
    </row>
    <row r="72" spans="1:7" x14ac:dyDescent="0.25">
      <c r="A72" s="4" t="s">
        <v>104</v>
      </c>
      <c r="B72" s="4">
        <v>0.5</v>
      </c>
      <c r="C72" s="4">
        <v>39</v>
      </c>
      <c r="D72" s="4">
        <v>20</v>
      </c>
      <c r="E72" s="4">
        <v>0</v>
      </c>
      <c r="F72" s="83">
        <f t="shared" si="4"/>
        <v>0</v>
      </c>
      <c r="G72" s="84">
        <f t="shared" si="3"/>
        <v>42.25</v>
      </c>
    </row>
    <row r="73" spans="1:7" x14ac:dyDescent="0.25">
      <c r="A73" s="4" t="s">
        <v>105</v>
      </c>
      <c r="B73" s="4">
        <v>0.45</v>
      </c>
      <c r="C73" s="4">
        <v>40</v>
      </c>
      <c r="D73" s="4">
        <v>21</v>
      </c>
      <c r="E73" s="4">
        <v>0</v>
      </c>
      <c r="F73" s="83">
        <f t="shared" si="4"/>
        <v>0</v>
      </c>
      <c r="G73" s="84">
        <f>G72-((C72-C73)*(G72-$G$83)/(C72-$C$83))</f>
        <v>42.5</v>
      </c>
    </row>
    <row r="74" spans="1:7" x14ac:dyDescent="0.25">
      <c r="A74" s="4" t="s">
        <v>105</v>
      </c>
      <c r="B74" s="4">
        <v>0.45</v>
      </c>
      <c r="C74" s="4">
        <v>41</v>
      </c>
      <c r="D74" s="4">
        <v>21</v>
      </c>
      <c r="E74" s="4">
        <v>0</v>
      </c>
      <c r="F74" s="83">
        <f t="shared" si="4"/>
        <v>0</v>
      </c>
      <c r="G74" s="84">
        <f t="shared" si="3"/>
        <v>42.75</v>
      </c>
    </row>
    <row r="75" spans="1:7" x14ac:dyDescent="0.25">
      <c r="A75" s="4" t="s">
        <v>105</v>
      </c>
      <c r="B75" s="4">
        <v>0.45</v>
      </c>
      <c r="C75" s="4">
        <v>42</v>
      </c>
      <c r="D75" s="4">
        <v>21</v>
      </c>
      <c r="E75" s="4">
        <v>0</v>
      </c>
      <c r="F75" s="83">
        <f t="shared" si="4"/>
        <v>0</v>
      </c>
      <c r="G75" s="84">
        <f t="shared" si="3"/>
        <v>43</v>
      </c>
    </row>
    <row r="76" spans="1:7" x14ac:dyDescent="0.25">
      <c r="A76" s="4" t="s">
        <v>105</v>
      </c>
      <c r="B76" s="4">
        <v>0.45</v>
      </c>
      <c r="C76" s="4">
        <v>43</v>
      </c>
      <c r="D76" s="4">
        <v>21</v>
      </c>
      <c r="E76" s="4">
        <v>0</v>
      </c>
      <c r="F76" s="83">
        <f t="shared" si="4"/>
        <v>0</v>
      </c>
      <c r="G76" s="84">
        <f t="shared" si="3"/>
        <v>43.25</v>
      </c>
    </row>
    <row r="77" spans="1:7" x14ac:dyDescent="0.25">
      <c r="A77" s="4" t="s">
        <v>105</v>
      </c>
      <c r="B77" s="4">
        <v>0.45</v>
      </c>
      <c r="C77" s="4">
        <v>44</v>
      </c>
      <c r="D77" s="4">
        <v>21</v>
      </c>
      <c r="E77" s="4">
        <v>0</v>
      </c>
      <c r="F77" s="83">
        <f t="shared" si="4"/>
        <v>0</v>
      </c>
      <c r="G77" s="84">
        <f t="shared" si="3"/>
        <v>43.5</v>
      </c>
    </row>
    <row r="78" spans="1:7" x14ac:dyDescent="0.25">
      <c r="A78" s="4" t="s">
        <v>105</v>
      </c>
      <c r="B78" s="4">
        <v>0.45</v>
      </c>
      <c r="C78" s="4">
        <v>45</v>
      </c>
      <c r="D78" s="4">
        <v>21</v>
      </c>
      <c r="E78" s="4">
        <v>0</v>
      </c>
      <c r="F78" s="83">
        <f t="shared" si="4"/>
        <v>0</v>
      </c>
      <c r="G78" s="84">
        <f t="shared" si="3"/>
        <v>43.75</v>
      </c>
    </row>
    <row r="79" spans="1:7" x14ac:dyDescent="0.25">
      <c r="A79" s="4" t="s">
        <v>105</v>
      </c>
      <c r="B79" s="4">
        <v>0.45</v>
      </c>
      <c r="C79" s="4">
        <v>46</v>
      </c>
      <c r="D79" s="4">
        <v>21</v>
      </c>
      <c r="E79" s="4">
        <v>0</v>
      </c>
      <c r="F79" s="83">
        <f t="shared" si="4"/>
        <v>0</v>
      </c>
      <c r="G79" s="84">
        <f t="shared" si="3"/>
        <v>44</v>
      </c>
    </row>
    <row r="80" spans="1:7" x14ac:dyDescent="0.25">
      <c r="A80" s="4" t="s">
        <v>105</v>
      </c>
      <c r="B80" s="4">
        <v>0.45</v>
      </c>
      <c r="C80" s="4">
        <v>47</v>
      </c>
      <c r="D80" s="4">
        <v>21</v>
      </c>
      <c r="E80" s="4">
        <v>0</v>
      </c>
      <c r="F80" s="83">
        <f t="shared" si="4"/>
        <v>0</v>
      </c>
      <c r="G80" s="84">
        <f t="shared" si="3"/>
        <v>44.25</v>
      </c>
    </row>
    <row r="81" spans="1:7" x14ac:dyDescent="0.25">
      <c r="A81" s="4" t="s">
        <v>105</v>
      </c>
      <c r="B81" s="4">
        <v>0.45</v>
      </c>
      <c r="C81" s="4">
        <v>48</v>
      </c>
      <c r="D81" s="4">
        <v>21</v>
      </c>
      <c r="E81" s="4">
        <v>0</v>
      </c>
      <c r="F81" s="83">
        <f t="shared" si="4"/>
        <v>0</v>
      </c>
      <c r="G81" s="84">
        <f t="shared" si="3"/>
        <v>44.5</v>
      </c>
    </row>
    <row r="82" spans="1:7" x14ac:dyDescent="0.25">
      <c r="A82" s="4" t="s">
        <v>105</v>
      </c>
      <c r="B82" s="4">
        <v>0.45</v>
      </c>
      <c r="C82" s="4">
        <v>49</v>
      </c>
      <c r="D82" s="4">
        <v>21</v>
      </c>
      <c r="E82" s="4">
        <v>0</v>
      </c>
      <c r="F82" s="83">
        <f t="shared" si="4"/>
        <v>0</v>
      </c>
      <c r="G82" s="84">
        <f t="shared" si="3"/>
        <v>44.75</v>
      </c>
    </row>
    <row r="83" spans="1:7" x14ac:dyDescent="0.25">
      <c r="A83" s="4" t="s">
        <v>105</v>
      </c>
      <c r="B83" s="4">
        <v>0.45</v>
      </c>
      <c r="C83" s="4">
        <v>50</v>
      </c>
      <c r="D83" s="4">
        <v>21</v>
      </c>
      <c r="E83" s="4">
        <v>0</v>
      </c>
      <c r="F83" s="83">
        <f t="shared" si="4"/>
        <v>0</v>
      </c>
      <c r="G83" s="84">
        <v>45</v>
      </c>
    </row>
    <row r="84" spans="1:7" x14ac:dyDescent="0.25">
      <c r="A84" s="4" t="s">
        <v>105</v>
      </c>
      <c r="B84" s="4">
        <v>0.45</v>
      </c>
      <c r="C84" s="4">
        <v>51</v>
      </c>
      <c r="D84" s="4">
        <v>21</v>
      </c>
      <c r="E84" s="4">
        <v>0</v>
      </c>
      <c r="F84" s="83">
        <f t="shared" si="4"/>
        <v>0</v>
      </c>
      <c r="G84" s="84">
        <v>45</v>
      </c>
    </row>
    <row r="86" spans="1:7" x14ac:dyDescent="0.25">
      <c r="A86" s="7" t="s">
        <v>111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T33"/>
  <sheetViews>
    <sheetView workbookViewId="0">
      <selection activeCell="F29" sqref="F29"/>
    </sheetView>
  </sheetViews>
  <sheetFormatPr defaultRowHeight="15" x14ac:dyDescent="0.25"/>
  <cols>
    <col min="2" max="2" width="12.85546875" customWidth="1"/>
    <col min="3" max="3" width="13" customWidth="1"/>
    <col min="6" max="6" width="18.28515625" customWidth="1"/>
    <col min="14" max="14" width="15.42578125" bestFit="1" customWidth="1"/>
    <col min="15" max="15" width="21.42578125" bestFit="1" customWidth="1"/>
    <col min="16" max="16" width="19.85546875" customWidth="1"/>
    <col min="17" max="17" width="8.7109375" bestFit="1" customWidth="1"/>
    <col min="19" max="19" width="8.28515625" bestFit="1" customWidth="1"/>
    <col min="20" max="20" width="15.28515625" customWidth="1"/>
  </cols>
  <sheetData>
    <row r="2" spans="2:20" ht="15.75" thickBot="1" x14ac:dyDescent="0.3"/>
    <row r="3" spans="2:20" ht="21" x14ac:dyDescent="0.35">
      <c r="B3" s="204" t="s">
        <v>42</v>
      </c>
      <c r="C3" s="205"/>
      <c r="D3" s="205"/>
      <c r="E3" s="205"/>
      <c r="F3" s="206"/>
    </row>
    <row r="4" spans="2:20" ht="16.5" thickBot="1" x14ac:dyDescent="0.3">
      <c r="B4" s="14"/>
      <c r="C4" s="15"/>
      <c r="D4" s="15"/>
      <c r="E4" s="15"/>
      <c r="F4" s="16"/>
    </row>
    <row r="5" spans="2:20" ht="16.5" thickBot="1" x14ac:dyDescent="0.3">
      <c r="B5" s="17" t="s">
        <v>43</v>
      </c>
      <c r="C5" s="18"/>
      <c r="D5" s="18"/>
      <c r="E5" s="18"/>
      <c r="F5" s="19"/>
      <c r="O5" s="200" t="s">
        <v>44</v>
      </c>
      <c r="P5" s="201"/>
      <c r="Q5" s="20"/>
      <c r="S5" s="200" t="s">
        <v>45</v>
      </c>
      <c r="T5" s="201"/>
    </row>
    <row r="6" spans="2:20" ht="16.5" thickBot="1" x14ac:dyDescent="0.3">
      <c r="B6" s="17" t="s">
        <v>46</v>
      </c>
      <c r="C6" s="18"/>
      <c r="D6" s="18"/>
      <c r="E6" s="18"/>
      <c r="F6" s="19"/>
      <c r="O6" s="200" t="s">
        <v>47</v>
      </c>
      <c r="P6" s="201"/>
      <c r="Q6" s="21" t="s">
        <v>48</v>
      </c>
      <c r="S6" s="21" t="s">
        <v>49</v>
      </c>
      <c r="T6" s="22" t="s">
        <v>48</v>
      </c>
    </row>
    <row r="7" spans="2:20" ht="15.75" thickBot="1" x14ac:dyDescent="0.3">
      <c r="B7" s="17" t="s">
        <v>50</v>
      </c>
      <c r="C7" s="23"/>
      <c r="D7" s="23"/>
      <c r="E7" s="23"/>
      <c r="F7" s="24"/>
      <c r="O7" s="25" t="s">
        <v>51</v>
      </c>
      <c r="P7" s="26">
        <f>((D18*50)/1400)/0.018</f>
        <v>3.2467762962962965</v>
      </c>
      <c r="Q7" s="27">
        <f>((D18*50)/1400)/0.01</f>
        <v>5.8441973333333337</v>
      </c>
      <c r="S7" s="28">
        <f>P7/$O$16</f>
        <v>4.1883079157589007</v>
      </c>
      <c r="T7" s="29">
        <f>Q7/$O$16</f>
        <v>7.5389542483660215</v>
      </c>
    </row>
    <row r="8" spans="2:20" x14ac:dyDescent="0.25">
      <c r="B8" s="30" t="s">
        <v>52</v>
      </c>
      <c r="C8" s="31"/>
      <c r="D8" s="32">
        <v>1</v>
      </c>
      <c r="E8" s="33"/>
      <c r="F8" s="34"/>
      <c r="O8" s="35" t="s">
        <v>53</v>
      </c>
      <c r="P8" s="36">
        <f>((D20*20)/670)/0.018</f>
        <v>0.43613412935323392</v>
      </c>
      <c r="Q8" s="37">
        <f>((D19*20)/670)/0.01</f>
        <v>2.9220986666666668</v>
      </c>
      <c r="S8" s="28">
        <f t="shared" ref="S8:T9" si="0">P8/$O$16</f>
        <v>0.56260852599746436</v>
      </c>
      <c r="T8" s="29">
        <f t="shared" si="0"/>
        <v>3.7694771241830107</v>
      </c>
    </row>
    <row r="9" spans="2:20" ht="15.75" thickBot="1" x14ac:dyDescent="0.3">
      <c r="B9" s="38" t="s">
        <v>54</v>
      </c>
      <c r="C9" s="39"/>
      <c r="D9" s="40">
        <v>0.5</v>
      </c>
      <c r="E9" s="41"/>
      <c r="F9" s="42"/>
      <c r="O9" s="43" t="s">
        <v>55</v>
      </c>
      <c r="P9" s="44">
        <f>D20/0.018</f>
        <v>14.610493333333336</v>
      </c>
      <c r="Q9" s="45">
        <f>D20/0.01</f>
        <v>26.298888000000002</v>
      </c>
      <c r="S9" s="46">
        <f t="shared" si="0"/>
        <v>18.847385620915055</v>
      </c>
      <c r="T9" s="47">
        <f t="shared" si="0"/>
        <v>33.925294117647098</v>
      </c>
    </row>
    <row r="10" spans="2:20" ht="15.75" thickBot="1" x14ac:dyDescent="0.3">
      <c r="B10" s="38" t="s">
        <v>56</v>
      </c>
      <c r="C10" s="39"/>
      <c r="D10" s="40">
        <v>4.5</v>
      </c>
      <c r="E10" s="41"/>
      <c r="F10" s="42"/>
    </row>
    <row r="11" spans="2:20" ht="15.75" thickBot="1" x14ac:dyDescent="0.3">
      <c r="B11" s="38" t="s">
        <v>57</v>
      </c>
      <c r="C11" s="39"/>
      <c r="D11" s="40">
        <v>1</v>
      </c>
      <c r="E11" s="41" t="s">
        <v>17</v>
      </c>
      <c r="F11" s="42"/>
      <c r="O11" s="48" t="s">
        <v>58</v>
      </c>
      <c r="P11" s="49">
        <f>$O$12*P7</f>
        <v>1.4610493333333334</v>
      </c>
      <c r="Q11" s="49">
        <f>$O$12*Q7</f>
        <v>2.6298888000000002</v>
      </c>
      <c r="S11" s="202" t="s">
        <v>59</v>
      </c>
      <c r="T11" s="203"/>
    </row>
    <row r="12" spans="2:20" x14ac:dyDescent="0.25">
      <c r="B12" s="38" t="s">
        <v>60</v>
      </c>
      <c r="C12" s="39"/>
      <c r="D12" s="40">
        <v>19</v>
      </c>
      <c r="E12" s="41" t="s">
        <v>17</v>
      </c>
      <c r="F12" s="42"/>
      <c r="N12" t="s">
        <v>61</v>
      </c>
      <c r="O12" s="10">
        <v>0.45</v>
      </c>
      <c r="P12" s="50"/>
      <c r="Q12" s="50"/>
      <c r="S12" s="51" t="s">
        <v>62</v>
      </c>
      <c r="T12" s="52" t="s">
        <v>63</v>
      </c>
    </row>
    <row r="13" spans="2:20" ht="15.75" thickBot="1" x14ac:dyDescent="0.3">
      <c r="B13" s="38" t="s">
        <v>64</v>
      </c>
      <c r="C13" s="39"/>
      <c r="D13" s="40">
        <v>19</v>
      </c>
      <c r="E13" s="41" t="s">
        <v>17</v>
      </c>
      <c r="F13" s="42"/>
      <c r="S13" s="53">
        <f>(1-(D21/D16)*((D14/100)*(D13/100)))*(D12/100)</f>
        <v>2.0424570912375768E-2</v>
      </c>
      <c r="T13" s="54">
        <f>S13*D16</f>
        <v>0.27131999999999973</v>
      </c>
    </row>
    <row r="14" spans="2:20" ht="15.75" thickBot="1" x14ac:dyDescent="0.3">
      <c r="B14" s="38" t="s">
        <v>65</v>
      </c>
      <c r="C14" s="39"/>
      <c r="D14" s="40">
        <v>39</v>
      </c>
      <c r="E14" s="41" t="s">
        <v>17</v>
      </c>
      <c r="F14" s="42"/>
      <c r="N14" t="s">
        <v>66</v>
      </c>
      <c r="O14" s="55" t="s">
        <v>67</v>
      </c>
    </row>
    <row r="15" spans="2:20" ht="15.75" thickBot="1" x14ac:dyDescent="0.3">
      <c r="B15" s="38" t="s">
        <v>82</v>
      </c>
      <c r="C15" s="39"/>
      <c r="D15" s="40">
        <v>16</v>
      </c>
      <c r="E15" s="41" t="s">
        <v>83</v>
      </c>
      <c r="F15" s="42"/>
      <c r="O15" s="59"/>
    </row>
    <row r="16" spans="2:20" ht="15.75" thickBot="1" x14ac:dyDescent="0.3">
      <c r="B16" s="38" t="s">
        <v>68</v>
      </c>
      <c r="C16" s="39"/>
      <c r="D16" s="56">
        <f>'MURO DE ARRIMO'!B85</f>
        <v>13.284000000000001</v>
      </c>
      <c r="E16" s="57" t="s">
        <v>69</v>
      </c>
      <c r="F16" s="58"/>
      <c r="O16" s="59">
        <f>(T13/0.35)</f>
        <v>0.77519999999999922</v>
      </c>
    </row>
    <row r="17" spans="2:6" ht="18.75" x14ac:dyDescent="0.3">
      <c r="B17" s="60" t="s">
        <v>70</v>
      </c>
      <c r="C17" s="61"/>
      <c r="D17" s="61"/>
      <c r="E17" s="61"/>
      <c r="F17" s="62"/>
    </row>
    <row r="18" spans="2:6" x14ac:dyDescent="0.25">
      <c r="B18" s="63" t="s">
        <v>71</v>
      </c>
      <c r="C18" s="64"/>
      <c r="D18" s="65">
        <f>(D20/D10 )*1400/50</f>
        <v>1.6363752533333333</v>
      </c>
      <c r="E18" s="66" t="s">
        <v>72</v>
      </c>
      <c r="F18" s="67"/>
    </row>
    <row r="19" spans="2:6" x14ac:dyDescent="0.25">
      <c r="B19" s="63" t="s">
        <v>73</v>
      </c>
      <c r="C19" s="64"/>
      <c r="D19" s="65">
        <f xml:space="preserve"> ( (D20/D10 )* (D9*670 ) )/20</f>
        <v>0.97890305333333349</v>
      </c>
      <c r="E19" s="61" t="s">
        <v>74</v>
      </c>
      <c r="F19" s="62"/>
    </row>
    <row r="20" spans="2:6" x14ac:dyDescent="0.25">
      <c r="B20" s="63" t="s">
        <v>75</v>
      </c>
      <c r="C20" s="64"/>
      <c r="D20" s="65">
        <f>D11*D12* ( (2*D13 )+D14 )*(1.07/((D13+1.5 )* (D14+1.5 )/10000 ))*D16/1000000*1.05</f>
        <v>0.26298888000000004</v>
      </c>
      <c r="E20" s="61" t="s">
        <v>76</v>
      </c>
      <c r="F20" s="62"/>
    </row>
    <row r="21" spans="2:6" ht="15.75" thickBot="1" x14ac:dyDescent="0.3">
      <c r="B21" s="68" t="s">
        <v>77</v>
      </c>
      <c r="C21" s="69"/>
      <c r="D21" s="70">
        <f>1/( (D13+1.5 )* (D14+1.5 )/10000 )*D16</f>
        <v>160.00000000000003</v>
      </c>
      <c r="E21" s="71" t="s">
        <v>78</v>
      </c>
      <c r="F21" s="72"/>
    </row>
    <row r="23" spans="2:6" x14ac:dyDescent="0.25">
      <c r="B23" s="73" t="s">
        <v>85</v>
      </c>
    </row>
    <row r="24" spans="2:6" x14ac:dyDescent="0.25">
      <c r="B24" s="73" t="s">
        <v>86</v>
      </c>
      <c r="D24">
        <f>ROUNDUP(('MURO DE ARRIMO'!B6-'MURO DE ARRIMO'!B55/100)/(D14/100),0)</f>
        <v>11</v>
      </c>
      <c r="E24" s="61" t="s">
        <v>89</v>
      </c>
    </row>
    <row r="25" spans="2:6" x14ac:dyDescent="0.25">
      <c r="B25" s="73" t="s">
        <v>87</v>
      </c>
      <c r="D25">
        <v>2.365E-4</v>
      </c>
      <c r="E25" t="s">
        <v>88</v>
      </c>
    </row>
    <row r="26" spans="2:6" x14ac:dyDescent="0.25">
      <c r="B26" s="73" t="s">
        <v>90</v>
      </c>
      <c r="D26">
        <f>D24*D25*'MURO DE ARRIMO'!B5</f>
        <v>1.0015775000000001E-2</v>
      </c>
      <c r="E26" t="s">
        <v>92</v>
      </c>
    </row>
    <row r="27" spans="2:6" x14ac:dyDescent="0.25">
      <c r="B27" s="76" t="s">
        <v>91</v>
      </c>
      <c r="D27" s="74">
        <v>24</v>
      </c>
      <c r="E27" t="s">
        <v>9</v>
      </c>
    </row>
    <row r="28" spans="2:6" x14ac:dyDescent="0.25">
      <c r="D28" s="74"/>
    </row>
    <row r="29" spans="2:6" x14ac:dyDescent="0.25">
      <c r="D29" s="74"/>
    </row>
    <row r="30" spans="2:6" x14ac:dyDescent="0.25">
      <c r="D30" s="74"/>
    </row>
    <row r="31" spans="2:6" ht="18.75" x14ac:dyDescent="0.3">
      <c r="B31" s="75"/>
    </row>
    <row r="32" spans="2:6" x14ac:dyDescent="0.25">
      <c r="D32" s="50"/>
    </row>
    <row r="33" spans="4:4" x14ac:dyDescent="0.25">
      <c r="D33" s="50"/>
    </row>
  </sheetData>
  <mergeCells count="5">
    <mergeCell ref="S5:T5"/>
    <mergeCell ref="O6:P6"/>
    <mergeCell ref="S11:T11"/>
    <mergeCell ref="B3:F3"/>
    <mergeCell ref="O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opLeftCell="A43" workbookViewId="0">
      <selection activeCell="U23" sqref="U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3"/>
  <sheetViews>
    <sheetView topLeftCell="A15" workbookViewId="0">
      <selection activeCell="I44" sqref="I44"/>
    </sheetView>
  </sheetViews>
  <sheetFormatPr defaultColWidth="9.140625" defaultRowHeight="15" x14ac:dyDescent="0.25"/>
  <cols>
    <col min="1" max="1" width="36.140625" style="99" bestFit="1" customWidth="1"/>
    <col min="2" max="2" width="12" style="99" bestFit="1" customWidth="1"/>
    <col min="3" max="3" width="8.140625" style="99" bestFit="1" customWidth="1"/>
    <col min="4" max="4" width="4.5703125" style="99" bestFit="1" customWidth="1"/>
    <col min="5" max="5" width="4" style="99" bestFit="1" customWidth="1"/>
    <col min="6" max="6" width="4.85546875" style="99" bestFit="1" customWidth="1"/>
    <col min="7" max="7" width="24.140625" style="99" bestFit="1" customWidth="1"/>
    <col min="8" max="8" width="9.5703125" style="99" bestFit="1" customWidth="1"/>
    <col min="9" max="9" width="9.140625" style="99"/>
    <col min="10" max="10" width="25.28515625" style="99" bestFit="1" customWidth="1"/>
    <col min="11" max="11" width="9.140625" style="100"/>
    <col min="12" max="12" width="9.140625" style="99"/>
    <col min="13" max="13" width="29.140625" style="101" bestFit="1" customWidth="1"/>
    <col min="14" max="16384" width="9.140625" style="99"/>
  </cols>
  <sheetData>
    <row r="1" spans="1:6" x14ac:dyDescent="0.25">
      <c r="A1" s="207" t="s">
        <v>170</v>
      </c>
      <c r="B1" s="208"/>
      <c r="C1" s="208"/>
      <c r="D1" s="208"/>
      <c r="E1" s="208"/>
      <c r="F1" s="209"/>
    </row>
    <row r="2" spans="1:6" x14ac:dyDescent="0.25">
      <c r="A2" s="210"/>
      <c r="B2" s="211"/>
      <c r="C2" s="211"/>
      <c r="D2" s="211"/>
      <c r="E2" s="211"/>
      <c r="F2" s="212"/>
    </row>
    <row r="3" spans="1:6" x14ac:dyDescent="0.25">
      <c r="A3" s="99" t="s">
        <v>202</v>
      </c>
      <c r="B3" s="99">
        <f>'MURO DE ARRIMO'!B5</f>
        <v>3.85</v>
      </c>
      <c r="C3" s="99" t="s">
        <v>6</v>
      </c>
    </row>
    <row r="4" spans="1:6" x14ac:dyDescent="0.25">
      <c r="A4" s="89" t="s">
        <v>201</v>
      </c>
      <c r="B4" s="99">
        <f>'MURO DE ARRIMO'!B12</f>
        <v>1.75</v>
      </c>
      <c r="C4" s="99" t="s">
        <v>6</v>
      </c>
      <c r="D4" s="99" t="s">
        <v>124</v>
      </c>
      <c r="E4" s="99">
        <f>'MURO DE ARRIMO'!B18</f>
        <v>8</v>
      </c>
      <c r="F4" s="115" t="s">
        <v>125</v>
      </c>
    </row>
    <row r="5" spans="1:6" x14ac:dyDescent="0.25">
      <c r="A5" s="89" t="s">
        <v>128</v>
      </c>
      <c r="B5" s="99">
        <f>'MURO DE ARRIMO'!B13</f>
        <v>14</v>
      </c>
      <c r="C5" s="99" t="s">
        <v>17</v>
      </c>
      <c r="D5" s="99" t="s">
        <v>129</v>
      </c>
      <c r="E5" s="99">
        <v>500</v>
      </c>
      <c r="F5" s="115" t="s">
        <v>125</v>
      </c>
    </row>
    <row r="6" spans="1:6" x14ac:dyDescent="0.25">
      <c r="A6" s="89" t="s">
        <v>132</v>
      </c>
      <c r="B6" s="99">
        <f>'MURO DE ARRIMO'!B16</f>
        <v>2</v>
      </c>
      <c r="C6" s="99" t="s">
        <v>17</v>
      </c>
      <c r="F6" s="115"/>
    </row>
    <row r="7" spans="1:6" x14ac:dyDescent="0.25">
      <c r="A7" s="89" t="s">
        <v>135</v>
      </c>
      <c r="B7" s="99">
        <f>'MURO DE ARRIMO'!B17</f>
        <v>39</v>
      </c>
      <c r="C7" s="99" t="s">
        <v>17</v>
      </c>
      <c r="F7" s="115"/>
    </row>
    <row r="8" spans="1:6" x14ac:dyDescent="0.25">
      <c r="A8" s="89" t="s">
        <v>150</v>
      </c>
      <c r="B8" s="99">
        <f>'MURO DE ARRIMO'!B19</f>
        <v>8</v>
      </c>
      <c r="C8" s="99" t="s">
        <v>23</v>
      </c>
      <c r="F8" s="115"/>
    </row>
    <row r="9" spans="1:6" ht="15.75" thickBot="1" x14ac:dyDescent="0.3">
      <c r="A9" s="116" t="s">
        <v>151</v>
      </c>
      <c r="B9" s="117">
        <f>ROUNDDOWN(((B43/B42)*100)/((B7+1)/2),0)</f>
        <v>0</v>
      </c>
      <c r="C9" s="118" t="s">
        <v>152</v>
      </c>
      <c r="D9" s="118"/>
      <c r="E9" s="118"/>
      <c r="F9" s="119"/>
    </row>
    <row r="10" spans="1:6" ht="15.75" thickBot="1" x14ac:dyDescent="0.3"/>
    <row r="11" spans="1:6" x14ac:dyDescent="0.25">
      <c r="A11" s="120" t="s">
        <v>168</v>
      </c>
      <c r="B11" s="121" t="str">
        <f>IF(B27&lt;30,"Sim","Não")</f>
        <v>Sim</v>
      </c>
    </row>
    <row r="12" spans="1:6" x14ac:dyDescent="0.25">
      <c r="A12" s="104" t="s">
        <v>165</v>
      </c>
      <c r="B12" s="122" t="str">
        <f>IF(B26&lt;30,"Sim","Não")</f>
        <v>Sim</v>
      </c>
    </row>
    <row r="13" spans="1:6" x14ac:dyDescent="0.25">
      <c r="A13" s="104" t="s">
        <v>142</v>
      </c>
      <c r="B13" s="122" t="str">
        <f>IF(B40&lt;0.4,"Sim","Não")</f>
        <v>Sim</v>
      </c>
    </row>
    <row r="14" spans="1:6" x14ac:dyDescent="0.25">
      <c r="A14" s="104" t="s">
        <v>144</v>
      </c>
      <c r="B14" s="122" t="str">
        <f>IF(B47&gt;B46,"Sim","Não")</f>
        <v>Sim</v>
      </c>
    </row>
    <row r="15" spans="1:6" ht="15.75" thickBot="1" x14ac:dyDescent="0.3">
      <c r="A15" s="123" t="s">
        <v>146</v>
      </c>
      <c r="B15" s="124" t="e">
        <f>IF(B53&gt;B52,"Sim","Não")</f>
        <v>#DIV/0!</v>
      </c>
    </row>
    <row r="16" spans="1:6" ht="15.75" thickBot="1" x14ac:dyDescent="0.3"/>
    <row r="17" spans="1:9" x14ac:dyDescent="0.25">
      <c r="A17" s="125" t="s">
        <v>195</v>
      </c>
      <c r="B17" s="127">
        <v>1</v>
      </c>
    </row>
    <row r="18" spans="1:9" x14ac:dyDescent="0.25">
      <c r="A18" s="89" t="s">
        <v>197</v>
      </c>
      <c r="B18" s="115">
        <v>0.5</v>
      </c>
    </row>
    <row r="19" spans="1:9" ht="15.75" thickBot="1" x14ac:dyDescent="0.3">
      <c r="A19" s="116" t="s">
        <v>196</v>
      </c>
      <c r="B19" s="119">
        <v>0</v>
      </c>
    </row>
    <row r="20" spans="1:9" ht="15.75" thickBot="1" x14ac:dyDescent="0.3">
      <c r="I20" s="100"/>
    </row>
    <row r="21" spans="1:9" x14ac:dyDescent="0.25">
      <c r="A21" s="125" t="s">
        <v>156</v>
      </c>
      <c r="B21" s="126">
        <f>'MURO DE ARRIMO'!B6</f>
        <v>4.25</v>
      </c>
      <c r="C21" s="127"/>
      <c r="I21" s="100"/>
    </row>
    <row r="22" spans="1:9" x14ac:dyDescent="0.25">
      <c r="A22" s="89" t="s">
        <v>157</v>
      </c>
      <c r="B22" s="99">
        <f>B21*B39*10</f>
        <v>2159.5915021271012</v>
      </c>
      <c r="C22" s="115" t="s">
        <v>158</v>
      </c>
      <c r="I22" s="100"/>
    </row>
    <row r="23" spans="1:9" ht="15.75" thickBot="1" x14ac:dyDescent="0.3">
      <c r="A23" s="116" t="s">
        <v>159</v>
      </c>
      <c r="B23" s="118">
        <f>B21*B46</f>
        <v>6.7610783308737012</v>
      </c>
      <c r="C23" s="119" t="s">
        <v>160</v>
      </c>
      <c r="I23" s="100"/>
    </row>
    <row r="24" spans="1:9" x14ac:dyDescent="0.25">
      <c r="I24" s="100"/>
    </row>
    <row r="25" spans="1:9" ht="15.75" thickBot="1" x14ac:dyDescent="0.3">
      <c r="I25" s="100"/>
    </row>
    <row r="26" spans="1:9" x14ac:dyDescent="0.25">
      <c r="A26" s="125" t="s">
        <v>166</v>
      </c>
      <c r="B26" s="128">
        <f>B4*100/B5*2</f>
        <v>25</v>
      </c>
      <c r="C26" s="127" t="s">
        <v>115</v>
      </c>
      <c r="I26" s="100"/>
    </row>
    <row r="27" spans="1:9" x14ac:dyDescent="0.25">
      <c r="A27" s="89" t="s">
        <v>167</v>
      </c>
      <c r="B27" s="90">
        <f>B4*100/'MURO DE ARRIMO'!B54*2</f>
        <v>11.666666666666666</v>
      </c>
      <c r="C27" s="115" t="s">
        <v>115</v>
      </c>
      <c r="I27" s="100"/>
    </row>
    <row r="28" spans="1:9" x14ac:dyDescent="0.25">
      <c r="A28" s="89" t="s">
        <v>121</v>
      </c>
      <c r="B28" s="99">
        <f>B7*B6*2+(B5-2*B6)*B6*3</f>
        <v>216</v>
      </c>
      <c r="C28" s="115" t="s">
        <v>19</v>
      </c>
      <c r="I28" s="100"/>
    </row>
    <row r="29" spans="1:9" x14ac:dyDescent="0.25">
      <c r="A29" s="89" t="s">
        <v>126</v>
      </c>
      <c r="B29" s="99">
        <f>B28*100/(B7+1)</f>
        <v>540</v>
      </c>
      <c r="C29" s="115" t="s">
        <v>19</v>
      </c>
      <c r="I29" s="100"/>
    </row>
    <row r="30" spans="1:9" x14ac:dyDescent="0.25">
      <c r="A30" s="89" t="s">
        <v>130</v>
      </c>
      <c r="B30" s="99">
        <f>E4/100/2</f>
        <v>0.04</v>
      </c>
      <c r="C30" s="115" t="s">
        <v>131</v>
      </c>
      <c r="I30" s="100"/>
    </row>
    <row r="31" spans="1:9" ht="15.75" thickBot="1" x14ac:dyDescent="0.3">
      <c r="A31" s="116" t="s">
        <v>133</v>
      </c>
      <c r="B31" s="118">
        <f>E5/100/2</f>
        <v>2.5</v>
      </c>
      <c r="C31" s="119" t="s">
        <v>131</v>
      </c>
    </row>
    <row r="32" spans="1:9" ht="15.75" thickBot="1" x14ac:dyDescent="0.3">
      <c r="E32" s="100"/>
    </row>
    <row r="33" spans="1:7" x14ac:dyDescent="0.25">
      <c r="A33" s="120" t="s">
        <v>171</v>
      </c>
      <c r="B33" s="129"/>
      <c r="C33" s="121"/>
      <c r="E33" s="100"/>
    </row>
    <row r="34" spans="1:7" x14ac:dyDescent="0.25">
      <c r="A34" s="89" t="s">
        <v>136</v>
      </c>
      <c r="B34" s="99">
        <f>VLOOKUP('MURO DE ARRIMO'!B3,A56:D63,2,FALSE)*VLOOKUP('MURO DE ARRIMO'!B3,A56:D63,3,FALSE)*B3</f>
        <v>4.3312499999999998</v>
      </c>
      <c r="C34" s="115" t="s">
        <v>137</v>
      </c>
      <c r="E34" s="100"/>
    </row>
    <row r="35" spans="1:7" x14ac:dyDescent="0.25">
      <c r="A35" s="89" t="s">
        <v>138</v>
      </c>
      <c r="B35" s="90">
        <f>VLOOKUP('MURO DE ARRIMO'!B3,A56:D63,4,FALSE)*VLOOKUP('MURO DE ARRIMO'!B3,A56:D63,3,FALSE)^0.5</f>
        <v>1.9595917942265424</v>
      </c>
      <c r="C35" s="115" t="s">
        <v>137</v>
      </c>
      <c r="E35" s="100"/>
    </row>
    <row r="36" spans="1:7" ht="15.75" thickBot="1" x14ac:dyDescent="0.3">
      <c r="A36" s="116" t="s">
        <v>139</v>
      </c>
      <c r="B36" s="130">
        <f>(B34-B35)/B34*B4</f>
        <v>0.95824573970644744</v>
      </c>
      <c r="C36" s="119" t="s">
        <v>6</v>
      </c>
      <c r="E36" s="100"/>
      <c r="G36" s="101"/>
    </row>
    <row r="37" spans="1:7" ht="15.75" thickBot="1" x14ac:dyDescent="0.3">
      <c r="E37" s="100"/>
      <c r="G37" s="101"/>
    </row>
    <row r="38" spans="1:7" x14ac:dyDescent="0.25">
      <c r="A38" s="120" t="s">
        <v>140</v>
      </c>
      <c r="B38" s="129"/>
      <c r="C38" s="121"/>
      <c r="E38" s="100"/>
      <c r="G38" s="101"/>
    </row>
    <row r="39" spans="1:7" x14ac:dyDescent="0.25">
      <c r="A39" s="89" t="s">
        <v>162</v>
      </c>
      <c r="B39" s="102">
        <f>(B34-B35)*B36^2/6*1.4*100</f>
        <v>50.813917697108266</v>
      </c>
      <c r="C39" s="115" t="s">
        <v>141</v>
      </c>
      <c r="E39" s="100"/>
      <c r="G39" s="101"/>
    </row>
    <row r="40" spans="1:7" x14ac:dyDescent="0.25">
      <c r="A40" s="89" t="s">
        <v>143</v>
      </c>
      <c r="B40" s="100">
        <f>B39/(B5/2)^2/100/B30</f>
        <v>0.25925468212810338</v>
      </c>
      <c r="C40" s="115"/>
      <c r="E40" s="100"/>
      <c r="G40" s="101"/>
    </row>
    <row r="41" spans="1:7" x14ac:dyDescent="0.25">
      <c r="A41" s="89" t="s">
        <v>145</v>
      </c>
      <c r="B41" s="100">
        <f>1-(1-2*B40)^0.5</f>
        <v>0.30610473719458697</v>
      </c>
      <c r="C41" s="115"/>
      <c r="E41" s="100"/>
      <c r="G41" s="101"/>
    </row>
    <row r="42" spans="1:7" x14ac:dyDescent="0.25">
      <c r="A42" s="89" t="s">
        <v>147</v>
      </c>
      <c r="B42" s="99">
        <f>B41*(B5/2)*100*B30/B31</f>
        <v>3.4283730565793737</v>
      </c>
      <c r="C42" s="115" t="s">
        <v>148</v>
      </c>
      <c r="E42" s="100"/>
      <c r="G42" s="101"/>
    </row>
    <row r="43" spans="1:7" ht="15.75" thickBot="1" x14ac:dyDescent="0.3">
      <c r="A43" s="116" t="s">
        <v>149</v>
      </c>
      <c r="B43" s="130">
        <f>(B8/10)^2*3.141592/4</f>
        <v>0.50265472000000011</v>
      </c>
      <c r="C43" s="119" t="s">
        <v>19</v>
      </c>
      <c r="E43" s="100"/>
      <c r="G43" s="101"/>
    </row>
    <row r="44" spans="1:7" ht="15.75" thickBot="1" x14ac:dyDescent="0.3">
      <c r="E44" s="100"/>
      <c r="G44" s="101"/>
    </row>
    <row r="45" spans="1:7" x14ac:dyDescent="0.25">
      <c r="A45" s="120" t="s">
        <v>153</v>
      </c>
      <c r="B45" s="129"/>
      <c r="C45" s="121"/>
      <c r="E45" s="100"/>
      <c r="G45" s="101"/>
    </row>
    <row r="46" spans="1:7" x14ac:dyDescent="0.25">
      <c r="A46" s="89" t="s">
        <v>163</v>
      </c>
      <c r="B46" s="90">
        <f>(B34-B35)*B36/2*1.4</f>
        <v>1.5908419602055768</v>
      </c>
      <c r="C46" s="115" t="s">
        <v>154</v>
      </c>
      <c r="E46" s="100"/>
      <c r="G46" s="101"/>
    </row>
    <row r="47" spans="1:7" ht="15.75" thickBot="1" x14ac:dyDescent="0.3">
      <c r="A47" s="116" t="s">
        <v>155</v>
      </c>
      <c r="B47" s="130">
        <f>MIN(0.35+17.5*B42/100/(B5/2),0.7)/100*B29</f>
        <v>2.3528303626382154</v>
      </c>
      <c r="C47" s="119" t="s">
        <v>154</v>
      </c>
      <c r="E47" s="100"/>
      <c r="G47" s="101"/>
    </row>
    <row r="48" spans="1:7" ht="15.75" thickBot="1" x14ac:dyDescent="0.3"/>
    <row r="49" spans="1:4" x14ac:dyDescent="0.25">
      <c r="A49" s="120" t="s">
        <v>116</v>
      </c>
      <c r="B49" s="129"/>
      <c r="C49" s="121"/>
    </row>
    <row r="50" spans="1:4" x14ac:dyDescent="0.25">
      <c r="A50" s="89" t="s">
        <v>122</v>
      </c>
      <c r="B50" s="100">
        <f>B29/100^2*2.2*B4</f>
        <v>0.2079</v>
      </c>
      <c r="C50" s="115" t="s">
        <v>123</v>
      </c>
    </row>
    <row r="51" spans="1:4" x14ac:dyDescent="0.25">
      <c r="A51" s="89" t="s">
        <v>127</v>
      </c>
      <c r="B51" s="100" t="e">
        <f>((B5*100)-B29)/B9*B4*2.5/100^2</f>
        <v>#DIV/0!</v>
      </c>
      <c r="C51" s="115" t="s">
        <v>123</v>
      </c>
    </row>
    <row r="52" spans="1:4" x14ac:dyDescent="0.25">
      <c r="A52" s="89" t="s">
        <v>164</v>
      </c>
      <c r="B52" s="100" t="e">
        <f>SUM(B50:B51)*1.4</f>
        <v>#DIV/0!</v>
      </c>
      <c r="C52" s="115" t="s">
        <v>123</v>
      </c>
    </row>
    <row r="53" spans="1:4" ht="15.75" thickBot="1" x14ac:dyDescent="0.3">
      <c r="A53" s="116" t="s">
        <v>134</v>
      </c>
      <c r="B53" s="131">
        <f>B30*B29*(1-(B26/40)^3)</f>
        <v>16.326562500000001</v>
      </c>
      <c r="C53" s="119" t="s">
        <v>123</v>
      </c>
    </row>
    <row r="54" spans="1:4" ht="15.75" thickBot="1" x14ac:dyDescent="0.3"/>
    <row r="55" spans="1:4" x14ac:dyDescent="0.25">
      <c r="A55" s="132" t="s">
        <v>117</v>
      </c>
      <c r="B55" s="126" t="s">
        <v>118</v>
      </c>
      <c r="C55" s="126" t="s">
        <v>119</v>
      </c>
      <c r="D55" s="127" t="s">
        <v>120</v>
      </c>
    </row>
    <row r="56" spans="1:4" x14ac:dyDescent="0.25">
      <c r="A56" s="133" t="s">
        <v>98</v>
      </c>
      <c r="B56" s="99">
        <v>0.85</v>
      </c>
      <c r="C56" s="99">
        <v>1.3</v>
      </c>
      <c r="D56" s="115">
        <v>0.8</v>
      </c>
    </row>
    <row r="57" spans="1:4" x14ac:dyDescent="0.25">
      <c r="A57" s="133" t="s">
        <v>99</v>
      </c>
      <c r="B57" s="99">
        <v>0.75</v>
      </c>
      <c r="C57" s="99">
        <v>1.5</v>
      </c>
      <c r="D57" s="115">
        <v>1.6</v>
      </c>
    </row>
    <row r="58" spans="1:4" x14ac:dyDescent="0.25">
      <c r="A58" s="133" t="s">
        <v>100</v>
      </c>
      <c r="B58" s="99">
        <v>0.65</v>
      </c>
      <c r="C58" s="99">
        <v>1.7</v>
      </c>
      <c r="D58" s="115">
        <v>4.8</v>
      </c>
    </row>
    <row r="59" spans="1:4" x14ac:dyDescent="0.25">
      <c r="A59" s="133" t="s">
        <v>101</v>
      </c>
      <c r="B59" s="99">
        <v>0.55000000000000004</v>
      </c>
      <c r="C59" s="99">
        <v>1.9</v>
      </c>
      <c r="D59" s="115">
        <v>9.6</v>
      </c>
    </row>
    <row r="60" spans="1:4" x14ac:dyDescent="0.25">
      <c r="A60" s="133" t="s">
        <v>102</v>
      </c>
      <c r="B60" s="99">
        <v>0.6</v>
      </c>
      <c r="C60" s="99">
        <v>1.7</v>
      </c>
      <c r="D60" s="115">
        <v>0</v>
      </c>
    </row>
    <row r="61" spans="1:4" x14ac:dyDescent="0.25">
      <c r="A61" s="133" t="s">
        <v>103</v>
      </c>
      <c r="B61" s="99">
        <v>0.55000000000000004</v>
      </c>
      <c r="C61" s="99">
        <v>1.9</v>
      </c>
      <c r="D61" s="115">
        <v>0</v>
      </c>
    </row>
    <row r="62" spans="1:4" x14ac:dyDescent="0.25">
      <c r="A62" s="133" t="s">
        <v>104</v>
      </c>
      <c r="B62" s="99">
        <v>0.5</v>
      </c>
      <c r="C62" s="99">
        <v>2</v>
      </c>
      <c r="D62" s="115">
        <v>0</v>
      </c>
    </row>
    <row r="63" spans="1:4" ht="15.75" thickBot="1" x14ac:dyDescent="0.3">
      <c r="A63" s="134" t="s">
        <v>105</v>
      </c>
      <c r="B63" s="118">
        <v>0.45</v>
      </c>
      <c r="C63" s="118">
        <v>2.1</v>
      </c>
      <c r="D63" s="119">
        <v>0</v>
      </c>
    </row>
  </sheetData>
  <mergeCells count="1">
    <mergeCell ref="A1:F2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E5910-E374-4E80-A777-ECAA87A79CC3}">
  <dimension ref="A1:K49"/>
  <sheetViews>
    <sheetView zoomScale="126" zoomScaleNormal="126" workbookViewId="0">
      <selection activeCell="G16" sqref="G16"/>
    </sheetView>
  </sheetViews>
  <sheetFormatPr defaultColWidth="9.140625" defaultRowHeight="15" x14ac:dyDescent="0.25"/>
  <cols>
    <col min="1" max="1" width="9.140625" style="143"/>
    <col min="2" max="2" width="40.42578125" style="144" bestFit="1" customWidth="1"/>
    <col min="3" max="3" width="11.85546875" style="144" bestFit="1" customWidth="1"/>
    <col min="4" max="4" width="9.28515625" style="144" bestFit="1" customWidth="1"/>
    <col min="5" max="5" width="9.42578125" style="144" customWidth="1"/>
    <col min="6" max="7" width="9.140625" style="144"/>
    <col min="8" max="8" width="31" style="144" bestFit="1" customWidth="1"/>
    <col min="9" max="9" width="9.140625" style="144"/>
    <col min="10" max="10" width="36.85546875" style="144" bestFit="1" customWidth="1"/>
    <col min="11" max="11" width="5.85546875" style="144" bestFit="1" customWidth="1"/>
    <col min="12" max="16384" width="9.140625" style="144"/>
  </cols>
  <sheetData>
    <row r="1" spans="2:11" ht="30.6" customHeight="1" x14ac:dyDescent="0.25">
      <c r="B1" s="215" t="s">
        <v>243</v>
      </c>
      <c r="C1" s="215"/>
      <c r="D1" s="215"/>
      <c r="E1" s="215"/>
      <c r="F1" s="215"/>
      <c r="G1" s="215"/>
      <c r="H1" s="139"/>
    </row>
    <row r="2" spans="2:11" x14ac:dyDescent="0.25">
      <c r="B2" t="s">
        <v>244</v>
      </c>
      <c r="C2" s="145">
        <f>'MURO DE ARRIMO'!B13-5</f>
        <v>9</v>
      </c>
      <c r="D2" s="146" t="s">
        <v>17</v>
      </c>
      <c r="E2" s="143"/>
      <c r="F2" s="143"/>
      <c r="G2" s="143"/>
      <c r="H2" s="143"/>
      <c r="J2" s="216" t="s">
        <v>192</v>
      </c>
      <c r="K2" s="216"/>
    </row>
    <row r="3" spans="2:11" x14ac:dyDescent="0.25">
      <c r="B3" t="s">
        <v>245</v>
      </c>
      <c r="C3" s="145">
        <v>100</v>
      </c>
      <c r="D3" s="146" t="s">
        <v>17</v>
      </c>
      <c r="E3" s="143"/>
      <c r="F3" s="143"/>
      <c r="G3" s="143"/>
      <c r="H3" s="143"/>
      <c r="J3" t="s">
        <v>184</v>
      </c>
      <c r="K3" s="145">
        <v>2.4</v>
      </c>
    </row>
    <row r="4" spans="2:11" ht="12" customHeight="1" x14ac:dyDescent="0.25">
      <c r="B4" t="s">
        <v>246</v>
      </c>
      <c r="C4" s="145">
        <v>50</v>
      </c>
      <c r="D4" s="146"/>
      <c r="E4" s="143"/>
      <c r="F4" s="143"/>
      <c r="G4" s="143"/>
      <c r="H4" s="143"/>
      <c r="J4" t="s">
        <v>169</v>
      </c>
      <c r="K4" s="145">
        <v>19</v>
      </c>
    </row>
    <row r="5" spans="2:11" ht="12.6" customHeight="1" x14ac:dyDescent="0.25">
      <c r="B5" t="s">
        <v>247</v>
      </c>
      <c r="C5" s="145">
        <f>'MURO DE ARRIMO'!B18</f>
        <v>8</v>
      </c>
      <c r="D5" s="146"/>
      <c r="E5" s="143"/>
      <c r="F5" s="143"/>
      <c r="G5" s="143"/>
      <c r="H5" s="143"/>
      <c r="J5" t="s">
        <v>248</v>
      </c>
      <c r="K5" s="147">
        <v>0.5</v>
      </c>
    </row>
    <row r="6" spans="2:11" x14ac:dyDescent="0.25">
      <c r="B6" t="s">
        <v>203</v>
      </c>
      <c r="C6" s="145">
        <v>0.8</v>
      </c>
      <c r="D6" s="148" t="s">
        <v>204</v>
      </c>
      <c r="E6" s="149">
        <f>C5*C6</f>
        <v>6.4</v>
      </c>
      <c r="F6" s="149" t="s">
        <v>125</v>
      </c>
      <c r="G6" s="143"/>
      <c r="H6" s="143"/>
      <c r="J6" t="s">
        <v>250</v>
      </c>
      <c r="K6" s="77" t="e">
        <f>MAX('TABELAS LÍBANO'!#REF!)</f>
        <v>#REF!</v>
      </c>
    </row>
    <row r="7" spans="2:11" x14ac:dyDescent="0.25">
      <c r="B7" t="s">
        <v>205</v>
      </c>
      <c r="C7" s="145">
        <v>0.8</v>
      </c>
      <c r="D7" s="146"/>
      <c r="E7" s="143"/>
      <c r="F7" s="143"/>
      <c r="G7" s="143"/>
      <c r="H7" s="143"/>
      <c r="J7" t="s">
        <v>132</v>
      </c>
      <c r="K7" s="145">
        <v>2</v>
      </c>
    </row>
    <row r="8" spans="2:11" ht="13.9" customHeight="1" x14ac:dyDescent="0.25">
      <c r="B8" t="s">
        <v>206</v>
      </c>
      <c r="C8" s="145">
        <f>'MURO DE ARRIMO'!B14</f>
        <v>0.5</v>
      </c>
      <c r="D8" s="148" t="s">
        <v>207</v>
      </c>
      <c r="E8" s="149">
        <f>E6*(1+C7*C8)</f>
        <v>8.9599999999999991</v>
      </c>
      <c r="F8" s="149" t="s">
        <v>125</v>
      </c>
      <c r="G8" s="143"/>
      <c r="H8" s="143"/>
      <c r="J8" t="s">
        <v>135</v>
      </c>
      <c r="K8" s="145">
        <v>39</v>
      </c>
    </row>
    <row r="9" spans="2:11" x14ac:dyDescent="0.25">
      <c r="B9" t="s">
        <v>208</v>
      </c>
      <c r="C9" s="145">
        <f>'MURO DE ARRIMO'!B15</f>
        <v>23.555733200999999</v>
      </c>
      <c r="D9" s="146" t="s">
        <v>209</v>
      </c>
      <c r="E9" s="143"/>
      <c r="F9" s="1"/>
      <c r="G9" s="143"/>
      <c r="H9" s="143"/>
      <c r="J9" t="s">
        <v>189</v>
      </c>
      <c r="K9" s="145">
        <v>8</v>
      </c>
    </row>
    <row r="10" spans="2:11" x14ac:dyDescent="0.25">
      <c r="B10" s="143"/>
      <c r="C10" s="143"/>
      <c r="D10" s="143"/>
      <c r="E10" s="143"/>
      <c r="F10" s="143"/>
      <c r="G10" s="143"/>
      <c r="H10" s="143"/>
      <c r="J10" s="99" t="s">
        <v>150</v>
      </c>
      <c r="K10" s="145">
        <v>10</v>
      </c>
    </row>
    <row r="11" spans="2:11" x14ac:dyDescent="0.25">
      <c r="B11" s="170" t="s">
        <v>210</v>
      </c>
      <c r="C11" s="170"/>
      <c r="D11" s="170"/>
      <c r="E11" s="103"/>
      <c r="F11" s="103"/>
      <c r="G11" s="150"/>
      <c r="H11" s="150"/>
      <c r="J11" s="151" t="s">
        <v>151</v>
      </c>
      <c r="K11" s="135">
        <f>'FECHAMENTO EM ALVENARIA'!N39</f>
        <v>0</v>
      </c>
    </row>
    <row r="12" spans="2:11" x14ac:dyDescent="0.25">
      <c r="B12" s="171" t="s">
        <v>211</v>
      </c>
      <c r="C12" s="172">
        <f>E8/10*0.7/2</f>
        <v>0.31359999999999993</v>
      </c>
      <c r="D12" s="171" t="s">
        <v>212</v>
      </c>
      <c r="E12" s="152"/>
      <c r="F12" s="150"/>
      <c r="G12" s="150"/>
      <c r="H12" s="150"/>
    </row>
    <row r="13" spans="2:11" x14ac:dyDescent="0.25">
      <c r="B13" s="171" t="s">
        <v>213</v>
      </c>
      <c r="C13" s="172">
        <f>C4/1.15</f>
        <v>43.478260869565219</v>
      </c>
      <c r="D13" s="171" t="s">
        <v>212</v>
      </c>
      <c r="E13" s="150"/>
      <c r="F13" s="150"/>
      <c r="G13" s="150"/>
      <c r="H13" s="150"/>
    </row>
    <row r="14" spans="2:11" x14ac:dyDescent="0.25">
      <c r="B14" s="171" t="s">
        <v>214</v>
      </c>
      <c r="C14" s="172">
        <f>1.4*C9*100</f>
        <v>3297.8026481399993</v>
      </c>
      <c r="D14" s="171" t="s">
        <v>215</v>
      </c>
      <c r="E14" s="150"/>
      <c r="F14" s="150"/>
      <c r="G14" s="150"/>
      <c r="H14" s="150"/>
    </row>
    <row r="15" spans="2:11" x14ac:dyDescent="0.25">
      <c r="B15" s="103" t="s">
        <v>216</v>
      </c>
      <c r="C15" s="103"/>
      <c r="D15" s="103"/>
      <c r="E15" s="103"/>
      <c r="F15" s="103"/>
      <c r="G15" s="150"/>
      <c r="H15" s="150"/>
    </row>
    <row r="16" spans="2:11" x14ac:dyDescent="0.25">
      <c r="B16" s="150" t="s">
        <v>217</v>
      </c>
      <c r="C16" s="172">
        <f>C13/21000</f>
        <v>2.070393374741201E-3</v>
      </c>
      <c r="D16" s="150"/>
      <c r="E16" s="150"/>
      <c r="F16" s="150"/>
      <c r="G16" s="150"/>
      <c r="H16" s="150"/>
    </row>
    <row r="17" spans="2:9" x14ac:dyDescent="0.25">
      <c r="B17" s="103" t="s">
        <v>218</v>
      </c>
      <c r="C17" s="103"/>
      <c r="D17" s="103"/>
      <c r="E17" s="103"/>
      <c r="F17" s="103"/>
      <c r="G17" s="150"/>
      <c r="H17" s="150"/>
    </row>
    <row r="18" spans="2:9" x14ac:dyDescent="0.25">
      <c r="B18" s="153" t="s">
        <v>219</v>
      </c>
      <c r="C18" s="154">
        <f>0.23*C2</f>
        <v>2.0700000000000003</v>
      </c>
      <c r="D18" s="153" t="s">
        <v>17</v>
      </c>
      <c r="E18" s="155"/>
      <c r="F18" s="155"/>
      <c r="G18" s="155"/>
      <c r="H18" s="155"/>
      <c r="I18" s="156"/>
    </row>
    <row r="19" spans="2:9" x14ac:dyDescent="0.25">
      <c r="B19" s="153" t="s">
        <v>220</v>
      </c>
      <c r="C19" s="154">
        <f>(0.003/(0.003+C16))*C2</f>
        <v>5.3250306247447945</v>
      </c>
      <c r="D19" s="153" t="s">
        <v>17</v>
      </c>
      <c r="E19" s="155"/>
      <c r="F19" s="155"/>
      <c r="G19" s="155"/>
      <c r="H19" s="155"/>
      <c r="I19" s="156"/>
    </row>
    <row r="20" spans="2:9" ht="19.5" x14ac:dyDescent="0.35">
      <c r="B20" s="213" t="s">
        <v>221</v>
      </c>
      <c r="C20" s="213"/>
      <c r="D20" s="213"/>
      <c r="E20" s="213"/>
      <c r="F20" s="213"/>
      <c r="G20" s="150"/>
      <c r="H20" s="150"/>
    </row>
    <row r="21" spans="2:9" x14ac:dyDescent="0.25">
      <c r="B21" s="172">
        <v>1</v>
      </c>
      <c r="C21" s="172" t="s">
        <v>222</v>
      </c>
      <c r="D21" s="172">
        <f>2.5*C2</f>
        <v>22.5</v>
      </c>
      <c r="E21" s="172" t="s">
        <v>223</v>
      </c>
      <c r="F21" s="172">
        <f>C14/(0.32*C3*C12)</f>
        <v>328.62351005859375</v>
      </c>
      <c r="G21" s="172" t="s">
        <v>224</v>
      </c>
      <c r="H21" s="150"/>
    </row>
    <row r="22" spans="2:9" x14ac:dyDescent="0.25">
      <c r="B22" s="150" t="s">
        <v>225</v>
      </c>
      <c r="C22" s="173">
        <f>D21^2-4*B21*F21</f>
        <v>-808.24404023437501</v>
      </c>
      <c r="D22" s="150"/>
      <c r="E22" s="155" t="str">
        <f>IF(C22&lt;0,"**IMPOSSÍVEL DIMENSIONAR!**","")</f>
        <v>**IMPOSSÍVEL DIMENSIONAR!**</v>
      </c>
      <c r="F22" s="150"/>
      <c r="G22" s="150"/>
      <c r="H22" s="150"/>
    </row>
    <row r="23" spans="2:9" x14ac:dyDescent="0.25">
      <c r="B23" s="150" t="s">
        <v>226</v>
      </c>
      <c r="C23" s="174" t="e">
        <f>(D21-SQRT(C22))/2</f>
        <v>#NUM!</v>
      </c>
      <c r="D23" s="150" t="s">
        <v>17</v>
      </c>
      <c r="E23" s="150"/>
      <c r="F23" s="150"/>
      <c r="G23" s="150"/>
      <c r="H23" s="150"/>
    </row>
    <row r="24" spans="2:9" x14ac:dyDescent="0.25">
      <c r="B24" s="151" t="s">
        <v>227</v>
      </c>
      <c r="C24" s="106" t="e">
        <f>C23/C2</f>
        <v>#NUM!</v>
      </c>
      <c r="D24" s="155" t="e">
        <f>IF(C24&gt;0.45,"**REDIMENSIONAR!","")</f>
        <v>#NUM!</v>
      </c>
      <c r="E24" s="150"/>
      <c r="F24" s="150"/>
      <c r="G24" s="150"/>
      <c r="H24" s="150"/>
    </row>
    <row r="25" spans="2:9" ht="19.5" x14ac:dyDescent="0.35">
      <c r="B25" s="213" t="s">
        <v>228</v>
      </c>
      <c r="C25" s="213"/>
      <c r="D25" s="213"/>
      <c r="E25" s="213"/>
      <c r="F25" s="213"/>
      <c r="G25" s="213"/>
      <c r="H25" s="150"/>
    </row>
    <row r="26" spans="2:9" x14ac:dyDescent="0.25">
      <c r="B26" s="158" t="e">
        <f>IF(C23&lt;C18,"DOMÍNIO2","")</f>
        <v>#NUM!</v>
      </c>
      <c r="C26" s="158"/>
      <c r="D26" s="150"/>
      <c r="E26" s="150"/>
      <c r="F26" s="150"/>
      <c r="G26" s="150"/>
      <c r="H26" s="150"/>
    </row>
    <row r="27" spans="2:9" x14ac:dyDescent="0.25">
      <c r="B27" s="158" t="e">
        <f>IF(AND((C23&gt;C18),(C23&lt;C19)),"DOMÍNIO3","")</f>
        <v>#NUM!</v>
      </c>
      <c r="C27" s="158"/>
      <c r="D27" s="150"/>
      <c r="E27" s="150"/>
      <c r="F27" s="150"/>
      <c r="G27" s="150"/>
      <c r="H27" s="150"/>
    </row>
    <row r="28" spans="2:9" x14ac:dyDescent="0.25">
      <c r="B28" s="158" t="e">
        <f>IF(C23&gt;C19,"DOMÍNIO4","")</f>
        <v>#NUM!</v>
      </c>
      <c r="C28" s="158"/>
      <c r="D28" s="150"/>
      <c r="E28" s="150"/>
      <c r="F28" s="150"/>
      <c r="G28" s="150"/>
      <c r="H28" s="150"/>
    </row>
    <row r="29" spans="2:9" x14ac:dyDescent="0.25">
      <c r="B29" s="217"/>
      <c r="C29" s="217"/>
      <c r="D29" s="217"/>
      <c r="E29" s="217"/>
      <c r="F29" s="217"/>
      <c r="G29" s="217"/>
      <c r="H29" s="150"/>
    </row>
    <row r="30" spans="2:9" x14ac:dyDescent="0.25">
      <c r="B30" s="218" t="s">
        <v>229</v>
      </c>
      <c r="C30" s="218"/>
      <c r="D30" s="218"/>
      <c r="E30" s="218"/>
      <c r="F30" s="218"/>
      <c r="G30" s="218"/>
      <c r="H30" s="150"/>
    </row>
    <row r="31" spans="2:9" x14ac:dyDescent="0.25">
      <c r="B31" s="150" t="s">
        <v>230</v>
      </c>
      <c r="C31" s="150" t="e">
        <f>IF(OR(B26="DOMÍNIO2",B27="DOMÍNIO3"),"fyd","Es*EpsS")</f>
        <v>#NUM!</v>
      </c>
      <c r="D31" s="150" t="e">
        <f>IF(C31="fyd","=","")</f>
        <v>#NUM!</v>
      </c>
      <c r="E31" s="159" t="e">
        <f>IF(C31="fyd",C13,"")</f>
        <v>#NUM!</v>
      </c>
      <c r="F31" s="150"/>
      <c r="G31" s="150"/>
      <c r="H31" s="150"/>
    </row>
    <row r="32" spans="2:9" x14ac:dyDescent="0.25">
      <c r="B32" s="160" t="e">
        <f>IF(C31="Es*EpsS","Cálculo da deformação no aço pois é Domínio 4!","")</f>
        <v>#NUM!</v>
      </c>
      <c r="C32" s="150"/>
      <c r="D32" s="150"/>
      <c r="E32" s="150"/>
      <c r="F32" s="150"/>
      <c r="G32" s="150"/>
      <c r="H32" s="150"/>
    </row>
    <row r="33" spans="2:8" x14ac:dyDescent="0.25">
      <c r="B33" s="150"/>
      <c r="C33" s="150"/>
      <c r="D33" s="150"/>
      <c r="E33" s="150"/>
      <c r="F33" s="150"/>
      <c r="G33" s="150"/>
      <c r="H33" s="150"/>
    </row>
    <row r="34" spans="2:8" x14ac:dyDescent="0.25">
      <c r="B34" s="150" t="e">
        <f>IF(C31="Es*EpsS","EpsS =","")</f>
        <v>#NUM!</v>
      </c>
      <c r="C34" s="140" t="e">
        <f>IF(C31="Es*EpsS",0.003*(C2-C23)/C23,"")</f>
        <v>#NUM!</v>
      </c>
      <c r="D34" s="150"/>
      <c r="E34" s="150"/>
      <c r="F34" s="150"/>
      <c r="G34" s="150"/>
      <c r="H34" s="150"/>
    </row>
    <row r="35" spans="2:8" x14ac:dyDescent="0.25">
      <c r="B35" s="150"/>
      <c r="C35" s="150"/>
      <c r="D35" s="150"/>
      <c r="E35" s="150"/>
      <c r="F35" s="150"/>
      <c r="G35" s="150"/>
      <c r="H35" s="150"/>
    </row>
    <row r="36" spans="2:8" x14ac:dyDescent="0.25">
      <c r="B36" s="157" t="s">
        <v>231</v>
      </c>
      <c r="C36" s="161" t="e">
        <f>IF(C31="Es*EpsS",C34*21000,E31)</f>
        <v>#NUM!</v>
      </c>
      <c r="D36" s="157" t="s">
        <v>212</v>
      </c>
      <c r="E36" s="150"/>
      <c r="F36" s="150"/>
      <c r="G36" s="150"/>
      <c r="H36" s="150"/>
    </row>
    <row r="37" spans="2:8" x14ac:dyDescent="0.25">
      <c r="B37" s="150"/>
      <c r="C37" s="150"/>
      <c r="D37" s="150"/>
      <c r="E37" s="150"/>
      <c r="F37" s="150"/>
      <c r="G37" s="150"/>
      <c r="H37" s="150"/>
    </row>
    <row r="38" spans="2:8" x14ac:dyDescent="0.25">
      <c r="B38" s="150" t="e">
        <f>IF(C31="Es*EpsS","Obs: εs =EpsS","")</f>
        <v>#NUM!</v>
      </c>
      <c r="C38" s="150"/>
      <c r="D38" s="150"/>
      <c r="E38" s="150"/>
      <c r="F38" s="150"/>
      <c r="G38" s="150"/>
      <c r="H38" s="150"/>
    </row>
    <row r="39" spans="2:8" x14ac:dyDescent="0.25">
      <c r="B39" s="150"/>
      <c r="C39" s="150"/>
      <c r="D39" s="150"/>
      <c r="E39" s="150"/>
      <c r="F39" s="150"/>
      <c r="G39" s="155"/>
      <c r="H39" s="150"/>
    </row>
    <row r="40" spans="2:8" ht="19.5" x14ac:dyDescent="0.35">
      <c r="B40" s="213" t="s">
        <v>232</v>
      </c>
      <c r="C40" s="213"/>
      <c r="D40" s="213"/>
      <c r="E40" s="213"/>
      <c r="F40" s="213"/>
      <c r="G40" s="213"/>
      <c r="H40" s="213"/>
    </row>
    <row r="41" spans="2:8" x14ac:dyDescent="0.25">
      <c r="B41" s="150" t="s">
        <v>233</v>
      </c>
      <c r="C41" s="159" t="e">
        <f>0.8*C3*C12*C23</f>
        <v>#NUM!</v>
      </c>
      <c r="D41" s="150" t="s">
        <v>234</v>
      </c>
      <c r="E41" s="150"/>
      <c r="F41" s="150"/>
      <c r="G41" s="150"/>
      <c r="H41" s="150"/>
    </row>
    <row r="42" spans="2:8" x14ac:dyDescent="0.25">
      <c r="B42" s="150"/>
      <c r="C42" s="150"/>
      <c r="D42" s="150"/>
      <c r="E42" s="150"/>
      <c r="F42" s="150"/>
      <c r="G42" s="150"/>
      <c r="H42" s="150"/>
    </row>
    <row r="43" spans="2:8" ht="19.5" x14ac:dyDescent="0.35">
      <c r="B43" s="213" t="s">
        <v>235</v>
      </c>
      <c r="C43" s="213"/>
      <c r="D43" s="213"/>
      <c r="E43" s="213"/>
      <c r="F43" s="213"/>
      <c r="G43" s="213"/>
      <c r="H43" s="213"/>
    </row>
    <row r="44" spans="2:8" x14ac:dyDescent="0.25">
      <c r="B44" s="150" t="s">
        <v>236</v>
      </c>
      <c r="C44" s="159" t="e">
        <f>C41/C36</f>
        <v>#NUM!</v>
      </c>
      <c r="D44" s="150" t="s">
        <v>19</v>
      </c>
      <c r="E44" s="162" t="e">
        <f>MAX(C44:C45)</f>
        <v>#NUM!</v>
      </c>
      <c r="F44" s="163" t="s">
        <v>19</v>
      </c>
      <c r="G44" s="150"/>
      <c r="H44" s="150"/>
    </row>
    <row r="45" spans="2:8" x14ac:dyDescent="0.25">
      <c r="B45" s="150" t="s">
        <v>237</v>
      </c>
      <c r="C45" s="150">
        <f>0.1/100*C3*(C2+4)</f>
        <v>1.3</v>
      </c>
      <c r="D45" s="150" t="s">
        <v>19</v>
      </c>
      <c r="E45" s="150"/>
      <c r="F45" s="150"/>
      <c r="G45" s="150"/>
      <c r="H45" s="150"/>
    </row>
    <row r="48" spans="2:8" ht="18.75" x14ac:dyDescent="0.3">
      <c r="B48" s="164" t="s">
        <v>238</v>
      </c>
      <c r="C48" s="165">
        <f>'MURO DE ARRIMO'!B19</f>
        <v>8</v>
      </c>
      <c r="D48" s="166" t="s">
        <v>239</v>
      </c>
      <c r="E48" s="167" t="e">
        <f>(0.1*C48)^2*PI()/4*100/E44</f>
        <v>#NUM!</v>
      </c>
      <c r="F48" s="214" t="s">
        <v>240</v>
      </c>
      <c r="G48" s="214"/>
      <c r="H48" s="214"/>
    </row>
    <row r="49" spans="2:8" ht="18.75" x14ac:dyDescent="0.3">
      <c r="B49" s="168" t="s">
        <v>241</v>
      </c>
      <c r="C49" s="144" t="e">
        <f>ROUNDUP((E44/(PI()*(0.1*E49)^2/4)),0)</f>
        <v>#NUM!</v>
      </c>
      <c r="D49" s="164" t="s">
        <v>238</v>
      </c>
      <c r="E49" s="169">
        <v>10</v>
      </c>
      <c r="F49" s="214" t="s">
        <v>242</v>
      </c>
      <c r="G49" s="214"/>
      <c r="H49" s="214"/>
    </row>
  </sheetData>
  <mergeCells count="10">
    <mergeCell ref="B1:G1"/>
    <mergeCell ref="J2:K2"/>
    <mergeCell ref="B29:G29"/>
    <mergeCell ref="B30:G30"/>
    <mergeCell ref="B40:H40"/>
    <mergeCell ref="B43:H43"/>
    <mergeCell ref="F48:H48"/>
    <mergeCell ref="F49:H49"/>
    <mergeCell ref="B20:F20"/>
    <mergeCell ref="B25:G25"/>
  </mergeCells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5503-D1E0-48CE-952E-1E0A15BD4D65}">
  <dimension ref="A1:F8"/>
  <sheetViews>
    <sheetView workbookViewId="0">
      <selection activeCell="B8" sqref="B8"/>
    </sheetView>
  </sheetViews>
  <sheetFormatPr defaultRowHeight="15" x14ac:dyDescent="0.25"/>
  <cols>
    <col min="1" max="1" width="20.42578125" bestFit="1" customWidth="1"/>
    <col min="5" max="5" width="9.5703125" bestFit="1" customWidth="1"/>
  </cols>
  <sheetData>
    <row r="1" spans="1:6" x14ac:dyDescent="0.25">
      <c r="A1" t="s">
        <v>252</v>
      </c>
      <c r="B1">
        <f>'MURO DE ARRIMO'!B5</f>
        <v>3.85</v>
      </c>
    </row>
    <row r="2" spans="1:6" x14ac:dyDescent="0.25">
      <c r="A2" t="s">
        <v>253</v>
      </c>
      <c r="B2">
        <f>'MURO DE ARRIMO'!B6</f>
        <v>4.25</v>
      </c>
    </row>
    <row r="3" spans="1:6" x14ac:dyDescent="0.25">
      <c r="A3" t="s">
        <v>119</v>
      </c>
      <c r="B3" s="10">
        <f>B1/B2</f>
        <v>0.90588235294117647</v>
      </c>
    </row>
    <row r="4" spans="1:6" x14ac:dyDescent="0.25">
      <c r="A4" t="s">
        <v>255</v>
      </c>
      <c r="B4" s="98">
        <v>2.06</v>
      </c>
      <c r="D4" t="s">
        <v>259</v>
      </c>
      <c r="E4" s="10">
        <f>($B$7*$B$8^2/100)*B4</f>
        <v>7.617709638</v>
      </c>
      <c r="F4" t="s">
        <v>262</v>
      </c>
    </row>
    <row r="5" spans="1:6" x14ac:dyDescent="0.25">
      <c r="A5" t="s">
        <v>254</v>
      </c>
      <c r="B5" s="98">
        <v>6.37</v>
      </c>
      <c r="D5" t="s">
        <v>260</v>
      </c>
      <c r="E5" s="10">
        <f t="shared" ref="E5" si="0">($B$7*$B$8^2/100)*B5</f>
        <v>23.555733200999999</v>
      </c>
      <c r="F5" t="s">
        <v>262</v>
      </c>
    </row>
    <row r="6" spans="1:6" x14ac:dyDescent="0.25">
      <c r="A6" t="s">
        <v>256</v>
      </c>
      <c r="B6" s="98">
        <v>2.4</v>
      </c>
      <c r="D6" t="s">
        <v>261</v>
      </c>
      <c r="E6" s="10">
        <f>($B$7*$B$8^2/100)*B6</f>
        <v>8.8750015199999996</v>
      </c>
      <c r="F6" t="s">
        <v>262</v>
      </c>
    </row>
    <row r="7" spans="1:6" x14ac:dyDescent="0.25">
      <c r="A7" t="s">
        <v>257</v>
      </c>
      <c r="B7" s="10">
        <f>'MURO DE ARRIMO'!B35</f>
        <v>24.947999999999997</v>
      </c>
    </row>
    <row r="8" spans="1:6" x14ac:dyDescent="0.25">
      <c r="A8" t="s">
        <v>258</v>
      </c>
      <c r="B8">
        <f>MIN(B1:B2)</f>
        <v>3.85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K1:T259"/>
  <sheetViews>
    <sheetView showGridLines="0" tabSelected="1" view="pageBreakPreview" topLeftCell="J1" zoomScaleNormal="100" zoomScaleSheetLayoutView="100" workbookViewId="0">
      <pane ySplit="4" topLeftCell="J5" activePane="bottomLeft" state="frozen"/>
      <selection pane="bottomLeft" activeCell="L29" sqref="L29"/>
    </sheetView>
  </sheetViews>
  <sheetFormatPr defaultRowHeight="15"/>
  <cols>
    <col min="10" max="10" width="2.7109375" customWidth="1"/>
    <col min="11" max="11" width="13.7109375" customWidth="1"/>
    <col min="12" max="12" width="12.7109375" customWidth="1"/>
    <col min="13" max="13" width="9.7109375" customWidth="1"/>
    <col min="14" max="14" width="27.7109375" customWidth="1"/>
    <col min="15" max="15" width="13.42578125" customWidth="1"/>
  </cols>
  <sheetData>
    <row r="1">
      <c r="K1" s="219" t="inlineStr">
        <is>
          <t xml:space="preserve">EMPUXO EM CONTENÇÃO – CARGAS NO PILAR E NA LAJE ALVEOLAR</t>
        </is>
      </c>
      <c r="L1" s="219"/>
      <c r="M1" s="219"/>
      <c r="N1" s="219"/>
      <c r="O1" s="219"/>
      <c r="P1" s="219"/>
      <c r="Q1" s="219"/>
      <c r="R1" s="219"/>
      <c r="S1" s="219"/>
      <c r="T1" s="219"/>
    </row>
    <row r="2" ht="32" customHeight="1">
      <c r="K2" s="239" t="inlineStr">
        <is>
          <t xml:space="preserve">PILAR – CARGA TRAPEZOIDAL</t>
        </is>
      </c>
      <c r="L2" s="239"/>
      <c r="M2" s="240">
        <f>"p,topo = "&amp;FIXED($L$59,2)&amp;" kN/m"</f>
      </c>
      <c r="N2" s="240"/>
      <c r="O2" s="240">
        <f>"p,base = "&amp;FIXED($L$60,2)&amp;" kN/m"</f>
      </c>
      <c r="P2" s="240"/>
      <c r="Q2" s="240"/>
      <c r="R2" s="240">
        <f>"E = "&amp;FIXED($L$63,2)&amp;" kN a "&amp;FIXED($L$65,2)&amp;" m da base"</f>
      </c>
      <c r="S2" s="240"/>
      <c r="T2" s="240"/>
    </row>
    <row r="3" ht="32" customHeight="1">
      <c r="K3" s="239" t="inlineStr">
        <is>
          <t xml:space="preserve">PILAR – MOMENTOS</t>
        </is>
      </c>
      <c r="L3" s="239"/>
      <c r="M3" s="240">
        <f>"M,base = "&amp;FIXED($L$80,2)&amp;" kN·m ("&amp;$L$39&amp;")"</f>
      </c>
      <c r="N3" s="240"/>
      <c r="O3" s="240">
        <f>"M,vão = "&amp;IF($L$39="Balanço","-",FIXED($L$81,2)&amp;" kN·m a "&amp;FIXED($L$82,2)&amp;" m")</f>
      </c>
      <c r="P3" s="240"/>
      <c r="Q3" s="240"/>
      <c r="R3" s="240">
        <f>"R,topo = "&amp;FIXED($L$78,2)&amp;" kN → laje"</f>
      </c>
      <c r="S3" s="240"/>
      <c r="T3" s="240"/>
    </row>
    <row r="4" ht="32" customHeight="1">
      <c r="K4" s="239" t="inlineStr">
        <is>
          <t xml:space="preserve">LAJE – PAINEL MAIS CARREGADO (P1)</t>
        </is>
      </c>
      <c r="L4" s="239"/>
      <c r="M4" s="240">
        <f>"g = "&amp;FIXED($L$93,2)&amp;" | q = "&amp;FIXED($L$94,2)&amp;" kN/m"</f>
      </c>
      <c r="N4" s="240"/>
      <c r="O4" s="240">
        <f>"p,total = "&amp;FIXED($L$92,2)&amp;" kN/m²"</f>
      </c>
      <c r="P4" s="240"/>
      <c r="Q4" s="240"/>
      <c r="R4" s="240">
        <f>"Mk = "&amp;FIXED($L$95,2)&amp;" kN·m | Vk = "&amp;FIXED($L$96,2)&amp;" kN"</f>
      </c>
      <c r="S4" s="240"/>
      <c r="T4" s="240"/>
    </row>
    <row r="6" ht="60" customHeight="1">
      <c r="K6" s="220" t="inlineStr">
        <is>
          <t xml:space="preserve">Como usar: células CINZA são entradas (preencha/edite). As demais são calculadas. Empuxo de Rankine, solo sem coesão (a favor da segurança); valores característicos (sem γf); 1 tf = 10 kN. A coluna Status fica verde quando está Ok. O RESUMO abaixo traz o que lançar no modelo (Eberick/TQS) e na tabela do fabricante da laje alveolar.</t>
        </is>
      </c>
      <c r="L6" s="220"/>
      <c r="M6" s="220"/>
      <c r="N6" s="220"/>
      <c r="O6" s="220"/>
      <c r="P6" s="220"/>
      <c r="Q6" s="220"/>
      <c r="R6" s="220"/>
      <c r="S6" s="220"/>
      <c r="T6" s="220"/>
    </row>
    <row r="8">
      <c r="K8" s="221" t="inlineStr">
        <is>
          <t xml:space="preserve">RESUMO – VALORES PARA LANÇAR</t>
        </is>
      </c>
      <c r="L8" s="221"/>
      <c r="M8" s="221"/>
      <c r="N8" s="221"/>
      <c r="O8" s="221"/>
      <c r="P8" s="221"/>
      <c r="Q8" s="221"/>
      <c r="R8" s="221"/>
      <c r="S8" s="221"/>
      <c r="T8" s="221"/>
    </row>
    <row r="10">
      <c r="K10" s="235" t="inlineStr">
        <is>
          <t xml:space="preserve">Item</t>
        </is>
      </c>
      <c r="L10" s="235" t="inlineStr">
        <is>
          <t xml:space="preserve">Resultado</t>
        </is>
      </c>
      <c r="M10" s="235"/>
      <c r="N10" s="235" t="inlineStr">
        <is>
          <t xml:space="preserve">Status</t>
        </is>
      </c>
      <c r="O10" s="235" t="inlineStr">
        <is>
          <t xml:space="preserve">O que é</t>
        </is>
      </c>
      <c r="P10" s="235"/>
      <c r="Q10" s="235"/>
      <c r="R10" s="235"/>
      <c r="S10" s="235"/>
      <c r="T10" s="235"/>
    </row>
    <row r="11">
      <c r="K11" s="223" t="inlineStr">
        <is>
          <t xml:space="preserve">Empuxo</t>
        </is>
      </c>
      <c r="L11" s="236">
        <f>$L$38&amp;" – K = "&amp;FIXED($L$48,3)</f>
      </c>
      <c r="M11" s="236"/>
      <c r="N11" s="232">
        <f>"Ok"</f>
      </c>
      <c r="O11" s="233" t="inlineStr">
        <is>
          <t xml:space="preserve">Coeficiente adotado – item 2.1</t>
        </is>
      </c>
    </row>
    <row r="12" ht="32" customHeight="1">
      <c r="K12" s="223" t="inlineStr">
        <is>
          <t xml:space="preserve">Aviso</t>
        </is>
      </c>
      <c r="L12" s="234">
        <f>IF(AND($L$39&lt;&gt;"Balanço",$L$38="Ativo"),"⚠ Topo do pilar travado pela laje com empuxo ATIVO: se a estrutura for rígida (sem deslocamento), use REPOUSO – K0 = "&amp;FIXED($L$47,2)&amp;" contra Ka = "&amp;FIXED($L$46,2)&amp;" (+"&amp;FIXED(($L$47/$L$46-1)*100,0)&amp;"% de carga).",IF(AND($L$39="Balanço",$L$38="Repouso"),"⚠ Balanço com empuxo em REPOUSO: pilar livre no topo se desloca – ATIVO costuma bastar.","Sem avisos."))</f>
      </c>
      <c r="M12" s="234"/>
      <c r="N12" s="234"/>
      <c r="O12" s="234"/>
      <c r="P12" s="234"/>
      <c r="Q12" s="234"/>
      <c r="R12" s="234"/>
      <c r="S12" s="234"/>
      <c r="T12" s="234"/>
    </row>
    <row r="13">
      <c r="K13" s="223" t="inlineStr">
        <is>
          <t xml:space="preserve">Pilar p,topo</t>
        </is>
      </c>
      <c r="L13" s="236">
        <f>FIXED($L$59,2)&amp;" kN/m"</f>
      </c>
      <c r="M13" s="236"/>
      <c r="N13" s="232"/>
      <c r="O13" s="233" t="inlineStr">
        <is>
          <t xml:space="preserve">Carga trapezoidal no pilar: valor no topo – item 3.1</t>
        </is>
      </c>
    </row>
    <row r="14">
      <c r="K14" s="223" t="inlineStr">
        <is>
          <t xml:space="preserve">Pilar p,base</t>
        </is>
      </c>
      <c r="L14" s="236">
        <f>FIXED($L$60,2)&amp;" kN/m"</f>
      </c>
      <c r="M14" s="236"/>
      <c r="N14" s="232"/>
      <c r="O14" s="233" t="inlineStr">
        <is>
          <t xml:space="preserve">Carga trapezoidal no pilar: valor na base – item 3.1</t>
        </is>
      </c>
    </row>
    <row r="15">
      <c r="K15" s="223" t="inlineStr">
        <is>
          <t xml:space="preserve">Resultante</t>
        </is>
      </c>
      <c r="L15" s="236">
        <f>FIXED($L$63,2)&amp;" kN ("&amp;FIXED($L$64,2)&amp;" tf)"</f>
      </c>
      <c r="M15" s="236"/>
      <c r="N15" s="232"/>
      <c r="O15" s="233" t="inlineStr">
        <is>
          <t xml:space="preserve">Solo + Sc, aplicada a y,E da base – item 3.2</t>
        </is>
      </c>
    </row>
    <row r="16">
      <c r="K16" s="223" t="inlineStr">
        <is>
          <t xml:space="preserve">Modelo pilar</t>
        </is>
      </c>
      <c r="L16" s="236">
        <f>$L$39</f>
      </c>
      <c r="M16" s="236"/>
      <c r="N16" s="232">
        <f>IF(ISNA(MATCH($L$39,$K$74:$K$76,0)),"Rever: modelo inválido","Ok")</f>
      </c>
      <c r="O16" s="233" t="inlineStr">
        <is>
          <t xml:space="preserve">Modelo estrutural do pilar – item 4.1</t>
        </is>
      </c>
    </row>
    <row r="17">
      <c r="K17" s="223" t="inlineStr">
        <is>
          <t xml:space="preserve">R,topo</t>
        </is>
      </c>
      <c r="L17" s="236">
        <f>FIXED($L$78,2)&amp;" kN"</f>
      </c>
      <c r="M17" s="236"/>
      <c r="N17" s="232"/>
      <c r="O17" s="233" t="inlineStr">
        <is>
          <t xml:space="preserve">Força que o pilar entrega à laje/viga do topo – item 4.2</t>
        </is>
      </c>
    </row>
    <row r="18">
      <c r="K18" s="223" t="inlineStr">
        <is>
          <t xml:space="preserve">M,base</t>
        </is>
      </c>
      <c r="L18" s="236">
        <f>FIXED($L$80,2)&amp;" kN·m"</f>
      </c>
      <c r="M18" s="236"/>
      <c r="N18" s="232"/>
      <c r="O18" s="233" t="inlineStr">
        <is>
          <t xml:space="preserve">Momento na base do pilar – item 4.2</t>
        </is>
      </c>
    </row>
    <row r="19">
      <c r="K19" s="223" t="inlineStr">
        <is>
          <t xml:space="preserve">M,vão</t>
        </is>
      </c>
      <c r="L19" s="236">
        <f>IF($L$39="Balanço","-",FIXED($L$81,2)&amp;" kN·m a "&amp;FIXED($L$82,2)&amp;" m")</f>
      </c>
      <c r="M19" s="236"/>
      <c r="N19" s="232"/>
      <c r="O19" s="233" t="inlineStr">
        <is>
          <t xml:space="preserve">Maior momento positivo e altura a partir da base – item 4.2</t>
        </is>
      </c>
    </row>
    <row r="20">
      <c r="K20" s="223" t="inlineStr">
        <is>
          <t xml:space="preserve">M(x)</t>
        </is>
      </c>
      <c r="L20" s="236">
        <f>FIXED($L$83,2)&amp;" kN·m"</f>
      </c>
      <c r="M20" s="236"/>
      <c r="N20" s="232">
        <f>IF($L$40&gt;$L$33,"Rever: x maior que H",IF($L$40&lt;0,"Rever: x negativo","Ok"))</f>
      </c>
      <c r="O20" s="233" t="inlineStr">
        <is>
          <t xml:space="preserve">Momento na cota x – item 4.2</t>
        </is>
      </c>
    </row>
    <row r="21">
      <c r="K21" s="223" t="inlineStr">
        <is>
          <t xml:space="preserve">Laje p,total</t>
        </is>
      </c>
      <c r="L21" s="236">
        <f>FIXED($L$92,2)&amp;" kN/m²"</f>
      </c>
      <c r="M21" s="236"/>
      <c r="N21" s="232">
        <f>IF($L$89&gt;10,"Rever: mais de 10 painéis","Ok")</f>
      </c>
      <c r="O21" s="233" t="inlineStr">
        <is>
          <t xml:space="preserve">Painel inferior: comparar com a tabela do fabricante – item 5.1</t>
        </is>
      </c>
    </row>
    <row r="22">
      <c r="K22" s="223" t="inlineStr">
        <is>
          <t xml:space="preserve">Laje g / q</t>
        </is>
      </c>
      <c r="L22" s="236">
        <f>FIXED($L$93,2)&amp;" / "&amp;FIXED($L$94,2)&amp;" kN/m"</f>
      </c>
      <c r="M22" s="236"/>
      <c r="N22" s="232"/>
      <c r="O22" s="233" t="inlineStr">
        <is>
          <t xml:space="preserve">Cargas lineares no painel inferior – item 5.1</t>
        </is>
      </c>
    </row>
    <row r="23">
      <c r="K23" s="223" t="inlineStr">
        <is>
          <t xml:space="preserve">Laje Mk / Vk</t>
        </is>
      </c>
      <c r="L23" s="236">
        <f>FIXED($L$95,2)&amp;" kN·m / "&amp;FIXED($L$96,2)&amp;" kN"</f>
      </c>
      <c r="M23" s="236"/>
      <c r="N23" s="232"/>
      <c r="O23" s="233" t="inlineStr">
        <is>
          <t xml:space="preserve">Esforços no painel inferior, vão L – item 5.1</t>
        </is>
      </c>
    </row>
    <row r="26">
      <c r="K26" s="221" t="inlineStr">
        <is>
          <t xml:space="preserve">1 . DADOS DE ENTRADA</t>
        </is>
      </c>
      <c r="L26" s="221"/>
      <c r="M26" s="221"/>
      <c r="N26" s="221"/>
      <c r="O26" s="221"/>
      <c r="P26" s="221"/>
      <c r="Q26" s="221"/>
      <c r="R26" s="221"/>
      <c r="S26" s="221"/>
      <c r="T26" s="221"/>
    </row>
    <row r="28">
      <c r="K28" s="222" t="inlineStr">
        <is>
          <t xml:space="preserve">1.1 Solo</t>
        </is>
      </c>
    </row>
    <row r="29">
      <c r="K29" s="223" t="inlineStr">
        <is>
          <t xml:space="preserve">γ</t>
        </is>
      </c>
      <c r="L29" s="224">
        <v>18</v>
      </c>
      <c r="M29" s="231" t="inlineStr">
        <is>
          <t xml:space="preserve">kN/m³</t>
        </is>
      </c>
      <c r="O29" s="233" t="inlineStr">
        <is>
          <t xml:space="preserve">Peso específico do solo.</t>
        </is>
      </c>
    </row>
    <row r="30">
      <c r="K30" s="223" t="inlineStr">
        <is>
          <t xml:space="preserve">φ</t>
        </is>
      </c>
      <c r="L30" s="224">
        <v>18</v>
      </c>
      <c r="M30" s="231" t="inlineStr">
        <is>
          <t xml:space="preserve">°</t>
        </is>
      </c>
      <c r="O30" s="233" t="inlineStr">
        <is>
          <t xml:space="preserve">Ângulo de atrito do solo (ver aba DADOS DO SOLO, col. G).</t>
        </is>
      </c>
    </row>
    <row r="31">
      <c r="K31" s="223" t="inlineStr">
        <is>
          <t xml:space="preserve">Sc</t>
        </is>
      </c>
      <c r="L31" s="224">
        <v>5</v>
      </c>
      <c r="M31" s="231" t="inlineStr">
        <is>
          <t xml:space="preserve">kN/m²</t>
        </is>
      </c>
      <c r="O31" s="233" t="inlineStr">
        <is>
          <t xml:space="preserve">Sobrecarga no terreno (veículos leves ≈ 5 a 10; só pedestres ≈ 2,5 a 5).</t>
        </is>
      </c>
    </row>
    <row r="32">
      <c r="K32" s="222" t="inlineStr">
        <is>
          <t xml:space="preserve">1.2 Geometria</t>
        </is>
      </c>
    </row>
    <row r="33">
      <c r="K33" s="223" t="inlineStr">
        <is>
          <t xml:space="preserve">H</t>
        </is>
      </c>
      <c r="L33" s="224">
        <v>2.5</v>
      </c>
      <c r="M33" s="231" t="inlineStr">
        <is>
          <t xml:space="preserve">m</t>
        </is>
      </c>
      <c r="O33" s="233" t="inlineStr">
        <is>
          <t xml:space="preserve">Altura da contenção: da base até o topo do terreno contido.</t>
        </is>
      </c>
    </row>
    <row r="34">
      <c r="K34" s="223" t="inlineStr">
        <is>
          <t xml:space="preserve">D</t>
        </is>
      </c>
      <c r="L34" s="226">
        <f>13.07/2</f>
      </c>
      <c r="M34" s="231" t="inlineStr">
        <is>
          <t xml:space="preserve">m</t>
        </is>
      </c>
      <c r="O34" s="233" t="inlineStr">
        <is>
          <t xml:space="preserve">Largura de influência no pilar: intermediário = (vão esq. + vão dir.)/2; extremidade = vão/2.</t>
        </is>
      </c>
    </row>
    <row r="35">
      <c r="K35" s="223" t="inlineStr">
        <is>
          <t xml:space="preserve">bw</t>
        </is>
      </c>
      <c r="L35" s="224">
        <v>1.25</v>
      </c>
      <c r="M35" s="231" t="inlineStr">
        <is>
          <t xml:space="preserve">m</t>
        </is>
      </c>
      <c r="O35" s="233" t="inlineStr">
        <is>
          <t xml:space="preserve">Largura da placa de laje alveolar = altura de cada painel deitado na contenção.</t>
        </is>
      </c>
    </row>
    <row r="36">
      <c r="K36" s="223" t="inlineStr">
        <is>
          <t xml:space="preserve">L</t>
        </is>
      </c>
      <c r="L36" s="226">
        <f>L34</f>
      </c>
      <c r="M36" s="231" t="inlineStr">
        <is>
          <t xml:space="preserve">m</t>
        </is>
      </c>
      <c r="O36" s="233" t="inlineStr">
        <is>
          <t xml:space="preserve">Vão que a placa vence entre pilares (padrão = D; altere se for diferente).</t>
        </is>
      </c>
    </row>
    <row r="37">
      <c r="K37" s="222" t="inlineStr">
        <is>
          <t xml:space="preserve">1.3 Modelo</t>
        </is>
      </c>
    </row>
    <row r="38">
      <c r="K38" s="223" t="inlineStr">
        <is>
          <t xml:space="preserve">Empuxo</t>
        </is>
      </c>
      <c r="L38" s="224" t="inlineStr">
        <is>
          <t xml:space="preserve">Ativo</t>
        </is>
      </c>
      <c r="M38" s="231" t="inlineStr">
        <is>
          <t xml:space="preserve">-</t>
        </is>
      </c>
      <c r="O38" s="233" t="inlineStr">
        <is>
          <t xml:space="preserve">Ativo (Ka): parede pode se deslocar. Repouso (K0): topo travado, estrutura rígida.</t>
        </is>
      </c>
    </row>
    <row r="39">
      <c r="K39" s="223" t="inlineStr">
        <is>
          <t xml:space="preserve">Pilar</t>
        </is>
      </c>
      <c r="L39" s="224" t="inlineStr">
        <is>
          <t xml:space="preserve">Engaste-apoio</t>
        </is>
      </c>
      <c r="M39" s="231" t="inlineStr">
        <is>
          <t xml:space="preserve">-</t>
        </is>
      </c>
      <c r="O39" s="233" t="inlineStr">
        <is>
          <t xml:space="preserve">Modelo do pilar: escolha na tabela do item 4.1 (define o resumo).</t>
        </is>
      </c>
    </row>
    <row r="40">
      <c r="K40" s="223" t="inlineStr">
        <is>
          <t xml:space="preserve">x</t>
        </is>
      </c>
      <c r="L40" s="224">
        <v>0</v>
      </c>
      <c r="M40" s="231" t="inlineStr">
        <is>
          <t xml:space="preserve">m</t>
        </is>
      </c>
      <c r="O40" s="233" t="inlineStr">
        <is>
          <t xml:space="preserve">Cota de verificação do momento, medida a partir da base (x = 0 → base).</t>
        </is>
      </c>
    </row>
    <row r="42">
      <c r="K42" s="221" t="inlineStr">
        <is>
          <t xml:space="preserve">2 . COEFICIENTE DE EMPUXO E PRESSÕES</t>
        </is>
      </c>
      <c r="L42" s="221"/>
      <c r="M42" s="221"/>
      <c r="N42" s="221"/>
      <c r="O42" s="221"/>
      <c r="P42" s="221"/>
      <c r="Q42" s="221"/>
      <c r="R42" s="221"/>
      <c r="S42" s="221"/>
      <c r="T42" s="221"/>
    </row>
    <row r="44" ht="32" customHeight="1">
      <c r="K44" s="220" t="inlineStr">
        <is>
          <t xml:space="preserve">Rankine, parede vertical e terreno horizontal. A sobrecarga Sc vira uma pressão constante K·Sc em toda a altura; o solo dá uma pressão triangular K·γ·z (zero no topo, máxima na base).</t>
        </is>
      </c>
      <c r="L44" s="220"/>
      <c r="M44" s="220"/>
      <c r="N44" s="220"/>
      <c r="O44" s="220"/>
      <c r="P44" s="220"/>
      <c r="Q44" s="220"/>
      <c r="R44" s="220"/>
      <c r="S44" s="220"/>
      <c r="T44" s="220"/>
    </row>
    <row r="45">
      <c r="K45" s="222" t="inlineStr">
        <is>
          <t xml:space="preserve">2.1 Coeficiente</t>
        </is>
      </c>
    </row>
    <row r="46">
      <c r="K46" s="223" t="inlineStr">
        <is>
          <t xml:space="preserve">Ka</t>
        </is>
      </c>
      <c r="L46" s="228">
        <f>TAN(RADIANS(45-$L$30/2))^2</f>
      </c>
      <c r="M46" s="231" t="inlineStr">
        <is>
          <t xml:space="preserve">-</t>
        </is>
      </c>
      <c r="O46" s="233" t="inlineStr">
        <is>
          <t xml:space="preserve">Empuxo ativo: tan²(45° − φ/2).</t>
        </is>
      </c>
    </row>
    <row r="47">
      <c r="K47" s="223" t="inlineStr">
        <is>
          <t xml:space="preserve">K0</t>
        </is>
      </c>
      <c r="L47" s="228">
        <f>1-SIN(RADIANS($L$30))</f>
      </c>
      <c r="M47" s="231" t="inlineStr">
        <is>
          <t xml:space="preserve">-</t>
        </is>
      </c>
      <c r="O47" s="233" t="inlineStr">
        <is>
          <t xml:space="preserve">Empuxo em repouso: 1 − sen φ.</t>
        </is>
      </c>
    </row>
    <row r="48">
      <c r="K48" s="223" t="inlineStr">
        <is>
          <t xml:space="preserve">K</t>
        </is>
      </c>
      <c r="L48" s="228">
        <f>IF($L$38="Repouso",$L$47,$L$46)</f>
      </c>
      <c r="M48" s="231" t="inlineStr">
        <is>
          <t xml:space="preserve">-</t>
        </is>
      </c>
      <c r="O48" s="233" t="inlineStr">
        <is>
          <t xml:space="preserve">Coeficiente adotado (item 1.3).</t>
        </is>
      </c>
    </row>
    <row r="49">
      <c r="K49" s="222" t="inlineStr">
        <is>
          <t xml:space="preserve">2.2 Pressões</t>
        </is>
      </c>
    </row>
    <row r="50">
      <c r="K50" s="223" t="inlineStr">
        <is>
          <t xml:space="preserve">h,eq</t>
        </is>
      </c>
      <c r="L50" s="228">
        <f>IF($L$29=0,0,$L$31/$L$29)</f>
      </c>
      <c r="M50" s="231" t="inlineStr">
        <is>
          <t xml:space="preserve">m</t>
        </is>
      </c>
      <c r="O50" s="233" t="inlineStr">
        <is>
          <t xml:space="preserve">Altura de solo equivalente à sobrecarga (Sc/γ).</t>
        </is>
      </c>
    </row>
    <row r="51">
      <c r="K51" s="223" t="inlineStr">
        <is>
          <t xml:space="preserve">σ,topo</t>
        </is>
      </c>
      <c r="L51" s="227">
        <f>$L$48*$L$31</f>
      </c>
      <c r="M51" s="231" t="inlineStr">
        <is>
          <t xml:space="preserve">kN/m²</t>
        </is>
      </c>
      <c r="O51" s="233" t="inlineStr">
        <is>
          <t xml:space="preserve">Pressão no topo: K·Sc.</t>
        </is>
      </c>
    </row>
    <row r="52">
      <c r="K52" s="223" t="inlineStr">
        <is>
          <t xml:space="preserve">σ,base</t>
        </is>
      </c>
      <c r="L52" s="227">
        <f>$L$48*($L$31+$L$29*$L$33)</f>
      </c>
      <c r="M52" s="231" t="inlineStr">
        <is>
          <t xml:space="preserve">kN/m²</t>
        </is>
      </c>
      <c r="O52" s="233" t="inlineStr">
        <is>
          <t xml:space="preserve">Pressão na base: K·(Sc + γ·H).</t>
        </is>
      </c>
    </row>
    <row r="53">
      <c r="K53" s="223" t="inlineStr">
        <is>
          <t xml:space="preserve">σ,solo</t>
        </is>
      </c>
      <c r="L53" s="227">
        <f>$L$48*$L$29*$L$33</f>
      </c>
      <c r="M53" s="231" t="inlineStr">
        <is>
          <t xml:space="preserve">kN/m²</t>
        </is>
      </c>
      <c r="O53" s="233" t="inlineStr">
        <is>
          <t xml:space="preserve">Pressão na base só do solo: K·γ·H (sem Sc).</t>
        </is>
      </c>
    </row>
    <row r="55">
      <c r="K55" s="221" t="inlineStr">
        <is>
          <t xml:space="preserve">3 . PILAR – CARGA PARA LANÇAR NO MODELO</t>
        </is>
      </c>
      <c r="L55" s="221"/>
      <c r="M55" s="221"/>
      <c r="N55" s="221"/>
      <c r="O55" s="221"/>
      <c r="P55" s="221"/>
      <c r="Q55" s="221"/>
      <c r="R55" s="221"/>
      <c r="S55" s="221"/>
      <c r="T55" s="221"/>
    </row>
    <row r="57" ht="32" customHeight="1">
      <c r="K57" s="220" t="inlineStr">
        <is>
          <t xml:space="preserve">Lançar no pilar como carga horizontal TRAPEZOIDAL: p,topo no topo e p,base na base (pressão × largura de influência D). Se preferir carga concentrada, use a resultante E no ponto de aplicação y,E.</t>
        </is>
      </c>
      <c r="L57" s="220"/>
      <c r="M57" s="220"/>
      <c r="N57" s="220"/>
      <c r="O57" s="220"/>
      <c r="P57" s="220"/>
      <c r="Q57" s="220"/>
      <c r="R57" s="220"/>
      <c r="S57" s="220"/>
      <c r="T57" s="220"/>
    </row>
    <row r="58">
      <c r="K58" s="222" t="inlineStr">
        <is>
          <t xml:space="preserve">3.1 Carga distribuída</t>
        </is>
      </c>
    </row>
    <row r="59">
      <c r="K59" s="223" t="inlineStr">
        <is>
          <t xml:space="preserve">p,topo</t>
        </is>
      </c>
      <c r="L59" s="227">
        <f>$L$51*$L$34</f>
      </c>
      <c r="M59" s="231" t="inlineStr">
        <is>
          <t xml:space="preserve">kN/m</t>
        </is>
      </c>
      <c r="O59" s="233" t="inlineStr">
        <is>
          <t xml:space="preserve">Carga no topo do pilar: σ,topo·D.</t>
        </is>
      </c>
    </row>
    <row r="60">
      <c r="K60" s="223" t="inlineStr">
        <is>
          <t xml:space="preserve">p,base</t>
        </is>
      </c>
      <c r="L60" s="227">
        <f>$L$52*$L$34</f>
      </c>
      <c r="M60" s="231" t="inlineStr">
        <is>
          <t xml:space="preserve">kN/m</t>
        </is>
      </c>
      <c r="O60" s="233" t="inlineStr">
        <is>
          <t xml:space="preserve">Carga na base do pilar: σ,base·D.</t>
        </is>
      </c>
    </row>
    <row r="61">
      <c r="K61" s="223" t="inlineStr">
        <is>
          <t xml:space="preserve">Δp</t>
        </is>
      </c>
      <c r="L61" s="227">
        <f>$L$60-$L$59</f>
      </c>
      <c r="M61" s="231" t="inlineStr">
        <is>
          <t xml:space="preserve">kN/m</t>
        </is>
      </c>
      <c r="O61" s="233" t="inlineStr">
        <is>
          <t xml:space="preserve">Parcela triangular (p,base − p,topo).</t>
        </is>
      </c>
    </row>
    <row r="62">
      <c r="K62" s="222" t="inlineStr">
        <is>
          <t xml:space="preserve">3.2 Resultante</t>
        </is>
      </c>
    </row>
    <row r="63">
      <c r="K63" s="223" t="inlineStr">
        <is>
          <t xml:space="preserve">E</t>
        </is>
      </c>
      <c r="L63" s="227">
        <f>($L$59+$L$60)*$L$33/2</f>
      </c>
      <c r="M63" s="231" t="inlineStr">
        <is>
          <t xml:space="preserve">kN</t>
        </is>
      </c>
      <c r="O63" s="233" t="inlineStr">
        <is>
          <t xml:space="preserve">Resultante total (solo + Sc).</t>
        </is>
      </c>
    </row>
    <row r="64">
      <c r="K64" s="223" t="inlineStr">
        <is>
          <t xml:space="preserve">E</t>
        </is>
      </c>
      <c r="L64" s="227">
        <f>$L$63/10</f>
      </c>
      <c r="M64" s="231" t="inlineStr">
        <is>
          <t xml:space="preserve">tf</t>
        </is>
      </c>
      <c r="O64" s="233" t="inlineStr">
        <is>
          <t xml:space="preserve">Resultante total em tf.</t>
        </is>
      </c>
    </row>
    <row r="65">
      <c r="K65" s="223" t="inlineStr">
        <is>
          <t xml:space="preserve">y,E</t>
        </is>
      </c>
      <c r="L65" s="228">
        <f>IF($L$63=0,0,($L$59*$L$33^2/2+$L$61*$L$33^2/6)/$L$63)</f>
      </c>
      <c r="M65" s="231" t="inlineStr">
        <is>
          <t xml:space="preserve">m</t>
        </is>
      </c>
      <c r="O65" s="233" t="inlineStr">
        <is>
          <t xml:space="preserve">Ponto de aplicação de E, medido a partir da base.</t>
        </is>
      </c>
    </row>
    <row r="66">
      <c r="K66" s="223" t="inlineStr">
        <is>
          <t xml:space="preserve">E,solo</t>
        </is>
      </c>
      <c r="L66" s="227">
        <f>$L$48*$L$29*$L$33^2/2*$L$34</f>
      </c>
      <c r="M66" s="231" t="inlineStr">
        <is>
          <t xml:space="preserve">kN</t>
        </is>
      </c>
      <c r="O66" s="233" t="inlineStr">
        <is>
          <t xml:space="preserve">Resultante só do solo, a H/3 da base (= M23 da aba MURO DE ARRIMO).</t>
        </is>
      </c>
    </row>
    <row r="67">
      <c r="K67" s="223" t="inlineStr">
        <is>
          <t xml:space="preserve">E,solo</t>
        </is>
      </c>
      <c r="L67" s="227">
        <f>$L$66/10</f>
      </c>
      <c r="M67" s="231" t="inlineStr">
        <is>
          <t xml:space="preserve">tf</t>
        </is>
      </c>
      <c r="O67" s="233" t="inlineStr">
        <is>
          <t xml:space="preserve">Idem em tf (= M24 da aba MURO DE ARRIMO).</t>
        </is>
      </c>
    </row>
    <row r="69">
      <c r="K69" s="221" t="inlineStr">
        <is>
          <t xml:space="preserve">4 . PILAR – ESFORÇOS (característicos)</t>
        </is>
      </c>
      <c r="L69" s="221"/>
      <c r="M69" s="221"/>
      <c r="N69" s="221"/>
      <c r="O69" s="221"/>
      <c r="P69" s="221"/>
      <c r="Q69" s="221"/>
      <c r="R69" s="221"/>
      <c r="S69" s="221"/>
      <c r="T69" s="221"/>
    </row>
    <row r="71" ht="45" customHeight="1">
      <c r="K71" s="220" t="inlineStr">
        <is>
          <t xml:space="preserve">Sinal: M negativo = tração na face do pilar em contato com o solo; M positivo = tração na face externa. R,topo é a força horizontal que o pilar entrega à laje/viga do topo. Com laje ou viga travando o topo use Engaste-apoio; Balanço só se nada travar o topo.</t>
        </is>
      </c>
      <c r="L71" s="220"/>
      <c r="M71" s="220"/>
      <c r="N71" s="220"/>
      <c r="O71" s="220"/>
      <c r="P71" s="220"/>
      <c r="Q71" s="220"/>
      <c r="R71" s="220"/>
      <c r="S71" s="220"/>
      <c r="T71" s="220"/>
    </row>
    <row r="72">
      <c r="K72" s="222" t="inlineStr">
        <is>
          <t xml:space="preserve">4.1 Comparação dos modelos</t>
        </is>
      </c>
    </row>
    <row r="73" ht="30" customHeight="1">
      <c r="K73" s="235" t="inlineStr">
        <is>
          <t xml:space="preserve">Modelo</t>
        </is>
      </c>
      <c r="L73" s="235" t="inlineStr">
        <is>
          <t xml:space="preserve">R,topo (kN)</t>
        </is>
      </c>
      <c r="M73" s="235" t="inlineStr">
        <is>
          <t xml:space="preserve">R,base (kN)</t>
        </is>
      </c>
      <c r="N73" s="235" t="inlineStr">
        <is>
          <t xml:space="preserve">M,base (kN·m)</t>
        </is>
      </c>
      <c r="O73" s="235" t="inlineStr">
        <is>
          <t xml:space="preserve">M,vão (kN·m)</t>
        </is>
      </c>
      <c r="P73" s="235" t="inlineStr">
        <is>
          <t xml:space="preserve">y,M (m)</t>
        </is>
      </c>
      <c r="Q73" s="235" t="inlineStr">
        <is>
          <t xml:space="preserve">M(x) (kN·m)</t>
        </is>
      </c>
    </row>
    <row r="74">
      <c r="K74" s="237" t="inlineStr">
        <is>
          <t xml:space="preserve">Balanço</t>
        </is>
      </c>
      <c r="L74" s="227">
        <f>0</f>
      </c>
      <c r="M74" s="227">
        <f>$L$63-L74</f>
      </c>
      <c r="N74" s="227">
        <f>-($L$59*$L$33^2/2+$L$61*$L$33^2/6)</f>
      </c>
      <c r="O74" s="227">
        <v>0</v>
      </c>
      <c r="P74" s="237" t="inlineStr">
        <is>
          <t xml:space="preserve">-</t>
        </is>
      </c>
      <c r="Q74" s="227">
        <f>L74*($L$33-$L$40)-$L$59*($L$33-$L$40)^2/2-$L$61*($L$33-$L$40)^3/(6*$L$33)</f>
      </c>
    </row>
    <row r="75">
      <c r="K75" s="237" t="inlineStr">
        <is>
          <t xml:space="preserve">Engaste-apoio</t>
        </is>
      </c>
      <c r="L75" s="227">
        <f>3*$L$59*$L$33/8+$L$61*$L$33/10</f>
      </c>
      <c r="M75" s="227">
        <f>$L$63-L75</f>
      </c>
      <c r="N75" s="227">
        <f>-($L$59*$L$33^2/8+$L$61*$L$33^2/15)</f>
      </c>
      <c r="O75" s="227">
        <f>L75*($L$33-P75)-$L$59*($L$33-P75)^2/2-$L$61*($L$33-P75)^3/(6*$L$33)</f>
      </c>
      <c r="P75" s="227">
        <f>$L$33-IFERROR(IF($L$61=0,L75/$L$59,(-$L$59+SQRT($L$59^2+2*$L$61*L75/$L$33))/($L$61/$L$33)),0)</f>
      </c>
      <c r="Q75" s="227">
        <f>L75*($L$33-$L$40)-$L$59*($L$33-$L$40)^2/2-$L$61*($L$33-$L$40)^3/(6*$L$33)</f>
      </c>
    </row>
    <row r="76">
      <c r="K76" s="237" t="inlineStr">
        <is>
          <t xml:space="preserve">Biapoiado</t>
        </is>
      </c>
      <c r="L76" s="227">
        <f>$L$59*$L$33/2+$L$61*$L$33/6</f>
      </c>
      <c r="M76" s="227">
        <f>$L$63-L76</f>
      </c>
      <c r="N76" s="227">
        <f>0</f>
      </c>
      <c r="O76" s="227">
        <f>L76*($L$33-P76)-$L$59*($L$33-P76)^2/2-$L$61*($L$33-P76)^3/(6*$L$33)</f>
      </c>
      <c r="P76" s="227">
        <f>$L$33-IFERROR(IF($L$61=0,L76/$L$59,(-$L$59+SQRT($L$59^2+2*$L$61*L76/$L$33))/($L$61/$L$33)),0)</f>
      </c>
      <c r="Q76" s="227">
        <f>L76*($L$33-$L$40)-$L$59*($L$33-$L$40)^2/2-$L$61*($L$33-$L$40)^3/(6*$L$33)</f>
      </c>
    </row>
    <row r="77">
      <c r="K77" s="222" t="inlineStr">
        <is>
          <t xml:space="preserve">4.2 Modelo adotado (item 1.3)</t>
        </is>
      </c>
    </row>
    <row r="78">
      <c r="K78" s="223" t="inlineStr">
        <is>
          <t xml:space="preserve">R,topo</t>
        </is>
      </c>
      <c r="L78" s="227">
        <f>IFERROR(INDEX($L$74:$L$76,MATCH($L$39,$K$74:$K$76,0)),0)</f>
      </c>
      <c r="M78" s="231" t="inlineStr">
        <is>
          <t xml:space="preserve">kN</t>
        </is>
      </c>
      <c r="O78" s="233" t="inlineStr">
        <is>
          <t xml:space="preserve">Força horizontal que vai para a laje/viga do topo.</t>
        </is>
      </c>
    </row>
    <row r="79">
      <c r="K79" s="223" t="inlineStr">
        <is>
          <t xml:space="preserve">R,base</t>
        </is>
      </c>
      <c r="L79" s="227">
        <f>IFERROR(INDEX($M$74:$M$76,MATCH($L$39,$K$74:$K$76,0)),0)</f>
      </c>
      <c r="M79" s="231" t="inlineStr">
        <is>
          <t xml:space="preserve">kN</t>
        </is>
      </c>
      <c r="O79" s="233" t="inlineStr">
        <is>
          <t xml:space="preserve">Força horizontal que vai para a fundação.</t>
        </is>
      </c>
    </row>
    <row r="80">
      <c r="K80" s="223" t="inlineStr">
        <is>
          <t xml:space="preserve">M,base</t>
        </is>
      </c>
      <c r="L80" s="227">
        <f>IFERROR(INDEX($N$74:$N$76,MATCH($L$39,$K$74:$K$76,0)),0)</f>
      </c>
      <c r="M80" s="231" t="inlineStr">
        <is>
          <t xml:space="preserve">kN·m</t>
        </is>
      </c>
      <c r="O80" s="233" t="inlineStr">
        <is>
          <t xml:space="preserve">Momento na base do pilar.</t>
        </is>
      </c>
    </row>
    <row r="81">
      <c r="K81" s="223" t="inlineStr">
        <is>
          <t xml:space="preserve">M,vão</t>
        </is>
      </c>
      <c r="L81" s="227">
        <f>IFERROR(INDEX($O$74:$O$76,MATCH($L$39,$K$74:$K$76,0)),0)</f>
      </c>
      <c r="M81" s="231" t="inlineStr">
        <is>
          <t xml:space="preserve">kN·m</t>
        </is>
      </c>
      <c r="O81" s="233" t="inlineStr">
        <is>
          <t xml:space="preserve">Maior momento positivo ao longo do pilar (0 no balanço).</t>
        </is>
      </c>
    </row>
    <row r="82">
      <c r="K82" s="223" t="inlineStr">
        <is>
          <t xml:space="preserve">y,M</t>
        </is>
      </c>
      <c r="L82" s="227">
        <f>IF($L$39="Balanço","-",IFERROR(INDEX($P$74:$P$76,MATCH($L$39,$K$74:$K$76,0)),0))</f>
      </c>
      <c r="M82" s="231" t="inlineStr">
        <is>
          <t xml:space="preserve">m</t>
        </is>
      </c>
      <c r="O82" s="233" t="inlineStr">
        <is>
          <t xml:space="preserve">Altura do M,vão a partir da base.</t>
        </is>
      </c>
    </row>
    <row r="83">
      <c r="K83" s="223" t="inlineStr">
        <is>
          <t xml:space="preserve">M(x)</t>
        </is>
      </c>
      <c r="L83" s="227">
        <f>IFERROR(INDEX($Q$74:$Q$76,MATCH($L$39,$K$74:$K$76,0)),0)</f>
      </c>
      <c r="M83" s="231" t="inlineStr">
        <is>
          <t xml:space="preserve">kN·m</t>
        </is>
      </c>
      <c r="N83" s="232">
        <f>IF($L$40&gt;$L$33,"Rever: x maior que H",IF($L$40&lt;0,"Rever: x negativo","Ok"))</f>
      </c>
      <c r="O83" s="233" t="inlineStr">
        <is>
          <t xml:space="preserve">Momento na cota x (item 1.3).</t>
        </is>
      </c>
    </row>
    <row r="85">
      <c r="K85" s="221" t="inlineStr">
        <is>
          <t xml:space="preserve">5 . LAJE ALVEOLAR – CARGA EM CADA PAINEL</t>
        </is>
      </c>
      <c r="L85" s="221"/>
      <c r="M85" s="221"/>
      <c r="N85" s="221"/>
      <c r="O85" s="221"/>
      <c r="P85" s="221"/>
      <c r="Q85" s="221"/>
      <c r="R85" s="221"/>
      <c r="S85" s="221"/>
      <c r="T85" s="221"/>
    </row>
    <row r="87" ht="45" customHeight="1">
      <c r="K87" s="220" t="inlineStr">
        <is>
          <t xml:space="preserve">Placas deitadas, uma sobre a outra, vencendo o vão L entre pilares. Painel 1 = inferior (mais carregado). Cada painel usa a pressão da sua borda inferior (a favor da segurança). g = solo (permanente); q = sobrecarga (variável). p,total é o valor a comparar com a sobrecarga da tabela do fabricante.</t>
        </is>
      </c>
      <c r="L87" s="220"/>
      <c r="M87" s="220"/>
      <c r="N87" s="220"/>
      <c r="O87" s="220"/>
      <c r="P87" s="220"/>
      <c r="Q87" s="220"/>
      <c r="R87" s="220"/>
      <c r="S87" s="220"/>
      <c r="T87" s="220"/>
    </row>
    <row r="88">
      <c r="K88" s="222" t="inlineStr">
        <is>
          <t xml:space="preserve">5.1 Painel inferior (o mais carregado)</t>
        </is>
      </c>
    </row>
    <row r="89">
      <c r="K89" s="223" t="inlineStr">
        <is>
          <t xml:space="preserve">n</t>
        </is>
      </c>
      <c r="L89" s="229">
        <f>IF($L$35=0,0,ROUNDUP($L$33/$L$35,0))</f>
      </c>
      <c r="M89" s="231" t="inlineStr">
        <is>
          <t xml:space="preserve">un</t>
        </is>
      </c>
      <c r="N89" s="232">
        <f>IF($L$89&gt;10,"Rever: mais de 10 painéis",IF($L$89&lt;1,"Rever: H ou bw","Ok"))</f>
      </c>
      <c r="O89" s="233" t="inlineStr">
        <is>
          <t xml:space="preserve">Número de painéis na altura H.</t>
        </is>
      </c>
    </row>
    <row r="90">
      <c r="K90" s="223" t="inlineStr">
        <is>
          <t xml:space="preserve">σg</t>
        </is>
      </c>
      <c r="L90" s="227">
        <f>$L$48*$L$29*$L$33</f>
      </c>
      <c r="M90" s="231" t="inlineStr">
        <is>
          <t xml:space="preserve">kN/m²</t>
        </is>
      </c>
      <c r="O90" s="233" t="inlineStr">
        <is>
          <t xml:space="preserve">Pressão do solo na borda inferior do painel 1.</t>
        </is>
      </c>
    </row>
    <row r="91">
      <c r="K91" s="223" t="inlineStr">
        <is>
          <t xml:space="preserve">σq</t>
        </is>
      </c>
      <c r="L91" s="227">
        <f>$L$48*$L$31</f>
      </c>
      <c r="M91" s="231" t="inlineStr">
        <is>
          <t xml:space="preserve">kN/m²</t>
        </is>
      </c>
      <c r="O91" s="233" t="inlineStr">
        <is>
          <t xml:space="preserve">Pressão da sobrecarga (constante na altura).</t>
        </is>
      </c>
    </row>
    <row r="92">
      <c r="K92" s="223" t="inlineStr">
        <is>
          <t xml:space="preserve">p,total</t>
        </is>
      </c>
      <c r="L92" s="227">
        <f>$L$90+$L$91</f>
      </c>
      <c r="M92" s="231" t="inlineStr">
        <is>
          <t xml:space="preserve">kN/m²</t>
        </is>
      </c>
      <c r="O92" s="233" t="inlineStr">
        <is>
          <t xml:space="preserve">Pressão total no painel 1 → comparar com a tabela do fabricante.</t>
        </is>
      </c>
    </row>
    <row r="93">
      <c r="K93" s="223" t="inlineStr">
        <is>
          <t xml:space="preserve">g</t>
        </is>
      </c>
      <c r="L93" s="227">
        <f>$L$90*MIN($L$35,$L$33)</f>
      </c>
      <c r="M93" s="231" t="inlineStr">
        <is>
          <t xml:space="preserve">kN/m</t>
        </is>
      </c>
      <c r="O93" s="233" t="inlineStr">
        <is>
          <t xml:space="preserve">Carga permanente linear no painel 1 (σg × largura).</t>
        </is>
      </c>
    </row>
    <row r="94">
      <c r="K94" s="223" t="inlineStr">
        <is>
          <t xml:space="preserve">q</t>
        </is>
      </c>
      <c r="L94" s="227">
        <f>$L$91*MIN($L$35,$L$33)</f>
      </c>
      <c r="M94" s="231" t="inlineStr">
        <is>
          <t xml:space="preserve">kN/m</t>
        </is>
      </c>
      <c r="O94" s="233" t="inlineStr">
        <is>
          <t xml:space="preserve">Carga variável linear no painel 1 (σq × largura).</t>
        </is>
      </c>
    </row>
    <row r="95">
      <c r="K95" s="223" t="inlineStr">
        <is>
          <t xml:space="preserve">Mk</t>
        </is>
      </c>
      <c r="L95" s="227">
        <f>($L$93+$L$94)*$L$36^2/8</f>
      </c>
      <c r="M95" s="231" t="inlineStr">
        <is>
          <t xml:space="preserve">kN·m</t>
        </is>
      </c>
      <c r="O95" s="233" t="inlineStr">
        <is>
          <t xml:space="preserve">Momento no painel 1, biapoiado nos pilares: (g+q)·L²/8.</t>
        </is>
      </c>
    </row>
    <row r="96">
      <c r="K96" s="223" t="inlineStr">
        <is>
          <t xml:space="preserve">Vk</t>
        </is>
      </c>
      <c r="L96" s="227">
        <f>($L$93+$L$94)*$L$36/2</f>
      </c>
      <c r="M96" s="231" t="inlineStr">
        <is>
          <t xml:space="preserve">kN</t>
        </is>
      </c>
      <c r="O96" s="233" t="inlineStr">
        <is>
          <t xml:space="preserve">Cortante / reação de cada lado no pilar: (g+q)·L/2.</t>
        </is>
      </c>
    </row>
    <row r="97">
      <c r="K97" s="222" t="inlineStr">
        <is>
          <t xml:space="preserve">5.2 Todos os painéis</t>
        </is>
      </c>
    </row>
    <row r="98" ht="30" customHeight="1">
      <c r="K98" s="235" t="inlineStr">
        <is>
          <t xml:space="preserve">Painel</t>
        </is>
      </c>
      <c r="L98" s="235" t="inlineStr">
        <is>
          <t xml:space="preserve">z,topo (m)</t>
        </is>
      </c>
      <c r="M98" s="235" t="inlineStr">
        <is>
          <t xml:space="preserve">z,base (m)</t>
        </is>
      </c>
      <c r="N98" s="235" t="inlineStr">
        <is>
          <t xml:space="preserve">σg (kN/m²)</t>
        </is>
      </c>
      <c r="O98" s="235" t="inlineStr">
        <is>
          <t xml:space="preserve">σq (kN/m²)</t>
        </is>
      </c>
      <c r="P98" s="235" t="inlineStr">
        <is>
          <t xml:space="preserve">p,total (kN/m²)</t>
        </is>
      </c>
      <c r="Q98" s="235" t="inlineStr">
        <is>
          <t xml:space="preserve">g (kN/m)</t>
        </is>
      </c>
      <c r="R98" s="235" t="inlineStr">
        <is>
          <t xml:space="preserve">q (kN/m)</t>
        </is>
      </c>
      <c r="S98" s="235" t="inlineStr">
        <is>
          <t xml:space="preserve">Mk (kN·m)</t>
        </is>
      </c>
      <c r="T98" s="235" t="inlineStr">
        <is>
          <t xml:space="preserve">Vk (kN)</t>
        </is>
      </c>
    </row>
    <row r="99">
      <c r="K99" s="237">
        <v>1</v>
      </c>
      <c r="L99" s="227">
        <f>IF((K99-1)*$L$35&gt;=$L$33,"",MAX($L$33-K99*$L$35,0))</f>
      </c>
      <c r="M99" s="227">
        <f>IF(L99="","",$L$33-(K99-1)*$L$35)</f>
      </c>
      <c r="N99" s="227">
        <f>IF(L99="","",$L$48*$L$29*M99)</f>
      </c>
      <c r="O99" s="227">
        <f>IF(L99="","",$L$48*$L$31)</f>
      </c>
      <c r="P99" s="227">
        <f>IF(L99="","",N99+O99)</f>
      </c>
      <c r="Q99" s="227">
        <f>IF(L99="","",N99*(M99-L99))</f>
      </c>
      <c r="R99" s="227">
        <f>IF(L99="","",O99*(M99-L99))</f>
      </c>
      <c r="S99" s="227">
        <f>IF(L99="","",(Q99+R99)*$L$36^2/8)</f>
      </c>
      <c r="T99" s="227">
        <f>IF(L99="","",(Q99+R99)*$L$36/2)</f>
      </c>
    </row>
    <row r="100">
      <c r="K100" s="237">
        <v>2</v>
      </c>
      <c r="L100" s="227">
        <f>IF((K100-1)*$L$35&gt;=$L$33,"",MAX($L$33-K100*$L$35,0))</f>
      </c>
      <c r="M100" s="227">
        <f>IF(L100="","",$L$33-(K100-1)*$L$35)</f>
      </c>
      <c r="N100" s="227">
        <f>IF(L100="","",$L$48*$L$29*M100)</f>
      </c>
      <c r="O100" s="227">
        <f>IF(L100="","",$L$48*$L$31)</f>
      </c>
      <c r="P100" s="227">
        <f>IF(L100="","",N100+O100)</f>
      </c>
      <c r="Q100" s="227">
        <f>IF(L100="","",N100*(M100-L100))</f>
      </c>
      <c r="R100" s="227">
        <f>IF(L100="","",O100*(M100-L100))</f>
      </c>
      <c r="S100" s="227">
        <f>IF(L100="","",(Q100+R100)*$L$36^2/8)</f>
      </c>
      <c r="T100" s="227">
        <f>IF(L100="","",(Q100+R100)*$L$36/2)</f>
      </c>
    </row>
    <row r="101">
      <c r="K101" s="237">
        <v>3</v>
      </c>
      <c r="L101" s="227">
        <f>IF((K101-1)*$L$35&gt;=$L$33,"",MAX($L$33-K101*$L$35,0))</f>
      </c>
      <c r="M101" s="227">
        <f>IF(L101="","",$L$33-(K101-1)*$L$35)</f>
      </c>
      <c r="N101" s="227">
        <f>IF(L101="","",$L$48*$L$29*M101)</f>
      </c>
      <c r="O101" s="227">
        <f>IF(L101="","",$L$48*$L$31)</f>
      </c>
      <c r="P101" s="227">
        <f>IF(L101="","",N101+O101)</f>
      </c>
      <c r="Q101" s="227">
        <f>IF(L101="","",N101*(M101-L101))</f>
      </c>
      <c r="R101" s="227">
        <f>IF(L101="","",O101*(M101-L101))</f>
      </c>
      <c r="S101" s="227">
        <f>IF(L101="","",(Q101+R101)*$L$36^2/8)</f>
      </c>
      <c r="T101" s="227">
        <f>IF(L101="","",(Q101+R101)*$L$36/2)</f>
      </c>
    </row>
    <row r="102">
      <c r="K102" s="237">
        <v>4</v>
      </c>
      <c r="L102" s="227">
        <f>IF((K102-1)*$L$35&gt;=$L$33,"",MAX($L$33-K102*$L$35,0))</f>
      </c>
      <c r="M102" s="227">
        <f>IF(L102="","",$L$33-(K102-1)*$L$35)</f>
      </c>
      <c r="N102" s="227">
        <f>IF(L102="","",$L$48*$L$29*M102)</f>
      </c>
      <c r="O102" s="227">
        <f>IF(L102="","",$L$48*$L$31)</f>
      </c>
      <c r="P102" s="227">
        <f>IF(L102="","",N102+O102)</f>
      </c>
      <c r="Q102" s="227">
        <f>IF(L102="","",N102*(M102-L102))</f>
      </c>
      <c r="R102" s="227">
        <f>IF(L102="","",O102*(M102-L102))</f>
      </c>
      <c r="S102" s="227">
        <f>IF(L102="","",(Q102+R102)*$L$36^2/8)</f>
      </c>
      <c r="T102" s="227">
        <f>IF(L102="","",(Q102+R102)*$L$36/2)</f>
      </c>
    </row>
    <row r="103">
      <c r="K103" s="237">
        <v>5</v>
      </c>
      <c r="L103" s="227">
        <f>IF((K103-1)*$L$35&gt;=$L$33,"",MAX($L$33-K103*$L$35,0))</f>
      </c>
      <c r="M103" s="227">
        <f>IF(L103="","",$L$33-(K103-1)*$L$35)</f>
      </c>
      <c r="N103" s="227">
        <f>IF(L103="","",$L$48*$L$29*M103)</f>
      </c>
      <c r="O103" s="227">
        <f>IF(L103="","",$L$48*$L$31)</f>
      </c>
      <c r="P103" s="227">
        <f>IF(L103="","",N103+O103)</f>
      </c>
      <c r="Q103" s="227">
        <f>IF(L103="","",N103*(M103-L103))</f>
      </c>
      <c r="R103" s="227">
        <f>IF(L103="","",O103*(M103-L103))</f>
      </c>
      <c r="S103" s="227">
        <f>IF(L103="","",(Q103+R103)*$L$36^2/8)</f>
      </c>
      <c r="T103" s="227">
        <f>IF(L103="","",(Q103+R103)*$L$36/2)</f>
      </c>
    </row>
    <row r="104">
      <c r="K104" s="237">
        <v>6</v>
      </c>
      <c r="L104" s="227">
        <f>IF((K104-1)*$L$35&gt;=$L$33,"",MAX($L$33-K104*$L$35,0))</f>
      </c>
      <c r="M104" s="227">
        <f>IF(L104="","",$L$33-(K104-1)*$L$35)</f>
      </c>
      <c r="N104" s="227">
        <f>IF(L104="","",$L$48*$L$29*M104)</f>
      </c>
      <c r="O104" s="227">
        <f>IF(L104="","",$L$48*$L$31)</f>
      </c>
      <c r="P104" s="227">
        <f>IF(L104="","",N104+O104)</f>
      </c>
      <c r="Q104" s="227">
        <f>IF(L104="","",N104*(M104-L104))</f>
      </c>
      <c r="R104" s="227">
        <f>IF(L104="","",O104*(M104-L104))</f>
      </c>
      <c r="S104" s="227">
        <f>IF(L104="","",(Q104+R104)*$L$36^2/8)</f>
      </c>
      <c r="T104" s="227">
        <f>IF(L104="","",(Q104+R104)*$L$36/2)</f>
      </c>
    </row>
    <row r="105">
      <c r="K105" s="237">
        <v>7</v>
      </c>
      <c r="L105" s="227">
        <f>IF((K105-1)*$L$35&gt;=$L$33,"",MAX($L$33-K105*$L$35,0))</f>
      </c>
      <c r="M105" s="227">
        <f>IF(L105="","",$L$33-(K105-1)*$L$35)</f>
      </c>
      <c r="N105" s="227">
        <f>IF(L105="","",$L$48*$L$29*M105)</f>
      </c>
      <c r="O105" s="227">
        <f>IF(L105="","",$L$48*$L$31)</f>
      </c>
      <c r="P105" s="227">
        <f>IF(L105="","",N105+O105)</f>
      </c>
      <c r="Q105" s="227">
        <f>IF(L105="","",N105*(M105-L105))</f>
      </c>
      <c r="R105" s="227">
        <f>IF(L105="","",O105*(M105-L105))</f>
      </c>
      <c r="S105" s="227">
        <f>IF(L105="","",(Q105+R105)*$L$36^2/8)</f>
      </c>
      <c r="T105" s="227">
        <f>IF(L105="","",(Q105+R105)*$L$36/2)</f>
      </c>
    </row>
    <row r="106">
      <c r="K106" s="237">
        <v>8</v>
      </c>
      <c r="L106" s="227">
        <f>IF((K106-1)*$L$35&gt;=$L$33,"",MAX($L$33-K106*$L$35,0))</f>
      </c>
      <c r="M106" s="227">
        <f>IF(L106="","",$L$33-(K106-1)*$L$35)</f>
      </c>
      <c r="N106" s="227">
        <f>IF(L106="","",$L$48*$L$29*M106)</f>
      </c>
      <c r="O106" s="227">
        <f>IF(L106="","",$L$48*$L$31)</f>
      </c>
      <c r="P106" s="227">
        <f>IF(L106="","",N106+O106)</f>
      </c>
      <c r="Q106" s="227">
        <f>IF(L106="","",N106*(M106-L106))</f>
      </c>
      <c r="R106" s="227">
        <f>IF(L106="","",O106*(M106-L106))</f>
      </c>
      <c r="S106" s="227">
        <f>IF(L106="","",(Q106+R106)*$L$36^2/8)</f>
      </c>
      <c r="T106" s="227">
        <f>IF(L106="","",(Q106+R106)*$L$36/2)</f>
      </c>
    </row>
    <row r="107">
      <c r="K107" s="237">
        <v>9</v>
      </c>
      <c r="L107" s="227">
        <f>IF((K107-1)*$L$35&gt;=$L$33,"",MAX($L$33-K107*$L$35,0))</f>
      </c>
      <c r="M107" s="227">
        <f>IF(L107="","",$L$33-(K107-1)*$L$35)</f>
      </c>
      <c r="N107" s="227">
        <f>IF(L107="","",$L$48*$L$29*M107)</f>
      </c>
      <c r="O107" s="227">
        <f>IF(L107="","",$L$48*$L$31)</f>
      </c>
      <c r="P107" s="227">
        <f>IF(L107="","",N107+O107)</f>
      </c>
      <c r="Q107" s="227">
        <f>IF(L107="","",N107*(M107-L107))</f>
      </c>
      <c r="R107" s="227">
        <f>IF(L107="","",O107*(M107-L107))</f>
      </c>
      <c r="S107" s="227">
        <f>IF(L107="","",(Q107+R107)*$L$36^2/8)</f>
      </c>
      <c r="T107" s="227">
        <f>IF(L107="","",(Q107+R107)*$L$36/2)</f>
      </c>
    </row>
    <row r="108">
      <c r="K108" s="237">
        <v>10</v>
      </c>
      <c r="L108" s="227">
        <f>IF((K108-1)*$L$35&gt;=$L$33,"",MAX($L$33-K108*$L$35,0))</f>
      </c>
      <c r="M108" s="227">
        <f>IF(L108="","",$L$33-(K108-1)*$L$35)</f>
      </c>
      <c r="N108" s="227">
        <f>IF(L108="","",$L$48*$L$29*M108)</f>
      </c>
      <c r="O108" s="227">
        <f>IF(L108="","",$L$48*$L$31)</f>
      </c>
      <c r="P108" s="227">
        <f>IF(L108="","",N108+O108)</f>
      </c>
      <c r="Q108" s="227">
        <f>IF(L108="","",N108*(M108-L108))</f>
      </c>
      <c r="R108" s="227">
        <f>IF(L108="","",O108*(M108-L108))</f>
      </c>
      <c r="S108" s="227">
        <f>IF(L108="","",(Q108+R108)*$L$36^2/8)</f>
      </c>
      <c r="T108" s="227">
        <f>IF(L108="","",(Q108+R108)*$L$36/2)</f>
      </c>
    </row>
    <row r="110">
      <c r="K110" s="221" t="inlineStr">
        <is>
          <t xml:space="preserve">6 . DIAGRAMAS DE CARGA (atualizam automaticamente)</t>
        </is>
      </c>
      <c r="L110" s="221"/>
      <c r="M110" s="221"/>
      <c r="N110" s="221"/>
      <c r="O110" s="221"/>
      <c r="P110" s="221"/>
      <c r="Q110" s="221"/>
      <c r="R110" s="221"/>
      <c r="S110" s="221"/>
      <c r="T110" s="221"/>
    </row>
    <row r="112" ht="75" customHeight="1">
      <c r="K112" s="220" t="inlineStr">
        <is>
          <t xml:space="preserve">Gráficos de dispersão desenhados a partir da tabela de coordenadas do item 6.1. À esquerda: pilar com a carga trapezoidal (kN/m), a resultante E e as reações. À direita: parede de placas alveolares com a pressão real (vermelho) e a pressão adotada em cada painel (azul, constante = valor da borda inferior). O eixo está em PRESSÃO (kN/m²); os rótulos P1, P2… trazem a CARGA NA PLACA (kN/m) = pressão × bw, a mesma da tabela 5.2 (ex.: 23,75 × 1,25 = 29,69 kN/m de solo e 2,64 × 1,25 = 3,30 kN/m de sobrecarga).</t>
        </is>
      </c>
      <c r="L112" s="220"/>
      <c r="M112" s="220"/>
      <c r="N112" s="220"/>
      <c r="O112" s="220"/>
      <c r="P112" s="220"/>
      <c r="Q112" s="220"/>
      <c r="R112" s="220"/>
      <c r="S112" s="220"/>
      <c r="T112" s="220"/>
    </row>
    <row r="143">
      <c r="K143" s="222" t="inlineStr">
        <is>
          <t xml:space="preserve">6.1 Coordenadas do desenho (não editar)</t>
        </is>
      </c>
    </row>
    <row r="144">
      <c r="K144" s="235" t="inlineStr">
        <is>
          <t xml:space="preserve">Série</t>
        </is>
      </c>
      <c r="L144" s="235" t="inlineStr">
        <is>
          <t xml:space="preserve">x</t>
        </is>
      </c>
      <c r="M144" s="235" t="inlineStr">
        <is>
          <t xml:space="preserve">y (m)</t>
        </is>
      </c>
    </row>
    <row r="145">
      <c r="K145" s="237" t="inlineStr">
        <is>
          <t xml:space="preserve">Pilar</t>
        </is>
      </c>
      <c r="L145" s="227">
        <v>0</v>
      </c>
      <c r="M145" s="227">
        <v>0</v>
      </c>
    </row>
    <row r="146">
      <c r="K146" s="237"/>
      <c r="L146" s="227">
        <v>0</v>
      </c>
      <c r="M146" s="227">
        <f>$L$33</f>
      </c>
    </row>
    <row r="147">
      <c r="K147" s="237" t="inlineStr">
        <is>
          <t xml:space="preserve">Carga (kN/m)</t>
        </is>
      </c>
      <c r="L147" s="227">
        <v>0</v>
      </c>
      <c r="M147" s="227">
        <f>$L$33</f>
      </c>
    </row>
    <row r="148">
      <c r="K148" s="237"/>
      <c r="L148" s="227">
        <f>$L$59</f>
      </c>
      <c r="M148" s="227">
        <f>$L$33</f>
      </c>
    </row>
    <row r="149">
      <c r="K149" s="237"/>
      <c r="L149" s="227">
        <f>$L$60</f>
      </c>
      <c r="M149" s="227">
        <v>0</v>
      </c>
    </row>
    <row r="150">
      <c r="K150" s="237"/>
      <c r="L150" s="227">
        <v>0</v>
      </c>
      <c r="M150" s="227">
        <v>0</v>
      </c>
    </row>
    <row r="151">
      <c r="K151" s="237" t="inlineStr">
        <is>
          <t xml:space="preserve">Sc | solo</t>
        </is>
      </c>
      <c r="L151" s="227">
        <f>$L$59</f>
      </c>
      <c r="M151" s="227">
        <f>$L$33</f>
      </c>
    </row>
    <row r="152">
      <c r="K152" s="237"/>
      <c r="L152" s="227">
        <f>$L$59</f>
      </c>
      <c r="M152" s="227">
        <v>0</v>
      </c>
    </row>
    <row r="153">
      <c r="K153" s="237" t="inlineStr">
        <is>
          <t xml:space="preserve">seta</t>
        </is>
      </c>
      <c r="L153" s="227">
        <f>$L$60-$L$61*1/6</f>
      </c>
      <c r="M153" s="227">
        <f>$L$33*1/6</f>
      </c>
    </row>
    <row r="154">
      <c r="K154" s="237"/>
      <c r="L154" s="227">
        <v>0</v>
      </c>
      <c r="M154" s="227">
        <f>$L$33*1/6</f>
      </c>
    </row>
    <row r="155">
      <c r="K155" s="237" t="inlineStr">
        <is>
          <t xml:space="preserve">seta</t>
        </is>
      </c>
      <c r="L155" s="227">
        <f>$L$60-$L$61*2/6</f>
      </c>
      <c r="M155" s="227">
        <f>$L$33*2/6</f>
      </c>
    </row>
    <row r="156">
      <c r="K156" s="237"/>
      <c r="L156" s="227">
        <v>0</v>
      </c>
      <c r="M156" s="227">
        <f>$L$33*2/6</f>
      </c>
    </row>
    <row r="157">
      <c r="K157" s="237" t="inlineStr">
        <is>
          <t xml:space="preserve">seta</t>
        </is>
      </c>
      <c r="L157" s="227">
        <f>$L$60-$L$61*3/6</f>
      </c>
      <c r="M157" s="227">
        <f>$L$33*3/6</f>
      </c>
    </row>
    <row r="158">
      <c r="K158" s="237"/>
      <c r="L158" s="227">
        <v>0</v>
      </c>
      <c r="M158" s="227">
        <f>$L$33*3/6</f>
      </c>
    </row>
    <row r="159">
      <c r="K159" s="237" t="inlineStr">
        <is>
          <t xml:space="preserve">seta</t>
        </is>
      </c>
      <c r="L159" s="227">
        <f>$L$60-$L$61*4/6</f>
      </c>
      <c r="M159" s="227">
        <f>$L$33*4/6</f>
      </c>
    </row>
    <row r="160">
      <c r="K160" s="237"/>
      <c r="L160" s="227">
        <v>0</v>
      </c>
      <c r="M160" s="227">
        <f>$L$33*4/6</f>
      </c>
    </row>
    <row r="161">
      <c r="K161" s="237" t="inlineStr">
        <is>
          <t xml:space="preserve">seta</t>
        </is>
      </c>
      <c r="L161" s="227">
        <f>$L$60-$L$61*5/6</f>
      </c>
      <c r="M161" s="227">
        <f>$L$33*5/6</f>
      </c>
    </row>
    <row r="162">
      <c r="K162" s="237"/>
      <c r="L162" s="227">
        <v>0</v>
      </c>
      <c r="M162" s="227">
        <f>$L$33*5/6</f>
      </c>
    </row>
    <row r="163">
      <c r="K163" s="237" t="inlineStr">
        <is>
          <t xml:space="preserve">E</t>
        </is>
      </c>
      <c r="L163" s="227">
        <f>MAX($L$59,$L$60)*1.15</f>
      </c>
      <c r="M163" s="227">
        <f>$L$65</f>
      </c>
    </row>
    <row r="164">
      <c r="K164" s="237"/>
      <c r="L164" s="227">
        <v>0</v>
      </c>
      <c r="M164" s="227">
        <f>$L$65</f>
      </c>
    </row>
    <row r="165">
      <c r="K165" s="237" t="inlineStr">
        <is>
          <t xml:space="preserve">R,topo</t>
        </is>
      </c>
      <c r="L165" s="227">
        <f>IF($L$39="Balanço",NA(),0)</f>
      </c>
      <c r="M165" s="227">
        <f>$L$33</f>
      </c>
    </row>
    <row r="166">
      <c r="K166" s="237"/>
      <c r="L166" s="227">
        <f>IF($L$39="Balanço",NA(),-0.35*$L$60)</f>
      </c>
      <c r="M166" s="227">
        <f>$L$33</f>
      </c>
    </row>
    <row r="167">
      <c r="K167" s="237" t="inlineStr">
        <is>
          <t xml:space="preserve">R,base</t>
        </is>
      </c>
      <c r="L167" s="227">
        <v>0</v>
      </c>
      <c r="M167" s="227">
        <v>0</v>
      </c>
    </row>
    <row r="168">
      <c r="K168" s="237"/>
      <c r="L168" s="227">
        <f>-0.35*$L$60</f>
      </c>
      <c r="M168" s="227">
        <v>0</v>
      </c>
    </row>
    <row r="169">
      <c r="K169" s="237">
        <f>"p,topo = "&amp;FIXED($L$59,2)&amp;" kN/m"</f>
      </c>
      <c r="L169" s="227">
        <f>$L$59</f>
      </c>
      <c r="M169" s="227">
        <f>$L$33</f>
      </c>
    </row>
    <row r="170">
      <c r="K170" s="237">
        <f>"p,base = "&amp;FIXED($L$60,2)&amp;" kN/m"</f>
      </c>
      <c r="L170" s="227">
        <f>$L$60</f>
      </c>
      <c r="M170" s="227">
        <v>0</v>
      </c>
    </row>
    <row r="171">
      <c r="K171" s="237">
        <f>"E = "&amp;FIXED($L$63,1)&amp;" kN (y = "&amp;FIXED($L$65,2)&amp;" m)"</f>
      </c>
      <c r="L171" s="227">
        <f>MAX($L$59,$L$60)*1.15</f>
      </c>
      <c r="M171" s="227">
        <f>$L$65</f>
      </c>
    </row>
    <row r="172">
      <c r="K172" s="237">
        <f>"R,topo = "&amp;FIXED($L$78,1)&amp;" kN → laje"</f>
      </c>
      <c r="L172" s="227">
        <f>IF($L$39="Balanço",NA(),-0.35*$L$60)</f>
      </c>
      <c r="M172" s="227">
        <f>$L$33</f>
      </c>
    </row>
    <row r="173">
      <c r="K173" s="237">
        <f>"R,base = "&amp;FIXED($L$79,1)&amp;" kN"</f>
      </c>
      <c r="L173" s="227">
        <f>-0.35*$L$60</f>
      </c>
      <c r="M173" s="227">
        <v>0</v>
      </c>
    </row>
    <row r="174">
      <c r="K174" s="237" t="inlineStr">
        <is>
          <t xml:space="preserve">Placas</t>
        </is>
      </c>
      <c r="L174" s="227">
        <v>0</v>
      </c>
      <c r="M174" s="227">
        <v>0</v>
      </c>
    </row>
    <row r="175">
      <c r="K175" s="237"/>
      <c r="L175" s="227">
        <v>0</v>
      </c>
      <c r="M175" s="227">
        <f>$L$33</f>
      </c>
    </row>
    <row r="176">
      <c r="K176" s="237" t="inlineStr">
        <is>
          <t xml:space="preserve">Pressão real</t>
        </is>
      </c>
      <c r="L176" s="227">
        <v>0</v>
      </c>
      <c r="M176" s="227">
        <f>$L$33</f>
      </c>
    </row>
    <row r="177">
      <c r="K177" s="237"/>
      <c r="L177" s="227">
        <f>$L$51</f>
      </c>
      <c r="M177" s="227">
        <f>$L$33</f>
      </c>
    </row>
    <row r="178">
      <c r="K178" s="237"/>
      <c r="L178" s="227">
        <f>$L$52</f>
      </c>
      <c r="M178" s="227">
        <v>0</v>
      </c>
    </row>
    <row r="179">
      <c r="K179" s="237"/>
      <c r="L179" s="227">
        <v>0</v>
      </c>
      <c r="M179" s="227">
        <v>0</v>
      </c>
    </row>
    <row r="180">
      <c r="K180" s="237" t="inlineStr">
        <is>
          <t xml:space="preserve">Sc | solo</t>
        </is>
      </c>
      <c r="L180" s="227">
        <f>$L$51</f>
      </c>
      <c r="M180" s="227">
        <f>$L$33</f>
      </c>
    </row>
    <row r="181">
      <c r="K181" s="237"/>
      <c r="L181" s="227">
        <f>$L$51</f>
      </c>
      <c r="M181" s="227">
        <v>0</v>
      </c>
    </row>
    <row r="182">
      <c r="K182" s="237" t="inlineStr">
        <is>
          <t xml:space="preserve">seta</t>
        </is>
      </c>
      <c r="L182" s="227">
        <f>$L$52-($L$52-$L$51)*1/4</f>
      </c>
      <c r="M182" s="227">
        <f>$L$33*1/4</f>
      </c>
    </row>
    <row r="183">
      <c r="K183" s="237"/>
      <c r="L183" s="227">
        <v>0</v>
      </c>
      <c r="M183" s="227">
        <f>$L$33*1/4</f>
      </c>
    </row>
    <row r="184">
      <c r="K184" s="237" t="inlineStr">
        <is>
          <t xml:space="preserve">seta</t>
        </is>
      </c>
      <c r="L184" s="227">
        <f>$L$52-($L$52-$L$51)*2/4</f>
      </c>
      <c r="M184" s="227">
        <f>$L$33*2/4</f>
      </c>
    </row>
    <row r="185">
      <c r="K185" s="237"/>
      <c r="L185" s="227">
        <v>0</v>
      </c>
      <c r="M185" s="227">
        <f>$L$33*2/4</f>
      </c>
    </row>
    <row r="186">
      <c r="K186" s="237" t="inlineStr">
        <is>
          <t xml:space="preserve">seta</t>
        </is>
      </c>
      <c r="L186" s="227">
        <f>$L$52-($L$52-$L$51)*3/4</f>
      </c>
      <c r="M186" s="227">
        <f>$L$33*3/4</f>
      </c>
    </row>
    <row r="187">
      <c r="K187" s="237"/>
      <c r="L187" s="227">
        <v>0</v>
      </c>
      <c r="M187" s="227">
        <f>$L$33*3/4</f>
      </c>
    </row>
    <row r="188">
      <c r="K188" s="237" t="inlineStr">
        <is>
          <t xml:space="preserve">Pressão adotada por painel</t>
        </is>
      </c>
      <c r="L188" s="227">
        <f>P99</f>
      </c>
      <c r="M188" s="227">
        <f>$L$33-M99</f>
      </c>
    </row>
    <row r="189">
      <c r="K189" s="237"/>
      <c r="L189" s="227">
        <f>P99</f>
      </c>
      <c r="M189" s="227">
        <f>$L$33-L99</f>
      </c>
    </row>
    <row r="190">
      <c r="K190" s="237"/>
      <c r="L190" s="227">
        <f>IF(L100="",L189,P100)</f>
      </c>
      <c r="M190" s="227">
        <f>IF(L100="",M189,$L$33-M100)</f>
      </c>
    </row>
    <row r="191">
      <c r="K191" s="237"/>
      <c r="L191" s="227">
        <f>IF(L100="",L190,P100)</f>
      </c>
      <c r="M191" s="227">
        <f>IF(L100="",M190,$L$33-L100)</f>
      </c>
    </row>
    <row r="192">
      <c r="K192" s="237"/>
      <c r="L192" s="227">
        <f>IF(L101="",L191,P101)</f>
      </c>
      <c r="M192" s="227">
        <f>IF(L101="",M191,$L$33-M101)</f>
      </c>
    </row>
    <row r="193">
      <c r="K193" s="237"/>
      <c r="L193" s="227">
        <f>IF(L101="",L192,P101)</f>
      </c>
      <c r="M193" s="227">
        <f>IF(L101="",M192,$L$33-L101)</f>
      </c>
    </row>
    <row r="194">
      <c r="K194" s="237"/>
      <c r="L194" s="227">
        <f>IF(L102="",L193,P102)</f>
      </c>
      <c r="M194" s="227">
        <f>IF(L102="",M193,$L$33-M102)</f>
      </c>
    </row>
    <row r="195">
      <c r="K195" s="237"/>
      <c r="L195" s="227">
        <f>IF(L102="",L194,P102)</f>
      </c>
      <c r="M195" s="227">
        <f>IF(L102="",M194,$L$33-L102)</f>
      </c>
    </row>
    <row r="196">
      <c r="K196" s="237"/>
      <c r="L196" s="227">
        <f>IF(L103="",L195,P103)</f>
      </c>
      <c r="M196" s="227">
        <f>IF(L103="",M195,$L$33-M103)</f>
      </c>
    </row>
    <row r="197">
      <c r="K197" s="237"/>
      <c r="L197" s="227">
        <f>IF(L103="",L196,P103)</f>
      </c>
      <c r="M197" s="227">
        <f>IF(L103="",M196,$L$33-L103)</f>
      </c>
    </row>
    <row r="198">
      <c r="K198" s="237"/>
      <c r="L198" s="227">
        <f>IF(L104="",L197,P104)</f>
      </c>
      <c r="M198" s="227">
        <f>IF(L104="",M197,$L$33-M104)</f>
      </c>
    </row>
    <row r="199">
      <c r="K199" s="237"/>
      <c r="L199" s="227">
        <f>IF(L104="",L198,P104)</f>
      </c>
      <c r="M199" s="227">
        <f>IF(L104="",M198,$L$33-L104)</f>
      </c>
    </row>
    <row r="200">
      <c r="K200" s="237"/>
      <c r="L200" s="227">
        <f>IF(L105="",L199,P105)</f>
      </c>
      <c r="M200" s="227">
        <f>IF(L105="",M199,$L$33-M105)</f>
      </c>
    </row>
    <row r="201">
      <c r="K201" s="237"/>
      <c r="L201" s="227">
        <f>IF(L105="",L200,P105)</f>
      </c>
      <c r="M201" s="227">
        <f>IF(L105="",M200,$L$33-L105)</f>
      </c>
    </row>
    <row r="202">
      <c r="K202" s="237"/>
      <c r="L202" s="227">
        <f>IF(L106="",L201,P106)</f>
      </c>
      <c r="M202" s="227">
        <f>IF(L106="",M201,$L$33-M106)</f>
      </c>
    </row>
    <row r="203">
      <c r="K203" s="237"/>
      <c r="L203" s="227">
        <f>IF(L106="",L202,P106)</f>
      </c>
      <c r="M203" s="227">
        <f>IF(L106="",M202,$L$33-L106)</f>
      </c>
    </row>
    <row r="204">
      <c r="K204" s="237"/>
      <c r="L204" s="227">
        <f>IF(L107="",L203,P107)</f>
      </c>
      <c r="M204" s="227">
        <f>IF(L107="",M203,$L$33-M107)</f>
      </c>
    </row>
    <row r="205">
      <c r="K205" s="237"/>
      <c r="L205" s="227">
        <f>IF(L107="",L204,P107)</f>
      </c>
      <c r="M205" s="227">
        <f>IF(L107="",M204,$L$33-L107)</f>
      </c>
    </row>
    <row r="206">
      <c r="K206" s="237"/>
      <c r="L206" s="227">
        <f>IF(L108="",L205,P108)</f>
      </c>
      <c r="M206" s="227">
        <f>IF(L108="",M205,$L$33-M108)</f>
      </c>
    </row>
    <row r="207">
      <c r="K207" s="237"/>
      <c r="L207" s="227">
        <f>IF(L108="",L206,P108)</f>
      </c>
      <c r="M207" s="227">
        <f>IF(L108="",M206,$L$33-L108)</f>
      </c>
    </row>
    <row r="208">
      <c r="K208" s="237" t="inlineStr">
        <is>
          <t xml:space="preserve">junta 1</t>
        </is>
      </c>
      <c r="L208" s="227">
        <f>IF($L$35*1&lt;$L$33,0,NA())</f>
      </c>
      <c r="M208" s="227">
        <f>$L$35*1</f>
      </c>
    </row>
    <row r="209">
      <c r="K209" s="237"/>
      <c r="L209" s="227">
        <f>IF($L$35*1&lt;$L$33,$L$52*1.05,NA())</f>
      </c>
      <c r="M209" s="227">
        <f>$L$35*1</f>
      </c>
    </row>
    <row r="210">
      <c r="K210" s="237" t="inlineStr">
        <is>
          <t xml:space="preserve">junta 2</t>
        </is>
      </c>
      <c r="L210" s="227">
        <f>IF($L$35*2&lt;$L$33,0,NA())</f>
      </c>
      <c r="M210" s="227">
        <f>$L$35*2</f>
      </c>
    </row>
    <row r="211">
      <c r="K211" s="237"/>
      <c r="L211" s="227">
        <f>IF($L$35*2&lt;$L$33,$L$52*1.05,NA())</f>
      </c>
      <c r="M211" s="227">
        <f>$L$35*2</f>
      </c>
    </row>
    <row r="212">
      <c r="K212" s="237" t="inlineStr">
        <is>
          <t xml:space="preserve">junta 3</t>
        </is>
      </c>
      <c r="L212" s="227">
        <f>IF($L$35*3&lt;$L$33,0,NA())</f>
      </c>
      <c r="M212" s="227">
        <f>$L$35*3</f>
      </c>
    </row>
    <row r="213">
      <c r="K213" s="237"/>
      <c r="L213" s="227">
        <f>IF($L$35*3&lt;$L$33,$L$52*1.05,NA())</f>
      </c>
      <c r="M213" s="227">
        <f>$L$35*3</f>
      </c>
    </row>
    <row r="214">
      <c r="K214" s="237" t="inlineStr">
        <is>
          <t xml:space="preserve">junta 4</t>
        </is>
      </c>
      <c r="L214" s="227">
        <f>IF($L$35*4&lt;$L$33,0,NA())</f>
      </c>
      <c r="M214" s="227">
        <f>$L$35*4</f>
      </c>
    </row>
    <row r="215">
      <c r="K215" s="237"/>
      <c r="L215" s="227">
        <f>IF($L$35*4&lt;$L$33,$L$52*1.05,NA())</f>
      </c>
      <c r="M215" s="227">
        <f>$L$35*4</f>
      </c>
    </row>
    <row r="216">
      <c r="K216" s="237" t="inlineStr">
        <is>
          <t xml:space="preserve">junta 5</t>
        </is>
      </c>
      <c r="L216" s="227">
        <f>IF($L$35*5&lt;$L$33,0,NA())</f>
      </c>
      <c r="M216" s="227">
        <f>$L$35*5</f>
      </c>
    </row>
    <row r="217">
      <c r="K217" s="237"/>
      <c r="L217" s="227">
        <f>IF($L$35*5&lt;$L$33,$L$52*1.05,NA())</f>
      </c>
      <c r="M217" s="227">
        <f>$L$35*5</f>
      </c>
    </row>
    <row r="218">
      <c r="K218" s="237" t="inlineStr">
        <is>
          <t xml:space="preserve">junta 6</t>
        </is>
      </c>
      <c r="L218" s="227">
        <f>IF($L$35*6&lt;$L$33,0,NA())</f>
      </c>
      <c r="M218" s="227">
        <f>$L$35*6</f>
      </c>
    </row>
    <row r="219">
      <c r="K219" s="237"/>
      <c r="L219" s="227">
        <f>IF($L$35*6&lt;$L$33,$L$52*1.05,NA())</f>
      </c>
      <c r="M219" s="227">
        <f>$L$35*6</f>
      </c>
    </row>
    <row r="220">
      <c r="K220" s="237" t="inlineStr">
        <is>
          <t xml:space="preserve">junta 7</t>
        </is>
      </c>
      <c r="L220" s="227">
        <f>IF($L$35*7&lt;$L$33,0,NA())</f>
      </c>
      <c r="M220" s="227">
        <f>$L$35*7</f>
      </c>
    </row>
    <row r="221">
      <c r="K221" s="237"/>
      <c r="L221" s="227">
        <f>IF($L$35*7&lt;$L$33,$L$52*1.05,NA())</f>
      </c>
      <c r="M221" s="227">
        <f>$L$35*7</f>
      </c>
    </row>
    <row r="222">
      <c r="K222" s="237" t="inlineStr">
        <is>
          <t xml:space="preserve">junta 8</t>
        </is>
      </c>
      <c r="L222" s="227">
        <f>IF($L$35*8&lt;$L$33,0,NA())</f>
      </c>
      <c r="M222" s="227">
        <f>$L$35*8</f>
      </c>
    </row>
    <row r="223">
      <c r="K223" s="237"/>
      <c r="L223" s="227">
        <f>IF($L$35*8&lt;$L$33,$L$52*1.05,NA())</f>
      </c>
      <c r="M223" s="227">
        <f>$L$35*8</f>
      </c>
    </row>
    <row r="224">
      <c r="K224" s="237" t="inlineStr">
        <is>
          <t xml:space="preserve">junta 9</t>
        </is>
      </c>
      <c r="L224" s="227">
        <f>IF($L$35*9&lt;$L$33,0,NA())</f>
      </c>
      <c r="M224" s="227">
        <f>$L$35*9</f>
      </c>
    </row>
    <row r="225">
      <c r="K225" s="237"/>
      <c r="L225" s="227">
        <f>IF($L$35*9&lt;$L$33,$L$52*1.05,NA())</f>
      </c>
      <c r="M225" s="227">
        <f>$L$35*9</f>
      </c>
    </row>
    <row r="226">
      <c r="K226" s="237">
        <f>"σq = "&amp;FIXED($L$51,2)&amp;" kN/m² (Sc)"</f>
      </c>
      <c r="L226" s="227">
        <f>$L$51</f>
      </c>
      <c r="M226" s="227">
        <f>$L$33</f>
      </c>
    </row>
    <row r="227">
      <c r="K227" s="237">
        <f>"σ,base = "&amp;FIXED($L$52,2)&amp;" kN/m² = solo "&amp;FIXED($L$53,2)&amp;" + Sc "&amp;FIXED($L$51,2)</f>
      </c>
      <c r="L227" s="227">
        <f>$L$52</f>
      </c>
      <c r="M227" s="227">
        <v>0</v>
      </c>
    </row>
    <row r="228">
      <c r="K228" s="237">
        <f>IF(L99="","","P1: g = "&amp;FIXED(Q99,2)&amp;" | q = "&amp;FIXED(R99,2)&amp;" kN/m")</f>
      </c>
      <c r="L228" s="227">
        <f>IF(L99="",NA(),P99)</f>
      </c>
      <c r="M228" s="227">
        <f>IF(L99="",NA(),$L$33-(L99+M99)/2)</f>
      </c>
    </row>
    <row r="229">
      <c r="K229" s="237">
        <f>IF(L100="","","P2: g = "&amp;FIXED(Q100,2)&amp;" | q = "&amp;FIXED(R100,2)&amp;" kN/m")</f>
      </c>
      <c r="L229" s="227">
        <f>IF(L100="",NA(),P100)</f>
      </c>
      <c r="M229" s="227">
        <f>IF(L100="",NA(),$L$33-(L100+M100)/2)</f>
      </c>
    </row>
    <row r="230">
      <c r="K230" s="237">
        <f>IF(L101="","","P3: g = "&amp;FIXED(Q101,2)&amp;" | q = "&amp;FIXED(R101,2)&amp;" kN/m")</f>
      </c>
      <c r="L230" s="227">
        <f>IF(L101="",NA(),P101)</f>
      </c>
      <c r="M230" s="227">
        <f>IF(L101="",NA(),$L$33-(L101+M101)/2)</f>
      </c>
    </row>
    <row r="231">
      <c r="K231" s="237">
        <f>IF(L102="","","P4: g = "&amp;FIXED(Q102,2)&amp;" | q = "&amp;FIXED(R102,2)&amp;" kN/m")</f>
      </c>
      <c r="L231" s="227">
        <f>IF(L102="",NA(),P102)</f>
      </c>
      <c r="M231" s="227">
        <f>IF(L102="",NA(),$L$33-(L102+M102)/2)</f>
      </c>
    </row>
    <row r="232">
      <c r="K232" s="237">
        <f>IF(L103="","","P5: g = "&amp;FIXED(Q103,2)&amp;" | q = "&amp;FIXED(R103,2)&amp;" kN/m")</f>
      </c>
      <c r="L232" s="227">
        <f>IF(L103="",NA(),P103)</f>
      </c>
      <c r="M232" s="227">
        <f>IF(L103="",NA(),$L$33-(L103+M103)/2)</f>
      </c>
    </row>
    <row r="233">
      <c r="K233" s="237">
        <f>IF(L104="","","P6: g = "&amp;FIXED(Q104,2)&amp;" | q = "&amp;FIXED(R104,2)&amp;" kN/m")</f>
      </c>
      <c r="L233" s="227">
        <f>IF(L104="",NA(),P104)</f>
      </c>
      <c r="M233" s="227">
        <f>IF(L104="",NA(),$L$33-(L104+M104)/2)</f>
      </c>
    </row>
    <row r="234">
      <c r="K234" s="237">
        <f>IF(L105="","","P7: g = "&amp;FIXED(Q105,2)&amp;" | q = "&amp;FIXED(R105,2)&amp;" kN/m")</f>
      </c>
      <c r="L234" s="227">
        <f>IF(L105="",NA(),P105)</f>
      </c>
      <c r="M234" s="227">
        <f>IF(L105="",NA(),$L$33-(L105+M105)/2)</f>
      </c>
    </row>
    <row r="235">
      <c r="K235" s="237">
        <f>IF(L106="","","P8: g = "&amp;FIXED(Q106,2)&amp;" | q = "&amp;FIXED(R106,2)&amp;" kN/m")</f>
      </c>
      <c r="L235" s="227">
        <f>IF(L106="",NA(),P106)</f>
      </c>
      <c r="M235" s="227">
        <f>IF(L106="",NA(),$L$33-(L106+M106)/2)</f>
      </c>
    </row>
    <row r="236">
      <c r="K236" s="237">
        <f>IF(L107="","","P9: g = "&amp;FIXED(Q107,2)&amp;" | q = "&amp;FIXED(R107,2)&amp;" kN/m")</f>
      </c>
      <c r="L236" s="227">
        <f>IF(L107="",NA(),P107)</f>
      </c>
      <c r="M236" s="227">
        <f>IF(L107="",NA(),$L$33-(L107+M107)/2)</f>
      </c>
    </row>
    <row r="237">
      <c r="K237" s="237">
        <f>IF(L108="","","P10: g = "&amp;FIXED(Q108,2)&amp;" | q = "&amp;FIXED(R108,2)&amp;" kN/m")</f>
      </c>
      <c r="L237" s="227">
        <f>IF(L108="",NA(),P108)</f>
      </c>
      <c r="M237" s="227">
        <f>IF(L108="",NA(),$L$33-(L108+M108)/2)</f>
      </c>
    </row>
    <row r="239">
      <c r="K239" s="221" t="inlineStr">
        <is>
          <t xml:space="preserve">7 . CONFERÊNCIA DA ABA MURO DE ARRIMO</t>
        </is>
      </c>
      <c r="L239" s="221"/>
      <c r="M239" s="221"/>
      <c r="N239" s="221"/>
      <c r="O239" s="221"/>
      <c r="P239" s="221"/>
      <c r="Q239" s="221"/>
      <c r="R239" s="221"/>
      <c r="S239" s="221"/>
      <c r="T239" s="221"/>
    </row>
    <row r="241" ht="18" customHeight="1">
      <c r="K241" s="220" t="inlineStr">
        <is>
          <t xml:space="preserve">Pontos encontrados na aba original (nada foi alterado nela). Esta aba já calcula tudo corrigido.</t>
        </is>
      </c>
      <c r="L241" s="220"/>
      <c r="M241" s="220"/>
      <c r="N241" s="220"/>
      <c r="O241" s="220"/>
      <c r="P241" s="220"/>
      <c r="Q241" s="220"/>
      <c r="R241" s="220"/>
      <c r="S241" s="220"/>
      <c r="T241" s="220"/>
    </row>
    <row r="242">
      <c r="K242" s="222" t="inlineStr">
        <is>
          <t xml:space="preserve">7.1 Região L2:X40 (a que você usa)</t>
        </is>
      </c>
    </row>
    <row r="243" ht="17" customHeight="1">
      <c r="K243" s="238" t="inlineStr">
        <is>
          <t xml:space="preserve">M11:M12</t>
        </is>
      </c>
      <c r="L243" s="241" t="inlineStr">
        <is>
          <t xml:space="preserve">#REF! – referência apagada. São cópias antigas de M22/M23 (corretas). Podem ser apagadas.</t>
        </is>
      </c>
      <c r="M243" s="241"/>
      <c r="N243" s="241"/>
      <c r="O243" s="241"/>
      <c r="P243" s="241"/>
      <c r="Q243" s="241"/>
      <c r="R243" s="241"/>
      <c r="S243" s="241"/>
      <c r="T243" s="241"/>
    </row>
    <row r="244" ht="32" customHeight="1">
      <c r="K244" s="238" t="inlineStr">
        <is>
          <t xml:space="preserve">M22:M26</t>
        </is>
      </c>
      <c r="L244" s="241" t="inlineStr">
        <is>
          <t xml:space="preserve">Carga no pilar só com o solo, sem a sobrecarga Sc (M30/M31 já incluem). Aqui: E (com Sc) e E,solo (sem Sc) – item 3.2.</t>
        </is>
      </c>
      <c r="M244" s="241"/>
      <c r="N244" s="241"/>
      <c r="O244" s="241"/>
      <c r="P244" s="241"/>
      <c r="Q244" s="241"/>
      <c r="R244" s="241"/>
      <c r="S244" s="241"/>
      <c r="T244" s="241"/>
    </row>
    <row r="245" ht="17" customHeight="1">
      <c r="K245" s="238" t="inlineStr">
        <is>
          <t xml:space="preserve">M26</t>
        </is>
      </c>
      <c r="L245" s="241" t="inlineStr">
        <is>
          <t xml:space="preserve">Momento sem unidade: o resultado é em tf·m (base do pilar em balanço, sem Sc).</t>
        </is>
      </c>
      <c r="M245" s="241"/>
      <c r="N245" s="241"/>
      <c r="O245" s="241"/>
      <c r="P245" s="241"/>
      <c r="Q245" s="241"/>
      <c r="R245" s="241"/>
      <c r="S245" s="241"/>
      <c r="T245" s="241"/>
    </row>
    <row r="246" ht="17" customHeight="1">
      <c r="K246" s="238" t="inlineStr">
        <is>
          <t xml:space="preserve">M28</t>
        </is>
      </c>
      <c r="L246" s="241" t="inlineStr">
        <is>
          <t xml:space="preserve">M25·M24/M27 com M27 = M25 → sempre igual a M24 (redundante, não é erro).</t>
        </is>
      </c>
      <c r="M246" s="241"/>
      <c r="N246" s="241"/>
      <c r="O246" s="241"/>
      <c r="P246" s="241"/>
      <c r="Q246" s="241"/>
      <c r="R246" s="241"/>
      <c r="S246" s="241"/>
      <c r="T246" s="241"/>
    </row>
    <row r="247" ht="17" customHeight="1">
      <c r="K247" s="238" t="inlineStr">
        <is>
          <t xml:space="preserve">M34</t>
        </is>
      </c>
      <c r="L247" s="241" t="inlineStr">
        <is>
          <t xml:space="preserve">Só vale na cota 0 (usa H² na parcela uniforme). M36 é a fórmula certa para qualquer cota.</t>
        </is>
      </c>
      <c r="M247" s="241"/>
      <c r="N247" s="241"/>
      <c r="O247" s="241"/>
      <c r="P247" s="241"/>
      <c r="Q247" s="241"/>
      <c r="R247" s="241"/>
      <c r="S247" s="241"/>
      <c r="T247" s="241"/>
    </row>
    <row r="248" ht="32" customHeight="1">
      <c r="K248" s="238" t="inlineStr">
        <is>
          <t xml:space="preserve">M40</t>
        </is>
      </c>
      <c r="L248" s="241" t="inlineStr">
        <is>
          <t xml:space="preserve">'Biapoiado' é na verdade engastado na base e apoiado no topo. Certo na cota 0 (−78,15 kN·m); para cota ≠ 0 os termos em x estão com sinal trocado e x²·Δp/2 aparece duplicado. Corrigido no item 4.1.</t>
        </is>
      </c>
      <c r="M248" s="241"/>
      <c r="N248" s="241"/>
      <c r="O248" s="241"/>
      <c r="P248" s="241"/>
      <c r="Q248" s="241"/>
      <c r="R248" s="241"/>
      <c r="S248" s="241"/>
      <c r="T248" s="241"/>
    </row>
    <row r="249" ht="17" customHeight="1">
      <c r="K249" s="238" t="inlineStr">
        <is>
          <t xml:space="preserve">P22:R27</t>
        </is>
      </c>
      <c r="L249" s="241" t="inlineStr">
        <is>
          <t xml:space="preserve">Laje alveolar correta para o painel inferior (pressão na base × bw). O item 5 detalha todos os painéis.</t>
        </is>
      </c>
      <c r="M249" s="241"/>
      <c r="N249" s="241"/>
      <c r="O249" s="241"/>
      <c r="P249" s="241"/>
      <c r="Q249" s="241"/>
      <c r="R249" s="241"/>
      <c r="S249" s="241"/>
      <c r="T249" s="241"/>
    </row>
    <row r="250" ht="17" customHeight="1">
      <c r="K250" s="238" t="inlineStr">
        <is>
          <t xml:space="preserve">M24</t>
        </is>
      </c>
      <c r="L250" s="241" t="inlineStr">
        <is>
          <t xml:space="preserve">kN → tf por ×0,1 (1 tf = 9,81 kN) fica ~2% abaixo do exato; mantido por ser a convenção usual.</t>
        </is>
      </c>
      <c r="M250" s="241"/>
      <c r="N250" s="241"/>
      <c r="O250" s="241"/>
      <c r="P250" s="241"/>
      <c r="Q250" s="241"/>
      <c r="R250" s="241"/>
      <c r="S250" s="241"/>
      <c r="T250" s="241"/>
    </row>
    <row r="251" ht="32" customHeight="1">
      <c r="K251" s="238" t="inlineStr">
        <is>
          <t xml:space="preserve">M8</t>
        </is>
      </c>
      <c r="L251" s="241" t="inlineStr">
        <is>
          <t xml:space="preserve">Pilar travado no topo quase não se desloca: empuxo em repouso (K0) é mais realista que o ativo. Para φ = 18°: Ka = 0,53 e K0 = 0,69 (+31%). Use a entrada Empuxo (item 1.3).</t>
        </is>
      </c>
      <c r="M251" s="241"/>
      <c r="N251" s="241"/>
      <c r="O251" s="241"/>
      <c r="P251" s="241"/>
      <c r="Q251" s="241"/>
      <c r="R251" s="241"/>
      <c r="S251" s="241"/>
      <c r="T251" s="241"/>
    </row>
    <row r="252">
      <c r="K252" s="222" t="inlineStr">
        <is>
          <t xml:space="preserve">7.2 Restante da aba (colunas A–C)</t>
        </is>
      </c>
    </row>
    <row r="253" ht="32" customHeight="1">
      <c r="K253" s="238" t="inlineStr">
        <is>
          <t xml:space="preserve">B20 / B28</t>
        </is>
      </c>
      <c r="L253" s="241" t="inlineStr">
        <is>
          <t xml:space="preserve">#NUM! e #DIV/0!: a alvenaria pede 3,43 cm²/m e Ø8 em todo furo dá só 2,51 cm²/m → espaçamento '0 furos' e divisão por zero. Na prática: Ø8 não basta, usar Ø10 em todo furo (3,93 cm²/m).</t>
        </is>
      </c>
      <c r="M253" s="241"/>
      <c r="N253" s="241"/>
      <c r="O253" s="241"/>
      <c r="P253" s="241"/>
      <c r="Q253" s="241"/>
      <c r="R253" s="241"/>
      <c r="S253" s="241"/>
      <c r="T253" s="241"/>
    </row>
    <row r="254" ht="17" customHeight="1">
      <c r="K254" s="238" t="inlineStr">
        <is>
          <t xml:space="preserve">B8 / B9</t>
        </is>
      </c>
      <c r="L254" s="241" t="inlineStr">
        <is>
          <t xml:space="preserve">Coesão e φ dão 0: NSPT (B4) = 0 não existe na tabela DADOS DO SOLO. Sem efeito, pois o Ka de B33 é digitado.</t>
        </is>
      </c>
      <c r="M254" s="241"/>
      <c r="N254" s="241"/>
      <c r="O254" s="241"/>
      <c r="P254" s="241"/>
      <c r="Q254" s="241"/>
      <c r="R254" s="241"/>
      <c r="S254" s="241"/>
      <c r="T254" s="241"/>
    </row>
    <row r="255" ht="32" customHeight="1">
      <c r="K255" s="238" t="inlineStr">
        <is>
          <t xml:space="preserve">B33</t>
        </is>
      </c>
      <c r="L255" s="241" t="inlineStr">
        <is>
          <t xml:space="preserve">Ka = 0,36 digitado, sem ligação com φ. A aba usa 3 valores diferentes: 0,36 (B33), 0,528 (M8) e 0,75 (CÁLCULO FECHAMENTO).</t>
        </is>
      </c>
      <c r="M255" s="241"/>
      <c r="N255" s="241"/>
      <c r="O255" s="241"/>
      <c r="P255" s="241"/>
      <c r="Q255" s="241"/>
      <c r="R255" s="241"/>
      <c r="S255" s="241"/>
      <c r="T255" s="241"/>
    </row>
    <row r="256" ht="32" customHeight="1">
      <c r="K256" s="238" t="inlineStr">
        <is>
          <t xml:space="preserve">B24</t>
        </is>
      </c>
      <c r="L256" s="241" t="inlineStr">
        <is>
          <t xml:space="preserve">Esbeltez do pilar usa a altura da alvenaria (1,75 m) em vez da do pilar (3,85 m). Com 3,85 m dá ≈ 25,7 &lt; 30 → segue 'Sim', por acaso.</t>
        </is>
      </c>
      <c r="M256" s="241"/>
      <c r="N256" s="241"/>
      <c r="O256" s="241"/>
      <c r="P256" s="241"/>
      <c r="Q256" s="241"/>
      <c r="R256" s="241"/>
      <c r="S256" s="241"/>
      <c r="T256" s="241"/>
    </row>
    <row r="257" ht="32" customHeight="1">
      <c r="K257" s="238" t="inlineStr">
        <is>
          <t xml:space="preserve">B52:B66</t>
        </is>
      </c>
      <c r="L257" s="241" t="inlineStr">
        <is>
          <t xml:space="preserve">Pilar 20×30 não passa: Kc = 0,25 fora de tabela, Ks = 0,028 digitado não corresponde, As = 58 cm² (48 barras). Momento com (H/3 + 0,6) sem origem clara e sem Sc.</t>
        </is>
      </c>
      <c r="M257" s="241"/>
      <c r="N257" s="241"/>
      <c r="O257" s="241"/>
      <c r="P257" s="241"/>
      <c r="Q257" s="241"/>
      <c r="R257" s="241"/>
      <c r="S257" s="241"/>
      <c r="T257" s="241"/>
    </row>
    <row r="258" ht="17" customHeight="1">
      <c r="K258" s="238" t="inlineStr">
        <is>
          <t xml:space="preserve">B15</t>
        </is>
      </c>
      <c r="L258" s="241" t="inlineStr">
        <is>
          <t xml:space="preserve">TABELAS LÍBANO com μ digitados para La/Lb = 0,91: se mudar H ou D, os coeficientes não se atualizam.</t>
        </is>
      </c>
      <c r="M258" s="241"/>
      <c r="N258" s="241"/>
      <c r="O258" s="241"/>
      <c r="P258" s="241"/>
      <c r="Q258" s="241"/>
      <c r="R258" s="241"/>
      <c r="S258" s="241"/>
      <c r="T258" s="241"/>
    </row>
    <row r="259" ht="17" customHeight="1">
      <c r="K259" s="238" t="inlineStr">
        <is>
          <t xml:space="preserve">B90</t>
        </is>
      </c>
      <c r="L259" s="241" t="inlineStr">
        <is>
          <t xml:space="preserve">Peso da sapata fixo (1,2 × 1,0 × 0,5 m).</t>
        </is>
      </c>
      <c r="M259" s="241"/>
      <c r="N259" s="241"/>
      <c r="O259" s="241"/>
      <c r="P259" s="241"/>
      <c r="Q259" s="241"/>
      <c r="R259" s="241"/>
      <c r="S259" s="241"/>
      <c r="T259" s="241"/>
    </row>
  </sheetData>
  <mergeCells count="59">
    <mergeCell ref="K1:T1"/>
    <mergeCell ref="K6:T6"/>
    <mergeCell ref="K8:T8"/>
    <mergeCell ref="K26:T26"/>
    <mergeCell ref="K42:T42"/>
    <mergeCell ref="K44:T44"/>
    <mergeCell ref="K55:T55"/>
    <mergeCell ref="K57:T57"/>
    <mergeCell ref="K69:T69"/>
    <mergeCell ref="K71:T71"/>
    <mergeCell ref="K85:T85"/>
    <mergeCell ref="K87:T87"/>
    <mergeCell ref="K110:T110"/>
    <mergeCell ref="K112:T112"/>
    <mergeCell ref="K239:T239"/>
    <mergeCell ref="K241:T241"/>
    <mergeCell ref="L243:T243"/>
    <mergeCell ref="L244:T244"/>
    <mergeCell ref="L245:T245"/>
    <mergeCell ref="L246:T246"/>
    <mergeCell ref="L247:T247"/>
    <mergeCell ref="L248:T248"/>
    <mergeCell ref="L249:T249"/>
    <mergeCell ref="L250:T250"/>
    <mergeCell ref="L251:T251"/>
    <mergeCell ref="L253:T253"/>
    <mergeCell ref="L254:T254"/>
    <mergeCell ref="L255:T255"/>
    <mergeCell ref="L256:T256"/>
    <mergeCell ref="L257:T257"/>
    <mergeCell ref="L258:T258"/>
    <mergeCell ref="L259:T259"/>
    <mergeCell ref="L10:M10"/>
    <mergeCell ref="O10:T10"/>
    <mergeCell ref="L11:M11"/>
    <mergeCell ref="L12:T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K2:L2"/>
    <mergeCell ref="M2:N2"/>
    <mergeCell ref="O2:Q2"/>
    <mergeCell ref="R2:T2"/>
    <mergeCell ref="K3:L3"/>
    <mergeCell ref="M3:N3"/>
    <mergeCell ref="O3:Q3"/>
    <mergeCell ref="R3:T3"/>
    <mergeCell ref="K4:L4"/>
    <mergeCell ref="M4:N4"/>
    <mergeCell ref="O4:Q4"/>
    <mergeCell ref="R4:T4"/>
  </mergeCells>
  <conditionalFormatting sqref="N83 N89 N11 N13 N14 N15 N16 N17 N18 N19 N20 N21 N22 N23">
    <cfRule type="beginsWith" dxfId="6" priority="1" operator="beginsWith" text="Ok">
      <formula>LEFT(N83,2)="Ok"</formula>
    </cfRule>
  </conditionalFormatting>
  <conditionalFormatting sqref="N83 N89 N11 N13 N14 N15 N16 N17 N18 N19 N20 N21 N22 N23">
    <cfRule type="beginsWith" dxfId="5" priority="2" operator="beginsWith" text="Não se aplica">
      <formula>LEFT(N83,13)="Não se aplica"</formula>
    </cfRule>
  </conditionalFormatting>
  <dataValidations count="2">
    <dataValidation type="list" allowBlank="1" showErrorMessage="1" sqref="L38">
      <formula1>"Ativo,Repouso"</formula1>
    </dataValidation>
    <dataValidation type="list" allowBlank="1" showErrorMessage="1" sqref="L39">
      <formula1>$K$74:$K$76</formula1>
    </dataValidation>
  </dataValidations>
  <pageMargins left="0.511811024" right="0.511811024" top="0.787401575" bottom="0.787401575" header="0.31496062" footer="0.31496062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CONTENÇÃO RÁPIDA</vt:lpstr>
      <vt:lpstr>MURO DE ARRIMO</vt:lpstr>
      <vt:lpstr>DADOS DO SOLO</vt:lpstr>
      <vt:lpstr>ASSENTAMENTO</vt:lpstr>
      <vt:lpstr>KC E KS</vt:lpstr>
      <vt:lpstr>CÁLCULO FECHAMENTO</vt:lpstr>
      <vt:lpstr>FECHAMENTO EM ALVENARIA</vt:lpstr>
      <vt:lpstr>TABELAS LÍBANO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Intra</dc:creator>
  <cp:lastModifiedBy>Carlos  Eduardo Godoy Ferreira</cp:lastModifiedBy>
  <cp:lastPrinted>2025-10-15T17:48:02Z</cp:lastPrinted>
  <dcterms:created xsi:type="dcterms:W3CDTF">2019-07-17T12:07:00Z</dcterms:created>
  <dcterms:modified xsi:type="dcterms:W3CDTF">2026-07-16T11:58:06Z</dcterms:modified>
</cp:coreProperties>
</file>