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PILAR'!$K$1:$T$138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<sst xmlns="http://schemas.openxmlformats.org/spreadsheetml/2006/main" count="559" uniqueCount="298">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</sst>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26,39 kN/m² = solo 23,75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29,69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14,85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2.5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13.07/2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38"/>
  <sheetViews>
    <sheetView showGridLines="0" view="pageBreakPreview" topLeftCell="J1" zoomScaleNormal="100" zoomScaleSheetLayoutView="100" workbookViewId="0">
      <pane ySplit="4" topLeftCell="J5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12.5</v>
      </c>
      <c r="P2" s="240">
        <f>$L$111&amp;" barras em cada face ("&amp;FIXED($L$112,2)&amp;" cm²)"</f>
      </c>
      <c r="Q2" s="240"/>
      <c r="R2" s="240"/>
      <c r="S2" s="242">
        <f>IF($L$116&lt;$L$115,"NÃO OK – não cabe na face",IF($L$114&gt;4,"NÃO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"&amp;FIXED($L$132,2)&amp;" cm²/m"</f>
      </c>
      <c r="N3" s="240"/>
      <c r="O3" s="241">
        <v>6.3</v>
      </c>
      <c r="P3" s="240">
        <f>"c/ "&amp;$L$136&amp;" cm ("&amp;$L$43&amp;" ramos) = "&amp;FIXED($L$137,2)&amp;" cm²/m"</f>
      </c>
      <c r="Q3" s="240"/>
      <c r="R3" s="240"/>
      <c r="S3" s="242">
        <f>IF($L$122&gt;$L$123,"NÃO OK – biela: aumentar seção",IF($L$136&lt;5,"NÃO OK – s &lt; 5 cm: aumentar Ø",IF($L$41&lt;$L$138,"NÃO OK – Ø,t &lt; Ø,l/4","OK")))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"&amp;FIXED($L$122,1)&amp;"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IF($L$116&lt;$L$115,"Não cabe: aumentar b ou Ø,l","Ok")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FIXED($L$122,1)&amp;" ≤ "&amp;FIXED($L$123,1)&amp;" kN"</f>
      </c>
      <c r="M17" s="236"/>
      <c r="N17" s="232">
        <f>IF($L$122&lt;=$L$123,"Ok","Aumentar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c/"&amp;$L$136&amp;" ("&amp;$L$43&amp;" ramos)"</f>
      </c>
      <c r="M18" s="236"/>
      <c r="N18" s="232">
        <f>IF($L$136&lt;5,"s &lt; 5 cm – aumentar Ø,t",IF($L$137&gt;=$L$132,"Ok","Rever"))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1.4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1.15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30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30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20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Mínimo: 2 cm, Ø,l e 1,2·d,máx.</t>
        </is>
      </c>
    </row>
    <row r="116">
      <c r="K116" s="223" t="inlineStr">
        <is>
          <t xml:space="preserve">a,h</t>
        </is>
      </c>
      <c r="L116" s="227">
        <f>IF($L$111&lt;=1,0,($L$39-2*$L$40-2*$L$41/10-$L$111*$L$42/10)/($L$111-1))</f>
      </c>
      <c r="M116" s="231" t="inlineStr">
        <is>
          <t xml:space="preserve">cm</t>
        </is>
      </c>
      <c r="N116" s="232">
        <f>IF($L$116&lt;$L$115,"Não cabe: aumentar b ou Ø,l",IF($L$116&gt;40,"Rever: espaço &gt; 40 cm","Ok"))</f>
      </c>
      <c r="O116" s="233" t="inlineStr">
        <is>
          <t xml:space="preserve">Espaço livre entre barras da mesma face.</t>
        </is>
      </c>
    </row>
    <row r="118">
      <c r="K118" s="221" t="inlineStr">
        <is>
          <t xml:space="preserve">6 . ESTRIBOS – FORÇA CORTANTE (Modelo I, NBR 6118)</t>
        </is>
      </c>
      <c r="L118" s="221"/>
      <c r="M118" s="221"/>
      <c r="N118" s="221"/>
      <c r="O118" s="221"/>
      <c r="P118" s="221"/>
      <c r="Q118" s="221"/>
      <c r="R118" s="221"/>
      <c r="S118" s="221"/>
      <c r="T118" s="221"/>
    </row>
    <row r="120" ht="32" customHeight="1">
      <c r="K120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0" s="220"/>
      <c r="M120" s="220"/>
      <c r="N120" s="220"/>
      <c r="O120" s="220"/>
      <c r="P120" s="220"/>
      <c r="Q120" s="220"/>
      <c r="R120" s="220"/>
      <c r="S120" s="220"/>
      <c r="T120" s="220"/>
    </row>
    <row r="121">
      <c r="K121" s="222" t="inlineStr">
        <is>
          <t xml:space="preserve">6.1 Biela e parcela do concreto</t>
        </is>
      </c>
    </row>
    <row r="122">
      <c r="K122" s="223" t="inlineStr">
        <is>
          <t xml:space="preserve">Vsd</t>
        </is>
      </c>
      <c r="L122" s="227">
        <f>$L$48*$L$29</f>
      </c>
      <c r="M122" s="231" t="inlineStr">
        <is>
          <t xml:space="preserve">kN</t>
        </is>
      </c>
      <c r="O122" s="233" t="inlineStr">
        <is>
          <t xml:space="preserve">Cortante de cálculo (γf·Vk).</t>
        </is>
      </c>
    </row>
    <row r="123">
      <c r="K123" s="223" t="inlineStr">
        <is>
          <t xml:space="preserve">VRd2</t>
        </is>
      </c>
      <c r="L123" s="227">
        <f>0.27*(1-$L$33/250)*$L$73/10*$L$39*$L$76</f>
      </c>
      <c r="M123" s="231" t="inlineStr">
        <is>
          <t xml:space="preserve">kN</t>
        </is>
      </c>
      <c r="N123" s="232">
        <f>IF($L$122&lt;=$L$123,"Ok","Aumentar seção ou fck")</f>
      </c>
      <c r="O123" s="233" t="inlineStr">
        <is>
          <t xml:space="preserve">Resistência da biela comprimida.</t>
        </is>
      </c>
    </row>
    <row r="124">
      <c r="K124" s="223" t="inlineStr">
        <is>
          <t xml:space="preserve">fctm</t>
        </is>
      </c>
      <c r="L124" s="227">
        <f>0.3*$L$33^(2/3)</f>
      </c>
      <c r="M124" s="231" t="inlineStr">
        <is>
          <t xml:space="preserve">MPa</t>
        </is>
      </c>
      <c r="O124" s="233" t="inlineStr">
        <is>
          <t xml:space="preserve">Resistência média à tração.</t>
        </is>
      </c>
    </row>
    <row r="125">
      <c r="K125" s="223" t="inlineStr">
        <is>
          <t xml:space="preserve">fctd</t>
        </is>
      </c>
      <c r="L125" s="227">
        <f>0.7*$L$124/$L$30</f>
      </c>
      <c r="M125" s="231" t="inlineStr">
        <is>
          <t xml:space="preserve">MPa</t>
        </is>
      </c>
      <c r="O125" s="233" t="inlineStr">
        <is>
          <t xml:space="preserve">Resistência de cálculo à tração (fctk,inf/γc).</t>
        </is>
      </c>
    </row>
    <row r="126">
      <c r="K126" s="223" t="inlineStr">
        <is>
          <t xml:space="preserve">Vc0</t>
        </is>
      </c>
      <c r="L126" s="227">
        <f>0.6*$L$125/10*$L$39*$L$76</f>
      </c>
      <c r="M126" s="231" t="inlineStr">
        <is>
          <t xml:space="preserve">kN</t>
        </is>
      </c>
      <c r="O126" s="233" t="inlineStr">
        <is>
          <t xml:space="preserve">Parcela resistida pelo concreto.</t>
        </is>
      </c>
    </row>
    <row r="127">
      <c r="K127" s="222" t="inlineStr">
        <is>
          <t xml:space="preserve">6.2 Armadura transversal</t>
        </is>
      </c>
    </row>
    <row r="128">
      <c r="K128" s="223" t="inlineStr">
        <is>
          <t xml:space="preserve">fywd</t>
        </is>
      </c>
      <c r="L128" s="227">
        <f>MIN($L$35/$L$31,435)</f>
      </c>
      <c r="M128" s="231" t="inlineStr">
        <is>
          <t xml:space="preserve">MPa</t>
        </is>
      </c>
      <c r="O128" s="233" t="inlineStr">
        <is>
          <t xml:space="preserve">Resistência de cálculo do estribo (≤ 435 MPa).</t>
        </is>
      </c>
    </row>
    <row r="129">
      <c r="K129" s="223" t="inlineStr">
        <is>
          <t xml:space="preserve">Vsw</t>
        </is>
      </c>
      <c r="L129" s="227">
        <f>MAX(0,$L$122-$L$126)</f>
      </c>
      <c r="M129" s="231" t="inlineStr">
        <is>
          <t xml:space="preserve">kN</t>
        </is>
      </c>
      <c r="O129" s="233" t="inlineStr">
        <is>
          <t xml:space="preserve">Parcela a ser resistida pelos estribos.</t>
        </is>
      </c>
    </row>
    <row r="130">
      <c r="K130" s="223" t="inlineStr">
        <is>
          <t xml:space="preserve">Asw,calc</t>
        </is>
      </c>
      <c r="L130" s="227">
        <f>$L$129/(0.9*$L$76*$L$128/10)*100</f>
      </c>
      <c r="M130" s="231" t="inlineStr">
        <is>
          <t xml:space="preserve">cm²/m</t>
        </is>
      </c>
      <c r="O130" s="233" t="inlineStr">
        <is>
          <t xml:space="preserve">Asw/s = Vsw/(0,9·d·fywd).</t>
        </is>
      </c>
    </row>
    <row r="131">
      <c r="K131" s="223" t="inlineStr">
        <is>
          <t xml:space="preserve">Asw,mín</t>
        </is>
      </c>
      <c r="L131" s="227">
        <f>0.2*$L$124/$L$35*$L$39*100</f>
      </c>
      <c r="M131" s="231" t="inlineStr">
        <is>
          <t xml:space="preserve">cm²/m</t>
        </is>
      </c>
      <c r="O131" s="233" t="inlineStr">
        <is>
          <t xml:space="preserve">Mínima: ρsw = 0,2·fctm/fywk.</t>
        </is>
      </c>
    </row>
    <row r="132">
      <c r="K132" s="223" t="inlineStr">
        <is>
          <t xml:space="preserve">Asw</t>
        </is>
      </c>
      <c r="L132" s="227">
        <f>MAX($L$130,$L$131)</f>
      </c>
      <c r="M132" s="231" t="inlineStr">
        <is>
          <t xml:space="preserve">cm²/m</t>
        </is>
      </c>
      <c r="O132" s="233" t="inlineStr">
        <is>
          <t xml:space="preserve">Armadura transversal adotada (todos os ramos).</t>
        </is>
      </c>
    </row>
    <row r="133">
      <c r="K133" s="223" t="inlineStr">
        <is>
          <t xml:space="preserve">s,calc</t>
        </is>
      </c>
      <c r="L133" s="227">
        <f>IF($L$132=0,999,$L$43*PI()*($L$41/10)^2/4/$L$132*100)</f>
      </c>
      <c r="M133" s="231" t="inlineStr">
        <is>
          <t xml:space="preserve">cm</t>
        </is>
      </c>
      <c r="O133" s="233" t="inlineStr">
        <is>
          <t xml:space="preserve">Espaçamento pela armadura calculada.</t>
        </is>
      </c>
    </row>
    <row r="134">
      <c r="K134" s="223" t="inlineStr">
        <is>
          <t xml:space="preserve">s,máx,v</t>
        </is>
      </c>
      <c r="L134" s="227">
        <f>IF($L$122&lt;=0.67*$L$123,MIN(0.6*$L$76,30),MIN(0.3*$L$76,20))</f>
      </c>
      <c r="M134" s="231" t="inlineStr">
        <is>
          <t xml:space="preserve">cm</t>
        </is>
      </c>
      <c r="O134" s="233" t="inlineStr">
        <is>
          <t xml:space="preserve">Máximo de viga (NBR 6118, 18.3.3.2).</t>
        </is>
      </c>
    </row>
    <row r="135">
      <c r="K135" s="223" t="inlineStr">
        <is>
          <t xml:space="preserve">s,máx,p</t>
        </is>
      </c>
      <c r="L135" s="227">
        <f>MIN(20,$L$39,$L$38,IF($L$34&gt;=500,12,25)*$L$42/10)</f>
      </c>
      <c r="M135" s="231" t="inlineStr">
        <is>
          <t xml:space="preserve">cm</t>
        </is>
      </c>
      <c r="O135" s="233" t="inlineStr">
        <is>
          <t xml:space="preserve">Máximo de pilar: 20 cm, menor dimensão, 12·Ø,l (CA-50).</t>
        </is>
      </c>
    </row>
    <row r="136">
      <c r="K136" s="223" t="inlineStr">
        <is>
          <t xml:space="preserve">s</t>
        </is>
      </c>
      <c r="L136" s="229">
        <f>ROUNDDOWN(MIN($L$133,$L$134,$L$135),0)</f>
      </c>
      <c r="M136" s="231" t="inlineStr">
        <is>
          <t xml:space="preserve">cm</t>
        </is>
      </c>
      <c r="N136" s="232">
        <f>IF($L$136&lt;5,"s &lt; 5 cm – aumentar Ø,t ou ramos","Ok")</f>
      </c>
      <c r="O136" s="233" t="inlineStr">
        <is>
          <t xml:space="preserve">Espaçamento adotado (arredondado para baixo).</t>
        </is>
      </c>
    </row>
    <row r="137">
      <c r="K137" s="223" t="inlineStr">
        <is>
          <t xml:space="preserve">Asw,ef</t>
        </is>
      </c>
      <c r="L137" s="227">
        <f>$L$43*PI()*($L$41/10)^2/4*100/$L$136</f>
      </c>
      <c r="M137" s="231" t="inlineStr">
        <is>
          <t xml:space="preserve">cm²/m</t>
        </is>
      </c>
      <c r="N137" s="232">
        <f>IF($L$137&gt;=$L$132,"Ok","Rever")</f>
      </c>
      <c r="O137" s="233" t="inlineStr">
        <is>
          <t xml:space="preserve">Armadura efetiva com o espaçamento adotado.</t>
        </is>
      </c>
    </row>
    <row r="138">
      <c r="K138" s="223" t="inlineStr">
        <is>
          <t xml:space="preserve">Ø,t,mín</t>
        </is>
      </c>
      <c r="L138" s="227">
        <f>MAX(5,$L$42/4)</f>
      </c>
      <c r="M138" s="231" t="inlineStr">
        <is>
          <t xml:space="preserve">mm</t>
        </is>
      </c>
      <c r="N138" s="232">
        <f>IF($L$41&gt;=$L$138,"Ok","Aumentar Ø,t")</f>
      </c>
      <c r="O138" s="233" t="inlineStr">
        <is>
          <t xml:space="preserve">Pilar: Ø,t ≥ 5 mm e ≥ Ø,l/4.</t>
        </is>
      </c>
    </row>
  </sheetData>
  <mergeCells count="33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8:T118"/>
    <mergeCell ref="K120:T120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</mergeCells>
  <conditionalFormatting sqref="N33 N42 N45 N79 N84 N95 N114 N116 N123 N136 N137 N138 N11 N13 N14 N15 N16 N17 N18 S2 S3 S4">
    <cfRule type="beginsWith" dxfId="6" priority="1" operator="beginsWith" text="Ok">
      <formula>LEFT(N33,2)="Ok"</formula>
    </cfRule>
  </conditionalFormatting>
  <conditionalFormatting sqref="N33 N42 N45 N79 N84 N95 N114 N116 N123 N136 N137 N138 N11 N13 N14 N15 N16 N17 N18 S2 S3 S4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