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carlos.ferreira\Desktop\Carlos\Planilhas\"/>
    </mc:Choice>
  </mc:AlternateContent>
  <xr:revisionPtr revIDLastSave="0" documentId="13_ncr:1_{101037B6-2419-4B80-8897-F70871EB930D}" xr6:coauthVersionLast="47" xr6:coauthVersionMax="47" xr10:uidLastSave="{00000000-0000-0000-0000-000000000000}"/>
  <bookViews>
    <workbookView xWindow="-105" yWindow="0" windowWidth="14610" windowHeight="15585" xr2:uid="{00000000-000D-0000-FFFF-FFFF00000000}"/>
  </bookViews>
  <sheets>
    <sheet name="CONTENÇÃO RÁPIDA" sheetId="11" r:id="rId99"/>
    <sheet name="MURO DE ARRIMO" sheetId="1" r:id="rId1"/>
    <sheet name="DADOS DO SOLO" sheetId="6" r:id="rId2"/>
    <sheet name="ASSENTAMENTO" sheetId="4" r:id="rId3"/>
    <sheet name="KC E KS" sheetId="3" r:id="rId4"/>
    <sheet name="CÁLCULO FECHAMENTO" sheetId="7" r:id="rId5"/>
    <sheet name="FECHAMENTO EM ALVENARIA" sheetId="9" r:id="rId6"/>
    <sheet name="TABELAS LÍBANO" sheetId="10" r:id="rId7"/>
  </sheets>
  <calcPr calcId="191029" fullCalcOnLoad="1" iterate="1" iterateCount="100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5" i="1" l="1"/>
  <c r="M8" i="1"/>
  <c r="Q23" i="1"/>
  <c r="Q24" i="1"/>
  <c r="M29" i="1"/>
  <c r="M25" i="1"/>
  <c r="M27" i="1" s="1"/>
  <c r="M9" i="1"/>
  <c r="Q27" i="1" l="1"/>
  <c r="M30" i="1"/>
  <c r="M31" i="1"/>
  <c r="M10" i="1"/>
  <c r="M22" i="1" s="1"/>
  <c r="Q25" i="1"/>
  <c r="Q26" i="1" s="1"/>
  <c r="B34" i="1"/>
  <c r="B9" i="1"/>
  <c r="M23" i="1" l="1"/>
  <c r="M24" i="1" s="1"/>
  <c r="M11" i="1"/>
  <c r="M12" i="1" s="1"/>
  <c r="B39" i="1"/>
  <c r="B41" i="1" s="1"/>
  <c r="B8" i="1" a="1"/>
  <c r="B35" i="1" s="1"/>
  <c r="B36" i="1" s="1"/>
  <c r="B37" i="1" s="1"/>
  <c r="G38" i="6"/>
  <c r="F32" i="6"/>
  <c r="G73" i="6"/>
  <c r="G66" i="6"/>
  <c r="G53" i="6"/>
  <c r="G52" i="6"/>
  <c r="G49" i="6"/>
  <c r="G48" i="6"/>
  <c r="F48" i="6"/>
  <c r="K11" i="9"/>
  <c r="K6" i="9"/>
  <c r="C48" i="9"/>
  <c r="B1" i="10"/>
  <c r="B2" i="10"/>
  <c r="C8" i="9"/>
  <c r="C5" i="9"/>
  <c r="E6" i="9" s="1"/>
  <c r="C2" i="9"/>
  <c r="C45" i="9" s="1"/>
  <c r="C13" i="9"/>
  <c r="C16" i="9" s="1"/>
  <c r="M28" i="1" l="1"/>
  <c r="M26" i="1"/>
  <c r="M40" i="1"/>
  <c r="M34" i="1"/>
  <c r="M36" i="1"/>
  <c r="B50" i="1"/>
  <c r="B49" i="1"/>
  <c r="B43" i="1"/>
  <c r="B44" i="1"/>
  <c r="B46" i="1"/>
  <c r="B47" i="1"/>
  <c r="B45" i="1"/>
  <c r="B48" i="1"/>
  <c r="B8" i="10"/>
  <c r="B3" i="10"/>
  <c r="E8" i="9"/>
  <c r="C12" i="9" s="1"/>
  <c r="C19" i="9"/>
  <c r="C18" i="9"/>
  <c r="D21" i="9"/>
  <c r="B38" i="1" l="1"/>
  <c r="B3" i="7"/>
  <c r="B34" i="7" s="1"/>
  <c r="B4" i="7"/>
  <c r="B42" i="1" l="1"/>
  <c r="B40" i="1"/>
  <c r="E84" i="1"/>
  <c r="E85" i="1"/>
  <c r="E86" i="1"/>
  <c r="E87" i="1"/>
  <c r="E88" i="1"/>
  <c r="E89" i="1"/>
  <c r="E90" i="1"/>
  <c r="E4" i="7"/>
  <c r="B8" i="7"/>
  <c r="B5" i="7"/>
  <c r="B27" i="7" l="1"/>
  <c r="B11" i="7" s="1"/>
  <c r="B24" i="1" s="1"/>
  <c r="B35" i="7"/>
  <c r="B43" i="7"/>
  <c r="B7" i="7"/>
  <c r="B6" i="7"/>
  <c r="B21" i="7"/>
  <c r="B31" i="7"/>
  <c r="B30" i="7"/>
  <c r="F3" i="6"/>
  <c r="F4" i="6"/>
  <c r="F5" i="6"/>
  <c r="F6" i="6"/>
  <c r="F7" i="6"/>
  <c r="F8" i="6"/>
  <c r="F9" i="6"/>
  <c r="F10" i="6"/>
  <c r="F11" i="6"/>
  <c r="F12" i="6"/>
  <c r="F13" i="6"/>
  <c r="F14" i="6"/>
  <c r="F15" i="6"/>
  <c r="F16" i="6"/>
  <c r="F17" i="6"/>
  <c r="F18" i="6"/>
  <c r="F19" i="6"/>
  <c r="F20" i="6"/>
  <c r="F21" i="6"/>
  <c r="F22" i="6"/>
  <c r="F23" i="6"/>
  <c r="F24" i="6"/>
  <c r="F25" i="6"/>
  <c r="F26" i="6"/>
  <c r="F27" i="6"/>
  <c r="F28" i="6"/>
  <c r="F29" i="6"/>
  <c r="F30" i="6"/>
  <c r="F31" i="6"/>
  <c r="F2" i="6"/>
  <c r="B36" i="7" l="1"/>
  <c r="B30" i="1" s="1"/>
  <c r="B28" i="7"/>
  <c r="B29" i="7" s="1"/>
  <c r="B50" i="7" s="1"/>
  <c r="B26" i="7"/>
  <c r="B12" i="7" s="1"/>
  <c r="B25" i="1" s="1"/>
  <c r="F33" i="6"/>
  <c r="F34" i="6"/>
  <c r="F35" i="6"/>
  <c r="F36" i="6"/>
  <c r="F37" i="6"/>
  <c r="F38" i="6"/>
  <c r="F39" i="6"/>
  <c r="F40" i="6"/>
  <c r="F41" i="6"/>
  <c r="F42" i="6"/>
  <c r="F43" i="6"/>
  <c r="F44" i="6"/>
  <c r="F45" i="6"/>
  <c r="F46" i="6"/>
  <c r="F47" i="6"/>
  <c r="F49" i="6"/>
  <c r="F50" i="6"/>
  <c r="F51" i="6"/>
  <c r="F52" i="6"/>
  <c r="F53" i="6"/>
  <c r="F54" i="6"/>
  <c r="F55" i="6"/>
  <c r="F56" i="6"/>
  <c r="F57" i="6"/>
  <c r="F58" i="6"/>
  <c r="F59" i="6"/>
  <c r="F60" i="6"/>
  <c r="F61" i="6"/>
  <c r="F62" i="6"/>
  <c r="F63" i="6"/>
  <c r="F64" i="6"/>
  <c r="F65" i="6"/>
  <c r="F66" i="6"/>
  <c r="F67" i="6"/>
  <c r="F68" i="6"/>
  <c r="F69" i="6"/>
  <c r="F70" i="6"/>
  <c r="F71" i="6"/>
  <c r="F72" i="6"/>
  <c r="F73" i="6"/>
  <c r="F74" i="6"/>
  <c r="F75" i="6"/>
  <c r="F76" i="6"/>
  <c r="F77" i="6"/>
  <c r="F78" i="6"/>
  <c r="F79" i="6"/>
  <c r="F80" i="6"/>
  <c r="F81" i="6"/>
  <c r="F82" i="6"/>
  <c r="F83" i="6"/>
  <c r="F84" i="6"/>
  <c r="G64" i="6"/>
  <c r="G65" i="6" s="1"/>
  <c r="G67" i="6" s="1"/>
  <c r="G68" i="6" s="1"/>
  <c r="G69" i="6" s="1"/>
  <c r="G70" i="6" s="1"/>
  <c r="G71" i="6" s="1"/>
  <c r="G72" i="6" s="1"/>
  <c r="G74" i="6" s="1"/>
  <c r="G75" i="6" s="1"/>
  <c r="G76" i="6" s="1"/>
  <c r="G77" i="6" s="1"/>
  <c r="G78" i="6" s="1"/>
  <c r="G79" i="6" s="1"/>
  <c r="G80" i="6" s="1"/>
  <c r="G81" i="6" s="1"/>
  <c r="G82" i="6" s="1"/>
  <c r="G44" i="6"/>
  <c r="G45" i="6" s="1"/>
  <c r="G46" i="6" s="1"/>
  <c r="G47" i="6" s="1"/>
  <c r="G50" i="6" s="1"/>
  <c r="G51" i="6" s="1"/>
  <c r="G54" i="6" s="1"/>
  <c r="G55" i="6" s="1"/>
  <c r="G56" i="6" s="1"/>
  <c r="G57" i="6" s="1"/>
  <c r="G58" i="6" s="1"/>
  <c r="G59" i="6" s="1"/>
  <c r="G60" i="6" s="1"/>
  <c r="G61" i="6" s="1"/>
  <c r="G62" i="6" s="1"/>
  <c r="G39" i="6"/>
  <c r="G40" i="6" s="1"/>
  <c r="G41" i="6" s="1"/>
  <c r="G42" i="6" s="1"/>
  <c r="B46" i="7" l="1"/>
  <c r="B53" i="7"/>
  <c r="B39" i="7"/>
  <c r="B22" i="7" s="1"/>
  <c r="B23" i="7" l="1"/>
  <c r="B31" i="1"/>
  <c r="B40" i="7"/>
  <c r="B13" i="7" s="1"/>
  <c r="B26" i="1" s="1"/>
  <c r="D24" i="4"/>
  <c r="D26" i="4" s="1"/>
  <c r="B87" i="1" s="1"/>
  <c r="B90" i="1"/>
  <c r="B85" i="1"/>
  <c r="D16" i="4" s="1"/>
  <c r="D21" i="4" s="1"/>
  <c r="B86" i="1" l="1"/>
  <c r="B91" i="1"/>
  <c r="B41" i="7"/>
  <c r="B42" i="7" s="1"/>
  <c r="S13" i="4"/>
  <c r="T13" i="4" s="1"/>
  <c r="O16" i="4" s="1"/>
  <c r="D20" i="4"/>
  <c r="D19" i="4" s="1"/>
  <c r="Q8" i="4" s="1"/>
  <c r="B47" i="7" l="1"/>
  <c r="B14" i="7" s="1"/>
  <c r="B27" i="1" s="1"/>
  <c r="B9" i="7"/>
  <c r="T8" i="4"/>
  <c r="D18" i="4"/>
  <c r="Q7" i="4" s="1"/>
  <c r="Q9" i="4"/>
  <c r="T9" i="4" s="1"/>
  <c r="P9" i="4"/>
  <c r="S9" i="4" s="1"/>
  <c r="P8" i="4"/>
  <c r="S8" i="4" s="1"/>
  <c r="B51" i="7" l="1"/>
  <c r="B52" i="7" s="1"/>
  <c r="B15" i="7" s="1"/>
  <c r="B28" i="1" s="1"/>
  <c r="P7" i="4"/>
  <c r="S7" i="4" s="1"/>
  <c r="T7" i="4"/>
  <c r="Q11" i="4"/>
  <c r="P11" i="4" l="1"/>
  <c r="B89" i="1" l="1"/>
  <c r="B88" i="1"/>
  <c r="B92" i="1" l="1"/>
  <c r="B57" i="1"/>
  <c r="B66" i="1" s="1"/>
  <c r="B58" i="1"/>
  <c r="B74" i="1"/>
  <c r="B78" i="1" s="1"/>
  <c r="B73" i="1"/>
  <c r="B82" i="1" s="1"/>
  <c r="B7" i="10" l="1"/>
  <c r="B80" i="1"/>
  <c r="B81" i="1" s="1"/>
  <c r="E6" i="10" l="1"/>
  <c r="E4" i="10"/>
  <c r="E5" i="10"/>
  <c r="B52" i="1" l="1"/>
  <c r="B62" i="1" s="1"/>
  <c r="B15" i="1"/>
  <c r="C9" i="9" s="1"/>
  <c r="C14" i="9" s="1"/>
  <c r="F21" i="9" s="1"/>
  <c r="C22" i="9" s="1"/>
  <c r="E22" i="9" s="1"/>
  <c r="B53" i="1" l="1"/>
  <c r="B64" i="1"/>
  <c r="B65" i="1" s="1"/>
  <c r="B23" i="1"/>
  <c r="C23" i="9"/>
  <c r="C24" i="9" s="1"/>
  <c r="D24" i="9" s="1"/>
  <c r="B26" i="9" l="1"/>
  <c r="B27" i="9"/>
  <c r="B28" i="9"/>
  <c r="C41" i="9"/>
  <c r="C31" i="9" l="1"/>
  <c r="B38" i="9" s="1"/>
  <c r="B32" i="9" l="1"/>
  <c r="C34" i="9"/>
  <c r="D31" i="9"/>
  <c r="B34" i="9"/>
  <c r="E31" i="9"/>
  <c r="C36" i="9" s="1"/>
  <c r="C44" i="9" s="1"/>
  <c r="E44" i="9" s="1"/>
  <c r="C49" i="9" s="1"/>
  <c r="E48" i="9" l="1"/>
  <c r="B20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Carlos Eduardo Godoy Ferreira</author>
  </authors>
  <commentList>
    <comment ref="L35" authorId="0" shapeId="0" xr:uid="{22BD783C-E0BE-4287-BF4C-61A406FE96C5}">
      <text>
        <r>
          <rPr>
            <b/>
            <sz val="9"/>
            <color indexed="81"/>
            <rFont val="Segoe UI"/>
            <family val="2"/>
          </rPr>
          <t>Carlos Eduardo Godoy Ferreira:</t>
        </r>
        <r>
          <rPr>
            <sz val="9"/>
            <color indexed="81"/>
            <rFont val="Segoe UI"/>
            <family val="2"/>
          </rPr>
          <t xml:space="preserve">
Momento em pilar biapoiado no comprimento indicado</t>
        </r>
      </text>
    </comment>
    <comment ref="L39" authorId="0" shapeId="0" xr:uid="{3BAEEEE5-0A33-4A3E-9D2E-9063579A261D}">
      <text>
        <r>
          <rPr>
            <b/>
            <sz val="9"/>
            <color indexed="81"/>
            <rFont val="Segoe UI"/>
            <family val="2"/>
          </rPr>
          <t>Carlos Eduardo Godoy Ferreira:</t>
        </r>
        <r>
          <rPr>
            <sz val="9"/>
            <color indexed="81"/>
            <rFont val="Segoe UI"/>
            <family val="2"/>
          </rPr>
          <t xml:space="preserve">
Momento em pilar biapoiado no comprimento indicado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<sst xmlns="http://schemas.openxmlformats.org/spreadsheetml/2006/main" count="559" uniqueCount="298">
  <si>
    <t>Peso específico (γ):</t>
  </si>
  <si>
    <t>Coesão [c]:</t>
  </si>
  <si>
    <t>Ângulo de atrito (φ):</t>
  </si>
  <si>
    <t>KN/m²</t>
  </si>
  <si>
    <t>Kpa</t>
  </si>
  <si>
    <t>KN/m³</t>
  </si>
  <si>
    <t>m</t>
  </si>
  <si>
    <t>KN/m</t>
  </si>
  <si>
    <t>Ea(total)=Ea.D</t>
  </si>
  <si>
    <t>KN</t>
  </si>
  <si>
    <t>Tf</t>
  </si>
  <si>
    <t>Ponto de aplicação=B/3</t>
  </si>
  <si>
    <t>Tensão A=</t>
  </si>
  <si>
    <t>Tensão B=</t>
  </si>
  <si>
    <t>Kgf.m</t>
  </si>
  <si>
    <t>dimensões viga (h):</t>
  </si>
  <si>
    <t>dimensões viga (b):</t>
  </si>
  <si>
    <t>cm</t>
  </si>
  <si>
    <t>As mín:</t>
  </si>
  <si>
    <t>cm²</t>
  </si>
  <si>
    <t>Kc=(b.d²)/Md</t>
  </si>
  <si>
    <t>d:</t>
  </si>
  <si>
    <t>Ø barra:</t>
  </si>
  <si>
    <t>mm</t>
  </si>
  <si>
    <t>estribo:</t>
  </si>
  <si>
    <t>cobrimento:</t>
  </si>
  <si>
    <t>*ver tabela</t>
  </si>
  <si>
    <t>Ks (tabela):</t>
  </si>
  <si>
    <t>As cálculado:</t>
  </si>
  <si>
    <t>Ø</t>
  </si>
  <si>
    <t>barras</t>
  </si>
  <si>
    <t>DIMENSIONAMENTO VIGA</t>
  </si>
  <si>
    <t>CÁLCULO DAS CARGAS</t>
  </si>
  <si>
    <t>DIMENSIONAMENTO PILAR</t>
  </si>
  <si>
    <t>dimensões pilar (h):</t>
  </si>
  <si>
    <t>dimensões pilar (b):</t>
  </si>
  <si>
    <t>Qtd de barras mínima:</t>
  </si>
  <si>
    <t>Qtd de barras cálculado:</t>
  </si>
  <si>
    <t>Momento fletor (Mk):</t>
  </si>
  <si>
    <t>Peso PILAR</t>
  </si>
  <si>
    <t>Peso VIGA</t>
  </si>
  <si>
    <t xml:space="preserve"> </t>
  </si>
  <si>
    <t>Materiais Para Assentamento de tijolo furado</t>
  </si>
  <si>
    <t>- Incluída perda de 7% para tijolos</t>
  </si>
  <si>
    <t>ASSENTAMENTO</t>
  </si>
  <si>
    <t>1 BETONEIRA</t>
  </si>
  <si>
    <t>- Descontar a área das portas e janelas da área da parede</t>
  </si>
  <si>
    <t>TRAÇO EM LATAS DE 18L</t>
  </si>
  <si>
    <t>10L</t>
  </si>
  <si>
    <t>18L</t>
  </si>
  <si>
    <t>- A junta entre os tijolos normalmente é de 1,5 cm</t>
  </si>
  <si>
    <t>CIMENTO</t>
  </si>
  <si>
    <t>Proporção de Cimento</t>
  </si>
  <si>
    <t>CAL</t>
  </si>
  <si>
    <t>Proporção de Cal</t>
  </si>
  <si>
    <t>AREIA</t>
  </si>
  <si>
    <t>Proporção de Areia</t>
  </si>
  <si>
    <t xml:space="preserve">Largura da Junta </t>
  </si>
  <si>
    <t>ÁGUA</t>
  </si>
  <si>
    <t>VOLUME DE ARGAMASSA</t>
  </si>
  <si>
    <t>Largura Tijolo</t>
  </si>
  <si>
    <t>ÁGUA/CIMENTO</t>
  </si>
  <si>
    <t>M³/M²</t>
  </si>
  <si>
    <t>TOTAL M³</t>
  </si>
  <si>
    <t>Altura Tijolo</t>
  </si>
  <si>
    <t>Comprimento Tijolo</t>
  </si>
  <si>
    <t>QTD</t>
  </si>
  <si>
    <t>BETONEIRA 400L (350L)</t>
  </si>
  <si>
    <t>Área de Parede</t>
  </si>
  <si>
    <t>m2</t>
  </si>
  <si>
    <t>Resultado:</t>
  </si>
  <si>
    <t>Quantidade de cimento</t>
  </si>
  <si>
    <t>saco de 50 kg</t>
  </si>
  <si>
    <t>Quantidade de cal</t>
  </si>
  <si>
    <t>saco de 20 Kg</t>
  </si>
  <si>
    <t>Quantidade de areia</t>
  </si>
  <si>
    <t>m3</t>
  </si>
  <si>
    <t>Quantidade de tijolos</t>
  </si>
  <si>
    <t>unidades</t>
  </si>
  <si>
    <t>Área de alvenaria</t>
  </si>
  <si>
    <t>m²</t>
  </si>
  <si>
    <t>Peso dos BlOCOS</t>
  </si>
  <si>
    <t>Peso do bloco</t>
  </si>
  <si>
    <t>kg</t>
  </si>
  <si>
    <t>Peso SAPATA</t>
  </si>
  <si>
    <t>GRAUTE</t>
  </si>
  <si>
    <t>QTD DE GRAUTES</t>
  </si>
  <si>
    <t>ÁREA DO SEPTO</t>
  </si>
  <si>
    <t>M²</t>
  </si>
  <si>
    <t>GRAUTES</t>
  </si>
  <si>
    <t>VOLUME DE GRAUTE</t>
  </si>
  <si>
    <t>PESO ESPECÍFICO GRAUTE</t>
  </si>
  <si>
    <t>M³</t>
  </si>
  <si>
    <t>Peso GRAUTE</t>
  </si>
  <si>
    <t>Peso total da seção do muro</t>
  </si>
  <si>
    <t>barras/ lado</t>
  </si>
  <si>
    <t>Momento fletor (Md):</t>
  </si>
  <si>
    <t>Momento fletor (Md) (Ver no Eberick):</t>
  </si>
  <si>
    <t>Argila/ Silte Fofo(SPT 5-)</t>
  </si>
  <si>
    <t>Argila/ Silte Média(SPT 6-9)</t>
  </si>
  <si>
    <t>Argila/ Silte Rijo(SPT 10-19)</t>
  </si>
  <si>
    <t>Argila/ Silte Duro(SPT 20+)</t>
  </si>
  <si>
    <t>Areia Fofa(SPT 8-)</t>
  </si>
  <si>
    <t>Areia Média(SPT 9-18)</t>
  </si>
  <si>
    <t>Areia Compacta(SPT 19-39)</t>
  </si>
  <si>
    <t>Areia Muito Compacta(SPT 40+)</t>
  </si>
  <si>
    <t>SOLO</t>
  </si>
  <si>
    <t>TIPO DE SOLO</t>
  </si>
  <si>
    <t>SPT</t>
  </si>
  <si>
    <t>coesão KN/M²</t>
  </si>
  <si>
    <t>ângulo de atrito</t>
  </si>
  <si>
    <t>fonte: Alonso (1943)</t>
  </si>
  <si>
    <t>γ (KN/m³)</t>
  </si>
  <si>
    <t>NSPT (laudo de sondagem)</t>
  </si>
  <si>
    <r>
      <rPr>
        <sz val="12"/>
        <color theme="0" tint="-0.34998626667073579"/>
        <rFont val="Calibri"/>
        <family val="2"/>
        <scheme val="minor"/>
      </rPr>
      <t>Tensão</t>
    </r>
    <r>
      <rPr>
        <sz val="16"/>
        <color theme="0" tint="-0.34998626667073579"/>
        <rFont val="Calibri"/>
        <family val="2"/>
        <scheme val="minor"/>
      </rPr>
      <t xml:space="preserve"> (σ</t>
    </r>
    <r>
      <rPr>
        <sz val="11"/>
        <color theme="0" tint="-0.34998626667073579"/>
        <rFont val="Calibri"/>
        <family val="2"/>
        <scheme val="minor"/>
      </rPr>
      <t>a): KN/m²</t>
    </r>
  </si>
  <si>
    <t>cm/cm</t>
  </si>
  <si>
    <t>PESO PRÓPRIO</t>
  </si>
  <si>
    <t>Solo</t>
  </si>
  <si>
    <t>K</t>
  </si>
  <si>
    <t>y</t>
  </si>
  <si>
    <t>C</t>
  </si>
  <si>
    <t>Área efeitva:</t>
  </si>
  <si>
    <t>Peso do bloco:</t>
  </si>
  <si>
    <t>tf/m</t>
  </si>
  <si>
    <t>Fc:</t>
  </si>
  <si>
    <t>Mpa</t>
  </si>
  <si>
    <t>Área por metro:</t>
  </si>
  <si>
    <t>Peso Grout:</t>
  </si>
  <si>
    <t>Espessura blocos</t>
  </si>
  <si>
    <t>Fyk:</t>
  </si>
  <si>
    <t>Fcd:</t>
  </si>
  <si>
    <t>tf/cm²</t>
  </si>
  <si>
    <t>Espessura parede do bloco:</t>
  </si>
  <si>
    <t>Fyd:</t>
  </si>
  <si>
    <t>Nrd:</t>
  </si>
  <si>
    <t>Largura do bloco:</t>
  </si>
  <si>
    <t>Empuxo ativo:</t>
  </si>
  <si>
    <t>tf/m²</t>
  </si>
  <si>
    <t>Coesão</t>
  </si>
  <si>
    <t>Altura efetiva:</t>
  </si>
  <si>
    <t>MOMENTO FLETOR</t>
  </si>
  <si>
    <t>tf.cm/m</t>
  </si>
  <si>
    <t>Momento abaixo do limite?</t>
  </si>
  <si>
    <t>μ (mi)</t>
  </si>
  <si>
    <t>Resiste ao cisalhamento?</t>
  </si>
  <si>
    <t>ξ (xi)</t>
  </si>
  <si>
    <t>Resiste a carga gravitacional?</t>
  </si>
  <si>
    <t>Área de aço (As)</t>
  </si>
  <si>
    <t>cm²/m</t>
  </si>
  <si>
    <t>As barra:</t>
  </si>
  <si>
    <t>Ø Barra:</t>
  </si>
  <si>
    <t>Espaçamento a cada:</t>
  </si>
  <si>
    <t>furos</t>
  </si>
  <si>
    <t>CISALHAMENTO</t>
  </si>
  <si>
    <t>Tf/m</t>
  </si>
  <si>
    <t>Vr:</t>
  </si>
  <si>
    <t>Distância entre pilares:</t>
  </si>
  <si>
    <t>Momento - base do pilar:</t>
  </si>
  <si>
    <t>kgf.m</t>
  </si>
  <si>
    <t>Força horizontal - base pilar:</t>
  </si>
  <si>
    <t>tf</t>
  </si>
  <si>
    <t>Carga no pilar (lançar no pilar)</t>
  </si>
  <si>
    <t>Md (aplicar na fundação):</t>
  </si>
  <si>
    <t>Vd (aplicar na fundação):</t>
  </si>
  <si>
    <t>N/m (aplicar no baldrame):</t>
  </si>
  <si>
    <t>Esbeltez da alvenaria abaixo do limite?</t>
  </si>
  <si>
    <t>Esbeltez da alvenaria:</t>
  </si>
  <si>
    <t>Esbeltez do pilar:</t>
  </si>
  <si>
    <t>Esbeltez do pilar abaixo do limite?</t>
  </si>
  <si>
    <t>Espessura dos blocos:</t>
  </si>
  <si>
    <t>FECHAMENTO DA ALVENARIA/ MURO APENAS DE BLOCO</t>
  </si>
  <si>
    <t>EMPUXO NA ALVENARIA</t>
  </si>
  <si>
    <t>K (coeficiente de empuxo ativo)</t>
  </si>
  <si>
    <t>Ka</t>
  </si>
  <si>
    <t>fator c</t>
  </si>
  <si>
    <t>Altura efetiva da contenção:</t>
  </si>
  <si>
    <t>Peso alvenaria (aplicar no baldrame)</t>
  </si>
  <si>
    <t>kgf/m</t>
  </si>
  <si>
    <t>Pa=σa.Ka - 2.c.√Ka</t>
  </si>
  <si>
    <t>Estimativa de Parâmetros dos Solos - Argilas/ Areias - CURSO DOMINE ENGENHARIA ESTRUTURAL V2.0</t>
  </si>
  <si>
    <t>Quantidade de blocos entre pilares</t>
  </si>
  <si>
    <t>blocos</t>
  </si>
  <si>
    <t>Altura pilar (H):</t>
  </si>
  <si>
    <t>Ea=(Pa.H)/2</t>
  </si>
  <si>
    <t>Fechamento da alvenaria (até 2 metros)</t>
  </si>
  <si>
    <t>AVISOS</t>
  </si>
  <si>
    <t>Momento alvenaria abaixo do limite?</t>
  </si>
  <si>
    <t>Alvenaria resiste ao cisalhamento?</t>
  </si>
  <si>
    <t>Alvenaria resiste a carga gravitacional?</t>
  </si>
  <si>
    <t>Resistência a compressão bloco</t>
  </si>
  <si>
    <t>Distância entre pilares (D):</t>
  </si>
  <si>
    <t>DADOS SOLO E PILARES:</t>
  </si>
  <si>
    <t>DADOS FECHAMENTO EM ALVENARIA:</t>
  </si>
  <si>
    <t>Solo se autosustenta?</t>
  </si>
  <si>
    <t>Considerar solo coesivo?</t>
  </si>
  <si>
    <t>Sim</t>
  </si>
  <si>
    <t>Não</t>
  </si>
  <si>
    <t>Apenas 50% de coesão</t>
  </si>
  <si>
    <t>Aplicar carga em:</t>
  </si>
  <si>
    <t>Aplicar carga:</t>
  </si>
  <si>
    <t>....</t>
  </si>
  <si>
    <t>Fechamento de alvenaria:</t>
  </si>
  <si>
    <t>Altura do pilar do muro de arrimo</t>
  </si>
  <si>
    <t>Fator de Eficiência (%)</t>
  </si>
  <si>
    <t>fpk,oco</t>
  </si>
  <si>
    <r>
      <t>f</t>
    </r>
    <r>
      <rPr>
        <b/>
        <sz val="8"/>
        <rFont val="Arial"/>
        <family val="2"/>
      </rPr>
      <t xml:space="preserve">pk,cheio </t>
    </r>
    <r>
      <rPr>
        <b/>
        <sz val="10"/>
        <rFont val="Arial"/>
        <family val="2"/>
      </rPr>
      <t>/ f</t>
    </r>
    <r>
      <rPr>
        <b/>
        <sz val="8"/>
        <rFont val="Arial"/>
        <family val="2"/>
      </rPr>
      <t>pk,oco</t>
    </r>
    <r>
      <rPr>
        <b/>
        <sz val="10"/>
        <rFont val="Arial"/>
        <family val="2"/>
      </rPr>
      <t xml:space="preserve">         (%)</t>
    </r>
  </si>
  <si>
    <t>Porcentagem de graute</t>
  </si>
  <si>
    <t>fpk,cheio</t>
  </si>
  <si>
    <t>Mk</t>
  </si>
  <si>
    <t>KN.m</t>
  </si>
  <si>
    <t>Valores de cálculo</t>
  </si>
  <si>
    <t>fd</t>
  </si>
  <si>
    <t>kN/cm²</t>
  </si>
  <si>
    <t>fyd</t>
  </si>
  <si>
    <t>Md</t>
  </si>
  <si>
    <t>KN.cm</t>
  </si>
  <si>
    <t>Cálculo de εyd</t>
  </si>
  <si>
    <t>εyd</t>
  </si>
  <si>
    <t>Limíte dos domínios</t>
  </si>
  <si>
    <t>x2lim</t>
  </si>
  <si>
    <t>x3lim</t>
  </si>
  <si>
    <t>Cálculo de x</t>
  </si>
  <si>
    <t>x²        -</t>
  </si>
  <si>
    <t>x      +</t>
  </si>
  <si>
    <t>= 0</t>
  </si>
  <si>
    <t>Δ</t>
  </si>
  <si>
    <t>x</t>
  </si>
  <si>
    <t>βx</t>
  </si>
  <si>
    <t>Verificação do Domínio</t>
  </si>
  <si>
    <t>CÁLCULO DA TENSÃO NO AÇO</t>
  </si>
  <si>
    <t>σ s =</t>
  </si>
  <si>
    <t>σ s</t>
  </si>
  <si>
    <t>Cálculo de Rc</t>
  </si>
  <si>
    <t>Rc</t>
  </si>
  <si>
    <t>kN</t>
  </si>
  <si>
    <t>Cálculo de As</t>
  </si>
  <si>
    <t>As</t>
  </si>
  <si>
    <t>As,min</t>
  </si>
  <si>
    <t>φ</t>
  </si>
  <si>
    <t>C/</t>
  </si>
  <si>
    <t>espaçamento p/painéis</t>
  </si>
  <si>
    <t>n</t>
  </si>
  <si>
    <t>número de barras</t>
  </si>
  <si>
    <t>ALVENARIA ESTRUTURAL - FLEXÃO SIMPLES SEÇÃO RETANGULAR ARMADURA SIMPLES</t>
  </si>
  <si>
    <t>d (espessura - 5 cm)</t>
  </si>
  <si>
    <t>bw (largura da alvenaria</t>
  </si>
  <si>
    <t>Aço CA50</t>
  </si>
  <si>
    <t>Resistência característica do blocofbk (Mpa)</t>
  </si>
  <si>
    <t>Porcentagem de graute:</t>
  </si>
  <si>
    <t>%</t>
  </si>
  <si>
    <t>Momento solicitante (Mk) - Líbano</t>
  </si>
  <si>
    <t>Kn.m</t>
  </si>
  <si>
    <t>La</t>
  </si>
  <si>
    <t>Lb</t>
  </si>
  <si>
    <t>μ'x</t>
  </si>
  <si>
    <t>μx</t>
  </si>
  <si>
    <t>μy</t>
  </si>
  <si>
    <t>p</t>
  </si>
  <si>
    <t>l (menor entre La e Lb</t>
  </si>
  <si>
    <t>mμx</t>
  </si>
  <si>
    <t>mμ'x</t>
  </si>
  <si>
    <t>mμy</t>
  </si>
  <si>
    <t>Kn.m/m</t>
  </si>
  <si>
    <t>Momento no Pilar</t>
  </si>
  <si>
    <t>Ka = tan²(45 - φ/2)</t>
  </si>
  <si>
    <t>Ka = tan²(45 - 30/2) = tan²(30) = 0.33 </t>
  </si>
  <si>
    <t>kN/m</t>
  </si>
  <si>
    <t>Carga Placa 1 h100cm</t>
  </si>
  <si>
    <t>Carga Placa 2 h100cm</t>
  </si>
  <si>
    <t>Carga Placa 3 h100cm</t>
  </si>
  <si>
    <t>Carga Placa 4 h100cm</t>
  </si>
  <si>
    <t>Carga Placa 5 h100cm</t>
  </si>
  <si>
    <t>Carga Placa 6 h100cm</t>
  </si>
  <si>
    <t>Sc</t>
  </si>
  <si>
    <t>kN/m²</t>
  </si>
  <si>
    <t>Pa,sup</t>
  </si>
  <si>
    <t>h,eq</t>
  </si>
  <si>
    <t>Pa,inf</t>
  </si>
  <si>
    <t>Momento máximo</t>
  </si>
  <si>
    <t>kN*m</t>
  </si>
  <si>
    <t>Momento máximo variado</t>
  </si>
  <si>
    <t>Cota de verificação</t>
  </si>
  <si>
    <t>Momento Pilar biapoiado</t>
  </si>
  <si>
    <t>Momento Pilar engastado/livre</t>
  </si>
  <si>
    <t>em ajuste</t>
  </si>
  <si>
    <t>Pa</t>
  </si>
  <si>
    <t>bw,laje</t>
  </si>
  <si>
    <t>º</t>
  </si>
  <si>
    <t>h</t>
  </si>
  <si>
    <t>Pa = G</t>
  </si>
  <si>
    <t>Pa = Q</t>
  </si>
  <si>
    <t>Largura da laje.</t>
  </si>
  <si>
    <t>Altura equivalente ocasionada pela sobrecarga.</t>
  </si>
  <si>
    <t>Altura da contenção.</t>
  </si>
  <si>
    <t>Tensão atuante.</t>
  </si>
  <si>
    <t>Resultante na laje devido às cargas permanentes.</t>
  </si>
  <si>
    <t>Resultante na laje devido às cargas variáveis.</t>
  </si>
  <si>
    <t>Sobrecargas em lajes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</si>
</sst>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"/>
    <numFmt numFmtId="165" formatCode="0.000"/>
    <numFmt numFmtId="166" formatCode="0.00000"/>
    <numFmt numFmtId="167" formatCode="0.000%"/>
    <numFmt numFmtId="168" formatCode="0.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name val="Arial"/>
      <family val="2"/>
    </font>
    <font>
      <b/>
      <sz val="16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2"/>
      <color theme="0" tint="-0.34998626667073579"/>
      <name val="Calibri"/>
      <family val="2"/>
      <scheme val="minor"/>
    </font>
    <font>
      <sz val="16"/>
      <color theme="0" tint="-0.34998626667073579"/>
      <name val="Calibri"/>
      <family val="2"/>
      <scheme val="minor"/>
    </font>
    <font>
      <b/>
      <sz val="11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0"/>
      <name val="Arial"/>
      <family val="2"/>
    </font>
    <font>
      <b/>
      <sz val="8"/>
      <name val="Arial"/>
      <family val="2"/>
    </font>
    <font>
      <i/>
      <sz val="11"/>
      <color theme="1"/>
      <name val="Times New Roman"/>
      <family val="1"/>
    </font>
    <font>
      <b/>
      <i/>
      <u/>
      <sz val="14"/>
      <color theme="1"/>
      <name val="Times New Roman"/>
      <family val="1"/>
    </font>
    <font>
      <i/>
      <sz val="11"/>
      <name val="Times New Roman"/>
      <family val="1"/>
    </font>
    <font>
      <i/>
      <sz val="11"/>
      <color rgb="FFFF0000"/>
      <name val="Times New Roman"/>
      <family val="1"/>
    </font>
    <font>
      <sz val="11"/>
      <color rgb="FFFF0000"/>
      <name val="Times New Roman"/>
      <family val="1"/>
    </font>
    <font>
      <b/>
      <i/>
      <u/>
      <sz val="11"/>
      <color theme="1"/>
      <name val="Times New Roman"/>
      <family val="1"/>
    </font>
    <font>
      <b/>
      <i/>
      <sz val="11"/>
      <color rgb="FFFF0000"/>
      <name val="Times New Roman"/>
      <family val="1"/>
    </font>
    <font>
      <sz val="14"/>
      <color theme="1"/>
      <name val="Calibri"/>
      <family val="2"/>
    </font>
    <font>
      <sz val="14"/>
      <name val="Arial"/>
      <family val="2"/>
    </font>
    <font>
      <sz val="8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1"/>
      <color theme="2" tint="-9.9978637043366805E-2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0"/>
      <color rgb="FF000000"/>
      <name val="Arial"/>
      <family val="2"/>
    </font>
    <font>
      <b/>
      <sz val="10"/>
      <color rgb="FF000000"/>
      <name val="Arial"/>
      <family val="2"/>
    </font>
    <font>
      <b/>
      <sz val="13"/>
      <color rgb="FFFFFFFF"/>
      <name val="Arial"/>
      <family val="2"/>
    </font>
    <font>
      <b/>
      <sz val="11"/>
      <color rgb="FFFFFFFF"/>
      <name val="Arial"/>
      <family val="2"/>
    </font>
    <font>
      <b/>
      <sz val="10"/>
      <color rgb="FF0000FF"/>
      <name val="Arial"/>
      <family val="2"/>
    </font>
    <font>
      <i/>
      <sz val="9"/>
      <color rgb="FF595959"/>
      <name val="Arial"/>
      <family val="2"/>
    </font>
    <font>
      <b/>
      <sz val="10"/>
      <color rgb="FFC00000"/>
      <name val="Arial"/>
      <family val="2"/>
    </font>
  </fonts>
  <fills count="18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2F75B5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D9E1F2"/>
        <bgColor indexed="64"/>
      </patternFill>
    </fill>
  </fills>
  <borders count="4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rgb="FFFF0000"/>
      </left>
      <right style="thin">
        <color rgb="FFFF0000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FF0000"/>
      </left>
      <right style="thin">
        <color rgb="FFFF0000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FF0000"/>
      </left>
      <right style="thin">
        <color rgb="FFFF0000"/>
      </right>
      <top style="thin">
        <color indexed="64"/>
      </top>
      <bottom style="thin">
        <color rgb="FFFF0000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4">
    <xf numFmtId="0" fontId="0" fillId="0" borderId="0"/>
    <xf numFmtId="0" fontId="3" fillId="0" borderId="0"/>
    <xf numFmtId="9" fontId="15" fillId="0" borderId="0" applyFont="0" applyFill="0" applyBorder="0" applyAlignment="0" applyProtection="0"/>
    <xf numFmtId="0" fontId="3" fillId="0" borderId="0"/>
  </cellStyleXfs>
  <cellXfs count="237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2" borderId="3" xfId="0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9" xfId="0" applyBorder="1"/>
    <xf numFmtId="0" fontId="0" fillId="0" borderId="7" xfId="0" applyBorder="1"/>
    <xf numFmtId="0" fontId="0" fillId="0" borderId="0" xfId="0" applyAlignment="1">
      <alignment horizontal="left"/>
    </xf>
    <xf numFmtId="0" fontId="0" fillId="0" borderId="7" xfId="0" applyBorder="1" applyAlignment="1">
      <alignment vertical="center"/>
    </xf>
    <xf numFmtId="0" fontId="0" fillId="0" borderId="0" xfId="0" applyAlignment="1">
      <alignment horizontal="left" vertical="center"/>
    </xf>
    <xf numFmtId="2" fontId="0" fillId="0" borderId="0" xfId="0" applyNumberFormat="1"/>
    <xf numFmtId="0" fontId="0" fillId="0" borderId="11" xfId="0" applyBorder="1"/>
    <xf numFmtId="0" fontId="0" fillId="0" borderId="6" xfId="0" applyBorder="1"/>
    <xf numFmtId="0" fontId="0" fillId="0" borderId="6" xfId="0" applyBorder="1" applyAlignment="1">
      <alignment horizontal="left"/>
    </xf>
    <xf numFmtId="0" fontId="2" fillId="5" borderId="7" xfId="0" applyFont="1" applyFill="1" applyBorder="1" applyAlignment="1">
      <alignment horizontal="center"/>
    </xf>
    <xf numFmtId="0" fontId="2" fillId="5" borderId="0" xfId="0" applyFont="1" applyFill="1" applyAlignment="1">
      <alignment horizontal="center"/>
    </xf>
    <xf numFmtId="0" fontId="2" fillId="5" borderId="9" xfId="0" applyFont="1" applyFill="1" applyBorder="1" applyAlignment="1">
      <alignment horizontal="center"/>
    </xf>
    <xf numFmtId="0" fontId="5" fillId="5" borderId="7" xfId="0" quotePrefix="1" applyFont="1" applyFill="1" applyBorder="1" applyAlignment="1">
      <alignment horizontal="left"/>
    </xf>
    <xf numFmtId="0" fontId="2" fillId="5" borderId="0" xfId="0" applyFont="1" applyFill="1" applyAlignment="1">
      <alignment horizontal="left"/>
    </xf>
    <xf numFmtId="0" fontId="2" fillId="5" borderId="9" xfId="0" applyFont="1" applyFill="1" applyBorder="1" applyAlignment="1">
      <alignment horizontal="left"/>
    </xf>
    <xf numFmtId="164" fontId="0" fillId="0" borderId="0" xfId="0" applyNumberFormat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0" fontId="0" fillId="5" borderId="0" xfId="0" applyFill="1" applyAlignment="1">
      <alignment horizontal="left"/>
    </xf>
    <xf numFmtId="0" fontId="0" fillId="5" borderId="9" xfId="0" applyFill="1" applyBorder="1" applyAlignment="1">
      <alignment horizontal="left"/>
    </xf>
    <xf numFmtId="164" fontId="0" fillId="0" borderId="14" xfId="0" applyNumberFormat="1" applyBorder="1" applyAlignment="1">
      <alignment horizontal="center"/>
    </xf>
    <xf numFmtId="164" fontId="0" fillId="0" borderId="15" xfId="0" applyNumberFormat="1" applyBorder="1" applyAlignment="1">
      <alignment horizontal="center"/>
    </xf>
    <xf numFmtId="164" fontId="0" fillId="0" borderId="16" xfId="0" applyNumberFormat="1" applyBorder="1" applyAlignment="1">
      <alignment horizontal="center"/>
    </xf>
    <xf numFmtId="164" fontId="0" fillId="0" borderId="17" xfId="0" applyNumberFormat="1" applyBorder="1" applyAlignment="1">
      <alignment horizontal="center"/>
    </xf>
    <xf numFmtId="164" fontId="0" fillId="0" borderId="18" xfId="0" applyNumberFormat="1" applyBorder="1" applyAlignment="1">
      <alignment horizontal="center"/>
    </xf>
    <xf numFmtId="0" fontId="0" fillId="6" borderId="14" xfId="0" applyFill="1" applyBorder="1"/>
    <xf numFmtId="0" fontId="0" fillId="6" borderId="15" xfId="0" applyFill="1" applyBorder="1"/>
    <xf numFmtId="0" fontId="0" fillId="6" borderId="19" xfId="0" applyFill="1" applyBorder="1" applyProtection="1">
      <protection locked="0"/>
    </xf>
    <xf numFmtId="0" fontId="0" fillId="6" borderId="5" xfId="0" applyFill="1" applyBorder="1"/>
    <xf numFmtId="0" fontId="0" fillId="6" borderId="8" xfId="0" applyFill="1" applyBorder="1"/>
    <xf numFmtId="164" fontId="0" fillId="0" borderId="20" xfId="0" applyNumberFormat="1" applyBorder="1" applyAlignment="1">
      <alignment horizontal="center"/>
    </xf>
    <xf numFmtId="164" fontId="0" fillId="0" borderId="21" xfId="0" applyNumberFormat="1" applyBorder="1" applyAlignment="1">
      <alignment horizontal="center"/>
    </xf>
    <xf numFmtId="164" fontId="0" fillId="0" borderId="22" xfId="0" applyNumberFormat="1" applyBorder="1" applyAlignment="1">
      <alignment horizontal="center"/>
    </xf>
    <xf numFmtId="0" fontId="0" fillId="6" borderId="20" xfId="0" applyFill="1" applyBorder="1"/>
    <xf numFmtId="0" fontId="0" fillId="6" borderId="21" xfId="0" applyFill="1" applyBorder="1"/>
    <xf numFmtId="0" fontId="0" fillId="6" borderId="23" xfId="0" applyFill="1" applyBorder="1" applyProtection="1">
      <protection locked="0"/>
    </xf>
    <xf numFmtId="0" fontId="0" fillId="6" borderId="0" xfId="0" applyFill="1"/>
    <xf numFmtId="0" fontId="0" fillId="6" borderId="9" xfId="0" applyFill="1" applyBorder="1"/>
    <xf numFmtId="164" fontId="0" fillId="0" borderId="24" xfId="0" applyNumberFormat="1" applyBorder="1" applyAlignment="1">
      <alignment horizontal="center"/>
    </xf>
    <xf numFmtId="164" fontId="0" fillId="0" borderId="25" xfId="0" applyNumberFormat="1" applyBorder="1" applyAlignment="1">
      <alignment horizontal="center"/>
    </xf>
    <xf numFmtId="164" fontId="0" fillId="0" borderId="26" xfId="0" applyNumberFormat="1" applyBorder="1" applyAlignment="1">
      <alignment horizontal="center"/>
    </xf>
    <xf numFmtId="164" fontId="0" fillId="0" borderId="27" xfId="0" applyNumberFormat="1" applyBorder="1" applyAlignment="1">
      <alignment horizontal="center"/>
    </xf>
    <xf numFmtId="164" fontId="0" fillId="0" borderId="28" xfId="0" applyNumberFormat="1" applyBorder="1" applyAlignment="1">
      <alignment horizontal="center"/>
    </xf>
    <xf numFmtId="164" fontId="0" fillId="0" borderId="29" xfId="0" applyNumberFormat="1" applyBorder="1" applyAlignment="1">
      <alignment horizontal="center"/>
    </xf>
    <xf numFmtId="164" fontId="0" fillId="0" borderId="30" xfId="0" applyNumberFormat="1" applyBorder="1"/>
    <xf numFmtId="164" fontId="0" fillId="0" borderId="0" xfId="0" applyNumberFormat="1"/>
    <xf numFmtId="165" fontId="0" fillId="0" borderId="20" xfId="0" applyNumberFormat="1" applyBorder="1" applyAlignment="1">
      <alignment horizontal="center"/>
    </xf>
    <xf numFmtId="165" fontId="0" fillId="0" borderId="33" xfId="0" applyNumberFormat="1" applyBorder="1" applyAlignment="1">
      <alignment horizontal="center"/>
    </xf>
    <xf numFmtId="166" fontId="0" fillId="0" borderId="24" xfId="0" applyNumberFormat="1" applyBorder="1" applyAlignment="1">
      <alignment horizontal="center"/>
    </xf>
    <xf numFmtId="2" fontId="0" fillId="0" borderId="34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6" borderId="35" xfId="0" applyFill="1" applyBorder="1" applyProtection="1">
      <protection locked="0"/>
    </xf>
    <xf numFmtId="0" fontId="0" fillId="6" borderId="36" xfId="0" applyFill="1" applyBorder="1"/>
    <xf numFmtId="0" fontId="0" fillId="6" borderId="37" xfId="0" applyFill="1" applyBorder="1"/>
    <xf numFmtId="0" fontId="0" fillId="0" borderId="28" xfId="0" applyBorder="1" applyAlignment="1">
      <alignment horizontal="center"/>
    </xf>
    <xf numFmtId="0" fontId="6" fillId="7" borderId="7" xfId="0" applyFont="1" applyFill="1" applyBorder="1"/>
    <xf numFmtId="0" fontId="0" fillId="7" borderId="0" xfId="0" applyFill="1"/>
    <xf numFmtId="0" fontId="0" fillId="7" borderId="9" xfId="0" applyFill="1" applyBorder="1"/>
    <xf numFmtId="0" fontId="0" fillId="7" borderId="20" xfId="0" applyFill="1" applyBorder="1"/>
    <xf numFmtId="0" fontId="0" fillId="7" borderId="3" xfId="0" applyFill="1" applyBorder="1"/>
    <xf numFmtId="164" fontId="0" fillId="8" borderId="3" xfId="0" applyNumberFormat="1" applyFill="1" applyBorder="1"/>
    <xf numFmtId="0" fontId="0" fillId="7" borderId="38" xfId="0" applyFill="1" applyBorder="1"/>
    <xf numFmtId="0" fontId="0" fillId="7" borderId="39" xfId="0" applyFill="1" applyBorder="1"/>
    <xf numFmtId="0" fontId="0" fillId="7" borderId="24" xfId="0" applyFill="1" applyBorder="1"/>
    <xf numFmtId="0" fontId="0" fillId="7" borderId="40" xfId="0" applyFill="1" applyBorder="1"/>
    <xf numFmtId="1" fontId="0" fillId="8" borderId="40" xfId="0" applyNumberFormat="1" applyFill="1" applyBorder="1"/>
    <xf numFmtId="0" fontId="0" fillId="7" borderId="6" xfId="0" applyFill="1" applyBorder="1"/>
    <xf numFmtId="0" fontId="0" fillId="7" borderId="10" xfId="0" applyFill="1" applyBorder="1"/>
    <xf numFmtId="0" fontId="5" fillId="0" borderId="0" xfId="0" quotePrefix="1" applyFont="1"/>
    <xf numFmtId="0" fontId="0" fillId="0" borderId="0" xfId="0" applyProtection="1">
      <protection locked="0"/>
    </xf>
    <xf numFmtId="0" fontId="6" fillId="0" borderId="0" xfId="0" applyFont="1"/>
    <xf numFmtId="0" fontId="5" fillId="0" borderId="0" xfId="0" applyFont="1"/>
    <xf numFmtId="2" fontId="0" fillId="0" borderId="0" xfId="0" applyNumberFormat="1" applyAlignment="1">
      <alignment horizontal="right" vertical="center"/>
    </xf>
    <xf numFmtId="1" fontId="0" fillId="0" borderId="0" xfId="0" applyNumberFormat="1"/>
    <xf numFmtId="0" fontId="0" fillId="0" borderId="3" xfId="0" applyBorder="1" applyAlignment="1">
      <alignment horizontal="left"/>
    </xf>
    <xf numFmtId="0" fontId="0" fillId="0" borderId="3" xfId="0" applyBorder="1" applyAlignment="1">
      <alignment horizontal="center" vertical="center"/>
    </xf>
    <xf numFmtId="0" fontId="0" fillId="0" borderId="3" xfId="0" applyBorder="1"/>
    <xf numFmtId="0" fontId="0" fillId="0" borderId="3" xfId="0" applyBorder="1" applyAlignment="1">
      <alignment horizontal="left" vertical="center"/>
    </xf>
    <xf numFmtId="1" fontId="0" fillId="0" borderId="3" xfId="0" applyNumberFormat="1" applyBorder="1"/>
    <xf numFmtId="1" fontId="0" fillId="0" borderId="3" xfId="0" applyNumberFormat="1" applyBorder="1" applyAlignment="1">
      <alignment horizontal="center"/>
    </xf>
    <xf numFmtId="0" fontId="0" fillId="9" borderId="0" xfId="0" applyFill="1"/>
    <xf numFmtId="0" fontId="0" fillId="9" borderId="9" xfId="0" applyFill="1" applyBorder="1"/>
    <xf numFmtId="0" fontId="0" fillId="9" borderId="0" xfId="0" applyFill="1" applyAlignment="1">
      <alignment vertical="center"/>
    </xf>
    <xf numFmtId="2" fontId="0" fillId="0" borderId="3" xfId="0" applyNumberFormat="1" applyBorder="1"/>
    <xf numFmtId="0" fontId="8" fillId="0" borderId="7" xfId="0" applyFont="1" applyBorder="1"/>
    <xf numFmtId="2" fontId="8" fillId="0" borderId="0" xfId="0" applyNumberFormat="1" applyFont="1"/>
    <xf numFmtId="0" fontId="9" fillId="0" borderId="7" xfId="0" applyFont="1" applyBorder="1" applyAlignment="1">
      <alignment horizontal="left" vertical="top" wrapText="1"/>
    </xf>
    <xf numFmtId="2" fontId="9" fillId="0" borderId="0" xfId="0" applyNumberFormat="1" applyFont="1" applyAlignment="1">
      <alignment horizontal="right" vertical="center"/>
    </xf>
    <xf numFmtId="0" fontId="9" fillId="0" borderId="0" xfId="0" applyFont="1" applyAlignment="1">
      <alignment horizontal="left"/>
    </xf>
    <xf numFmtId="0" fontId="9" fillId="0" borderId="7" xfId="0" applyFont="1" applyBorder="1"/>
    <xf numFmtId="2" fontId="9" fillId="0" borderId="0" xfId="0" applyNumberFormat="1" applyFont="1"/>
    <xf numFmtId="0" fontId="9" fillId="0" borderId="7" xfId="0" applyFont="1" applyBorder="1" applyAlignment="1">
      <alignment wrapText="1"/>
    </xf>
    <xf numFmtId="0" fontId="9" fillId="0" borderId="0" xfId="0" applyFont="1"/>
    <xf numFmtId="0" fontId="7" fillId="0" borderId="0" xfId="0" applyFont="1"/>
    <xf numFmtId="0" fontId="8" fillId="0" borderId="0" xfId="0" applyFont="1"/>
    <xf numFmtId="165" fontId="8" fillId="0" borderId="0" xfId="0" applyNumberFormat="1" applyFont="1"/>
    <xf numFmtId="0" fontId="8" fillId="0" borderId="0" xfId="0" applyFont="1" applyAlignment="1">
      <alignment horizontal="center"/>
    </xf>
    <xf numFmtId="164" fontId="8" fillId="0" borderId="0" xfId="0" applyNumberFormat="1" applyFont="1"/>
    <xf numFmtId="0" fontId="12" fillId="0" borderId="0" xfId="0" applyFont="1"/>
    <xf numFmtId="0" fontId="12" fillId="0" borderId="7" xfId="0" applyFont="1" applyBorder="1"/>
    <xf numFmtId="0" fontId="14" fillId="0" borderId="7" xfId="0" applyFont="1" applyBorder="1"/>
    <xf numFmtId="2" fontId="14" fillId="0" borderId="0" xfId="0" applyNumberFormat="1" applyFont="1"/>
    <xf numFmtId="0" fontId="7" fillId="0" borderId="0" xfId="0" applyFont="1" applyAlignment="1">
      <alignment horizontal="left"/>
    </xf>
    <xf numFmtId="0" fontId="0" fillId="4" borderId="13" xfId="0" applyFill="1" applyBorder="1" applyAlignment="1">
      <alignment horizontal="center"/>
    </xf>
    <xf numFmtId="0" fontId="0" fillId="4" borderId="13" xfId="0" applyFill="1" applyBorder="1" applyAlignment="1">
      <alignment horizontal="right"/>
    </xf>
    <xf numFmtId="164" fontId="0" fillId="4" borderId="13" xfId="0" applyNumberFormat="1" applyFill="1" applyBorder="1" applyAlignment="1">
      <alignment horizontal="right"/>
    </xf>
    <xf numFmtId="0" fontId="0" fillId="0" borderId="0" xfId="0" applyAlignment="1">
      <alignment horizontal="right"/>
    </xf>
    <xf numFmtId="164" fontId="0" fillId="0" borderId="0" xfId="0" applyNumberFormat="1" applyAlignment="1">
      <alignment horizontal="right"/>
    </xf>
    <xf numFmtId="0" fontId="0" fillId="4" borderId="13" xfId="0" applyFill="1" applyBorder="1"/>
    <xf numFmtId="0" fontId="14" fillId="0" borderId="0" xfId="0" applyFont="1" applyAlignment="1">
      <alignment horizontal="left"/>
    </xf>
    <xf numFmtId="0" fontId="8" fillId="0" borderId="9" xfId="0" applyFont="1" applyBorder="1"/>
    <xf numFmtId="0" fontId="8" fillId="0" borderId="11" xfId="0" applyFont="1" applyBorder="1"/>
    <xf numFmtId="1" fontId="8" fillId="0" borderId="6" xfId="0" applyNumberFormat="1" applyFont="1" applyBorder="1"/>
    <xf numFmtId="0" fontId="8" fillId="0" borderId="6" xfId="0" applyFont="1" applyBorder="1"/>
    <xf numFmtId="0" fontId="8" fillId="0" borderId="10" xfId="0" applyFont="1" applyBorder="1"/>
    <xf numFmtId="0" fontId="12" fillId="0" borderId="12" xfId="0" applyFont="1" applyBorder="1"/>
    <xf numFmtId="0" fontId="12" fillId="0" borderId="8" xfId="0" applyFont="1" applyBorder="1"/>
    <xf numFmtId="0" fontId="12" fillId="0" borderId="9" xfId="0" applyFont="1" applyBorder="1"/>
    <xf numFmtId="0" fontId="12" fillId="0" borderId="11" xfId="0" applyFont="1" applyBorder="1"/>
    <xf numFmtId="0" fontId="12" fillId="0" borderId="10" xfId="0" applyFont="1" applyBorder="1"/>
    <xf numFmtId="0" fontId="8" fillId="0" borderId="12" xfId="0" applyFont="1" applyBorder="1"/>
    <xf numFmtId="0" fontId="8" fillId="0" borderId="5" xfId="0" applyFont="1" applyBorder="1"/>
    <xf numFmtId="0" fontId="8" fillId="0" borderId="8" xfId="0" applyFont="1" applyBorder="1"/>
    <xf numFmtId="2" fontId="8" fillId="0" borderId="5" xfId="0" applyNumberFormat="1" applyFont="1" applyBorder="1"/>
    <xf numFmtId="0" fontId="12" fillId="0" borderId="5" xfId="0" applyFont="1" applyBorder="1"/>
    <xf numFmtId="2" fontId="8" fillId="0" borderId="6" xfId="0" applyNumberFormat="1" applyFont="1" applyBorder="1"/>
    <xf numFmtId="165" fontId="8" fillId="0" borderId="6" xfId="0" applyNumberFormat="1" applyFont="1" applyBorder="1"/>
    <xf numFmtId="0" fontId="8" fillId="0" borderId="12" xfId="0" applyFont="1" applyBorder="1" applyAlignment="1">
      <alignment horizontal="center"/>
    </xf>
    <xf numFmtId="0" fontId="8" fillId="0" borderId="7" xfId="0" applyFont="1" applyBorder="1" applyAlignment="1">
      <alignment horizontal="center"/>
    </xf>
    <xf numFmtId="0" fontId="8" fillId="0" borderId="11" xfId="0" applyFont="1" applyBorder="1" applyAlignment="1">
      <alignment horizontal="center"/>
    </xf>
    <xf numFmtId="1" fontId="14" fillId="0" borderId="0" xfId="0" applyNumberFormat="1" applyFont="1" applyAlignment="1">
      <alignment horizontal="right"/>
    </xf>
    <xf numFmtId="164" fontId="0" fillId="0" borderId="6" xfId="0" applyNumberFormat="1" applyBorder="1"/>
    <xf numFmtId="0" fontId="12" fillId="0" borderId="1" xfId="0" applyFont="1" applyBorder="1"/>
    <xf numFmtId="2" fontId="0" fillId="0" borderId="3" xfId="0" applyNumberFormat="1" applyBorder="1" applyAlignment="1">
      <alignment horizontal="center"/>
    </xf>
    <xf numFmtId="0" fontId="13" fillId="0" borderId="0" xfId="0" applyFont="1" applyAlignment="1">
      <alignment horizontal="center" vertical="center"/>
    </xf>
    <xf numFmtId="167" fontId="20" fillId="5" borderId="0" xfId="2" applyNumberFormat="1" applyFont="1" applyFill="1" applyBorder="1"/>
    <xf numFmtId="9" fontId="0" fillId="4" borderId="13" xfId="2" applyFont="1" applyFill="1" applyBorder="1" applyAlignment="1">
      <alignment horizontal="right"/>
    </xf>
    <xf numFmtId="2" fontId="7" fillId="0" borderId="0" xfId="0" applyNumberFormat="1" applyFont="1"/>
    <xf numFmtId="0" fontId="17" fillId="5" borderId="0" xfId="0" applyFont="1" applyFill="1"/>
    <xf numFmtId="0" fontId="17" fillId="0" borderId="0" xfId="0" applyFont="1"/>
    <xf numFmtId="164" fontId="0" fillId="4" borderId="0" xfId="0" applyNumberFormat="1" applyFill="1" applyAlignment="1">
      <alignment horizontal="right"/>
    </xf>
    <xf numFmtId="0" fontId="16" fillId="5" borderId="0" xfId="0" applyFont="1" applyFill="1" applyAlignment="1">
      <alignment horizontal="left"/>
    </xf>
    <xf numFmtId="9" fontId="0" fillId="4" borderId="0" xfId="2" applyFont="1" applyFill="1" applyBorder="1" applyAlignment="1">
      <alignment horizontal="right"/>
    </xf>
    <xf numFmtId="0" fontId="16" fillId="10" borderId="0" xfId="0" applyFont="1" applyFill="1" applyAlignment="1">
      <alignment horizontal="left"/>
    </xf>
    <xf numFmtId="0" fontId="17" fillId="10" borderId="0" xfId="0" applyFont="1" applyFill="1"/>
    <xf numFmtId="0" fontId="20" fillId="5" borderId="0" xfId="0" applyFont="1" applyFill="1"/>
    <xf numFmtId="0" fontId="14" fillId="0" borderId="0" xfId="0" applyFont="1"/>
    <xf numFmtId="165" fontId="20" fillId="5" borderId="0" xfId="0" applyNumberFormat="1" applyFont="1" applyFill="1"/>
    <xf numFmtId="0" fontId="22" fillId="5" borderId="0" xfId="0" applyFont="1" applyFill="1"/>
    <xf numFmtId="2" fontId="22" fillId="5" borderId="0" xfId="0" applyNumberFormat="1" applyFont="1" applyFill="1"/>
    <xf numFmtId="0" fontId="23" fillId="5" borderId="0" xfId="0" applyFont="1" applyFill="1"/>
    <xf numFmtId="0" fontId="24" fillId="0" borderId="0" xfId="0" applyFont="1"/>
    <xf numFmtId="0" fontId="20" fillId="11" borderId="0" xfId="0" applyFont="1" applyFill="1"/>
    <xf numFmtId="0" fontId="16" fillId="11" borderId="0" xfId="0" applyFont="1" applyFill="1"/>
    <xf numFmtId="2" fontId="20" fillId="5" borderId="0" xfId="0" applyNumberFormat="1" applyFont="1" applyFill="1"/>
    <xf numFmtId="0" fontId="20" fillId="5" borderId="0" xfId="0" quotePrefix="1" applyFont="1" applyFill="1"/>
    <xf numFmtId="2" fontId="20" fillId="11" borderId="0" xfId="0" applyNumberFormat="1" applyFont="1" applyFill="1"/>
    <xf numFmtId="2" fontId="26" fillId="5" borderId="0" xfId="0" applyNumberFormat="1" applyFont="1" applyFill="1"/>
    <xf numFmtId="0" fontId="26" fillId="5" borderId="0" xfId="0" applyFont="1" applyFill="1"/>
    <xf numFmtId="0" fontId="27" fillId="0" borderId="0" xfId="0" applyFont="1" applyAlignment="1">
      <alignment horizontal="center"/>
    </xf>
    <xf numFmtId="0" fontId="17" fillId="12" borderId="0" xfId="0" applyFont="1" applyFill="1"/>
    <xf numFmtId="0" fontId="17" fillId="0" borderId="0" xfId="0" applyFont="1" applyAlignment="1">
      <alignment horizontal="center"/>
    </xf>
    <xf numFmtId="164" fontId="17" fillId="0" borderId="0" xfId="0" applyNumberFormat="1" applyFont="1" applyAlignment="1">
      <alignment horizontal="left"/>
    </xf>
    <xf numFmtId="0" fontId="17" fillId="0" borderId="0" xfId="0" applyFont="1" applyAlignment="1">
      <alignment horizontal="right"/>
    </xf>
    <xf numFmtId="0" fontId="17" fillId="12" borderId="0" xfId="0" applyFont="1" applyFill="1" applyAlignment="1">
      <alignment horizontal="left"/>
    </xf>
    <xf numFmtId="0" fontId="12" fillId="0" borderId="3" xfId="0" applyFont="1" applyBorder="1"/>
    <xf numFmtId="0" fontId="8" fillId="0" borderId="3" xfId="0" applyFont="1" applyBorder="1"/>
    <xf numFmtId="0" fontId="7" fillId="0" borderId="3" xfId="0" applyFont="1" applyBorder="1"/>
    <xf numFmtId="0" fontId="23" fillId="11" borderId="0" xfId="0" applyFont="1" applyFill="1"/>
    <xf numFmtId="2" fontId="26" fillId="11" borderId="0" xfId="0" applyNumberFormat="1" applyFont="1" applyFill="1"/>
    <xf numFmtId="0" fontId="28" fillId="0" borderId="0" xfId="0" applyFont="1"/>
    <xf numFmtId="0" fontId="9" fillId="0" borderId="0" xfId="0" applyFont="1" applyAlignment="1">
      <alignment horizontal="left" vertical="top" wrapText="1"/>
    </xf>
    <xf numFmtId="0" fontId="9" fillId="0" borderId="0" xfId="0" applyFont="1" applyAlignment="1">
      <alignment wrapText="1"/>
    </xf>
    <xf numFmtId="1" fontId="7" fillId="0" borderId="0" xfId="0" applyNumberFormat="1" applyFont="1"/>
    <xf numFmtId="0" fontId="32" fillId="0" borderId="0" xfId="0" applyFont="1"/>
    <xf numFmtId="0" fontId="9" fillId="0" borderId="3" xfId="0" applyFont="1" applyBorder="1" applyAlignment="1">
      <alignment wrapText="1"/>
    </xf>
    <xf numFmtId="2" fontId="9" fillId="0" borderId="3" xfId="0" applyNumberFormat="1" applyFont="1" applyBorder="1"/>
    <xf numFmtId="0" fontId="9" fillId="0" borderId="3" xfId="0" applyFont="1" applyBorder="1" applyAlignment="1">
      <alignment horizontal="left" vertical="top" wrapText="1"/>
    </xf>
    <xf numFmtId="2" fontId="9" fillId="0" borderId="3" xfId="0" applyNumberFormat="1" applyFont="1" applyBorder="1" applyAlignment="1">
      <alignment horizontal="right" vertical="top" wrapText="1"/>
    </xf>
    <xf numFmtId="0" fontId="9" fillId="0" borderId="3" xfId="0" applyFont="1" applyBorder="1" applyAlignment="1">
      <alignment horizontal="left"/>
    </xf>
    <xf numFmtId="2" fontId="9" fillId="0" borderId="0" xfId="0" applyNumberFormat="1" applyFont="1" applyAlignment="1">
      <alignment horizontal="right" vertical="top" wrapText="1"/>
    </xf>
    <xf numFmtId="0" fontId="33" fillId="0" borderId="0" xfId="0" applyFont="1"/>
    <xf numFmtId="0" fontId="8" fillId="0" borderId="0" xfId="0" applyFont="1" applyAlignment="1">
      <alignment horizontal="center" wrapText="1"/>
    </xf>
    <xf numFmtId="0" fontId="2" fillId="0" borderId="1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65" fontId="0" fillId="0" borderId="31" xfId="0" applyNumberFormat="1" applyBorder="1" applyAlignment="1">
      <alignment horizontal="center"/>
    </xf>
    <xf numFmtId="165" fontId="0" fillId="0" borderId="32" xfId="0" applyNumberFormat="1" applyBorder="1" applyAlignment="1">
      <alignment horizontal="center"/>
    </xf>
    <xf numFmtId="0" fontId="4" fillId="5" borderId="12" xfId="0" applyFont="1" applyFill="1" applyBorder="1" applyAlignment="1">
      <alignment horizontal="center"/>
    </xf>
    <xf numFmtId="0" fontId="4" fillId="5" borderId="5" xfId="0" applyFont="1" applyFill="1" applyBorder="1" applyAlignment="1">
      <alignment horizontal="center"/>
    </xf>
    <xf numFmtId="0" fontId="4" fillId="5" borderId="8" xfId="0" applyFont="1" applyFill="1" applyBorder="1" applyAlignment="1">
      <alignment horizontal="center"/>
    </xf>
    <xf numFmtId="0" fontId="13" fillId="0" borderId="12" xfId="0" applyFont="1" applyBorder="1" applyAlignment="1">
      <alignment horizontal="center" vertical="center"/>
    </xf>
    <xf numFmtId="0" fontId="13" fillId="0" borderId="5" xfId="0" applyFont="1" applyBorder="1" applyAlignment="1">
      <alignment horizontal="center" vertical="center"/>
    </xf>
    <xf numFmtId="0" fontId="13" fillId="0" borderId="8" xfId="0" applyFont="1" applyBorder="1" applyAlignment="1">
      <alignment horizontal="center" vertical="center"/>
    </xf>
    <xf numFmtId="0" fontId="13" fillId="0" borderId="7" xfId="0" applyFont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3" fillId="0" borderId="9" xfId="0" applyFont="1" applyBorder="1" applyAlignment="1">
      <alignment horizontal="center" vertical="center"/>
    </xf>
    <xf numFmtId="0" fontId="21" fillId="5" borderId="0" xfId="0" applyFont="1" applyFill="1" applyAlignment="1">
      <alignment horizontal="left"/>
    </xf>
    <xf numFmtId="0" fontId="17" fillId="0" borderId="0" xfId="0" applyFont="1" applyAlignment="1">
      <alignment horizontal="center"/>
    </xf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/>
    </xf>
    <xf numFmtId="0" fontId="20" fillId="0" borderId="0" xfId="0" applyFont="1" applyAlignment="1">
      <alignment horizontal="center"/>
    </xf>
    <xf numFmtId="0" fontId="25" fillId="5" borderId="0" xfId="0" applyFont="1" applyFill="1" applyAlignment="1">
      <alignment horizontal="left"/>
    </xf>
    <xf numFmtId="0" fontId="36" fillId="14" borderId="0" xfId="0" applyNumberFormat="1" applyFont="1" applyFill="1" applyBorder="1" applyAlignment="1">
      <alignment vertical="center" horizontal="left"/>
    </xf>
    <xf numFmtId="0" fontId="37" fillId="15" borderId="0" xfId="0" applyNumberFormat="1" applyFont="1" applyFill="1" applyBorder="1" applyAlignment="1">
      <alignment vertical="center" horizontal="left"/>
    </xf>
    <xf numFmtId="0" fontId="39" fillId="0" borderId="0" xfId="0" applyNumberFormat="1" applyFont="1" applyFill="1" applyBorder="1" applyAlignment="1">
      <alignment vertical="center" horizontal="left" wrapText="1"/>
    </xf>
    <xf numFmtId="0" fontId="34" fillId="0" borderId="41" xfId="0" applyNumberFormat="1" applyFont="1" applyFill="1" applyBorder="1" applyAlignment="1">
      <alignment vertical="center" horizontal="left"/>
    </xf>
    <xf numFmtId="0" fontId="34" fillId="0" borderId="41" xfId="0" applyNumberFormat="1" applyFont="1" applyFill="1" applyBorder="1" applyAlignment="1">
      <alignment vertical="center" horizontal="center"/>
    </xf>
    <xf numFmtId="168" fontId="38" fillId="13" borderId="41" xfId="0" applyNumberFormat="1" applyFont="1" applyFill="1" applyBorder="1" applyAlignment="1">
      <alignment vertical="center" horizontal="center"/>
    </xf>
    <xf numFmtId="165" fontId="38" fillId="13" borderId="41" xfId="0" applyNumberFormat="1" applyFont="1" applyFill="1" applyBorder="1" applyAlignment="1">
      <alignment vertical="center" horizontal="center"/>
    </xf>
    <xf numFmtId="0" fontId="38" fillId="13" borderId="41" xfId="0" applyNumberFormat="1" applyFont="1" applyFill="1" applyBorder="1" applyAlignment="1">
      <alignment vertical="center" horizontal="center"/>
    </xf>
    <xf numFmtId="168" fontId="34" fillId="0" borderId="41" xfId="0" applyNumberFormat="1" applyFont="1" applyFill="1" applyBorder="1" applyAlignment="1">
      <alignment vertical="center" horizontal="center"/>
    </xf>
    <xf numFmtId="165" fontId="34" fillId="0" borderId="41" xfId="0" applyNumberFormat="1" applyFont="1" applyFill="1" applyBorder="1" applyAlignment="1">
      <alignment vertical="center" horizontal="center"/>
    </xf>
    <xf numFmtId="168" fontId="40" fillId="16" borderId="41" xfId="0" applyNumberFormat="1" applyFont="1" applyFill="1" applyBorder="1" applyAlignment="1">
      <alignment vertical="center" horizontal="center"/>
    </xf>
    <xf numFmtId="0" fontId="35" fillId="16" borderId="41" xfId="0" applyNumberFormat="1" applyFont="1" applyFill="1" applyBorder="1" applyAlignment="1">
      <alignment vertical="center" horizontal="left"/>
    </xf>
    <xf numFmtId="0" fontId="35" fillId="17" borderId="41" xfId="0" applyNumberFormat="1" applyFont="1" applyFill="1" applyBorder="1" applyAlignment="1">
      <alignment vertical="center" horizontal="center" wrapText="1"/>
    </xf>
    <xf numFmtId="0" fontId="35" fillId="17" borderId="41" xfId="0" applyNumberFormat="1" applyFont="1" applyFill="1" applyBorder="1" applyAlignment="1">
      <alignment vertical="center" horizontal="left" wrapText="1"/>
    </xf>
    <xf numFmtId="1" fontId="34" fillId="0" borderId="41" xfId="0" applyNumberFormat="1" applyFont="1" applyFill="1" applyBorder="1" applyAlignment="1">
      <alignment vertical="center" horizontal="center"/>
    </xf>
    <xf numFmtId="0" fontId="34" fillId="0" borderId="41" xfId="0" applyNumberFormat="1" applyFont="1" applyFill="1" applyBorder="1" applyAlignment="1">
      <alignment vertical="center" horizontal="center"/>
    </xf>
    <xf numFmtId="0" fontId="34" fillId="0" borderId="41" xfId="0" applyNumberFormat="1" applyFont="1" applyFill="1" applyBorder="1" applyAlignment="1">
      <alignment vertical="center" horizontal="left" wrapText="1"/>
    </xf>
    <xf numFmtId="0" fontId="34" fillId="0" borderId="0" xfId="0" applyNumberFormat="1" applyFont="1" applyFill="1" applyBorder="1" applyAlignment="1">
      <alignment vertical="top" horizontal="left" wrapText="1"/>
    </xf>
  </cellXfs>
  <cellStyles count="4">
    <cellStyle name="Normal" xfId="0" builtinId="0"/>
    <cellStyle name="Normal 14" xfId="3" xr:uid="{E0AA8538-1C0C-4746-AECC-F3C7E3CFC25F}"/>
    <cellStyle name="Normal 2" xfId="1" xr:uid="{00000000-0005-0000-0000-000001000000}"/>
    <cellStyle name="Porcentagem" xfId="2" builtinId="5"/>
  </cellStyles>
  <dxfs count="5"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99" Type="http://schemas.openxmlformats.org/officeDocument/2006/relationships/worksheet" Target="worksheets/sheet8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png"/><Relationship Id="rId2" Type="http://schemas.openxmlformats.org/officeDocument/2006/relationships/image" Target="../media/image7.jpeg"/><Relationship Id="rId1" Type="http://schemas.openxmlformats.org/officeDocument/2006/relationships/image" Target="../media/image6.png"/><Relationship Id="rId5" Type="http://schemas.openxmlformats.org/officeDocument/2006/relationships/image" Target="../media/image10.png"/><Relationship Id="rId4" Type="http://schemas.openxmlformats.org/officeDocument/2006/relationships/image" Target="../media/image9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12.png"/><Relationship Id="rId1" Type="http://schemas.openxmlformats.org/officeDocument/2006/relationships/image" Target="../media/image1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15.png"/><Relationship Id="rId2" Type="http://schemas.openxmlformats.org/officeDocument/2006/relationships/image" Target="../media/image14.png"/><Relationship Id="rId1" Type="http://schemas.openxmlformats.org/officeDocument/2006/relationships/image" Target="../media/image1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361949</xdr:colOff>
      <xdr:row>3</xdr:row>
      <xdr:rowOff>112102</xdr:rowOff>
    </xdr:from>
    <xdr:to>
      <xdr:col>8</xdr:col>
      <xdr:colOff>394682</xdr:colOff>
      <xdr:row>33</xdr:row>
      <xdr:rowOff>169391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135564" y="705583"/>
          <a:ext cx="3901349" cy="3811127"/>
        </a:xfrm>
        <a:prstGeom prst="rect">
          <a:avLst/>
        </a:prstGeom>
      </xdr:spPr>
    </xdr:pic>
    <xdr:clientData/>
  </xdr:twoCellAnchor>
  <xdr:twoCellAnchor editAs="oneCell">
    <xdr:from>
      <xdr:col>4</xdr:col>
      <xdr:colOff>76200</xdr:colOff>
      <xdr:row>33</xdr:row>
      <xdr:rowOff>142875</xdr:rowOff>
    </xdr:from>
    <xdr:to>
      <xdr:col>8</xdr:col>
      <xdr:colOff>369891</xdr:colOff>
      <xdr:row>54</xdr:row>
      <xdr:rowOff>177917</xdr:rowOff>
    </xdr:to>
    <xdr:pic>
      <xdr:nvPicPr>
        <xdr:cNvPr id="10" name="Imagem 9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t="2947"/>
        <a:stretch/>
      </xdr:blipFill>
      <xdr:spPr>
        <a:xfrm>
          <a:off x="5849815" y="6224221"/>
          <a:ext cx="4162307" cy="4140477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59</xdr:row>
      <xdr:rowOff>106893</xdr:rowOff>
    </xdr:from>
    <xdr:to>
      <xdr:col>9</xdr:col>
      <xdr:colOff>350651</xdr:colOff>
      <xdr:row>74</xdr:row>
      <xdr:rowOff>89161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238875" y="10355793"/>
          <a:ext cx="4827401" cy="2935018"/>
        </a:xfrm>
        <a:prstGeom prst="rect">
          <a:avLst/>
        </a:prstGeom>
      </xdr:spPr>
    </xdr:pic>
    <xdr:clientData/>
  </xdr:twoCellAnchor>
  <xdr:twoCellAnchor editAs="oneCell">
    <xdr:from>
      <xdr:col>16</xdr:col>
      <xdr:colOff>438150</xdr:colOff>
      <xdr:row>38</xdr:row>
      <xdr:rowOff>76200</xdr:rowOff>
    </xdr:from>
    <xdr:to>
      <xdr:col>28</xdr:col>
      <xdr:colOff>39065</xdr:colOff>
      <xdr:row>41</xdr:row>
      <xdr:rowOff>162017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4FD50AA8-EAED-9749-2789-987B9A5C06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6182975" y="5495925"/>
          <a:ext cx="6916115" cy="657317"/>
        </a:xfrm>
        <a:prstGeom prst="rect">
          <a:avLst/>
        </a:prstGeom>
      </xdr:spPr>
    </xdr:pic>
    <xdr:clientData/>
  </xdr:twoCellAnchor>
  <xdr:twoCellAnchor editAs="oneCell">
    <xdr:from>
      <xdr:col>16</xdr:col>
      <xdr:colOff>438150</xdr:colOff>
      <xdr:row>41</xdr:row>
      <xdr:rowOff>152400</xdr:rowOff>
    </xdr:from>
    <xdr:to>
      <xdr:col>19</xdr:col>
      <xdr:colOff>581300</xdr:colOff>
      <xdr:row>44</xdr:row>
      <xdr:rowOff>162006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1B6D9B34-1A35-A11F-21C9-6E8E1E4690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6182975" y="6143625"/>
          <a:ext cx="1971950" cy="58110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161925</xdr:colOff>
      <xdr:row>0</xdr:row>
      <xdr:rowOff>57150</xdr:rowOff>
    </xdr:from>
    <xdr:to>
      <xdr:col>11</xdr:col>
      <xdr:colOff>314325</xdr:colOff>
      <xdr:row>7</xdr:row>
      <xdr:rowOff>180975</xdr:rowOff>
    </xdr:to>
    <xdr:pic>
      <xdr:nvPicPr>
        <xdr:cNvPr id="4" name="Imagem 12" descr="Largura Junta Alvenaria.png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95900" y="3238500"/>
          <a:ext cx="2590800" cy="1609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371475</xdr:colOff>
      <xdr:row>18</xdr:row>
      <xdr:rowOff>114300</xdr:rowOff>
    </xdr:from>
    <xdr:to>
      <xdr:col>10</xdr:col>
      <xdr:colOff>314325</xdr:colOff>
      <xdr:row>31</xdr:row>
      <xdr:rowOff>114300</xdr:rowOff>
    </xdr:to>
    <xdr:pic>
      <xdr:nvPicPr>
        <xdr:cNvPr id="6" name="Imagem 5" descr="Blocpar Bloco 19x19x39 estrutural | Rosny Aryon Conrad | Flickr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95850" y="7000875"/>
          <a:ext cx="2381250" cy="25336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14</xdr:col>
      <xdr:colOff>19050</xdr:colOff>
      <xdr:row>18</xdr:row>
      <xdr:rowOff>76200</xdr:rowOff>
    </xdr:from>
    <xdr:to>
      <xdr:col>20</xdr:col>
      <xdr:colOff>189789</xdr:colOff>
      <xdr:row>30</xdr:row>
      <xdr:rowOff>199723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839325" y="6962775"/>
          <a:ext cx="5685714" cy="2419048"/>
        </a:xfrm>
        <a:prstGeom prst="rect">
          <a:avLst/>
        </a:prstGeom>
      </xdr:spPr>
    </xdr:pic>
    <xdr:clientData/>
  </xdr:twoCellAnchor>
  <xdr:twoCellAnchor editAs="oneCell">
    <xdr:from>
      <xdr:col>7</xdr:col>
      <xdr:colOff>228600</xdr:colOff>
      <xdr:row>7</xdr:row>
      <xdr:rowOff>133349</xdr:rowOff>
    </xdr:from>
    <xdr:to>
      <xdr:col>11</xdr:col>
      <xdr:colOff>236623</xdr:colOff>
      <xdr:row>17</xdr:row>
      <xdr:rowOff>47624</xdr:rowOff>
    </xdr:to>
    <xdr:pic>
      <xdr:nvPicPr>
        <xdr:cNvPr id="8" name="Imagem 7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5362575" y="4810124"/>
          <a:ext cx="2446423" cy="1933575"/>
        </a:xfrm>
        <a:prstGeom prst="rect">
          <a:avLst/>
        </a:prstGeom>
      </xdr:spPr>
    </xdr:pic>
    <xdr:clientData/>
  </xdr:twoCellAnchor>
  <xdr:twoCellAnchor editAs="oneCell">
    <xdr:from>
      <xdr:col>10</xdr:col>
      <xdr:colOff>514350</xdr:colOff>
      <xdr:row>17</xdr:row>
      <xdr:rowOff>0</xdr:rowOff>
    </xdr:from>
    <xdr:to>
      <xdr:col>13</xdr:col>
      <xdr:colOff>829763</xdr:colOff>
      <xdr:row>31</xdr:row>
      <xdr:rowOff>123825</xdr:rowOff>
    </xdr:to>
    <xdr:pic>
      <xdr:nvPicPr>
        <xdr:cNvPr id="9" name="Imagem 8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77125" y="6696075"/>
          <a:ext cx="2144213" cy="28479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171450</xdr:colOff>
      <xdr:row>0</xdr:row>
      <xdr:rowOff>0</xdr:rowOff>
    </xdr:from>
    <xdr:to>
      <xdr:col>17</xdr:col>
      <xdr:colOff>285750</xdr:colOff>
      <xdr:row>103</xdr:row>
      <xdr:rowOff>40305</xdr:rowOff>
    </xdr:to>
    <xdr:grpSp>
      <xdr:nvGrpSpPr>
        <xdr:cNvPr id="7" name="Agrupar 6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GrpSpPr/>
      </xdr:nvGrpSpPr>
      <xdr:grpSpPr>
        <a:xfrm>
          <a:off x="171450" y="0"/>
          <a:ext cx="10477500" cy="19661805"/>
          <a:chOff x="171450" y="0"/>
          <a:chExt cx="7923811" cy="14870098"/>
        </a:xfrm>
      </xdr:grpSpPr>
      <xdr:pic>
        <xdr:nvPicPr>
          <xdr:cNvPr id="5" name="Imagem 4">
            <a:extLst>
              <a:ext uri="{FF2B5EF4-FFF2-40B4-BE49-F238E27FC236}">
                <a16:creationId xmlns:a16="http://schemas.microsoft.com/office/drawing/2014/main" id="{00000000-0008-0000-0300-000005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/>
          <a:stretch>
            <a:fillRect/>
          </a:stretch>
        </xdr:blipFill>
        <xdr:spPr>
          <a:xfrm>
            <a:off x="180975" y="0"/>
            <a:ext cx="7914286" cy="7647619"/>
          </a:xfrm>
          <a:prstGeom prst="rect">
            <a:avLst/>
          </a:prstGeom>
        </xdr:spPr>
      </xdr:pic>
      <xdr:pic>
        <xdr:nvPicPr>
          <xdr:cNvPr id="6" name="Imagem 5">
            <a:extLst>
              <a:ext uri="{FF2B5EF4-FFF2-40B4-BE49-F238E27FC236}">
                <a16:creationId xmlns:a16="http://schemas.microsoft.com/office/drawing/2014/main" id="{00000000-0008-0000-0300-000006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2"/>
          <a:stretch>
            <a:fillRect/>
          </a:stretch>
        </xdr:blipFill>
        <xdr:spPr>
          <a:xfrm>
            <a:off x="171450" y="7612955"/>
            <a:ext cx="7904762" cy="7257143"/>
          </a:xfrm>
          <a:prstGeom prst="rect">
            <a:avLst/>
          </a:prstGeom>
        </xdr:spPr>
      </xdr:pic>
    </xdr:grp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161925</xdr:colOff>
      <xdr:row>0</xdr:row>
      <xdr:rowOff>47625</xdr:rowOff>
    </xdr:from>
    <xdr:to>
      <xdr:col>17</xdr:col>
      <xdr:colOff>227830</xdr:colOff>
      <xdr:row>48</xdr:row>
      <xdr:rowOff>103625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7EA0D4A1-93F1-4325-9A0F-45B6C56EDF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429125" y="47625"/>
          <a:ext cx="6161905" cy="9200000"/>
        </a:xfrm>
        <a:prstGeom prst="rect">
          <a:avLst/>
        </a:prstGeom>
      </xdr:spPr>
    </xdr:pic>
    <xdr:clientData/>
  </xdr:twoCellAnchor>
  <xdr:twoCellAnchor editAs="oneCell">
    <xdr:from>
      <xdr:col>17</xdr:col>
      <xdr:colOff>419100</xdr:colOff>
      <xdr:row>0</xdr:row>
      <xdr:rowOff>57150</xdr:rowOff>
    </xdr:from>
    <xdr:to>
      <xdr:col>27</xdr:col>
      <xdr:colOff>542148</xdr:colOff>
      <xdr:row>49</xdr:row>
      <xdr:rowOff>27412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870726A8-91A9-4CA5-AD0E-8BBDE489CF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782300" y="57150"/>
          <a:ext cx="6219048" cy="9304762"/>
        </a:xfrm>
        <a:prstGeom prst="rect">
          <a:avLst/>
        </a:prstGeom>
      </xdr:spPr>
    </xdr:pic>
    <xdr:clientData/>
  </xdr:twoCellAnchor>
  <xdr:twoCellAnchor editAs="oneCell">
    <xdr:from>
      <xdr:col>0</xdr:col>
      <xdr:colOff>95251</xdr:colOff>
      <xdr:row>15</xdr:row>
      <xdr:rowOff>76200</xdr:rowOff>
    </xdr:from>
    <xdr:to>
      <xdr:col>6</xdr:col>
      <xdr:colOff>585679</xdr:colOff>
      <xdr:row>35</xdr:row>
      <xdr:rowOff>85725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FB25EA73-BCF9-4AD7-A9BC-2F2CA02D70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5251" y="2933700"/>
          <a:ext cx="4929078" cy="3819525"/>
        </a:xfrm>
        <a:prstGeom prst="rect">
          <a:avLst/>
        </a:prstGeom>
      </xdr:spPr>
    </xdr:pic>
    <xdr:clientData/>
  </xdr:twoCellAnchor>
  <xdr:twoCellAnchor>
    <xdr:from>
      <xdr:col>7</xdr:col>
      <xdr:colOff>209550</xdr:colOff>
      <xdr:row>28</xdr:row>
      <xdr:rowOff>114300</xdr:rowOff>
    </xdr:from>
    <xdr:to>
      <xdr:col>13</xdr:col>
      <xdr:colOff>171450</xdr:colOff>
      <xdr:row>29</xdr:row>
      <xdr:rowOff>114300</xdr:rowOff>
    </xdr:to>
    <xdr:grpSp>
      <xdr:nvGrpSpPr>
        <xdr:cNvPr id="12" name="Agrupar 11">
          <a:extLst>
            <a:ext uri="{FF2B5EF4-FFF2-40B4-BE49-F238E27FC236}">
              <a16:creationId xmlns:a16="http://schemas.microsoft.com/office/drawing/2014/main" id="{454FD6FF-B144-D0DD-602F-C13014B76B30}"/>
            </a:ext>
          </a:extLst>
        </xdr:cNvPr>
        <xdr:cNvGrpSpPr/>
      </xdr:nvGrpSpPr>
      <xdr:grpSpPr>
        <a:xfrm>
          <a:off x="5257800" y="5448300"/>
          <a:ext cx="3619500" cy="190500"/>
          <a:chOff x="5257800" y="5448300"/>
          <a:chExt cx="3619500" cy="190500"/>
        </a:xfrm>
      </xdr:grpSpPr>
      <xdr:sp macro="" textlink="">
        <xdr:nvSpPr>
          <xdr:cNvPr id="5" name="Retângulo 4">
            <a:extLst>
              <a:ext uri="{FF2B5EF4-FFF2-40B4-BE49-F238E27FC236}">
                <a16:creationId xmlns:a16="http://schemas.microsoft.com/office/drawing/2014/main" id="{16CDA6BB-91DA-B44E-515C-D22D447E781C}"/>
              </a:ext>
            </a:extLst>
          </xdr:cNvPr>
          <xdr:cNvSpPr/>
        </xdr:nvSpPr>
        <xdr:spPr>
          <a:xfrm>
            <a:off x="5257800" y="5448300"/>
            <a:ext cx="581025" cy="180975"/>
          </a:xfrm>
          <a:prstGeom prst="rect">
            <a:avLst/>
          </a:prstGeom>
          <a:noFill/>
          <a:ln w="38100">
            <a:solidFill>
              <a:srgbClr val="FF000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/>
          </a:p>
        </xdr:txBody>
      </xdr:sp>
      <xdr:sp macro="" textlink="">
        <xdr:nvSpPr>
          <xdr:cNvPr id="6" name="Retângulo 5">
            <a:extLst>
              <a:ext uri="{FF2B5EF4-FFF2-40B4-BE49-F238E27FC236}">
                <a16:creationId xmlns:a16="http://schemas.microsoft.com/office/drawing/2014/main" id="{D0146A24-E3DE-443D-B0C1-5DE19FAF3E6D}"/>
              </a:ext>
            </a:extLst>
          </xdr:cNvPr>
          <xdr:cNvSpPr/>
        </xdr:nvSpPr>
        <xdr:spPr>
          <a:xfrm>
            <a:off x="7077075" y="5457825"/>
            <a:ext cx="1800225" cy="180975"/>
          </a:xfrm>
          <a:prstGeom prst="rect">
            <a:avLst/>
          </a:prstGeom>
          <a:noFill/>
          <a:ln w="38100">
            <a:solidFill>
              <a:srgbClr val="FF000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/>
          </a:p>
        </xdr:txBody>
      </xdr:sp>
      <xdr:cxnSp macro="">
        <xdr:nvCxnSpPr>
          <xdr:cNvPr id="11" name="Conector reto 10">
            <a:extLst>
              <a:ext uri="{FF2B5EF4-FFF2-40B4-BE49-F238E27FC236}">
                <a16:creationId xmlns:a16="http://schemas.microsoft.com/office/drawing/2014/main" id="{8AB03B44-C3B4-C350-6169-CB5A73405AE8}"/>
              </a:ext>
            </a:extLst>
          </xdr:cNvPr>
          <xdr:cNvCxnSpPr>
            <a:stCxn id="5" idx="3"/>
            <a:endCxn id="6" idx="1"/>
          </xdr:cNvCxnSpPr>
        </xdr:nvCxnSpPr>
        <xdr:spPr>
          <a:xfrm>
            <a:off x="5838825" y="5538788"/>
            <a:ext cx="1238250" cy="9525"/>
          </a:xfrm>
          <a:prstGeom prst="line">
            <a:avLst/>
          </a:prstGeom>
          <a:ln w="28575">
            <a:solidFill>
              <a:srgbClr val="FF0000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BD92"/>
  <sheetViews>
    <sheetView topLeftCell="L1" zoomScaleNormal="100" workbookViewId="0">
      <selection activeCell="P15" sqref="P15"/>
    </sheetView>
  </sheetViews>
  <sheetFormatPr defaultRowHeight="15" x14ac:dyDescent="0.25"/>
  <cols>
    <col min="1" max="1" width="35.85546875" bestFit="1" customWidth="1"/>
    <col min="2" max="2" width="28.42578125" bestFit="1" customWidth="1"/>
    <col min="3" max="3" width="12.140625" style="1" bestFit="1" customWidth="1"/>
    <col min="4" max="4" width="10.140625" bestFit="1" customWidth="1"/>
    <col min="5" max="5" width="13.28515625" bestFit="1" customWidth="1"/>
    <col min="6" max="6" width="26.42578125" bestFit="1" customWidth="1"/>
    <col min="12" max="12" width="24" customWidth="1"/>
    <col min="13" max="13" width="10.85546875" customWidth="1"/>
    <col min="16" max="16" width="11" customWidth="1"/>
  </cols>
  <sheetData>
    <row r="1" spans="1:56" s="2" customFormat="1" ht="15.75" thickBot="1" x14ac:dyDescent="0.3">
      <c r="A1" s="197" t="s">
        <v>179</v>
      </c>
      <c r="B1" s="198"/>
      <c r="C1" s="198"/>
      <c r="D1" s="198"/>
      <c r="E1" s="198"/>
      <c r="F1" s="198"/>
      <c r="G1" s="198"/>
      <c r="H1" s="198"/>
      <c r="I1" s="198"/>
      <c r="J1" s="199"/>
      <c r="BD1" s="2" t="s">
        <v>200</v>
      </c>
    </row>
    <row r="2" spans="1:56" ht="15.75" thickBot="1" x14ac:dyDescent="0.3">
      <c r="A2" s="194" t="s">
        <v>191</v>
      </c>
      <c r="B2" s="195"/>
      <c r="D2" s="85"/>
      <c r="E2" s="85"/>
      <c r="F2" s="85"/>
      <c r="G2" s="85"/>
      <c r="H2" s="85"/>
      <c r="I2" s="85"/>
      <c r="J2" s="85"/>
      <c r="L2" t="s">
        <v>273</v>
      </c>
      <c r="M2">
        <v>5</v>
      </c>
      <c r="N2" t="s">
        <v>274</v>
      </c>
    </row>
    <row r="3" spans="1:56" ht="15.75" thickBot="1" x14ac:dyDescent="0.3">
      <c r="A3" s="6" t="s">
        <v>107</v>
      </c>
      <c r="B3" s="108" t="s">
        <v>99</v>
      </c>
      <c r="D3" s="85"/>
      <c r="E3" s="85"/>
      <c r="F3" s="85"/>
      <c r="G3" s="85"/>
      <c r="H3" s="85"/>
      <c r="I3" s="85"/>
      <c r="J3" s="85"/>
      <c r="L3" t="s">
        <v>0</v>
      </c>
      <c r="M3" s="111">
        <v>18</v>
      </c>
      <c r="N3" s="7" t="s">
        <v>5</v>
      </c>
    </row>
    <row r="4" spans="1:56" ht="18.75" thickBot="1" x14ac:dyDescent="0.3">
      <c r="A4" s="6" t="s">
        <v>113</v>
      </c>
      <c r="B4" s="109">
        <v>0</v>
      </c>
      <c r="D4" s="85"/>
      <c r="E4" s="85"/>
      <c r="F4" s="85"/>
      <c r="G4" s="85"/>
      <c r="H4" s="85"/>
      <c r="I4" s="85"/>
      <c r="J4" s="85"/>
      <c r="L4" t="s">
        <v>182</v>
      </c>
      <c r="M4">
        <v>2.5</v>
      </c>
      <c r="N4" t="s">
        <v>6</v>
      </c>
      <c r="Q4" s="175" t="s">
        <v>265</v>
      </c>
    </row>
    <row r="5" spans="1:56" ht="15.75" thickBot="1" x14ac:dyDescent="0.3">
      <c r="A5" s="6" t="s">
        <v>182</v>
      </c>
      <c r="B5" s="109">
        <v>3.85</v>
      </c>
      <c r="C5" s="7" t="s">
        <v>6</v>
      </c>
      <c r="D5" s="85"/>
      <c r="E5" s="85"/>
      <c r="F5" s="85"/>
      <c r="G5" s="85"/>
      <c r="H5" s="85"/>
      <c r="I5" s="85"/>
      <c r="J5" s="85"/>
      <c r="L5" t="s">
        <v>190</v>
      </c>
      <c r="M5">
        <f>13.07/2</f>
        <v>6.5350000000000001</v>
      </c>
      <c r="N5" t="s">
        <v>6</v>
      </c>
      <c r="Q5" s="103" t="s">
        <v>264</v>
      </c>
    </row>
    <row r="6" spans="1:56" ht="15.75" thickBot="1" x14ac:dyDescent="0.3">
      <c r="A6" s="6" t="s">
        <v>190</v>
      </c>
      <c r="B6" s="109">
        <v>4.25</v>
      </c>
      <c r="C6" s="7" t="s">
        <v>6</v>
      </c>
      <c r="D6" s="85"/>
      <c r="E6" s="85"/>
      <c r="F6" s="85"/>
      <c r="G6" s="85"/>
      <c r="H6" s="85"/>
      <c r="I6" s="85"/>
      <c r="J6" s="85"/>
    </row>
    <row r="7" spans="1:56" x14ac:dyDescent="0.25">
      <c r="A7" s="6" t="s">
        <v>0</v>
      </c>
      <c r="B7" s="111">
        <v>18</v>
      </c>
      <c r="C7" s="7" t="s">
        <v>5</v>
      </c>
      <c r="D7" s="85"/>
      <c r="E7" s="85"/>
      <c r="F7" s="85"/>
      <c r="G7" s="85"/>
      <c r="H7" s="85"/>
      <c r="I7" s="85"/>
      <c r="J7" s="85"/>
      <c r="L7" s="179" t="s">
        <v>110</v>
      </c>
      <c r="M7" s="179">
        <v>18</v>
      </c>
      <c r="N7" s="179" t="s">
        <v>287</v>
      </c>
    </row>
    <row r="8" spans="1:56" x14ac:dyDescent="0.25">
      <c r="A8" s="6" t="s">
        <v>1</v>
      </c>
      <c r="B8" s="112" cm="1">
        <f t="array" ref="B8">(IF(B4&gt;30,200,(SUMPRODUCT(('DADOS DO SOLO'!C2:C84=B4)*('DADOS DO SOLO'!A2:A84=B3)*('DADOS DO SOLO'!F2:F84)))))*(VLOOKUP(B10,'CÁLCULO FECHAMENTO'!A17:B19,2,0))</f>
        <v>0</v>
      </c>
      <c r="C8" s="7" t="s">
        <v>4</v>
      </c>
      <c r="D8" s="85"/>
      <c r="E8" s="85"/>
      <c r="F8" s="85"/>
      <c r="G8" s="85"/>
      <c r="H8" s="85"/>
      <c r="I8" s="85"/>
      <c r="J8" s="85"/>
      <c r="L8" s="176" t="s">
        <v>173</v>
      </c>
      <c r="M8" s="92">
        <f>TAN(RADIANS(45 - M7/2))^2</f>
        <v>0.52786404500042061</v>
      </c>
    </row>
    <row r="9" spans="1:56" ht="15.75" customHeight="1" x14ac:dyDescent="0.35">
      <c r="A9" s="6" t="s">
        <v>2</v>
      </c>
      <c r="B9" s="112">
        <f>IF(B4&gt;50,45,(SUMPRODUCT(('DADOS DO SOLO'!C2:C84=B4)*('DADOS DO SOLO'!A2:A84=B3)*('DADOS DO SOLO'!G2:G84))))</f>
        <v>0</v>
      </c>
      <c r="C9" s="7" t="s">
        <v>41</v>
      </c>
      <c r="D9" s="85"/>
      <c r="E9" s="85"/>
      <c r="F9" s="85"/>
      <c r="G9" s="85"/>
      <c r="H9" s="85"/>
      <c r="I9" s="85"/>
      <c r="J9" s="85"/>
      <c r="L9" s="97" t="s">
        <v>114</v>
      </c>
      <c r="M9" s="95">
        <f>M3*M4</f>
        <v>45</v>
      </c>
      <c r="N9" s="93" t="s">
        <v>3</v>
      </c>
    </row>
    <row r="10" spans="1:56" ht="15.75" thickBot="1" x14ac:dyDescent="0.3">
      <c r="A10" s="6" t="s">
        <v>194</v>
      </c>
      <c r="B10" s="112" t="s">
        <v>196</v>
      </c>
      <c r="C10" s="7"/>
      <c r="D10" s="85"/>
      <c r="E10" s="85"/>
      <c r="F10" s="85"/>
      <c r="G10" s="85"/>
      <c r="H10" s="85"/>
      <c r="I10" s="85"/>
      <c r="J10" s="85"/>
      <c r="L10" s="177" t="s">
        <v>178</v>
      </c>
      <c r="M10" s="142">
        <f>(M9*M8)</f>
        <v>23.753882025018928</v>
      </c>
      <c r="N10" s="93" t="s">
        <v>3</v>
      </c>
      <c r="P10" s="196" t="s">
        <v>297</v>
      </c>
      <c r="Q10" s="196"/>
      <c r="R10" s="196"/>
    </row>
    <row r="11" spans="1:56" ht="15.75" hidden="1" thickBot="1" x14ac:dyDescent="0.3">
      <c r="A11" s="194" t="s">
        <v>192</v>
      </c>
      <c r="B11" s="195"/>
      <c r="C11" s="7"/>
      <c r="D11" s="85"/>
      <c r="E11" s="85"/>
      <c r="F11" s="85"/>
      <c r="G11" s="85"/>
      <c r="H11" s="85"/>
      <c r="I11" s="85"/>
      <c r="J11" s="85"/>
      <c r="L11" s="177" t="s">
        <v>183</v>
      </c>
      <c r="M11" s="95" t="e">
        <f>M10*#REF!/2</f>
        <v>#REF!</v>
      </c>
      <c r="N11" s="93" t="s">
        <v>7</v>
      </c>
      <c r="P11" s="81"/>
      <c r="Q11" s="81"/>
      <c r="R11" s="81"/>
    </row>
    <row r="12" spans="1:56" ht="15.75" hidden="1" thickBot="1" x14ac:dyDescent="0.3">
      <c r="A12" s="6" t="s">
        <v>184</v>
      </c>
      <c r="B12" s="110">
        <v>1.75</v>
      </c>
      <c r="C12" s="7" t="s">
        <v>6</v>
      </c>
      <c r="D12" s="85"/>
      <c r="E12" s="85"/>
      <c r="F12" s="85"/>
      <c r="G12" s="85"/>
      <c r="H12" s="85"/>
      <c r="I12" s="85"/>
      <c r="J12" s="85"/>
      <c r="L12" s="97" t="s">
        <v>8</v>
      </c>
      <c r="M12" s="95" t="e">
        <f>(M11*#REF!)</f>
        <v>#REF!</v>
      </c>
      <c r="N12" s="93" t="s">
        <v>9</v>
      </c>
      <c r="P12" s="81"/>
      <c r="Q12" s="81"/>
      <c r="R12" s="81"/>
    </row>
    <row r="13" spans="1:56" ht="15.75" hidden="1" thickBot="1" x14ac:dyDescent="0.3">
      <c r="A13" s="6" t="s">
        <v>169</v>
      </c>
      <c r="B13" s="110">
        <v>14</v>
      </c>
      <c r="C13" s="7" t="s">
        <v>17</v>
      </c>
      <c r="D13" s="85"/>
      <c r="E13" s="85"/>
      <c r="F13" s="85"/>
      <c r="G13" s="85"/>
      <c r="H13" s="85"/>
      <c r="I13" s="85"/>
      <c r="J13" s="85"/>
      <c r="P13" s="81"/>
      <c r="Q13" s="81"/>
      <c r="R13" s="81"/>
    </row>
    <row r="14" spans="1:56" ht="15.75" hidden="1" thickBot="1" x14ac:dyDescent="0.3">
      <c r="A14" s="6" t="s">
        <v>248</v>
      </c>
      <c r="B14" s="141">
        <v>0.5</v>
      </c>
      <c r="C14" s="7" t="s">
        <v>249</v>
      </c>
      <c r="D14" s="85"/>
      <c r="E14" s="85"/>
      <c r="F14" s="85"/>
      <c r="G14" s="85"/>
      <c r="H14" s="85"/>
      <c r="I14" s="85"/>
      <c r="J14" s="85"/>
      <c r="P14" s="81"/>
      <c r="Q14" s="81"/>
      <c r="R14" s="81"/>
    </row>
    <row r="15" spans="1:56" ht="15.75" hidden="1" thickBot="1" x14ac:dyDescent="0.3">
      <c r="A15" s="6" t="s">
        <v>250</v>
      </c>
      <c r="B15" s="77">
        <f>MAX('TABELAS LÍBANO'!E4:E6)</f>
        <v>23.555733200999999</v>
      </c>
      <c r="C15" s="7" t="s">
        <v>251</v>
      </c>
      <c r="D15" s="85"/>
      <c r="E15" s="85"/>
      <c r="F15" s="85"/>
      <c r="G15" s="85"/>
      <c r="H15" s="85"/>
      <c r="I15" s="85"/>
      <c r="J15" s="85"/>
      <c r="P15" s="81"/>
      <c r="Q15" s="81"/>
      <c r="R15" s="81"/>
    </row>
    <row r="16" spans="1:56" ht="15.75" hidden="1" thickBot="1" x14ac:dyDescent="0.3">
      <c r="A16" s="6" t="s">
        <v>132</v>
      </c>
      <c r="B16" s="110">
        <v>2</v>
      </c>
      <c r="C16" s="7" t="s">
        <v>17</v>
      </c>
      <c r="D16" s="85"/>
      <c r="E16" s="85"/>
      <c r="F16" s="85"/>
      <c r="G16" s="85"/>
      <c r="H16" s="85"/>
      <c r="I16" s="85"/>
      <c r="J16" s="85"/>
      <c r="K16" s="98"/>
      <c r="L16" s="98"/>
      <c r="P16" s="81"/>
      <c r="Q16" s="81"/>
      <c r="R16" s="81"/>
    </row>
    <row r="17" spans="1:20" ht="15.75" hidden="1" thickBot="1" x14ac:dyDescent="0.3">
      <c r="A17" s="6" t="s">
        <v>135</v>
      </c>
      <c r="B17" s="110">
        <v>39</v>
      </c>
      <c r="C17" s="7" t="s">
        <v>17</v>
      </c>
      <c r="D17" s="85"/>
      <c r="E17" s="85"/>
      <c r="F17" s="85"/>
      <c r="G17" s="85"/>
      <c r="H17" s="85"/>
      <c r="I17" s="85"/>
      <c r="J17" s="85"/>
      <c r="K17" s="98"/>
      <c r="L17" s="98"/>
      <c r="P17" s="81"/>
      <c r="Q17" s="81"/>
      <c r="R17" s="81"/>
    </row>
    <row r="18" spans="1:20" ht="15.75" hidden="1" thickBot="1" x14ac:dyDescent="0.3">
      <c r="A18" s="6" t="s">
        <v>189</v>
      </c>
      <c r="B18" s="110">
        <v>8</v>
      </c>
      <c r="C18" s="7" t="s">
        <v>125</v>
      </c>
      <c r="D18" s="85"/>
      <c r="E18" s="85"/>
      <c r="F18" s="85"/>
      <c r="G18" s="85"/>
      <c r="H18" s="85"/>
      <c r="I18" s="85"/>
      <c r="J18" s="85"/>
      <c r="K18" s="178"/>
      <c r="L18" s="98"/>
      <c r="P18" s="81"/>
      <c r="Q18" s="81"/>
      <c r="R18" s="81"/>
    </row>
    <row r="19" spans="1:20" ht="15.75" hidden="1" thickBot="1" x14ac:dyDescent="0.3">
      <c r="A19" s="89" t="s">
        <v>150</v>
      </c>
      <c r="B19" s="110">
        <v>8</v>
      </c>
      <c r="D19" s="85"/>
      <c r="E19" s="85"/>
      <c r="F19" s="85"/>
      <c r="G19" s="85"/>
      <c r="H19" s="85"/>
      <c r="I19" s="85"/>
      <c r="J19" s="85"/>
      <c r="P19" s="81"/>
      <c r="Q19" s="81"/>
      <c r="R19" s="81"/>
    </row>
    <row r="20" spans="1:20" ht="15.75" hidden="1" thickBot="1" x14ac:dyDescent="0.3">
      <c r="A20" s="105" t="s">
        <v>151</v>
      </c>
      <c r="B20" s="135" t="e">
        <f>'FECHAMENTO EM ALVENARIA'!E48</f>
        <v>#NUM!</v>
      </c>
      <c r="C20" s="114" t="s">
        <v>17</v>
      </c>
      <c r="D20" s="85"/>
      <c r="E20" s="85"/>
      <c r="F20" s="85"/>
      <c r="G20" s="85"/>
      <c r="H20" s="85"/>
      <c r="I20" s="85"/>
      <c r="J20" s="85"/>
      <c r="P20" s="81"/>
      <c r="Q20" s="81"/>
      <c r="R20" s="81"/>
    </row>
    <row r="21" spans="1:20" ht="15.75" hidden="1" thickBot="1" x14ac:dyDescent="0.3">
      <c r="A21" s="105"/>
      <c r="B21" s="135"/>
      <c r="C21" s="114"/>
      <c r="D21" s="85"/>
      <c r="E21" s="85"/>
      <c r="F21" s="85"/>
      <c r="G21" s="85"/>
      <c r="H21" s="85"/>
      <c r="I21" s="85"/>
      <c r="J21" s="85"/>
      <c r="P21" s="81"/>
      <c r="Q21" s="81"/>
      <c r="R21" s="81"/>
    </row>
    <row r="22" spans="1:20" ht="15.75" thickBot="1" x14ac:dyDescent="0.3">
      <c r="A22" s="194" t="s">
        <v>185</v>
      </c>
      <c r="B22" s="195"/>
      <c r="C22" s="114"/>
      <c r="D22" s="85"/>
      <c r="E22" s="85"/>
      <c r="F22" s="85"/>
      <c r="G22" s="85"/>
      <c r="H22" s="85"/>
      <c r="I22" s="85"/>
      <c r="J22" s="85"/>
      <c r="L22" s="177" t="s">
        <v>183</v>
      </c>
      <c r="M22" s="95">
        <f>M10*M4/2</f>
        <v>29.692352531273659</v>
      </c>
      <c r="N22" s="93" t="s">
        <v>7</v>
      </c>
      <c r="P22" s="180" t="s">
        <v>286</v>
      </c>
      <c r="Q22" s="181">
        <v>1.25</v>
      </c>
      <c r="R22" s="181" t="s">
        <v>6</v>
      </c>
      <c r="T22" s="186" t="s">
        <v>291</v>
      </c>
    </row>
    <row r="23" spans="1:20" ht="15.75" thickBot="1" x14ac:dyDescent="0.3">
      <c r="A23" s="120" t="s">
        <v>193</v>
      </c>
      <c r="B23" s="121" t="str">
        <f>IF(B38&gt;0,"Não","Sim")</f>
        <v>Não</v>
      </c>
      <c r="C23" s="114"/>
      <c r="D23" s="85"/>
      <c r="E23" s="85"/>
      <c r="F23" s="85"/>
      <c r="G23" s="85"/>
      <c r="H23" s="85"/>
      <c r="I23" s="85"/>
      <c r="J23" s="85"/>
      <c r="L23" s="97" t="s">
        <v>8</v>
      </c>
      <c r="M23" s="95">
        <f>(M22*M5)</f>
        <v>194.03952379187336</v>
      </c>
      <c r="N23" s="93" t="s">
        <v>9</v>
      </c>
      <c r="P23" s="180" t="s">
        <v>288</v>
      </c>
      <c r="Q23" s="181">
        <f>M4</f>
        <v>2.5</v>
      </c>
      <c r="R23" s="181" t="s">
        <v>6</v>
      </c>
      <c r="T23" s="186" t="s">
        <v>293</v>
      </c>
    </row>
    <row r="24" spans="1:20" ht="15.75" thickBot="1" x14ac:dyDescent="0.3">
      <c r="A24" s="137" t="s">
        <v>168</v>
      </c>
      <c r="B24" s="121" t="str">
        <f>IF('CÁLCULO FECHAMENTO'!B11="Não","Aumentar largura pilar",'CÁLCULO FECHAMENTO'!B11)</f>
        <v>Sim</v>
      </c>
      <c r="C24" s="114"/>
      <c r="D24" s="85"/>
      <c r="E24" s="85"/>
      <c r="F24" s="85"/>
      <c r="G24" s="85"/>
      <c r="H24" s="85"/>
      <c r="I24" s="85"/>
      <c r="J24" s="85"/>
      <c r="L24" s="151" t="s">
        <v>161</v>
      </c>
      <c r="M24" s="106">
        <f>M23*0.1</f>
        <v>19.403952379187338</v>
      </c>
      <c r="N24" s="107" t="s">
        <v>10</v>
      </c>
      <c r="P24" s="180" t="s">
        <v>276</v>
      </c>
      <c r="Q24" s="181">
        <f>M2/M3</f>
        <v>0.27777777777777779</v>
      </c>
      <c r="R24" s="181" t="s">
        <v>6</v>
      </c>
      <c r="T24" s="186" t="s">
        <v>292</v>
      </c>
    </row>
    <row r="25" spans="1:20" ht="15.75" thickBot="1" x14ac:dyDescent="0.3">
      <c r="A25" s="137" t="s">
        <v>165</v>
      </c>
      <c r="B25" s="121" t="str">
        <f>IF('CÁLCULO FECHAMENTO'!B12="Não","Aumentar largura da alvenaria",'CÁLCULO FECHAMENTO'!B12)</f>
        <v>Sim</v>
      </c>
      <c r="C25" s="114"/>
      <c r="D25" s="85"/>
      <c r="E25" s="85"/>
      <c r="F25" s="85"/>
      <c r="G25" s="85"/>
      <c r="H25" s="85"/>
      <c r="I25" s="85"/>
      <c r="J25" s="85"/>
      <c r="L25" s="151" t="s">
        <v>11</v>
      </c>
      <c r="M25" s="106">
        <f>M4/3</f>
        <v>0.83333333333333337</v>
      </c>
      <c r="N25" s="107" t="s">
        <v>6</v>
      </c>
      <c r="P25" s="182" t="s">
        <v>285</v>
      </c>
      <c r="Q25" s="183">
        <f>Q23*M8*M3</f>
        <v>23.753882025018925</v>
      </c>
      <c r="R25" s="184" t="s">
        <v>3</v>
      </c>
      <c r="T25" s="186" t="s">
        <v>294</v>
      </c>
    </row>
    <row r="26" spans="1:20" ht="15.75" thickBot="1" x14ac:dyDescent="0.3">
      <c r="A26" s="137" t="s">
        <v>186</v>
      </c>
      <c r="B26" s="121" t="str">
        <f>IF('CÁLCULO FECHAMENTO'!B13="Não","Aumentar resistência do bloco",'CÁLCULO FECHAMENTO'!B13)</f>
        <v>Sim</v>
      </c>
      <c r="C26" s="114"/>
      <c r="D26" s="85"/>
      <c r="E26" s="85"/>
      <c r="F26" s="85"/>
      <c r="G26" s="85"/>
      <c r="H26" s="85"/>
      <c r="I26" s="85"/>
      <c r="J26" s="85"/>
      <c r="L26" t="s">
        <v>263</v>
      </c>
      <c r="M26" s="95">
        <f>M24*M25</f>
        <v>16.169960315989449</v>
      </c>
      <c r="N26" s="1"/>
      <c r="P26" s="182" t="s">
        <v>289</v>
      </c>
      <c r="Q26" s="183">
        <f>Q25*Q22</f>
        <v>29.692352531273656</v>
      </c>
      <c r="R26" s="184" t="s">
        <v>7</v>
      </c>
      <c r="T26" s="186" t="s">
        <v>295</v>
      </c>
    </row>
    <row r="27" spans="1:20" ht="15.75" thickBot="1" x14ac:dyDescent="0.3">
      <c r="A27" s="137" t="s">
        <v>187</v>
      </c>
      <c r="B27" s="121" t="str">
        <f>IF('CÁLCULO FECHAMENTO'!B14="Não","Aumentar resistência do bloco",'CÁLCULO FECHAMENTO'!B14)</f>
        <v>Sim</v>
      </c>
      <c r="C27" s="114"/>
      <c r="D27" s="85"/>
      <c r="E27" s="85"/>
      <c r="F27" s="85"/>
      <c r="G27" s="85"/>
      <c r="H27" s="85"/>
      <c r="I27" s="85"/>
      <c r="J27" s="85"/>
      <c r="L27" t="s">
        <v>198</v>
      </c>
      <c r="M27" s="142">
        <f>M25</f>
        <v>0.83333333333333337</v>
      </c>
      <c r="N27" s="95" t="s">
        <v>6</v>
      </c>
      <c r="P27" s="182" t="s">
        <v>290</v>
      </c>
      <c r="Q27" s="183">
        <f>Q24*M3*M8*Q22</f>
        <v>3.2991502812526283</v>
      </c>
      <c r="R27" s="184" t="s">
        <v>7</v>
      </c>
      <c r="T27" s="186" t="s">
        <v>296</v>
      </c>
    </row>
    <row r="28" spans="1:20" ht="15.75" thickBot="1" x14ac:dyDescent="0.3">
      <c r="A28" s="123" t="s">
        <v>188</v>
      </c>
      <c r="B28" s="121" t="e">
        <f>IF('CÁLCULO FECHAMENTO'!B15="Não","Aumentar resistência do bloco",'CÁLCULO FECHAMENTO'!B15)</f>
        <v>#DIV/0!</v>
      </c>
      <c r="C28" s="7"/>
      <c r="D28" s="85"/>
      <c r="E28" s="85"/>
      <c r="F28" s="85"/>
      <c r="G28" s="85"/>
      <c r="H28" s="85"/>
      <c r="I28" s="85"/>
      <c r="J28" s="85"/>
      <c r="L28" t="s">
        <v>199</v>
      </c>
      <c r="M28" s="95">
        <f>M25*M24/M27</f>
        <v>19.403952379187338</v>
      </c>
      <c r="N28" s="95" t="s">
        <v>160</v>
      </c>
    </row>
    <row r="29" spans="1:20" x14ac:dyDescent="0.25">
      <c r="A29" s="104"/>
      <c r="C29" s="7"/>
      <c r="D29" s="85"/>
      <c r="E29" s="85"/>
      <c r="F29" s="85"/>
      <c r="G29" s="85"/>
      <c r="H29" s="85"/>
      <c r="I29" s="85"/>
      <c r="J29" s="85"/>
      <c r="L29" s="177" t="s">
        <v>276</v>
      </c>
      <c r="M29" s="95">
        <f>M2/M3</f>
        <v>0.27777777777777779</v>
      </c>
      <c r="N29" s="95" t="s">
        <v>6</v>
      </c>
    </row>
    <row r="30" spans="1:20" s="2" customFormat="1" x14ac:dyDescent="0.25">
      <c r="A30" s="8" t="s">
        <v>175</v>
      </c>
      <c r="B30" s="77">
        <f>'CÁLCULO FECHAMENTO'!B36</f>
        <v>0.95824573970644744</v>
      </c>
      <c r="C30" s="9" t="s">
        <v>6</v>
      </c>
      <c r="D30" s="87"/>
      <c r="E30" s="87"/>
      <c r="F30" s="87"/>
      <c r="G30" s="87"/>
      <c r="H30" s="87"/>
      <c r="I30" s="87"/>
      <c r="J30" s="87"/>
      <c r="K30"/>
      <c r="L30" s="177" t="s">
        <v>275</v>
      </c>
      <c r="M30" s="95">
        <f>M29*M8*M3*M5</f>
        <v>17.247957670388743</v>
      </c>
      <c r="N30" s="93" t="s">
        <v>7</v>
      </c>
      <c r="P30"/>
      <c r="Q30"/>
      <c r="R30"/>
    </row>
    <row r="31" spans="1:20" ht="15.75" thickBot="1" x14ac:dyDescent="0.3">
      <c r="A31" s="105" t="s">
        <v>176</v>
      </c>
      <c r="B31" s="106">
        <f>'CÁLCULO FECHAMENTO'!B46*1000</f>
        <v>1590.8419602055767</v>
      </c>
      <c r="C31" s="114" t="s">
        <v>177</v>
      </c>
      <c r="D31" s="85"/>
      <c r="E31" s="85"/>
      <c r="F31" s="85"/>
      <c r="G31" s="85"/>
      <c r="H31" s="85"/>
      <c r="I31" s="85"/>
      <c r="J31" s="85"/>
      <c r="L31" s="177" t="s">
        <v>277</v>
      </c>
      <c r="M31" s="95">
        <f>(M29+M4)*M8*M3*M5</f>
        <v>172.47957670388743</v>
      </c>
      <c r="N31" s="93" t="s">
        <v>7</v>
      </c>
      <c r="P31" s="176"/>
      <c r="Q31" s="185"/>
      <c r="R31" s="93"/>
    </row>
    <row r="32" spans="1:20" ht="15.75" thickBot="1" x14ac:dyDescent="0.3">
      <c r="A32" s="194" t="s">
        <v>32</v>
      </c>
      <c r="B32" s="195"/>
      <c r="C32" s="7"/>
      <c r="D32" s="85"/>
      <c r="E32" s="85"/>
      <c r="F32" s="85"/>
      <c r="G32" s="85"/>
      <c r="H32" s="85"/>
      <c r="I32" s="85"/>
      <c r="J32" s="85"/>
      <c r="P32" s="176"/>
      <c r="Q32" s="185"/>
      <c r="R32" s="93"/>
    </row>
    <row r="33" spans="1:18" x14ac:dyDescent="0.25">
      <c r="A33" s="91" t="s">
        <v>173</v>
      </c>
      <c r="B33" s="92">
        <v>0.36</v>
      </c>
      <c r="C33" s="93"/>
      <c r="D33" s="85"/>
      <c r="E33" s="85"/>
      <c r="F33" s="85"/>
      <c r="G33" s="85"/>
      <c r="H33" s="85"/>
      <c r="I33" s="85"/>
      <c r="J33" s="86"/>
      <c r="L33" s="187" t="s">
        <v>283</v>
      </c>
      <c r="M33" s="187"/>
      <c r="N33" s="187"/>
      <c r="P33" s="176"/>
      <c r="Q33" s="185"/>
      <c r="R33" s="93"/>
    </row>
    <row r="34" spans="1:18" ht="21" x14ac:dyDescent="0.35">
      <c r="A34" s="94" t="s">
        <v>114</v>
      </c>
      <c r="B34" s="95">
        <f>B7*B5</f>
        <v>69.3</v>
      </c>
      <c r="C34" s="93" t="s">
        <v>3</v>
      </c>
      <c r="D34" s="85"/>
      <c r="E34" s="85"/>
      <c r="F34" s="85"/>
      <c r="G34" s="85"/>
      <c r="H34" s="85"/>
      <c r="I34" s="85"/>
      <c r="J34" s="86"/>
      <c r="L34" t="s">
        <v>278</v>
      </c>
      <c r="M34" s="10">
        <f>(((M31-M30)*(M4-M35)^3)/(6*M4))+(M30*M4^2)/2</f>
        <v>215.5994708798593</v>
      </c>
      <c r="N34" t="s">
        <v>279</v>
      </c>
    </row>
    <row r="35" spans="1:18" x14ac:dyDescent="0.25">
      <c r="A35" s="96" t="s">
        <v>178</v>
      </c>
      <c r="B35" s="142">
        <f>(B34*B33)-(2*B8*SQRT(B33))</f>
        <v>24.947999999999997</v>
      </c>
      <c r="C35" s="93" t="s">
        <v>3</v>
      </c>
      <c r="D35" s="85"/>
      <c r="E35" s="85"/>
      <c r="F35" s="85"/>
      <c r="G35" s="85"/>
      <c r="H35" s="85"/>
      <c r="I35" s="85"/>
      <c r="J35" s="86"/>
      <c r="L35" t="s">
        <v>281</v>
      </c>
      <c r="M35">
        <v>0</v>
      </c>
      <c r="N35" t="s">
        <v>6</v>
      </c>
    </row>
    <row r="36" spans="1:18" x14ac:dyDescent="0.25">
      <c r="A36" s="96" t="s">
        <v>183</v>
      </c>
      <c r="B36" s="95">
        <f>B35*B5/2</f>
        <v>48.024899999999995</v>
      </c>
      <c r="C36" s="93" t="s">
        <v>7</v>
      </c>
      <c r="D36" s="85"/>
      <c r="E36" s="85"/>
      <c r="F36" s="85"/>
      <c r="G36" s="85"/>
      <c r="H36" s="85"/>
      <c r="I36" s="85"/>
      <c r="J36" s="86"/>
      <c r="L36" t="s">
        <v>280</v>
      </c>
      <c r="M36" s="10">
        <f>((M31-M30)*(M4-M35)^3)/(6*M4)+(M30*(M4-M35)^2)/2</f>
        <v>215.5994708798593</v>
      </c>
      <c r="N36" t="s">
        <v>279</v>
      </c>
    </row>
    <row r="37" spans="1:18" x14ac:dyDescent="0.25">
      <c r="A37" s="94" t="s">
        <v>8</v>
      </c>
      <c r="B37" s="95">
        <f>(B36*B6)</f>
        <v>204.10582499999998</v>
      </c>
      <c r="C37" s="93" t="s">
        <v>9</v>
      </c>
      <c r="D37" s="85"/>
      <c r="E37" s="85"/>
      <c r="F37" s="85"/>
      <c r="G37" s="85"/>
      <c r="H37" s="85"/>
      <c r="I37" s="85"/>
      <c r="J37" s="86"/>
    </row>
    <row r="38" spans="1:18" x14ac:dyDescent="0.25">
      <c r="A38" s="105" t="s">
        <v>161</v>
      </c>
      <c r="B38" s="106">
        <f>B37*0.1</f>
        <v>20.4105825</v>
      </c>
      <c r="C38" s="107" t="s">
        <v>10</v>
      </c>
      <c r="D38" s="85"/>
      <c r="E38" s="85"/>
      <c r="F38" s="85"/>
      <c r="G38" s="85"/>
      <c r="H38" s="85"/>
      <c r="I38" s="85"/>
      <c r="J38" s="86"/>
      <c r="L38" s="187" t="s">
        <v>282</v>
      </c>
      <c r="M38" s="187"/>
      <c r="N38" s="187"/>
    </row>
    <row r="39" spans="1:18" x14ac:dyDescent="0.25">
      <c r="A39" s="105" t="s">
        <v>11</v>
      </c>
      <c r="B39" s="106">
        <f>B5/3</f>
        <v>1.2833333333333334</v>
      </c>
      <c r="C39" s="107" t="s">
        <v>6</v>
      </c>
      <c r="D39" s="85"/>
      <c r="E39" s="85"/>
      <c r="F39" s="85"/>
      <c r="G39" s="85"/>
      <c r="H39" s="85"/>
      <c r="I39" s="85"/>
      <c r="J39" s="86"/>
      <c r="L39" t="s">
        <v>281</v>
      </c>
      <c r="M39">
        <v>0</v>
      </c>
      <c r="N39" t="s">
        <v>6</v>
      </c>
      <c r="O39" t="s">
        <v>284</v>
      </c>
    </row>
    <row r="40" spans="1:18" x14ac:dyDescent="0.25">
      <c r="A40" s="6" t="s">
        <v>263</v>
      </c>
      <c r="B40" s="10">
        <f>B38*B39</f>
        <v>26.193580875000002</v>
      </c>
      <c r="D40" s="85"/>
      <c r="E40" s="85"/>
      <c r="F40" s="85"/>
      <c r="G40" s="85"/>
      <c r="H40" s="85"/>
      <c r="I40" s="85"/>
      <c r="J40" s="86"/>
      <c r="L40" t="s">
        <v>280</v>
      </c>
      <c r="M40" s="10">
        <f>-(M4^2*M30)/8-(M4^2*(M31-M30)/15+(5*M4*M39*M30)/8+(2*M4*M39*(M31-M30))/5-(M39^2*M30)/2-(M39^2*(M31-M30))/2-(M39^2*(M31-M30))/2+(M39^3*(M31-M30))/(6*M4))</f>
        <v>-78.154808193949009</v>
      </c>
      <c r="N40" t="s">
        <v>279</v>
      </c>
    </row>
    <row r="41" spans="1:18" x14ac:dyDescent="0.25">
      <c r="A41" t="s">
        <v>198</v>
      </c>
      <c r="B41" s="142">
        <f>B39</f>
        <v>1.2833333333333334</v>
      </c>
      <c r="C41" s="1" t="s">
        <v>6</v>
      </c>
      <c r="D41" s="85"/>
      <c r="E41" s="85"/>
      <c r="F41" s="85"/>
      <c r="G41" s="85"/>
      <c r="H41" s="85"/>
      <c r="I41" s="85"/>
      <c r="J41" s="86"/>
    </row>
    <row r="42" spans="1:18" x14ac:dyDescent="0.25">
      <c r="A42" t="s">
        <v>199</v>
      </c>
      <c r="B42" s="10">
        <f>B39*B38/B41</f>
        <v>20.4105825</v>
      </c>
      <c r="C42" s="1" t="s">
        <v>160</v>
      </c>
      <c r="D42" s="85"/>
      <c r="E42" s="85"/>
      <c r="F42" s="85"/>
      <c r="G42" s="85"/>
      <c r="H42" s="85"/>
      <c r="I42" s="85"/>
      <c r="J42" s="86"/>
    </row>
    <row r="43" spans="1:18" x14ac:dyDescent="0.25">
      <c r="A43" s="94" t="s">
        <v>12</v>
      </c>
      <c r="B43" s="95">
        <f>B35*(1/6)</f>
        <v>4.1579999999999995</v>
      </c>
      <c r="C43" s="93" t="s">
        <v>3</v>
      </c>
      <c r="D43" s="85"/>
      <c r="E43" s="85"/>
      <c r="F43" s="85"/>
      <c r="G43" s="85"/>
      <c r="H43" s="85"/>
      <c r="I43" s="85"/>
      <c r="J43" s="86"/>
    </row>
    <row r="44" spans="1:18" x14ac:dyDescent="0.25">
      <c r="A44" s="94" t="s">
        <v>13</v>
      </c>
      <c r="B44" s="95">
        <f>B35*(5/6)</f>
        <v>20.79</v>
      </c>
      <c r="C44" s="93" t="s">
        <v>3</v>
      </c>
      <c r="D44" s="85"/>
      <c r="E44" s="85"/>
      <c r="F44" s="85"/>
      <c r="G44" s="85"/>
      <c r="H44" s="85"/>
      <c r="I44" s="85"/>
      <c r="J44" s="86"/>
    </row>
    <row r="45" spans="1:18" x14ac:dyDescent="0.25">
      <c r="A45" s="6" t="s">
        <v>267</v>
      </c>
      <c r="B45" s="10">
        <f>$B$35*1/6</f>
        <v>4.1579999999999995</v>
      </c>
      <c r="C45" s="7" t="s">
        <v>266</v>
      </c>
      <c r="D45" s="85"/>
      <c r="E45" s="85"/>
      <c r="F45" s="85"/>
      <c r="G45" s="85"/>
      <c r="H45" s="85"/>
      <c r="I45" s="85"/>
      <c r="J45" s="86"/>
    </row>
    <row r="46" spans="1:18" x14ac:dyDescent="0.25">
      <c r="A46" s="6" t="s">
        <v>268</v>
      </c>
      <c r="B46" s="10">
        <f>$B$35*2/6</f>
        <v>8.3159999999999989</v>
      </c>
      <c r="C46" s="7" t="s">
        <v>266</v>
      </c>
      <c r="D46" s="85"/>
      <c r="E46" s="85"/>
      <c r="F46" s="85"/>
      <c r="G46" s="85"/>
      <c r="H46" s="85"/>
      <c r="I46" s="85"/>
      <c r="J46" s="86"/>
    </row>
    <row r="47" spans="1:18" x14ac:dyDescent="0.25">
      <c r="A47" s="6" t="s">
        <v>269</v>
      </c>
      <c r="B47" s="10">
        <f>$B$35*3/6</f>
        <v>12.473999999999998</v>
      </c>
      <c r="C47" s="7" t="s">
        <v>266</v>
      </c>
      <c r="D47" s="85"/>
      <c r="E47" s="85"/>
      <c r="F47" s="85"/>
      <c r="G47" s="85"/>
      <c r="H47" s="85"/>
      <c r="I47" s="85"/>
      <c r="J47" s="86"/>
    </row>
    <row r="48" spans="1:18" x14ac:dyDescent="0.25">
      <c r="A48" s="6" t="s">
        <v>270</v>
      </c>
      <c r="B48" s="10">
        <f>$B$35*4/6</f>
        <v>16.631999999999998</v>
      </c>
      <c r="C48" s="7" t="s">
        <v>266</v>
      </c>
      <c r="D48" s="85"/>
      <c r="E48" s="85"/>
      <c r="F48" s="85"/>
      <c r="G48" s="85"/>
      <c r="H48" s="85"/>
      <c r="I48" s="85"/>
      <c r="J48" s="86"/>
    </row>
    <row r="49" spans="1:10" x14ac:dyDescent="0.25">
      <c r="A49" s="6" t="s">
        <v>271</v>
      </c>
      <c r="B49" s="10">
        <f>$B$35*5/6</f>
        <v>20.789999999999996</v>
      </c>
      <c r="C49" s="7" t="s">
        <v>266</v>
      </c>
      <c r="D49" s="85"/>
      <c r="E49" s="85"/>
      <c r="F49" s="85"/>
      <c r="G49" s="85"/>
      <c r="H49" s="85"/>
      <c r="I49" s="85"/>
      <c r="J49" s="86"/>
    </row>
    <row r="50" spans="1:10" ht="15.75" thickBot="1" x14ac:dyDescent="0.3">
      <c r="A50" s="6" t="s">
        <v>272</v>
      </c>
      <c r="B50" s="10">
        <f>$B$35*6/6</f>
        <v>24.947999999999997</v>
      </c>
      <c r="C50" s="7" t="s">
        <v>266</v>
      </c>
      <c r="D50" s="85"/>
      <c r="E50" s="85"/>
      <c r="F50" s="85"/>
      <c r="G50" s="85"/>
      <c r="H50" s="85"/>
      <c r="I50" s="85"/>
      <c r="J50" s="86"/>
    </row>
    <row r="51" spans="1:10" ht="15.75" thickBot="1" x14ac:dyDescent="0.3">
      <c r="A51" s="194" t="s">
        <v>33</v>
      </c>
      <c r="B51" s="195"/>
      <c r="D51" s="85"/>
      <c r="E51" s="85"/>
      <c r="F51" s="85"/>
      <c r="G51" s="85"/>
      <c r="H51" s="85"/>
      <c r="I51" s="85"/>
      <c r="J51" s="86"/>
    </row>
    <row r="52" spans="1:10" x14ac:dyDescent="0.25">
      <c r="A52" s="94" t="s">
        <v>38</v>
      </c>
      <c r="B52" s="95">
        <f>(B37*((B5/3)+0.6))*100</f>
        <v>38439.930374999996</v>
      </c>
      <c r="C52" s="93" t="s">
        <v>14</v>
      </c>
      <c r="D52" s="85"/>
      <c r="E52" s="85"/>
      <c r="F52" s="85"/>
      <c r="G52" s="85"/>
      <c r="H52" s="85"/>
      <c r="I52" s="85"/>
      <c r="J52" s="86"/>
    </row>
    <row r="53" spans="1:10" ht="15.75" thickBot="1" x14ac:dyDescent="0.3">
      <c r="A53" s="94" t="s">
        <v>96</v>
      </c>
      <c r="B53" s="95">
        <f>B52*1.4</f>
        <v>53815.90252499999</v>
      </c>
      <c r="C53" s="93" t="s">
        <v>14</v>
      </c>
      <c r="D53" s="85"/>
      <c r="E53" s="85"/>
      <c r="F53" s="85"/>
      <c r="G53" s="85"/>
      <c r="H53" s="85"/>
      <c r="I53" s="85"/>
      <c r="J53" s="86"/>
    </row>
    <row r="54" spans="1:10" ht="15.75" thickBot="1" x14ac:dyDescent="0.3">
      <c r="A54" s="6" t="s">
        <v>34</v>
      </c>
      <c r="B54" s="113">
        <v>30</v>
      </c>
      <c r="C54" s="7" t="s">
        <v>17</v>
      </c>
      <c r="D54" s="85"/>
      <c r="E54" s="85"/>
      <c r="F54" s="85"/>
      <c r="G54" s="85"/>
      <c r="H54" s="85"/>
      <c r="I54" s="85"/>
      <c r="J54" s="86"/>
    </row>
    <row r="55" spans="1:10" ht="15.75" thickBot="1" x14ac:dyDescent="0.3">
      <c r="A55" s="6" t="s">
        <v>35</v>
      </c>
      <c r="B55" s="113">
        <v>20</v>
      </c>
      <c r="C55" s="7" t="s">
        <v>17</v>
      </c>
      <c r="D55" s="85"/>
      <c r="E55" s="85"/>
      <c r="F55" s="85"/>
      <c r="G55" s="85"/>
      <c r="H55" s="85"/>
      <c r="I55" s="85"/>
      <c r="J55" s="86"/>
    </row>
    <row r="56" spans="1:10" x14ac:dyDescent="0.25">
      <c r="A56" s="6"/>
      <c r="D56" s="85"/>
      <c r="E56" s="85"/>
      <c r="F56" s="85"/>
      <c r="G56" s="85"/>
      <c r="H56" s="85"/>
      <c r="I56" s="85"/>
      <c r="J56" s="86"/>
    </row>
    <row r="57" spans="1:10" x14ac:dyDescent="0.25">
      <c r="A57" s="94" t="s">
        <v>18</v>
      </c>
      <c r="B57" s="97">
        <f>(0.15/100)*B54*B55</f>
        <v>0.89999999999999991</v>
      </c>
      <c r="C57" s="93" t="s">
        <v>19</v>
      </c>
      <c r="D57" s="85"/>
      <c r="E57" s="85"/>
      <c r="F57" s="85"/>
      <c r="G57" s="85"/>
      <c r="H57" s="85"/>
      <c r="I57" s="85"/>
      <c r="J57" s="86"/>
    </row>
    <row r="58" spans="1:10" ht="15.75" thickBot="1" x14ac:dyDescent="0.3">
      <c r="A58" s="94" t="s">
        <v>21</v>
      </c>
      <c r="B58" s="97">
        <f>B54-B59-(B60/10)-(B61/10/2)</f>
        <v>25.875</v>
      </c>
      <c r="C58" s="93" t="s">
        <v>17</v>
      </c>
      <c r="D58" s="85"/>
      <c r="E58" s="85"/>
      <c r="F58" s="85"/>
      <c r="G58" s="85"/>
      <c r="H58" s="85"/>
      <c r="I58" s="85"/>
      <c r="J58" s="86"/>
    </row>
    <row r="59" spans="1:10" ht="15.75" thickBot="1" x14ac:dyDescent="0.3">
      <c r="A59" s="6" t="s">
        <v>25</v>
      </c>
      <c r="B59" s="113">
        <v>3</v>
      </c>
      <c r="D59" s="85"/>
      <c r="E59" s="85"/>
      <c r="F59" s="85"/>
      <c r="G59" s="85"/>
      <c r="H59" s="85"/>
      <c r="I59" s="85"/>
      <c r="J59" s="86"/>
    </row>
    <row r="60" spans="1:10" ht="15.75" thickBot="1" x14ac:dyDescent="0.3">
      <c r="A60" s="6" t="s">
        <v>24</v>
      </c>
      <c r="B60" s="113">
        <v>5</v>
      </c>
      <c r="C60" t="s">
        <v>23</v>
      </c>
      <c r="D60" s="85"/>
      <c r="E60" s="85"/>
      <c r="F60" s="85"/>
      <c r="G60" s="85"/>
      <c r="H60" s="85"/>
      <c r="I60" s="85"/>
      <c r="J60" s="86"/>
    </row>
    <row r="61" spans="1:10" ht="15.75" thickBot="1" x14ac:dyDescent="0.3">
      <c r="A61" s="6" t="s">
        <v>22</v>
      </c>
      <c r="B61" s="113">
        <v>12.5</v>
      </c>
      <c r="C61" s="7" t="s">
        <v>23</v>
      </c>
      <c r="D61" s="85"/>
      <c r="E61" s="85"/>
      <c r="F61" s="85"/>
      <c r="G61" s="85"/>
      <c r="H61" s="85"/>
      <c r="I61" s="85"/>
      <c r="J61" s="86"/>
    </row>
    <row r="62" spans="1:10" ht="15.75" thickBot="1" x14ac:dyDescent="0.3">
      <c r="A62" s="6" t="s">
        <v>20</v>
      </c>
      <c r="B62" s="10">
        <f>(B55*B58^2)/(B52*1.4)</f>
        <v>0.24881702009512108</v>
      </c>
      <c r="C62" s="7" t="s">
        <v>26</v>
      </c>
      <c r="D62" s="85"/>
      <c r="E62" s="85"/>
      <c r="F62" s="85"/>
      <c r="G62" s="85"/>
      <c r="H62" s="85"/>
      <c r="I62" s="85"/>
      <c r="J62" s="86"/>
    </row>
    <row r="63" spans="1:10" ht="15.75" thickBot="1" x14ac:dyDescent="0.3">
      <c r="A63" s="6" t="s">
        <v>27</v>
      </c>
      <c r="B63" s="113">
        <v>2.8000000000000001E-2</v>
      </c>
      <c r="C63" s="7" t="s">
        <v>26</v>
      </c>
      <c r="D63" s="85"/>
      <c r="E63" s="85"/>
      <c r="F63" s="85"/>
      <c r="G63" s="85"/>
      <c r="H63" s="85"/>
      <c r="I63" s="85"/>
      <c r="J63" s="86"/>
    </row>
    <row r="64" spans="1:10" x14ac:dyDescent="0.25">
      <c r="A64" s="6" t="s">
        <v>28</v>
      </c>
      <c r="B64" s="10">
        <f>B63*B52*1.4/B58</f>
        <v>58.235566017391299</v>
      </c>
      <c r="C64" s="7" t="s">
        <v>19</v>
      </c>
      <c r="D64" s="85"/>
      <c r="E64" s="85"/>
      <c r="F64" s="85"/>
      <c r="G64" s="85"/>
      <c r="H64" s="85"/>
      <c r="I64" s="85"/>
      <c r="J64" s="86"/>
    </row>
    <row r="65" spans="1:10" x14ac:dyDescent="0.25">
      <c r="A65" s="6" t="s">
        <v>37</v>
      </c>
      <c r="B65">
        <f>ROUNDUP(B64/((3.14*(B61/10/2)^2)),0)</f>
        <v>48</v>
      </c>
      <c r="C65" s="7" t="s">
        <v>95</v>
      </c>
      <c r="D65" s="85"/>
      <c r="E65" s="85"/>
      <c r="F65" s="85"/>
      <c r="G65" s="85"/>
      <c r="H65" s="85"/>
      <c r="I65" s="85"/>
      <c r="J65" s="86"/>
    </row>
    <row r="66" spans="1:10" x14ac:dyDescent="0.25">
      <c r="A66" s="6" t="s">
        <v>36</v>
      </c>
      <c r="B66">
        <f>ROUNDUP(B57/((3.14*(B61/10/2)^2)),0)</f>
        <v>1</v>
      </c>
      <c r="C66" s="7" t="s">
        <v>30</v>
      </c>
      <c r="D66" s="85"/>
      <c r="E66" s="85"/>
      <c r="F66" s="85"/>
      <c r="G66" s="85"/>
      <c r="H66" s="85"/>
      <c r="I66" s="85"/>
      <c r="J66" s="86"/>
    </row>
    <row r="67" spans="1:10" ht="15.75" thickBot="1" x14ac:dyDescent="0.3">
      <c r="A67" s="6"/>
      <c r="D67" s="85"/>
      <c r="E67" s="85"/>
      <c r="F67" s="85"/>
      <c r="G67" s="85"/>
      <c r="H67" s="85"/>
      <c r="I67" s="85"/>
      <c r="J67" s="86"/>
    </row>
    <row r="68" spans="1:10" ht="15.75" thickBot="1" x14ac:dyDescent="0.3">
      <c r="A68" s="194" t="s">
        <v>31</v>
      </c>
      <c r="B68" s="195"/>
      <c r="D68" s="85"/>
      <c r="E68" s="85"/>
      <c r="F68" s="85"/>
      <c r="G68" s="85"/>
      <c r="H68" s="85"/>
      <c r="I68" s="85"/>
      <c r="J68" s="86"/>
    </row>
    <row r="69" spans="1:10" ht="15.75" thickBot="1" x14ac:dyDescent="0.3">
      <c r="A69" s="6" t="s">
        <v>97</v>
      </c>
      <c r="B69" s="113">
        <v>1188</v>
      </c>
      <c r="C69" s="7" t="s">
        <v>14</v>
      </c>
      <c r="D69" s="85"/>
      <c r="E69" s="85"/>
      <c r="F69" s="85"/>
      <c r="G69" s="85"/>
      <c r="H69" s="85"/>
      <c r="I69" s="85"/>
      <c r="J69" s="86"/>
    </row>
    <row r="70" spans="1:10" ht="15.75" thickBot="1" x14ac:dyDescent="0.3">
      <c r="A70" s="6" t="s">
        <v>15</v>
      </c>
      <c r="B70" s="113">
        <v>40</v>
      </c>
      <c r="C70" s="7" t="s">
        <v>17</v>
      </c>
      <c r="D70" s="85"/>
      <c r="E70" s="85"/>
      <c r="F70" s="85"/>
      <c r="G70" s="85"/>
      <c r="H70" s="85"/>
      <c r="I70" s="85"/>
      <c r="J70" s="86"/>
    </row>
    <row r="71" spans="1:10" ht="15.75" thickBot="1" x14ac:dyDescent="0.3">
      <c r="A71" s="6" t="s">
        <v>16</v>
      </c>
      <c r="B71" s="113">
        <v>19</v>
      </c>
      <c r="C71" s="7" t="s">
        <v>17</v>
      </c>
      <c r="D71" s="85"/>
      <c r="E71" s="85"/>
      <c r="F71" s="85"/>
      <c r="G71" s="85"/>
      <c r="H71" s="85"/>
      <c r="I71" s="85"/>
      <c r="J71" s="86"/>
    </row>
    <row r="72" spans="1:10" x14ac:dyDescent="0.25">
      <c r="A72" s="6"/>
      <c r="D72" s="85"/>
      <c r="E72" s="85"/>
      <c r="F72" s="85"/>
      <c r="G72" s="85"/>
      <c r="H72" s="85"/>
      <c r="I72" s="85"/>
      <c r="J72" s="86"/>
    </row>
    <row r="73" spans="1:10" x14ac:dyDescent="0.25">
      <c r="A73" s="6" t="s">
        <v>18</v>
      </c>
      <c r="B73">
        <f>(0.15/100)*B70*B71</f>
        <v>1.1399999999999999</v>
      </c>
      <c r="C73" s="7" t="s">
        <v>19</v>
      </c>
      <c r="D73" s="85"/>
      <c r="E73" s="85"/>
      <c r="F73" s="85"/>
      <c r="G73" s="85"/>
      <c r="H73" s="85"/>
      <c r="I73" s="85"/>
      <c r="J73" s="86"/>
    </row>
    <row r="74" spans="1:10" ht="15.75" thickBot="1" x14ac:dyDescent="0.3">
      <c r="A74" s="6" t="s">
        <v>21</v>
      </c>
      <c r="B74">
        <f>B70-B75-(B76/10)-(B77/10/2)</f>
        <v>36.1</v>
      </c>
      <c r="C74" s="7" t="s">
        <v>17</v>
      </c>
      <c r="D74" s="85"/>
      <c r="E74" s="85"/>
      <c r="F74" s="85"/>
      <c r="G74" s="85"/>
      <c r="H74" s="85"/>
      <c r="I74" s="85"/>
      <c r="J74" s="86"/>
    </row>
    <row r="75" spans="1:10" ht="15.75" thickBot="1" x14ac:dyDescent="0.3">
      <c r="A75" s="6" t="s">
        <v>25</v>
      </c>
      <c r="B75" s="113">
        <v>3</v>
      </c>
      <c r="D75" s="85"/>
      <c r="E75" s="85"/>
      <c r="F75" s="85"/>
      <c r="G75" s="85"/>
      <c r="H75" s="85"/>
      <c r="I75" s="85"/>
      <c r="J75" s="86"/>
    </row>
    <row r="76" spans="1:10" ht="15.75" thickBot="1" x14ac:dyDescent="0.3">
      <c r="A76" s="6" t="s">
        <v>24</v>
      </c>
      <c r="B76" s="113">
        <v>5</v>
      </c>
      <c r="C76" t="s">
        <v>23</v>
      </c>
      <c r="D76" s="85"/>
      <c r="E76" s="85"/>
      <c r="F76" s="85"/>
      <c r="G76" s="85"/>
      <c r="H76" s="85"/>
      <c r="I76" s="85"/>
      <c r="J76" s="86"/>
    </row>
    <row r="77" spans="1:10" ht="15.75" thickBot="1" x14ac:dyDescent="0.3">
      <c r="A77" s="6" t="s">
        <v>22</v>
      </c>
      <c r="B77" s="113">
        <v>8</v>
      </c>
      <c r="C77" s="7" t="s">
        <v>23</v>
      </c>
      <c r="D77" s="85"/>
      <c r="E77" s="85"/>
      <c r="F77" s="85"/>
      <c r="G77" s="85"/>
      <c r="H77" s="85"/>
      <c r="I77" s="85"/>
      <c r="J77" s="86"/>
    </row>
    <row r="78" spans="1:10" ht="15.75" thickBot="1" x14ac:dyDescent="0.3">
      <c r="A78" s="6" t="s">
        <v>20</v>
      </c>
      <c r="B78" s="10">
        <f>(B71*B74^2)/B69</f>
        <v>20.842584175084177</v>
      </c>
      <c r="C78" s="7" t="s">
        <v>26</v>
      </c>
      <c r="D78" s="85"/>
      <c r="E78" s="85"/>
      <c r="F78" s="85"/>
      <c r="G78" s="85"/>
      <c r="H78" s="85"/>
      <c r="I78" s="85"/>
      <c r="J78" s="86"/>
    </row>
    <row r="79" spans="1:10" ht="15.75" thickBot="1" x14ac:dyDescent="0.3">
      <c r="A79" s="6" t="s">
        <v>27</v>
      </c>
      <c r="B79" s="113">
        <v>2.3E-2</v>
      </c>
      <c r="C79" s="7" t="s">
        <v>26</v>
      </c>
      <c r="D79" s="85"/>
      <c r="E79" s="85"/>
      <c r="F79" s="85"/>
      <c r="G79" s="85"/>
      <c r="H79" s="85"/>
      <c r="I79" s="85"/>
      <c r="J79" s="86"/>
    </row>
    <row r="80" spans="1:10" x14ac:dyDescent="0.25">
      <c r="A80" s="6" t="s">
        <v>28</v>
      </c>
      <c r="B80" s="10">
        <f>B79*B69/B74</f>
        <v>0.75689750692520763</v>
      </c>
      <c r="C80" s="7" t="s">
        <v>19</v>
      </c>
      <c r="D80" s="85"/>
      <c r="E80" s="85"/>
      <c r="F80" s="85"/>
      <c r="G80" s="85"/>
      <c r="H80" s="85"/>
      <c r="I80" s="85"/>
      <c r="J80" s="86"/>
    </row>
    <row r="81" spans="1:10" x14ac:dyDescent="0.25">
      <c r="A81" s="6" t="s">
        <v>37</v>
      </c>
      <c r="B81">
        <f>ROUNDUP(B80/((3.14*(B77/10/2)^2)),0)</f>
        <v>2</v>
      </c>
      <c r="C81" s="7" t="s">
        <v>30</v>
      </c>
      <c r="D81" s="85"/>
      <c r="E81" s="85"/>
      <c r="F81" s="85"/>
      <c r="G81" s="85"/>
      <c r="H81" s="85"/>
      <c r="I81" s="85"/>
      <c r="J81" s="86"/>
    </row>
    <row r="82" spans="1:10" ht="15.75" thickBot="1" x14ac:dyDescent="0.3">
      <c r="A82" s="11" t="s">
        <v>36</v>
      </c>
      <c r="B82" s="12">
        <f>ROUNDUP(B73/((3.14*(B77/10/2)^2)),0)</f>
        <v>3</v>
      </c>
      <c r="C82" s="13" t="s">
        <v>30</v>
      </c>
      <c r="J82" s="5"/>
    </row>
    <row r="83" spans="1:10" x14ac:dyDescent="0.25">
      <c r="A83" s="6"/>
      <c r="D83" s="3" t="s">
        <v>29</v>
      </c>
      <c r="E83" s="3" t="s">
        <v>19</v>
      </c>
      <c r="J83" s="5"/>
    </row>
    <row r="84" spans="1:10" x14ac:dyDescent="0.25">
      <c r="A84" s="6"/>
      <c r="D84" s="4">
        <v>6.3</v>
      </c>
      <c r="E84" s="138">
        <f>3.14*(D84/10/2)^2</f>
        <v>0.31156650000000002</v>
      </c>
      <c r="J84" s="5"/>
    </row>
    <row r="85" spans="1:10" x14ac:dyDescent="0.25">
      <c r="A85" s="6" t="s">
        <v>79</v>
      </c>
      <c r="B85" s="50">
        <f>B6*B5-B55*B5/100-((B6*B71/100-(B71*B55/100/100))*3)</f>
        <v>13.284000000000001</v>
      </c>
      <c r="C85" s="7" t="s">
        <v>80</v>
      </c>
      <c r="D85" s="4">
        <v>8</v>
      </c>
      <c r="E85" s="138">
        <f t="shared" ref="E85:E90" si="0">3.14*(D85/10/2)^2</f>
        <v>0.50240000000000007</v>
      </c>
      <c r="J85" s="5"/>
    </row>
    <row r="86" spans="1:10" x14ac:dyDescent="0.25">
      <c r="A86" s="6" t="s">
        <v>81</v>
      </c>
      <c r="B86" s="50">
        <f>ASSENTAMENTO!D15*ASSENTAMENTO!D21/100</f>
        <v>25.600000000000005</v>
      </c>
      <c r="C86" s="7" t="s">
        <v>9</v>
      </c>
      <c r="D86" s="4">
        <v>10</v>
      </c>
      <c r="E86" s="138">
        <f t="shared" si="0"/>
        <v>0.78500000000000003</v>
      </c>
      <c r="J86" s="5"/>
    </row>
    <row r="87" spans="1:10" x14ac:dyDescent="0.25">
      <c r="A87" s="6" t="s">
        <v>93</v>
      </c>
      <c r="B87" s="50">
        <f>ASSENTAMENTO!D26*ASSENTAMENTO!D27</f>
        <v>0.24037860000000003</v>
      </c>
      <c r="C87" s="7" t="s">
        <v>9</v>
      </c>
      <c r="D87" s="4">
        <v>12.5</v>
      </c>
      <c r="E87" s="138">
        <f t="shared" si="0"/>
        <v>1.2265625</v>
      </c>
      <c r="J87" s="5"/>
    </row>
    <row r="88" spans="1:10" x14ac:dyDescent="0.25">
      <c r="A88" s="6" t="s">
        <v>39</v>
      </c>
      <c r="B88" s="50">
        <f>B5*(B54/100)*(B55/100)*25</f>
        <v>5.7750000000000004</v>
      </c>
      <c r="C88" s="7" t="s">
        <v>9</v>
      </c>
      <c r="D88" s="4">
        <v>16</v>
      </c>
      <c r="E88" s="138">
        <f t="shared" si="0"/>
        <v>2.0096000000000003</v>
      </c>
      <c r="J88" s="5"/>
    </row>
    <row r="89" spans="1:10" x14ac:dyDescent="0.25">
      <c r="A89" s="6" t="s">
        <v>40</v>
      </c>
      <c r="B89" s="50">
        <f>(B6-B55/100)*(B70/100)*(B71/100)*25*3</f>
        <v>23.085000000000001</v>
      </c>
      <c r="C89" s="7" t="s">
        <v>9</v>
      </c>
      <c r="D89" s="4">
        <v>20</v>
      </c>
      <c r="E89" s="138">
        <f t="shared" si="0"/>
        <v>3.14</v>
      </c>
      <c r="J89" s="5"/>
    </row>
    <row r="90" spans="1:10" ht="15.75" thickBot="1" x14ac:dyDescent="0.3">
      <c r="A90" s="6" t="s">
        <v>84</v>
      </c>
      <c r="B90">
        <f>1.2*1*0.5*25</f>
        <v>15</v>
      </c>
      <c r="C90" s="7" t="s">
        <v>9</v>
      </c>
      <c r="D90" s="4">
        <v>25</v>
      </c>
      <c r="E90" s="138">
        <f t="shared" si="0"/>
        <v>4.90625</v>
      </c>
      <c r="J90" s="5"/>
    </row>
    <row r="91" spans="1:10" ht="15.75" thickBot="1" x14ac:dyDescent="0.3">
      <c r="A91" s="6" t="s">
        <v>180</v>
      </c>
      <c r="B91" s="78">
        <f>ASSENTAMENTO!D21</f>
        <v>160.00000000000003</v>
      </c>
      <c r="C91" s="7" t="s">
        <v>181</v>
      </c>
      <c r="D91" s="191"/>
      <c r="E91" s="192"/>
      <c r="F91" s="192"/>
      <c r="G91" s="192"/>
      <c r="H91" s="192"/>
      <c r="I91" s="192"/>
      <c r="J91" s="193"/>
    </row>
    <row r="92" spans="1:10" ht="15.75" customHeight="1" thickBot="1" x14ac:dyDescent="0.3">
      <c r="A92" s="11" t="s">
        <v>94</v>
      </c>
      <c r="B92" s="136">
        <f>SUM(B86:B90)</f>
        <v>69.700378600000008</v>
      </c>
      <c r="C92" s="13" t="s">
        <v>9</v>
      </c>
      <c r="D92" s="188"/>
      <c r="E92" s="189"/>
      <c r="F92" s="189"/>
      <c r="G92" s="189"/>
      <c r="H92" s="189"/>
      <c r="I92" s="189"/>
      <c r="J92" s="190"/>
    </row>
  </sheetData>
  <mergeCells count="12">
    <mergeCell ref="P10:R10"/>
    <mergeCell ref="A1:J1"/>
    <mergeCell ref="A2:B2"/>
    <mergeCell ref="A32:B32"/>
    <mergeCell ref="A11:B11"/>
    <mergeCell ref="A22:B22"/>
    <mergeCell ref="L33:N33"/>
    <mergeCell ref="L38:N38"/>
    <mergeCell ref="D92:J92"/>
    <mergeCell ref="D91:J91"/>
    <mergeCell ref="A68:B68"/>
    <mergeCell ref="A51:B51"/>
  </mergeCells>
  <phoneticPr fontId="29" type="noConversion"/>
  <conditionalFormatting sqref="B23:B28">
    <cfRule type="containsText" dxfId="4" priority="4" operator="containsText" text="Não">
      <formula>NOT(ISERROR(SEARCH("Não",B23)))</formula>
    </cfRule>
    <cfRule type="containsText" dxfId="3" priority="5" operator="containsText" text="Sim">
      <formula>NOT(ISERROR(SEARCH("Sim",B23)))</formula>
    </cfRule>
  </conditionalFormatting>
  <conditionalFormatting sqref="B24">
    <cfRule type="containsText" dxfId="2" priority="3" operator="containsText" text="Aumentar largura pilar">
      <formula>NOT(ISERROR(SEARCH("Aumentar largura pilar",B24)))</formula>
    </cfRule>
  </conditionalFormatting>
  <conditionalFormatting sqref="B25">
    <cfRule type="containsText" dxfId="1" priority="2" operator="containsText" text="Aumentar largura da alvenaria">
      <formula>NOT(ISERROR(SEARCH("Aumentar largura da alvenaria",B25)))</formula>
    </cfRule>
  </conditionalFormatting>
  <conditionalFormatting sqref="B26">
    <cfRule type="containsText" dxfId="0" priority="1" operator="containsText" text="Aumentar resistência do bloco">
      <formula>NOT(ISERROR(SEARCH("Aumentar resistência do bloco",B26)))</formula>
    </cfRule>
  </conditionalFormatting>
  <pageMargins left="0.511811024" right="0.511811024" top="0.78740157499999996" bottom="0.78740157499999996" header="0.31496062000000002" footer="0.31496062000000002"/>
  <pageSetup paperSize="9" scale="15" orientation="portrait" verticalDpi="300" r:id="rId1"/>
  <drawing r:id="rId2"/>
  <legacyDrawing r:id="rId3"/>
  <extLst>
    <ext xmlns:x14="http://schemas.microsoft.com/office/spreadsheetml/2009/9/main" uri="{CCE6A557-97BC-4b89-ADB6-D9C93CAAB3DF}">
      <x14:dataValidations xmlns:xm="http://schemas.microsoft.com/office/excel/2006/main" disablePrompts="1" count="2">
        <x14:dataValidation type="list" allowBlank="1" showInputMessage="1" showErrorMessage="1" xr:uid="{00000000-0002-0000-0000-000000000000}">
          <x14:formula1>
            <xm:f>'DADOS DO SOLO'!$K$2:$K$9</xm:f>
          </x14:formula1>
          <xm:sqref>B3</xm:sqref>
        </x14:dataValidation>
        <x14:dataValidation type="list" allowBlank="1" showInputMessage="1" showErrorMessage="1" xr:uid="{00000000-0002-0000-0000-000001000000}">
          <x14:formula1>
            <xm:f>'CÁLCULO FECHAMENTO'!$A$17:$A$19</xm:f>
          </x14:formula1>
          <xm:sqref>B10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86"/>
  <sheetViews>
    <sheetView topLeftCell="A31" workbookViewId="0">
      <selection activeCell="G32" sqref="A32:G32"/>
    </sheetView>
  </sheetViews>
  <sheetFormatPr defaultRowHeight="15" x14ac:dyDescent="0.25"/>
  <cols>
    <col min="1" max="1" width="29.140625" style="7" bestFit="1" customWidth="1"/>
    <col min="2" max="2" width="29.140625" style="1" bestFit="1" customWidth="1"/>
    <col min="3" max="3" width="4.140625" bestFit="1" customWidth="1"/>
    <col min="4" max="4" width="9.7109375" bestFit="1" customWidth="1"/>
    <col min="5" max="5" width="11" customWidth="1"/>
    <col min="6" max="6" width="13.5703125" bestFit="1" customWidth="1"/>
    <col min="7" max="7" width="15.140625" bestFit="1" customWidth="1"/>
    <col min="11" max="11" width="29.140625" bestFit="1" customWidth="1"/>
  </cols>
  <sheetData>
    <row r="1" spans="1:14" x14ac:dyDescent="0.25">
      <c r="A1" s="79" t="s">
        <v>106</v>
      </c>
      <c r="B1" s="4" t="s">
        <v>172</v>
      </c>
      <c r="C1" s="4" t="s">
        <v>108</v>
      </c>
      <c r="D1" s="80" t="s">
        <v>112</v>
      </c>
      <c r="E1" s="4" t="s">
        <v>174</v>
      </c>
      <c r="F1" s="4" t="s">
        <v>109</v>
      </c>
      <c r="G1" s="81" t="s">
        <v>110</v>
      </c>
      <c r="K1" s="101" t="s">
        <v>117</v>
      </c>
      <c r="L1" s="99" t="s">
        <v>118</v>
      </c>
      <c r="M1" s="99" t="s">
        <v>119</v>
      </c>
      <c r="N1" s="99" t="s">
        <v>120</v>
      </c>
    </row>
    <row r="2" spans="1:14" x14ac:dyDescent="0.25">
      <c r="A2" s="82" t="s">
        <v>98</v>
      </c>
      <c r="B2" s="4">
        <v>0.85</v>
      </c>
      <c r="C2" s="4">
        <v>0</v>
      </c>
      <c r="D2" s="4">
        <v>13</v>
      </c>
      <c r="E2" s="4">
        <v>0.8</v>
      </c>
      <c r="F2" s="88">
        <f>E2*(D2/10)^0.5*10</f>
        <v>9.1214034007931044</v>
      </c>
      <c r="G2" s="4">
        <v>0</v>
      </c>
      <c r="K2" s="4" t="s">
        <v>98</v>
      </c>
      <c r="L2" s="99">
        <v>0.85</v>
      </c>
      <c r="M2" s="99">
        <v>1.3</v>
      </c>
      <c r="N2" s="99">
        <v>0.8</v>
      </c>
    </row>
    <row r="3" spans="1:14" x14ac:dyDescent="0.25">
      <c r="A3" s="82" t="s">
        <v>98</v>
      </c>
      <c r="B3" s="4">
        <v>0.85</v>
      </c>
      <c r="C3" s="4">
        <v>1</v>
      </c>
      <c r="D3" s="4">
        <v>13</v>
      </c>
      <c r="E3" s="4">
        <v>0.8</v>
      </c>
      <c r="F3" s="88">
        <f t="shared" ref="F3:F31" si="0">E3*(D3/10)^0.5*10</f>
        <v>9.1214034007931044</v>
      </c>
      <c r="G3" s="4">
        <v>0</v>
      </c>
      <c r="K3" s="4" t="s">
        <v>99</v>
      </c>
      <c r="L3" s="99">
        <v>0.75</v>
      </c>
      <c r="M3" s="99">
        <v>1.5</v>
      </c>
      <c r="N3" s="99">
        <v>1.6</v>
      </c>
    </row>
    <row r="4" spans="1:14" x14ac:dyDescent="0.25">
      <c r="A4" s="82" t="s">
        <v>98</v>
      </c>
      <c r="B4" s="4">
        <v>0.85</v>
      </c>
      <c r="C4" s="4">
        <v>2</v>
      </c>
      <c r="D4" s="4">
        <v>13</v>
      </c>
      <c r="E4" s="4">
        <v>0.8</v>
      </c>
      <c r="F4" s="88">
        <f t="shared" si="0"/>
        <v>9.1214034007931044</v>
      </c>
      <c r="G4" s="4">
        <v>0</v>
      </c>
      <c r="K4" s="4" t="s">
        <v>100</v>
      </c>
      <c r="L4" s="99">
        <v>0.65</v>
      </c>
      <c r="M4" s="99">
        <v>1.7</v>
      </c>
      <c r="N4" s="99">
        <v>4.8</v>
      </c>
    </row>
    <row r="5" spans="1:14" x14ac:dyDescent="0.25">
      <c r="A5" s="82" t="s">
        <v>98</v>
      </c>
      <c r="B5" s="4">
        <v>0.85</v>
      </c>
      <c r="C5" s="4">
        <v>3</v>
      </c>
      <c r="D5" s="4">
        <v>13</v>
      </c>
      <c r="E5" s="4">
        <v>0.8</v>
      </c>
      <c r="F5" s="88">
        <f t="shared" si="0"/>
        <v>9.1214034007931044</v>
      </c>
      <c r="G5" s="4">
        <v>0</v>
      </c>
      <c r="K5" s="4" t="s">
        <v>101</v>
      </c>
      <c r="L5" s="99">
        <v>0.55000000000000004</v>
      </c>
      <c r="M5" s="99">
        <v>1.9</v>
      </c>
      <c r="N5" s="99">
        <v>9.6</v>
      </c>
    </row>
    <row r="6" spans="1:14" x14ac:dyDescent="0.25">
      <c r="A6" s="82" t="s">
        <v>98</v>
      </c>
      <c r="B6" s="4">
        <v>0.85</v>
      </c>
      <c r="C6" s="4">
        <v>4</v>
      </c>
      <c r="D6" s="4">
        <v>13</v>
      </c>
      <c r="E6" s="4">
        <v>0.8</v>
      </c>
      <c r="F6" s="88">
        <f t="shared" si="0"/>
        <v>9.1214034007931044</v>
      </c>
      <c r="G6" s="4">
        <v>0</v>
      </c>
      <c r="K6" s="4" t="s">
        <v>102</v>
      </c>
      <c r="L6" s="99">
        <v>0.6</v>
      </c>
      <c r="M6" s="99">
        <v>1.7</v>
      </c>
      <c r="N6" s="99">
        <v>0</v>
      </c>
    </row>
    <row r="7" spans="1:14" x14ac:dyDescent="0.25">
      <c r="A7" s="82" t="s">
        <v>98</v>
      </c>
      <c r="B7" s="4">
        <v>0.85</v>
      </c>
      <c r="C7" s="4">
        <v>5</v>
      </c>
      <c r="D7" s="4">
        <v>13</v>
      </c>
      <c r="E7" s="4">
        <v>0.8</v>
      </c>
      <c r="F7" s="88">
        <f t="shared" si="0"/>
        <v>9.1214034007931044</v>
      </c>
      <c r="G7" s="4">
        <v>0</v>
      </c>
      <c r="K7" s="4" t="s">
        <v>103</v>
      </c>
      <c r="L7" s="99">
        <v>0.55000000000000004</v>
      </c>
      <c r="M7" s="99">
        <v>1.9</v>
      </c>
      <c r="N7" s="99">
        <v>0</v>
      </c>
    </row>
    <row r="8" spans="1:14" x14ac:dyDescent="0.25">
      <c r="A8" s="82" t="s">
        <v>99</v>
      </c>
      <c r="B8" s="4">
        <v>0.75</v>
      </c>
      <c r="C8" s="4">
        <v>6</v>
      </c>
      <c r="D8" s="4">
        <v>15</v>
      </c>
      <c r="E8" s="4">
        <v>1.6</v>
      </c>
      <c r="F8" s="88">
        <f t="shared" si="0"/>
        <v>19.595917942265423</v>
      </c>
      <c r="G8" s="4">
        <v>0</v>
      </c>
      <c r="K8" s="4" t="s">
        <v>104</v>
      </c>
      <c r="L8" s="99">
        <v>0.5</v>
      </c>
      <c r="M8" s="99">
        <v>2</v>
      </c>
      <c r="N8" s="99">
        <v>0</v>
      </c>
    </row>
    <row r="9" spans="1:14" x14ac:dyDescent="0.25">
      <c r="A9" s="82" t="s">
        <v>99</v>
      </c>
      <c r="B9" s="4">
        <v>0.75</v>
      </c>
      <c r="C9" s="4">
        <v>7</v>
      </c>
      <c r="D9" s="4">
        <v>15</v>
      </c>
      <c r="E9" s="4">
        <v>1.6</v>
      </c>
      <c r="F9" s="88">
        <f t="shared" si="0"/>
        <v>19.595917942265423</v>
      </c>
      <c r="G9" s="4">
        <v>0</v>
      </c>
      <c r="K9" s="4" t="s">
        <v>105</v>
      </c>
      <c r="L9" s="99">
        <v>0.45</v>
      </c>
      <c r="M9" s="99">
        <v>2.1</v>
      </c>
      <c r="N9" s="99">
        <v>0</v>
      </c>
    </row>
    <row r="10" spans="1:14" x14ac:dyDescent="0.25">
      <c r="A10" s="82" t="s">
        <v>99</v>
      </c>
      <c r="B10" s="4">
        <v>0.75</v>
      </c>
      <c r="C10" s="4">
        <v>8</v>
      </c>
      <c r="D10" s="4">
        <v>15</v>
      </c>
      <c r="E10" s="4">
        <v>1.6</v>
      </c>
      <c r="F10" s="88">
        <f t="shared" si="0"/>
        <v>19.595917942265423</v>
      </c>
      <c r="G10" s="4">
        <v>0</v>
      </c>
    </row>
    <row r="11" spans="1:14" x14ac:dyDescent="0.25">
      <c r="A11" s="82" t="s">
        <v>99</v>
      </c>
      <c r="B11" s="4">
        <v>0.75</v>
      </c>
      <c r="C11" s="4">
        <v>9</v>
      </c>
      <c r="D11" s="4">
        <v>15</v>
      </c>
      <c r="E11" s="4">
        <v>1.6</v>
      </c>
      <c r="F11" s="88">
        <f t="shared" si="0"/>
        <v>19.595917942265423</v>
      </c>
      <c r="G11" s="4">
        <v>0</v>
      </c>
      <c r="K11" s="101" t="s">
        <v>117</v>
      </c>
    </row>
    <row r="12" spans="1:14" x14ac:dyDescent="0.25">
      <c r="A12" s="79" t="s">
        <v>100</v>
      </c>
      <c r="B12" s="4">
        <v>0.65</v>
      </c>
      <c r="C12" s="4">
        <v>10</v>
      </c>
      <c r="D12" s="4">
        <v>17</v>
      </c>
      <c r="E12" s="4">
        <v>4.8</v>
      </c>
      <c r="F12" s="88">
        <f t="shared" si="0"/>
        <v>62.584343089945421</v>
      </c>
      <c r="G12" s="4">
        <v>0</v>
      </c>
      <c r="K12" s="101" t="s">
        <v>98</v>
      </c>
    </row>
    <row r="13" spans="1:14" x14ac:dyDescent="0.25">
      <c r="A13" s="79" t="s">
        <v>100</v>
      </c>
      <c r="B13" s="4">
        <v>0.65</v>
      </c>
      <c r="C13" s="4">
        <v>11</v>
      </c>
      <c r="D13" s="4">
        <v>17</v>
      </c>
      <c r="E13" s="4">
        <v>4.8</v>
      </c>
      <c r="F13" s="88">
        <f t="shared" si="0"/>
        <v>62.584343089945421</v>
      </c>
      <c r="G13" s="4">
        <v>0</v>
      </c>
      <c r="K13" s="101" t="s">
        <v>99</v>
      </c>
    </row>
    <row r="14" spans="1:14" x14ac:dyDescent="0.25">
      <c r="A14" s="79" t="s">
        <v>100</v>
      </c>
      <c r="B14" s="4">
        <v>0.65</v>
      </c>
      <c r="C14" s="4">
        <v>12</v>
      </c>
      <c r="D14" s="4">
        <v>17</v>
      </c>
      <c r="E14" s="4">
        <v>4.8</v>
      </c>
      <c r="F14" s="88">
        <f t="shared" si="0"/>
        <v>62.584343089945421</v>
      </c>
      <c r="G14" s="4">
        <v>0</v>
      </c>
      <c r="K14" s="101" t="s">
        <v>100</v>
      </c>
    </row>
    <row r="15" spans="1:14" x14ac:dyDescent="0.25">
      <c r="A15" s="79" t="s">
        <v>100</v>
      </c>
      <c r="B15" s="4">
        <v>0.65</v>
      </c>
      <c r="C15" s="4">
        <v>13</v>
      </c>
      <c r="D15" s="4">
        <v>17</v>
      </c>
      <c r="E15" s="4">
        <v>4.8</v>
      </c>
      <c r="F15" s="88">
        <f t="shared" si="0"/>
        <v>62.584343089945421</v>
      </c>
      <c r="G15" s="4">
        <v>0</v>
      </c>
      <c r="K15" s="101" t="s">
        <v>101</v>
      </c>
    </row>
    <row r="16" spans="1:14" x14ac:dyDescent="0.25">
      <c r="A16" s="79" t="s">
        <v>100</v>
      </c>
      <c r="B16" s="4">
        <v>0.65</v>
      </c>
      <c r="C16" s="4">
        <v>14</v>
      </c>
      <c r="D16" s="4">
        <v>17</v>
      </c>
      <c r="E16" s="4">
        <v>4.8</v>
      </c>
      <c r="F16" s="88">
        <f t="shared" si="0"/>
        <v>62.584343089945421</v>
      </c>
      <c r="G16" s="4">
        <v>0</v>
      </c>
      <c r="K16" s="101" t="s">
        <v>102</v>
      </c>
    </row>
    <row r="17" spans="1:11" x14ac:dyDescent="0.25">
      <c r="A17" s="79" t="s">
        <v>100</v>
      </c>
      <c r="B17" s="4">
        <v>0.65</v>
      </c>
      <c r="C17" s="4">
        <v>15</v>
      </c>
      <c r="D17" s="4">
        <v>17</v>
      </c>
      <c r="E17" s="4">
        <v>4.8</v>
      </c>
      <c r="F17" s="88">
        <f t="shared" si="0"/>
        <v>62.584343089945421</v>
      </c>
      <c r="G17" s="4">
        <v>0</v>
      </c>
      <c r="K17" s="101" t="s">
        <v>103</v>
      </c>
    </row>
    <row r="18" spans="1:11" x14ac:dyDescent="0.25">
      <c r="A18" s="79" t="s">
        <v>100</v>
      </c>
      <c r="B18" s="4">
        <v>0.55000000000000004</v>
      </c>
      <c r="C18" s="4">
        <v>16</v>
      </c>
      <c r="D18" s="4">
        <v>17</v>
      </c>
      <c r="E18" s="4">
        <v>4.8</v>
      </c>
      <c r="F18" s="88">
        <f t="shared" si="0"/>
        <v>62.584343089945421</v>
      </c>
      <c r="G18" s="4">
        <v>0</v>
      </c>
      <c r="K18" s="101" t="s">
        <v>104</v>
      </c>
    </row>
    <row r="19" spans="1:11" x14ac:dyDescent="0.25">
      <c r="A19" s="79" t="s">
        <v>100</v>
      </c>
      <c r="B19" s="4">
        <v>0.55000000000000004</v>
      </c>
      <c r="C19" s="4">
        <v>17</v>
      </c>
      <c r="D19" s="4">
        <v>17</v>
      </c>
      <c r="E19" s="4">
        <v>4.8</v>
      </c>
      <c r="F19" s="88">
        <f t="shared" si="0"/>
        <v>62.584343089945421</v>
      </c>
      <c r="G19" s="4">
        <v>0</v>
      </c>
      <c r="K19" s="101" t="s">
        <v>105</v>
      </c>
    </row>
    <row r="20" spans="1:11" x14ac:dyDescent="0.25">
      <c r="A20" s="79" t="s">
        <v>100</v>
      </c>
      <c r="B20" s="4">
        <v>0.55000000000000004</v>
      </c>
      <c r="C20" s="4">
        <v>18</v>
      </c>
      <c r="D20" s="4">
        <v>17</v>
      </c>
      <c r="E20" s="4">
        <v>4.8</v>
      </c>
      <c r="F20" s="88">
        <f t="shared" si="0"/>
        <v>62.584343089945421</v>
      </c>
      <c r="G20" s="4">
        <v>0</v>
      </c>
    </row>
    <row r="21" spans="1:11" x14ac:dyDescent="0.25">
      <c r="A21" s="79" t="s">
        <v>100</v>
      </c>
      <c r="B21" s="4">
        <v>0.55000000000000004</v>
      </c>
      <c r="C21" s="4">
        <v>19</v>
      </c>
      <c r="D21" s="4">
        <v>17</v>
      </c>
      <c r="E21" s="4">
        <v>4.8</v>
      </c>
      <c r="F21" s="88">
        <f t="shared" si="0"/>
        <v>62.584343089945421</v>
      </c>
      <c r="G21" s="4">
        <v>0</v>
      </c>
    </row>
    <row r="22" spans="1:11" x14ac:dyDescent="0.25">
      <c r="A22" s="79" t="s">
        <v>101</v>
      </c>
      <c r="B22" s="4">
        <v>0.55000000000000004</v>
      </c>
      <c r="C22" s="4">
        <v>20</v>
      </c>
      <c r="D22" s="4">
        <v>19</v>
      </c>
      <c r="E22" s="4">
        <v>9.6</v>
      </c>
      <c r="F22" s="88">
        <f t="shared" si="0"/>
        <v>132.32686802006612</v>
      </c>
      <c r="G22" s="4">
        <v>0</v>
      </c>
    </row>
    <row r="23" spans="1:11" x14ac:dyDescent="0.25">
      <c r="A23" s="79" t="s">
        <v>101</v>
      </c>
      <c r="B23" s="4">
        <v>0.55000000000000004</v>
      </c>
      <c r="C23" s="4">
        <v>21</v>
      </c>
      <c r="D23" s="4">
        <v>19</v>
      </c>
      <c r="E23" s="4">
        <v>9.6</v>
      </c>
      <c r="F23" s="88">
        <f t="shared" si="0"/>
        <v>132.32686802006612</v>
      </c>
      <c r="G23" s="4">
        <v>0</v>
      </c>
    </row>
    <row r="24" spans="1:11" x14ac:dyDescent="0.25">
      <c r="A24" s="79" t="s">
        <v>101</v>
      </c>
      <c r="B24" s="4">
        <v>0.55000000000000004</v>
      </c>
      <c r="C24" s="4">
        <v>22</v>
      </c>
      <c r="D24" s="4">
        <v>19</v>
      </c>
      <c r="E24" s="4">
        <v>9.6</v>
      </c>
      <c r="F24" s="88">
        <f t="shared" si="0"/>
        <v>132.32686802006612</v>
      </c>
      <c r="G24" s="4">
        <v>0</v>
      </c>
    </row>
    <row r="25" spans="1:11" x14ac:dyDescent="0.25">
      <c r="A25" s="79" t="s">
        <v>101</v>
      </c>
      <c r="B25" s="4">
        <v>0.55000000000000004</v>
      </c>
      <c r="C25" s="4">
        <v>23</v>
      </c>
      <c r="D25" s="4">
        <v>19</v>
      </c>
      <c r="E25" s="4">
        <v>9.6</v>
      </c>
      <c r="F25" s="88">
        <f t="shared" si="0"/>
        <v>132.32686802006612</v>
      </c>
      <c r="G25" s="4">
        <v>0</v>
      </c>
    </row>
    <row r="26" spans="1:11" x14ac:dyDescent="0.25">
      <c r="A26" s="79" t="s">
        <v>101</v>
      </c>
      <c r="B26" s="4">
        <v>0.55000000000000004</v>
      </c>
      <c r="C26" s="4">
        <v>24</v>
      </c>
      <c r="D26" s="4">
        <v>19</v>
      </c>
      <c r="E26" s="4">
        <v>9.6</v>
      </c>
      <c r="F26" s="88">
        <f t="shared" si="0"/>
        <v>132.32686802006612</v>
      </c>
      <c r="G26" s="4">
        <v>0</v>
      </c>
    </row>
    <row r="27" spans="1:11" x14ac:dyDescent="0.25">
      <c r="A27" s="79" t="s">
        <v>101</v>
      </c>
      <c r="B27" s="4">
        <v>0.55000000000000004</v>
      </c>
      <c r="C27" s="4">
        <v>25</v>
      </c>
      <c r="D27" s="4">
        <v>19</v>
      </c>
      <c r="E27" s="4">
        <v>9.6</v>
      </c>
      <c r="F27" s="88">
        <f t="shared" si="0"/>
        <v>132.32686802006612</v>
      </c>
      <c r="G27" s="4">
        <v>0</v>
      </c>
    </row>
    <row r="28" spans="1:11" x14ac:dyDescent="0.25">
      <c r="A28" s="79" t="s">
        <v>101</v>
      </c>
      <c r="B28" s="4">
        <v>0.55000000000000004</v>
      </c>
      <c r="C28" s="4">
        <v>26</v>
      </c>
      <c r="D28" s="4">
        <v>19</v>
      </c>
      <c r="E28" s="4">
        <v>9.6</v>
      </c>
      <c r="F28" s="88">
        <f t="shared" si="0"/>
        <v>132.32686802006612</v>
      </c>
      <c r="G28" s="4">
        <v>0</v>
      </c>
    </row>
    <row r="29" spans="1:11" x14ac:dyDescent="0.25">
      <c r="A29" s="79" t="s">
        <v>101</v>
      </c>
      <c r="B29" s="4">
        <v>0.55000000000000004</v>
      </c>
      <c r="C29" s="4">
        <v>27</v>
      </c>
      <c r="D29" s="4">
        <v>19</v>
      </c>
      <c r="E29" s="4">
        <v>9.6</v>
      </c>
      <c r="F29" s="88">
        <f t="shared" si="0"/>
        <v>132.32686802006612</v>
      </c>
      <c r="G29" s="4">
        <v>0</v>
      </c>
    </row>
    <row r="30" spans="1:11" x14ac:dyDescent="0.25">
      <c r="A30" s="79" t="s">
        <v>101</v>
      </c>
      <c r="B30" s="4">
        <v>0.55000000000000004</v>
      </c>
      <c r="C30" s="4">
        <v>28</v>
      </c>
      <c r="D30" s="4">
        <v>19</v>
      </c>
      <c r="E30" s="4">
        <v>9.6</v>
      </c>
      <c r="F30" s="88">
        <f t="shared" si="0"/>
        <v>132.32686802006612</v>
      </c>
      <c r="G30" s="4">
        <v>0</v>
      </c>
    </row>
    <row r="31" spans="1:11" x14ac:dyDescent="0.25">
      <c r="A31" s="79" t="s">
        <v>101</v>
      </c>
      <c r="B31" s="4">
        <v>0.55000000000000004</v>
      </c>
      <c r="C31" s="4">
        <v>29</v>
      </c>
      <c r="D31" s="4">
        <v>19</v>
      </c>
      <c r="E31" s="4">
        <v>9.6</v>
      </c>
      <c r="F31" s="88">
        <f t="shared" si="0"/>
        <v>132.32686802006612</v>
      </c>
      <c r="G31" s="4">
        <v>0</v>
      </c>
    </row>
    <row r="32" spans="1:11" x14ac:dyDescent="0.25">
      <c r="A32" s="79" t="s">
        <v>101</v>
      </c>
      <c r="B32" s="4">
        <v>0.55000000000000004</v>
      </c>
      <c r="C32" s="4">
        <v>30</v>
      </c>
      <c r="D32" s="4">
        <v>19</v>
      </c>
      <c r="E32" s="4">
        <v>9.6</v>
      </c>
      <c r="F32" s="88">
        <f>E32*(D32/10)^0.5*10</f>
        <v>132.32686802006612</v>
      </c>
      <c r="G32" s="4">
        <v>0</v>
      </c>
    </row>
    <row r="33" spans="1:7" x14ac:dyDescent="0.25">
      <c r="A33" s="4" t="s">
        <v>102</v>
      </c>
      <c r="B33" s="4">
        <v>0.6</v>
      </c>
      <c r="C33" s="4">
        <v>0</v>
      </c>
      <c r="D33" s="4">
        <v>17</v>
      </c>
      <c r="E33" s="4">
        <v>0</v>
      </c>
      <c r="F33" s="83">
        <f t="shared" ref="F33:F66" si="1">((D33/10)*E33)^0.5*10</f>
        <v>0</v>
      </c>
      <c r="G33" s="84">
        <v>0</v>
      </c>
    </row>
    <row r="34" spans="1:7" x14ac:dyDescent="0.25">
      <c r="A34" s="4" t="s">
        <v>102</v>
      </c>
      <c r="B34" s="4">
        <v>0.6</v>
      </c>
      <c r="C34" s="4">
        <v>1</v>
      </c>
      <c r="D34" s="4">
        <v>17</v>
      </c>
      <c r="E34" s="4">
        <v>0</v>
      </c>
      <c r="F34" s="83">
        <f t="shared" si="1"/>
        <v>0</v>
      </c>
      <c r="G34" s="84">
        <v>7.5</v>
      </c>
    </row>
    <row r="35" spans="1:7" x14ac:dyDescent="0.25">
      <c r="A35" s="4" t="s">
        <v>102</v>
      </c>
      <c r="B35" s="4">
        <v>0.6</v>
      </c>
      <c r="C35" s="4">
        <v>2</v>
      </c>
      <c r="D35" s="4">
        <v>17</v>
      </c>
      <c r="E35" s="4">
        <v>0</v>
      </c>
      <c r="F35" s="83">
        <f t="shared" si="1"/>
        <v>0</v>
      </c>
      <c r="G35" s="84">
        <v>15</v>
      </c>
    </row>
    <row r="36" spans="1:7" x14ac:dyDescent="0.25">
      <c r="A36" s="4" t="s">
        <v>102</v>
      </c>
      <c r="B36" s="4">
        <v>0.6</v>
      </c>
      <c r="C36" s="4">
        <v>3</v>
      </c>
      <c r="D36" s="4">
        <v>17</v>
      </c>
      <c r="E36" s="4">
        <v>0</v>
      </c>
      <c r="F36" s="83">
        <f t="shared" si="1"/>
        <v>0</v>
      </c>
      <c r="G36" s="84">
        <v>22.5</v>
      </c>
    </row>
    <row r="37" spans="1:7" x14ac:dyDescent="0.25">
      <c r="A37" s="4" t="s">
        <v>102</v>
      </c>
      <c r="B37" s="4">
        <v>0.6</v>
      </c>
      <c r="C37" s="4">
        <v>4</v>
      </c>
      <c r="D37" s="4">
        <v>17</v>
      </c>
      <c r="E37" s="4">
        <v>0</v>
      </c>
      <c r="F37" s="83">
        <f t="shared" si="1"/>
        <v>0</v>
      </c>
      <c r="G37" s="84">
        <v>30</v>
      </c>
    </row>
    <row r="38" spans="1:7" x14ac:dyDescent="0.25">
      <c r="A38" s="4" t="s">
        <v>102</v>
      </c>
      <c r="B38" s="4">
        <v>0.6</v>
      </c>
      <c r="C38" s="4">
        <v>5</v>
      </c>
      <c r="D38" s="4">
        <v>17</v>
      </c>
      <c r="E38" s="4">
        <v>0</v>
      </c>
      <c r="F38" s="83">
        <f t="shared" si="1"/>
        <v>0</v>
      </c>
      <c r="G38" s="84">
        <f>G37-((C37-C38)*(G37-G43)/(C37-C43))</f>
        <v>30.833333333333332</v>
      </c>
    </row>
    <row r="39" spans="1:7" x14ac:dyDescent="0.25">
      <c r="A39" s="4" t="s">
        <v>102</v>
      </c>
      <c r="B39" s="4">
        <v>0.6</v>
      </c>
      <c r="C39" s="4">
        <v>6</v>
      </c>
      <c r="D39" s="4">
        <v>17</v>
      </c>
      <c r="E39" s="4">
        <v>0</v>
      </c>
      <c r="F39" s="83">
        <f t="shared" si="1"/>
        <v>0</v>
      </c>
      <c r="G39" s="84">
        <f>G38-((C38-C39)*(G38-G$43)/(C38-C$43))</f>
        <v>31.666666666666664</v>
      </c>
    </row>
    <row r="40" spans="1:7" x14ac:dyDescent="0.25">
      <c r="A40" s="4" t="s">
        <v>102</v>
      </c>
      <c r="B40" s="4">
        <v>0.6</v>
      </c>
      <c r="C40" s="4">
        <v>7</v>
      </c>
      <c r="D40" s="4">
        <v>17</v>
      </c>
      <c r="E40" s="4">
        <v>0</v>
      </c>
      <c r="F40" s="83">
        <f t="shared" si="1"/>
        <v>0</v>
      </c>
      <c r="G40" s="84">
        <f>G39-((C39-C40)*(G39-$G$43)/(C39-$C$43))</f>
        <v>32.5</v>
      </c>
    </row>
    <row r="41" spans="1:7" x14ac:dyDescent="0.25">
      <c r="A41" s="4" t="s">
        <v>102</v>
      </c>
      <c r="B41" s="4">
        <v>0.6</v>
      </c>
      <c r="C41" s="4">
        <v>8</v>
      </c>
      <c r="D41" s="4">
        <v>17</v>
      </c>
      <c r="E41" s="4">
        <v>0</v>
      </c>
      <c r="F41" s="83">
        <f t="shared" si="1"/>
        <v>0</v>
      </c>
      <c r="G41" s="84">
        <f>G40-((C40-C41)*(G40-$G$43)/(C40-$C$43))</f>
        <v>33.333333333333336</v>
      </c>
    </row>
    <row r="42" spans="1:7" x14ac:dyDescent="0.25">
      <c r="A42" s="4" t="s">
        <v>103</v>
      </c>
      <c r="B42" s="4">
        <v>0.55000000000000004</v>
      </c>
      <c r="C42" s="4">
        <v>9</v>
      </c>
      <c r="D42" s="4">
        <v>19</v>
      </c>
      <c r="E42" s="4">
        <v>0</v>
      </c>
      <c r="F42" s="83">
        <f t="shared" si="1"/>
        <v>0</v>
      </c>
      <c r="G42" s="84">
        <f>G41-((C41-C42)*(G41-G43)/(C41-C43))</f>
        <v>34.166666666666671</v>
      </c>
    </row>
    <row r="43" spans="1:7" x14ac:dyDescent="0.25">
      <c r="A43" s="4" t="s">
        <v>103</v>
      </c>
      <c r="B43" s="4">
        <v>0.55000000000000004</v>
      </c>
      <c r="C43" s="4">
        <v>10</v>
      </c>
      <c r="D43" s="4">
        <v>19</v>
      </c>
      <c r="E43" s="4">
        <v>0</v>
      </c>
      <c r="F43" s="83">
        <f t="shared" si="1"/>
        <v>0</v>
      </c>
      <c r="G43" s="84">
        <v>35</v>
      </c>
    </row>
    <row r="44" spans="1:7" x14ac:dyDescent="0.25">
      <c r="A44" s="4" t="s">
        <v>103</v>
      </c>
      <c r="B44" s="4">
        <v>0.55000000000000004</v>
      </c>
      <c r="C44" s="4">
        <v>11</v>
      </c>
      <c r="D44" s="4">
        <v>19</v>
      </c>
      <c r="E44" s="4">
        <v>0</v>
      </c>
      <c r="F44" s="83">
        <f t="shared" si="1"/>
        <v>0</v>
      </c>
      <c r="G44" s="84">
        <f>G43-((C43-C44)*(G43-G63)/(C43-C63))</f>
        <v>35.25</v>
      </c>
    </row>
    <row r="45" spans="1:7" x14ac:dyDescent="0.25">
      <c r="A45" s="4" t="s">
        <v>103</v>
      </c>
      <c r="B45" s="4">
        <v>0.55000000000000004</v>
      </c>
      <c r="C45" s="4">
        <v>12</v>
      </c>
      <c r="D45" s="4">
        <v>19</v>
      </c>
      <c r="E45" s="4">
        <v>0</v>
      </c>
      <c r="F45" s="83">
        <f t="shared" si="1"/>
        <v>0</v>
      </c>
      <c r="G45" s="84">
        <f t="shared" ref="G45:G62" si="2">G44-((C44-C45)*(G44-$G$63)/(C44-$C$63))</f>
        <v>35.5</v>
      </c>
    </row>
    <row r="46" spans="1:7" x14ac:dyDescent="0.25">
      <c r="A46" s="4" t="s">
        <v>103</v>
      </c>
      <c r="B46" s="4">
        <v>0.55000000000000004</v>
      </c>
      <c r="C46" s="4">
        <v>13</v>
      </c>
      <c r="D46" s="4">
        <v>19</v>
      </c>
      <c r="E46" s="4">
        <v>0</v>
      </c>
      <c r="F46" s="83">
        <f t="shared" si="1"/>
        <v>0</v>
      </c>
      <c r="G46" s="84">
        <f t="shared" si="2"/>
        <v>35.75</v>
      </c>
    </row>
    <row r="47" spans="1:7" x14ac:dyDescent="0.25">
      <c r="A47" s="4" t="s">
        <v>103</v>
      </c>
      <c r="B47" s="4">
        <v>0.55000000000000004</v>
      </c>
      <c r="C47" s="4">
        <v>14</v>
      </c>
      <c r="D47" s="4">
        <v>19</v>
      </c>
      <c r="E47" s="4">
        <v>0</v>
      </c>
      <c r="F47" s="83">
        <f t="shared" si="1"/>
        <v>0</v>
      </c>
      <c r="G47" s="84">
        <f t="shared" si="2"/>
        <v>36</v>
      </c>
    </row>
    <row r="48" spans="1:7" x14ac:dyDescent="0.25">
      <c r="A48" s="4" t="s">
        <v>103</v>
      </c>
      <c r="B48" s="4">
        <v>0.55000000000000004</v>
      </c>
      <c r="C48" s="4">
        <v>15</v>
      </c>
      <c r="D48" s="4">
        <v>19</v>
      </c>
      <c r="E48" s="4">
        <v>0</v>
      </c>
      <c r="F48" s="83">
        <f>((D48/10)*E48)^0.5*10</f>
        <v>0</v>
      </c>
      <c r="G48" s="84">
        <f>G47-((C47-C48)*(G47-$G$63)/(C47-$C$63))</f>
        <v>36.25</v>
      </c>
    </row>
    <row r="49" spans="1:7" x14ac:dyDescent="0.25">
      <c r="A49" s="4" t="s">
        <v>103</v>
      </c>
      <c r="B49" s="4">
        <v>0.55000000000000004</v>
      </c>
      <c r="C49" s="4">
        <v>16</v>
      </c>
      <c r="D49" s="4">
        <v>19</v>
      </c>
      <c r="E49" s="4">
        <v>0</v>
      </c>
      <c r="F49" s="83">
        <f t="shared" si="1"/>
        <v>0</v>
      </c>
      <c r="G49" s="84">
        <f>G48-((C48-C49)*(G48-$G$63)/(C48-$C$63))</f>
        <v>36.5</v>
      </c>
    </row>
    <row r="50" spans="1:7" x14ac:dyDescent="0.25">
      <c r="A50" s="4" t="s">
        <v>103</v>
      </c>
      <c r="B50" s="4">
        <v>0.55000000000000004</v>
      </c>
      <c r="C50" s="4">
        <v>17</v>
      </c>
      <c r="D50" s="4">
        <v>19</v>
      </c>
      <c r="E50" s="4">
        <v>0</v>
      </c>
      <c r="F50" s="83">
        <f t="shared" si="1"/>
        <v>0</v>
      </c>
      <c r="G50" s="84">
        <f t="shared" si="2"/>
        <v>36.75</v>
      </c>
    </row>
    <row r="51" spans="1:7" x14ac:dyDescent="0.25">
      <c r="A51" s="4" t="s">
        <v>103</v>
      </c>
      <c r="B51" s="4">
        <v>0.55000000000000004</v>
      </c>
      <c r="C51" s="4">
        <v>18</v>
      </c>
      <c r="D51" s="4">
        <v>19</v>
      </c>
      <c r="E51" s="4">
        <v>0</v>
      </c>
      <c r="F51" s="83">
        <f t="shared" si="1"/>
        <v>0</v>
      </c>
      <c r="G51" s="84">
        <f t="shared" si="2"/>
        <v>37</v>
      </c>
    </row>
    <row r="52" spans="1:7" x14ac:dyDescent="0.25">
      <c r="A52" s="4" t="s">
        <v>104</v>
      </c>
      <c r="B52" s="4">
        <v>0.5</v>
      </c>
      <c r="C52" s="4">
        <v>19</v>
      </c>
      <c r="D52" s="4">
        <v>20</v>
      </c>
      <c r="E52" s="4">
        <v>0</v>
      </c>
      <c r="F52" s="83">
        <f t="shared" si="1"/>
        <v>0</v>
      </c>
      <c r="G52" s="84">
        <f>G51-((C51-C52)*(G51-$G$63)/(C51-$C$63))</f>
        <v>37.25</v>
      </c>
    </row>
    <row r="53" spans="1:7" x14ac:dyDescent="0.25">
      <c r="A53" s="4" t="s">
        <v>104</v>
      </c>
      <c r="B53" s="4">
        <v>0.5</v>
      </c>
      <c r="C53" s="4">
        <v>20</v>
      </c>
      <c r="D53" s="4">
        <v>20</v>
      </c>
      <c r="E53" s="4">
        <v>0</v>
      </c>
      <c r="F53" s="83">
        <f t="shared" si="1"/>
        <v>0</v>
      </c>
      <c r="G53" s="84">
        <f>G52-((C52-C53)*(G52-$G$63)/(C52-$C$63))</f>
        <v>37.5</v>
      </c>
    </row>
    <row r="54" spans="1:7" x14ac:dyDescent="0.25">
      <c r="A54" s="4" t="s">
        <v>104</v>
      </c>
      <c r="B54" s="4">
        <v>0.5</v>
      </c>
      <c r="C54" s="4">
        <v>21</v>
      </c>
      <c r="D54" s="4">
        <v>20</v>
      </c>
      <c r="E54" s="4">
        <v>0</v>
      </c>
      <c r="F54" s="83">
        <f t="shared" si="1"/>
        <v>0</v>
      </c>
      <c r="G54" s="84">
        <f t="shared" si="2"/>
        <v>37.75</v>
      </c>
    </row>
    <row r="55" spans="1:7" x14ac:dyDescent="0.25">
      <c r="A55" s="4" t="s">
        <v>104</v>
      </c>
      <c r="B55" s="4">
        <v>0.5</v>
      </c>
      <c r="C55" s="4">
        <v>22</v>
      </c>
      <c r="D55" s="4">
        <v>20</v>
      </c>
      <c r="E55" s="4">
        <v>0</v>
      </c>
      <c r="F55" s="83">
        <f t="shared" si="1"/>
        <v>0</v>
      </c>
      <c r="G55" s="84">
        <f t="shared" si="2"/>
        <v>38</v>
      </c>
    </row>
    <row r="56" spans="1:7" x14ac:dyDescent="0.25">
      <c r="A56" s="4" t="s">
        <v>104</v>
      </c>
      <c r="B56" s="4">
        <v>0.5</v>
      </c>
      <c r="C56" s="4">
        <v>23</v>
      </c>
      <c r="D56" s="4">
        <v>20</v>
      </c>
      <c r="E56" s="4">
        <v>0</v>
      </c>
      <c r="F56" s="83">
        <f t="shared" si="1"/>
        <v>0</v>
      </c>
      <c r="G56" s="84">
        <f t="shared" si="2"/>
        <v>38.25</v>
      </c>
    </row>
    <row r="57" spans="1:7" x14ac:dyDescent="0.25">
      <c r="A57" s="4" t="s">
        <v>104</v>
      </c>
      <c r="B57" s="4">
        <v>0.5</v>
      </c>
      <c r="C57" s="4">
        <v>24</v>
      </c>
      <c r="D57" s="4">
        <v>20</v>
      </c>
      <c r="E57" s="4">
        <v>0</v>
      </c>
      <c r="F57" s="83">
        <f t="shared" si="1"/>
        <v>0</v>
      </c>
      <c r="G57" s="84">
        <f t="shared" si="2"/>
        <v>38.5</v>
      </c>
    </row>
    <row r="58" spans="1:7" x14ac:dyDescent="0.25">
      <c r="A58" s="4" t="s">
        <v>104</v>
      </c>
      <c r="B58" s="4">
        <v>0.5</v>
      </c>
      <c r="C58" s="4">
        <v>25</v>
      </c>
      <c r="D58" s="4">
        <v>20</v>
      </c>
      <c r="E58" s="4">
        <v>0</v>
      </c>
      <c r="F58" s="83">
        <f t="shared" si="1"/>
        <v>0</v>
      </c>
      <c r="G58" s="84">
        <f t="shared" si="2"/>
        <v>38.75</v>
      </c>
    </row>
    <row r="59" spans="1:7" x14ac:dyDescent="0.25">
      <c r="A59" s="4" t="s">
        <v>104</v>
      </c>
      <c r="B59" s="4">
        <v>0.5</v>
      </c>
      <c r="C59" s="4">
        <v>26</v>
      </c>
      <c r="D59" s="4">
        <v>20</v>
      </c>
      <c r="E59" s="4">
        <v>0</v>
      </c>
      <c r="F59" s="83">
        <f t="shared" si="1"/>
        <v>0</v>
      </c>
      <c r="G59" s="84">
        <f t="shared" si="2"/>
        <v>39</v>
      </c>
    </row>
    <row r="60" spans="1:7" x14ac:dyDescent="0.25">
      <c r="A60" s="4" t="s">
        <v>104</v>
      </c>
      <c r="B60" s="4">
        <v>0.5</v>
      </c>
      <c r="C60" s="4">
        <v>27</v>
      </c>
      <c r="D60" s="4">
        <v>20</v>
      </c>
      <c r="E60" s="4">
        <v>0</v>
      </c>
      <c r="F60" s="83">
        <f t="shared" si="1"/>
        <v>0</v>
      </c>
      <c r="G60" s="84">
        <f t="shared" si="2"/>
        <v>39.25</v>
      </c>
    </row>
    <row r="61" spans="1:7" x14ac:dyDescent="0.25">
      <c r="A61" s="4" t="s">
        <v>104</v>
      </c>
      <c r="B61" s="4">
        <v>0.5</v>
      </c>
      <c r="C61" s="4">
        <v>28</v>
      </c>
      <c r="D61" s="4">
        <v>20</v>
      </c>
      <c r="E61" s="4">
        <v>0</v>
      </c>
      <c r="F61" s="83">
        <f t="shared" si="1"/>
        <v>0</v>
      </c>
      <c r="G61" s="84">
        <f t="shared" si="2"/>
        <v>39.5</v>
      </c>
    </row>
    <row r="62" spans="1:7" x14ac:dyDescent="0.25">
      <c r="A62" s="4" t="s">
        <v>104</v>
      </c>
      <c r="B62" s="4">
        <v>0.5</v>
      </c>
      <c r="C62" s="4">
        <v>29</v>
      </c>
      <c r="D62" s="4">
        <v>20</v>
      </c>
      <c r="E62" s="4">
        <v>0</v>
      </c>
      <c r="F62" s="83">
        <f t="shared" si="1"/>
        <v>0</v>
      </c>
      <c r="G62" s="84">
        <f t="shared" si="2"/>
        <v>39.75</v>
      </c>
    </row>
    <row r="63" spans="1:7" x14ac:dyDescent="0.25">
      <c r="A63" s="4" t="s">
        <v>104</v>
      </c>
      <c r="B63" s="4">
        <v>0.5</v>
      </c>
      <c r="C63" s="4">
        <v>30</v>
      </c>
      <c r="D63" s="4">
        <v>20</v>
      </c>
      <c r="E63" s="4">
        <v>0</v>
      </c>
      <c r="F63" s="83">
        <f t="shared" si="1"/>
        <v>0</v>
      </c>
      <c r="G63" s="84">
        <v>40</v>
      </c>
    </row>
    <row r="64" spans="1:7" x14ac:dyDescent="0.25">
      <c r="A64" s="4" t="s">
        <v>104</v>
      </c>
      <c r="B64" s="4">
        <v>0.5</v>
      </c>
      <c r="C64" s="4">
        <v>31</v>
      </c>
      <c r="D64" s="4">
        <v>20</v>
      </c>
      <c r="E64" s="4">
        <v>0</v>
      </c>
      <c r="F64" s="83">
        <f t="shared" si="1"/>
        <v>0</v>
      </c>
      <c r="G64" s="84">
        <f>G63-((C63-C64)*(G63-$G$83)/(C63-$C$83))</f>
        <v>40.25</v>
      </c>
    </row>
    <row r="65" spans="1:7" x14ac:dyDescent="0.25">
      <c r="A65" s="4" t="s">
        <v>104</v>
      </c>
      <c r="B65" s="4">
        <v>0.5</v>
      </c>
      <c r="C65" s="4">
        <v>32</v>
      </c>
      <c r="D65" s="4">
        <v>20</v>
      </c>
      <c r="E65" s="4">
        <v>0</v>
      </c>
      <c r="F65" s="83">
        <f t="shared" si="1"/>
        <v>0</v>
      </c>
      <c r="G65" s="84">
        <f t="shared" ref="G65:G82" si="3">G64-((C64-C65)*(G64-$G$83)/(C64-$C$83))</f>
        <v>40.5</v>
      </c>
    </row>
    <row r="66" spans="1:7" x14ac:dyDescent="0.25">
      <c r="A66" s="4" t="s">
        <v>104</v>
      </c>
      <c r="B66" s="4">
        <v>0.5</v>
      </c>
      <c r="C66" s="4">
        <v>33</v>
      </c>
      <c r="D66" s="4">
        <v>20</v>
      </c>
      <c r="E66" s="4">
        <v>0</v>
      </c>
      <c r="F66" s="83">
        <f t="shared" si="1"/>
        <v>0</v>
      </c>
      <c r="G66" s="84">
        <f>G65-((C65-C66)*(G65-$G$83)/(C65-$C$83))</f>
        <v>40.75</v>
      </c>
    </row>
    <row r="67" spans="1:7" x14ac:dyDescent="0.25">
      <c r="A67" s="4" t="s">
        <v>104</v>
      </c>
      <c r="B67" s="4">
        <v>0.5</v>
      </c>
      <c r="C67" s="4">
        <v>34</v>
      </c>
      <c r="D67" s="4">
        <v>20</v>
      </c>
      <c r="E67" s="4">
        <v>0</v>
      </c>
      <c r="F67" s="83">
        <f t="shared" ref="F67:F84" si="4">((D67/10)*E67)^0.5*10</f>
        <v>0</v>
      </c>
      <c r="G67" s="84">
        <f t="shared" si="3"/>
        <v>41</v>
      </c>
    </row>
    <row r="68" spans="1:7" x14ac:dyDescent="0.25">
      <c r="A68" s="4" t="s">
        <v>104</v>
      </c>
      <c r="B68" s="4">
        <v>0.5</v>
      </c>
      <c r="C68" s="4">
        <v>35</v>
      </c>
      <c r="D68" s="4">
        <v>20</v>
      </c>
      <c r="E68" s="4">
        <v>0</v>
      </c>
      <c r="F68" s="83">
        <f t="shared" si="4"/>
        <v>0</v>
      </c>
      <c r="G68" s="84">
        <f t="shared" si="3"/>
        <v>41.25</v>
      </c>
    </row>
    <row r="69" spans="1:7" x14ac:dyDescent="0.25">
      <c r="A69" s="4" t="s">
        <v>104</v>
      </c>
      <c r="B69" s="4">
        <v>0.5</v>
      </c>
      <c r="C69" s="4">
        <v>36</v>
      </c>
      <c r="D69" s="4">
        <v>20</v>
      </c>
      <c r="E69" s="4">
        <v>0</v>
      </c>
      <c r="F69" s="83">
        <f t="shared" si="4"/>
        <v>0</v>
      </c>
      <c r="G69" s="84">
        <f t="shared" si="3"/>
        <v>41.5</v>
      </c>
    </row>
    <row r="70" spans="1:7" x14ac:dyDescent="0.25">
      <c r="A70" s="4" t="s">
        <v>104</v>
      </c>
      <c r="B70" s="4">
        <v>0.5</v>
      </c>
      <c r="C70" s="4">
        <v>37</v>
      </c>
      <c r="D70" s="4">
        <v>20</v>
      </c>
      <c r="E70" s="4">
        <v>0</v>
      </c>
      <c r="F70" s="83">
        <f t="shared" si="4"/>
        <v>0</v>
      </c>
      <c r="G70" s="84">
        <f t="shared" si="3"/>
        <v>41.75</v>
      </c>
    </row>
    <row r="71" spans="1:7" x14ac:dyDescent="0.25">
      <c r="A71" s="4" t="s">
        <v>104</v>
      </c>
      <c r="B71" s="4">
        <v>0.5</v>
      </c>
      <c r="C71" s="4">
        <v>38</v>
      </c>
      <c r="D71" s="4">
        <v>20</v>
      </c>
      <c r="E71" s="4">
        <v>0</v>
      </c>
      <c r="F71" s="83">
        <f t="shared" si="4"/>
        <v>0</v>
      </c>
      <c r="G71" s="84">
        <f t="shared" si="3"/>
        <v>42</v>
      </c>
    </row>
    <row r="72" spans="1:7" x14ac:dyDescent="0.25">
      <c r="A72" s="4" t="s">
        <v>104</v>
      </c>
      <c r="B72" s="4">
        <v>0.5</v>
      </c>
      <c r="C72" s="4">
        <v>39</v>
      </c>
      <c r="D72" s="4">
        <v>20</v>
      </c>
      <c r="E72" s="4">
        <v>0</v>
      </c>
      <c r="F72" s="83">
        <f t="shared" si="4"/>
        <v>0</v>
      </c>
      <c r="G72" s="84">
        <f t="shared" si="3"/>
        <v>42.25</v>
      </c>
    </row>
    <row r="73" spans="1:7" x14ac:dyDescent="0.25">
      <c r="A73" s="4" t="s">
        <v>105</v>
      </c>
      <c r="B73" s="4">
        <v>0.45</v>
      </c>
      <c r="C73" s="4">
        <v>40</v>
      </c>
      <c r="D73" s="4">
        <v>21</v>
      </c>
      <c r="E73" s="4">
        <v>0</v>
      </c>
      <c r="F73" s="83">
        <f t="shared" si="4"/>
        <v>0</v>
      </c>
      <c r="G73" s="84">
        <f>G72-((C72-C73)*(G72-$G$83)/(C72-$C$83))</f>
        <v>42.5</v>
      </c>
    </row>
    <row r="74" spans="1:7" x14ac:dyDescent="0.25">
      <c r="A74" s="4" t="s">
        <v>105</v>
      </c>
      <c r="B74" s="4">
        <v>0.45</v>
      </c>
      <c r="C74" s="4">
        <v>41</v>
      </c>
      <c r="D74" s="4">
        <v>21</v>
      </c>
      <c r="E74" s="4">
        <v>0</v>
      </c>
      <c r="F74" s="83">
        <f t="shared" si="4"/>
        <v>0</v>
      </c>
      <c r="G74" s="84">
        <f t="shared" si="3"/>
        <v>42.75</v>
      </c>
    </row>
    <row r="75" spans="1:7" x14ac:dyDescent="0.25">
      <c r="A75" s="4" t="s">
        <v>105</v>
      </c>
      <c r="B75" s="4">
        <v>0.45</v>
      </c>
      <c r="C75" s="4">
        <v>42</v>
      </c>
      <c r="D75" s="4">
        <v>21</v>
      </c>
      <c r="E75" s="4">
        <v>0</v>
      </c>
      <c r="F75" s="83">
        <f t="shared" si="4"/>
        <v>0</v>
      </c>
      <c r="G75" s="84">
        <f t="shared" si="3"/>
        <v>43</v>
      </c>
    </row>
    <row r="76" spans="1:7" x14ac:dyDescent="0.25">
      <c r="A76" s="4" t="s">
        <v>105</v>
      </c>
      <c r="B76" s="4">
        <v>0.45</v>
      </c>
      <c r="C76" s="4">
        <v>43</v>
      </c>
      <c r="D76" s="4">
        <v>21</v>
      </c>
      <c r="E76" s="4">
        <v>0</v>
      </c>
      <c r="F76" s="83">
        <f t="shared" si="4"/>
        <v>0</v>
      </c>
      <c r="G76" s="84">
        <f t="shared" si="3"/>
        <v>43.25</v>
      </c>
    </row>
    <row r="77" spans="1:7" x14ac:dyDescent="0.25">
      <c r="A77" s="4" t="s">
        <v>105</v>
      </c>
      <c r="B77" s="4">
        <v>0.45</v>
      </c>
      <c r="C77" s="4">
        <v>44</v>
      </c>
      <c r="D77" s="4">
        <v>21</v>
      </c>
      <c r="E77" s="4">
        <v>0</v>
      </c>
      <c r="F77" s="83">
        <f t="shared" si="4"/>
        <v>0</v>
      </c>
      <c r="G77" s="84">
        <f t="shared" si="3"/>
        <v>43.5</v>
      </c>
    </row>
    <row r="78" spans="1:7" x14ac:dyDescent="0.25">
      <c r="A78" s="4" t="s">
        <v>105</v>
      </c>
      <c r="B78" s="4">
        <v>0.45</v>
      </c>
      <c r="C78" s="4">
        <v>45</v>
      </c>
      <c r="D78" s="4">
        <v>21</v>
      </c>
      <c r="E78" s="4">
        <v>0</v>
      </c>
      <c r="F78" s="83">
        <f t="shared" si="4"/>
        <v>0</v>
      </c>
      <c r="G78" s="84">
        <f t="shared" si="3"/>
        <v>43.75</v>
      </c>
    </row>
    <row r="79" spans="1:7" x14ac:dyDescent="0.25">
      <c r="A79" s="4" t="s">
        <v>105</v>
      </c>
      <c r="B79" s="4">
        <v>0.45</v>
      </c>
      <c r="C79" s="4">
        <v>46</v>
      </c>
      <c r="D79" s="4">
        <v>21</v>
      </c>
      <c r="E79" s="4">
        <v>0</v>
      </c>
      <c r="F79" s="83">
        <f t="shared" si="4"/>
        <v>0</v>
      </c>
      <c r="G79" s="84">
        <f t="shared" si="3"/>
        <v>44</v>
      </c>
    </row>
    <row r="80" spans="1:7" x14ac:dyDescent="0.25">
      <c r="A80" s="4" t="s">
        <v>105</v>
      </c>
      <c r="B80" s="4">
        <v>0.45</v>
      </c>
      <c r="C80" s="4">
        <v>47</v>
      </c>
      <c r="D80" s="4">
        <v>21</v>
      </c>
      <c r="E80" s="4">
        <v>0</v>
      </c>
      <c r="F80" s="83">
        <f t="shared" si="4"/>
        <v>0</v>
      </c>
      <c r="G80" s="84">
        <f t="shared" si="3"/>
        <v>44.25</v>
      </c>
    </row>
    <row r="81" spans="1:7" x14ac:dyDescent="0.25">
      <c r="A81" s="4" t="s">
        <v>105</v>
      </c>
      <c r="B81" s="4">
        <v>0.45</v>
      </c>
      <c r="C81" s="4">
        <v>48</v>
      </c>
      <c r="D81" s="4">
        <v>21</v>
      </c>
      <c r="E81" s="4">
        <v>0</v>
      </c>
      <c r="F81" s="83">
        <f t="shared" si="4"/>
        <v>0</v>
      </c>
      <c r="G81" s="84">
        <f t="shared" si="3"/>
        <v>44.5</v>
      </c>
    </row>
    <row r="82" spans="1:7" x14ac:dyDescent="0.25">
      <c r="A82" s="4" t="s">
        <v>105</v>
      </c>
      <c r="B82" s="4">
        <v>0.45</v>
      </c>
      <c r="C82" s="4">
        <v>49</v>
      </c>
      <c r="D82" s="4">
        <v>21</v>
      </c>
      <c r="E82" s="4">
        <v>0</v>
      </c>
      <c r="F82" s="83">
        <f t="shared" si="4"/>
        <v>0</v>
      </c>
      <c r="G82" s="84">
        <f t="shared" si="3"/>
        <v>44.75</v>
      </c>
    </row>
    <row r="83" spans="1:7" x14ac:dyDescent="0.25">
      <c r="A83" s="4" t="s">
        <v>105</v>
      </c>
      <c r="B83" s="4">
        <v>0.45</v>
      </c>
      <c r="C83" s="4">
        <v>50</v>
      </c>
      <c r="D83" s="4">
        <v>21</v>
      </c>
      <c r="E83" s="4">
        <v>0</v>
      </c>
      <c r="F83" s="83">
        <f t="shared" si="4"/>
        <v>0</v>
      </c>
      <c r="G83" s="84">
        <v>45</v>
      </c>
    </row>
    <row r="84" spans="1:7" x14ac:dyDescent="0.25">
      <c r="A84" s="4" t="s">
        <v>105</v>
      </c>
      <c r="B84" s="4">
        <v>0.45</v>
      </c>
      <c r="C84" s="4">
        <v>51</v>
      </c>
      <c r="D84" s="4">
        <v>21</v>
      </c>
      <c r="E84" s="4">
        <v>0</v>
      </c>
      <c r="F84" s="83">
        <f t="shared" si="4"/>
        <v>0</v>
      </c>
      <c r="G84" s="84">
        <v>45</v>
      </c>
    </row>
    <row r="86" spans="1:7" x14ac:dyDescent="0.25">
      <c r="A86" s="7" t="s">
        <v>111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T33"/>
  <sheetViews>
    <sheetView workbookViewId="0">
      <selection activeCell="F29" sqref="F29"/>
    </sheetView>
  </sheetViews>
  <sheetFormatPr defaultRowHeight="15" x14ac:dyDescent="0.25"/>
  <cols>
    <col min="2" max="2" width="12.85546875" customWidth="1"/>
    <col min="3" max="3" width="13" customWidth="1"/>
    <col min="6" max="6" width="18.28515625" customWidth="1"/>
    <col min="14" max="14" width="15.42578125" bestFit="1" customWidth="1"/>
    <col min="15" max="15" width="21.42578125" bestFit="1" customWidth="1"/>
    <col min="16" max="16" width="19.85546875" customWidth="1"/>
    <col min="17" max="17" width="8.7109375" bestFit="1" customWidth="1"/>
    <col min="19" max="19" width="8.28515625" bestFit="1" customWidth="1"/>
    <col min="20" max="20" width="15.28515625" customWidth="1"/>
  </cols>
  <sheetData>
    <row r="2" spans="2:20" ht="15.75" thickBot="1" x14ac:dyDescent="0.3"/>
    <row r="3" spans="2:20" ht="21" x14ac:dyDescent="0.35">
      <c r="B3" s="204" t="s">
        <v>42</v>
      </c>
      <c r="C3" s="205"/>
      <c r="D3" s="205"/>
      <c r="E3" s="205"/>
      <c r="F3" s="206"/>
    </row>
    <row r="4" spans="2:20" ht="16.5" thickBot="1" x14ac:dyDescent="0.3">
      <c r="B4" s="14"/>
      <c r="C4" s="15"/>
      <c r="D4" s="15"/>
      <c r="E4" s="15"/>
      <c r="F4" s="16"/>
    </row>
    <row r="5" spans="2:20" ht="16.5" thickBot="1" x14ac:dyDescent="0.3">
      <c r="B5" s="17" t="s">
        <v>43</v>
      </c>
      <c r="C5" s="18"/>
      <c r="D5" s="18"/>
      <c r="E5" s="18"/>
      <c r="F5" s="19"/>
      <c r="O5" s="200" t="s">
        <v>44</v>
      </c>
      <c r="P5" s="201"/>
      <c r="Q5" s="20"/>
      <c r="S5" s="200" t="s">
        <v>45</v>
      </c>
      <c r="T5" s="201"/>
    </row>
    <row r="6" spans="2:20" ht="16.5" thickBot="1" x14ac:dyDescent="0.3">
      <c r="B6" s="17" t="s">
        <v>46</v>
      </c>
      <c r="C6" s="18"/>
      <c r="D6" s="18"/>
      <c r="E6" s="18"/>
      <c r="F6" s="19"/>
      <c r="O6" s="200" t="s">
        <v>47</v>
      </c>
      <c r="P6" s="201"/>
      <c r="Q6" s="21" t="s">
        <v>48</v>
      </c>
      <c r="S6" s="21" t="s">
        <v>49</v>
      </c>
      <c r="T6" s="22" t="s">
        <v>48</v>
      </c>
    </row>
    <row r="7" spans="2:20" ht="15.75" thickBot="1" x14ac:dyDescent="0.3">
      <c r="B7" s="17" t="s">
        <v>50</v>
      </c>
      <c r="C7" s="23"/>
      <c r="D7" s="23"/>
      <c r="E7" s="23"/>
      <c r="F7" s="24"/>
      <c r="O7" s="25" t="s">
        <v>51</v>
      </c>
      <c r="P7" s="26">
        <f>((D18*50)/1400)/0.018</f>
        <v>3.2467762962962965</v>
      </c>
      <c r="Q7" s="27">
        <f>((D18*50)/1400)/0.01</f>
        <v>5.8441973333333337</v>
      </c>
      <c r="S7" s="28">
        <f>P7/$O$16</f>
        <v>4.1883079157589007</v>
      </c>
      <c r="T7" s="29">
        <f>Q7/$O$16</f>
        <v>7.5389542483660215</v>
      </c>
    </row>
    <row r="8" spans="2:20" x14ac:dyDescent="0.25">
      <c r="B8" s="30" t="s">
        <v>52</v>
      </c>
      <c r="C8" s="31"/>
      <c r="D8" s="32">
        <v>1</v>
      </c>
      <c r="E8" s="33"/>
      <c r="F8" s="34"/>
      <c r="O8" s="35" t="s">
        <v>53</v>
      </c>
      <c r="P8" s="36">
        <f>((D20*20)/670)/0.018</f>
        <v>0.43613412935323392</v>
      </c>
      <c r="Q8" s="37">
        <f>((D19*20)/670)/0.01</f>
        <v>2.9220986666666668</v>
      </c>
      <c r="S8" s="28">
        <f t="shared" ref="S8:T9" si="0">P8/$O$16</f>
        <v>0.56260852599746436</v>
      </c>
      <c r="T8" s="29">
        <f t="shared" si="0"/>
        <v>3.7694771241830107</v>
      </c>
    </row>
    <row r="9" spans="2:20" ht="15.75" thickBot="1" x14ac:dyDescent="0.3">
      <c r="B9" s="38" t="s">
        <v>54</v>
      </c>
      <c r="C9" s="39"/>
      <c r="D9" s="40">
        <v>0.5</v>
      </c>
      <c r="E9" s="41"/>
      <c r="F9" s="42"/>
      <c r="O9" s="43" t="s">
        <v>55</v>
      </c>
      <c r="P9" s="44">
        <f>D20/0.018</f>
        <v>14.610493333333336</v>
      </c>
      <c r="Q9" s="45">
        <f>D20/0.01</f>
        <v>26.298888000000002</v>
      </c>
      <c r="S9" s="46">
        <f t="shared" si="0"/>
        <v>18.847385620915055</v>
      </c>
      <c r="T9" s="47">
        <f t="shared" si="0"/>
        <v>33.925294117647098</v>
      </c>
    </row>
    <row r="10" spans="2:20" ht="15.75" thickBot="1" x14ac:dyDescent="0.3">
      <c r="B10" s="38" t="s">
        <v>56</v>
      </c>
      <c r="C10" s="39"/>
      <c r="D10" s="40">
        <v>4.5</v>
      </c>
      <c r="E10" s="41"/>
      <c r="F10" s="42"/>
    </row>
    <row r="11" spans="2:20" ht="15.75" thickBot="1" x14ac:dyDescent="0.3">
      <c r="B11" s="38" t="s">
        <v>57</v>
      </c>
      <c r="C11" s="39"/>
      <c r="D11" s="40">
        <v>1</v>
      </c>
      <c r="E11" s="41" t="s">
        <v>17</v>
      </c>
      <c r="F11" s="42"/>
      <c r="O11" s="48" t="s">
        <v>58</v>
      </c>
      <c r="P11" s="49">
        <f>$O$12*P7</f>
        <v>1.4610493333333334</v>
      </c>
      <c r="Q11" s="49">
        <f>$O$12*Q7</f>
        <v>2.6298888000000002</v>
      </c>
      <c r="S11" s="202" t="s">
        <v>59</v>
      </c>
      <c r="T11" s="203"/>
    </row>
    <row r="12" spans="2:20" x14ac:dyDescent="0.25">
      <c r="B12" s="38" t="s">
        <v>60</v>
      </c>
      <c r="C12" s="39"/>
      <c r="D12" s="40">
        <v>19</v>
      </c>
      <c r="E12" s="41" t="s">
        <v>17</v>
      </c>
      <c r="F12" s="42"/>
      <c r="N12" t="s">
        <v>61</v>
      </c>
      <c r="O12" s="10">
        <v>0.45</v>
      </c>
      <c r="P12" s="50"/>
      <c r="Q12" s="50"/>
      <c r="S12" s="51" t="s">
        <v>62</v>
      </c>
      <c r="T12" s="52" t="s">
        <v>63</v>
      </c>
    </row>
    <row r="13" spans="2:20" ht="15.75" thickBot="1" x14ac:dyDescent="0.3">
      <c r="B13" s="38" t="s">
        <v>64</v>
      </c>
      <c r="C13" s="39"/>
      <c r="D13" s="40">
        <v>19</v>
      </c>
      <c r="E13" s="41" t="s">
        <v>17</v>
      </c>
      <c r="F13" s="42"/>
      <c r="S13" s="53">
        <f>(1-(D21/D16)*((D14/100)*(D13/100)))*(D12/100)</f>
        <v>2.0424570912375768E-2</v>
      </c>
      <c r="T13" s="54">
        <f>S13*D16</f>
        <v>0.27131999999999973</v>
      </c>
    </row>
    <row r="14" spans="2:20" ht="15.75" thickBot="1" x14ac:dyDescent="0.3">
      <c r="B14" s="38" t="s">
        <v>65</v>
      </c>
      <c r="C14" s="39"/>
      <c r="D14" s="40">
        <v>39</v>
      </c>
      <c r="E14" s="41" t="s">
        <v>17</v>
      </c>
      <c r="F14" s="42"/>
      <c r="N14" t="s">
        <v>66</v>
      </c>
      <c r="O14" s="55" t="s">
        <v>67</v>
      </c>
    </row>
    <row r="15" spans="2:20" ht="15.75" thickBot="1" x14ac:dyDescent="0.3">
      <c r="B15" s="38" t="s">
        <v>82</v>
      </c>
      <c r="C15" s="39"/>
      <c r="D15" s="40">
        <v>16</v>
      </c>
      <c r="E15" s="41" t="s">
        <v>83</v>
      </c>
      <c r="F15" s="42"/>
      <c r="O15" s="59"/>
    </row>
    <row r="16" spans="2:20" ht="15.75" thickBot="1" x14ac:dyDescent="0.3">
      <c r="B16" s="38" t="s">
        <v>68</v>
      </c>
      <c r="C16" s="39"/>
      <c r="D16" s="56">
        <f>'MURO DE ARRIMO'!B85</f>
        <v>13.284000000000001</v>
      </c>
      <c r="E16" s="57" t="s">
        <v>69</v>
      </c>
      <c r="F16" s="58"/>
      <c r="O16" s="59">
        <f>(T13/0.35)</f>
        <v>0.77519999999999922</v>
      </c>
    </row>
    <row r="17" spans="2:6" ht="18.75" x14ac:dyDescent="0.3">
      <c r="B17" s="60" t="s">
        <v>70</v>
      </c>
      <c r="C17" s="61"/>
      <c r="D17" s="61"/>
      <c r="E17" s="61"/>
      <c r="F17" s="62"/>
    </row>
    <row r="18" spans="2:6" x14ac:dyDescent="0.25">
      <c r="B18" s="63" t="s">
        <v>71</v>
      </c>
      <c r="C18" s="64"/>
      <c r="D18" s="65">
        <f>(D20/D10 )*1400/50</f>
        <v>1.6363752533333333</v>
      </c>
      <c r="E18" s="66" t="s">
        <v>72</v>
      </c>
      <c r="F18" s="67"/>
    </row>
    <row r="19" spans="2:6" x14ac:dyDescent="0.25">
      <c r="B19" s="63" t="s">
        <v>73</v>
      </c>
      <c r="C19" s="64"/>
      <c r="D19" s="65">
        <f xml:space="preserve"> ( (D20/D10 )* (D9*670 ) )/20</f>
        <v>0.97890305333333349</v>
      </c>
      <c r="E19" s="61" t="s">
        <v>74</v>
      </c>
      <c r="F19" s="62"/>
    </row>
    <row r="20" spans="2:6" x14ac:dyDescent="0.25">
      <c r="B20" s="63" t="s">
        <v>75</v>
      </c>
      <c r="C20" s="64"/>
      <c r="D20" s="65">
        <f>D11*D12* ( (2*D13 )+D14 )*(1.07/((D13+1.5 )* (D14+1.5 )/10000 ))*D16/1000000*1.05</f>
        <v>0.26298888000000004</v>
      </c>
      <c r="E20" s="61" t="s">
        <v>76</v>
      </c>
      <c r="F20" s="62"/>
    </row>
    <row r="21" spans="2:6" ht="15.75" thickBot="1" x14ac:dyDescent="0.3">
      <c r="B21" s="68" t="s">
        <v>77</v>
      </c>
      <c r="C21" s="69"/>
      <c r="D21" s="70">
        <f>1/( (D13+1.5 )* (D14+1.5 )/10000 )*D16</f>
        <v>160.00000000000003</v>
      </c>
      <c r="E21" s="71" t="s">
        <v>78</v>
      </c>
      <c r="F21" s="72"/>
    </row>
    <row r="23" spans="2:6" x14ac:dyDescent="0.25">
      <c r="B23" s="73" t="s">
        <v>85</v>
      </c>
    </row>
    <row r="24" spans="2:6" x14ac:dyDescent="0.25">
      <c r="B24" s="73" t="s">
        <v>86</v>
      </c>
      <c r="D24">
        <f>ROUNDUP(('MURO DE ARRIMO'!B6-'MURO DE ARRIMO'!B55/100)/(D14/100),0)</f>
        <v>11</v>
      </c>
      <c r="E24" s="61" t="s">
        <v>89</v>
      </c>
    </row>
    <row r="25" spans="2:6" x14ac:dyDescent="0.25">
      <c r="B25" s="73" t="s">
        <v>87</v>
      </c>
      <c r="D25">
        <v>2.365E-4</v>
      </c>
      <c r="E25" t="s">
        <v>88</v>
      </c>
    </row>
    <row r="26" spans="2:6" x14ac:dyDescent="0.25">
      <c r="B26" s="73" t="s">
        <v>90</v>
      </c>
      <c r="D26">
        <f>D24*D25*'MURO DE ARRIMO'!B5</f>
        <v>1.0015775000000001E-2</v>
      </c>
      <c r="E26" t="s">
        <v>92</v>
      </c>
    </row>
    <row r="27" spans="2:6" x14ac:dyDescent="0.25">
      <c r="B27" s="76" t="s">
        <v>91</v>
      </c>
      <c r="D27" s="74">
        <v>24</v>
      </c>
      <c r="E27" t="s">
        <v>9</v>
      </c>
    </row>
    <row r="28" spans="2:6" x14ac:dyDescent="0.25">
      <c r="D28" s="74"/>
    </row>
    <row r="29" spans="2:6" x14ac:dyDescent="0.25">
      <c r="D29" s="74"/>
    </row>
    <row r="30" spans="2:6" x14ac:dyDescent="0.25">
      <c r="D30" s="74"/>
    </row>
    <row r="31" spans="2:6" ht="18.75" x14ac:dyDescent="0.3">
      <c r="B31" s="75"/>
    </row>
    <row r="32" spans="2:6" x14ac:dyDescent="0.25">
      <c r="D32" s="50"/>
    </row>
    <row r="33" spans="4:4" x14ac:dyDescent="0.25">
      <c r="D33" s="50"/>
    </row>
  </sheetData>
  <mergeCells count="5">
    <mergeCell ref="S5:T5"/>
    <mergeCell ref="O6:P6"/>
    <mergeCell ref="S11:T11"/>
    <mergeCell ref="B3:F3"/>
    <mergeCell ref="O5:P5"/>
  </mergeCells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"/>
  <sheetViews>
    <sheetView topLeftCell="A43" workbookViewId="0">
      <selection activeCell="U23" sqref="U23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63"/>
  <sheetViews>
    <sheetView topLeftCell="A15" workbookViewId="0">
      <selection activeCell="I44" sqref="I44"/>
    </sheetView>
  </sheetViews>
  <sheetFormatPr defaultColWidth="9.140625" defaultRowHeight="15" x14ac:dyDescent="0.25"/>
  <cols>
    <col min="1" max="1" width="36.140625" style="99" bestFit="1" customWidth="1"/>
    <col min="2" max="2" width="12" style="99" bestFit="1" customWidth="1"/>
    <col min="3" max="3" width="8.140625" style="99" bestFit="1" customWidth="1"/>
    <col min="4" max="4" width="4.5703125" style="99" bestFit="1" customWidth="1"/>
    <col min="5" max="5" width="4" style="99" bestFit="1" customWidth="1"/>
    <col min="6" max="6" width="4.85546875" style="99" bestFit="1" customWidth="1"/>
    <col min="7" max="7" width="24.140625" style="99" bestFit="1" customWidth="1"/>
    <col min="8" max="8" width="9.5703125" style="99" bestFit="1" customWidth="1"/>
    <col min="9" max="9" width="9.140625" style="99"/>
    <col min="10" max="10" width="25.28515625" style="99" bestFit="1" customWidth="1"/>
    <col min="11" max="11" width="9.140625" style="100"/>
    <col min="12" max="12" width="9.140625" style="99"/>
    <col min="13" max="13" width="29.140625" style="101" bestFit="1" customWidth="1"/>
    <col min="14" max="16384" width="9.140625" style="99"/>
  </cols>
  <sheetData>
    <row r="1" spans="1:6" x14ac:dyDescent="0.25">
      <c r="A1" s="207" t="s">
        <v>170</v>
      </c>
      <c r="B1" s="208"/>
      <c r="C1" s="208"/>
      <c r="D1" s="208"/>
      <c r="E1" s="208"/>
      <c r="F1" s="209"/>
    </row>
    <row r="2" spans="1:6" x14ac:dyDescent="0.25">
      <c r="A2" s="210"/>
      <c r="B2" s="211"/>
      <c r="C2" s="211"/>
      <c r="D2" s="211"/>
      <c r="E2" s="211"/>
      <c r="F2" s="212"/>
    </row>
    <row r="3" spans="1:6" x14ac:dyDescent="0.25">
      <c r="A3" s="99" t="s">
        <v>202</v>
      </c>
      <c r="B3" s="99">
        <f>'MURO DE ARRIMO'!B5</f>
        <v>3.85</v>
      </c>
      <c r="C3" s="99" t="s">
        <v>6</v>
      </c>
    </row>
    <row r="4" spans="1:6" x14ac:dyDescent="0.25">
      <c r="A4" s="89" t="s">
        <v>201</v>
      </c>
      <c r="B4" s="99">
        <f>'MURO DE ARRIMO'!B12</f>
        <v>1.75</v>
      </c>
      <c r="C4" s="99" t="s">
        <v>6</v>
      </c>
      <c r="D4" s="99" t="s">
        <v>124</v>
      </c>
      <c r="E4" s="99">
        <f>'MURO DE ARRIMO'!B18</f>
        <v>8</v>
      </c>
      <c r="F4" s="115" t="s">
        <v>125</v>
      </c>
    </row>
    <row r="5" spans="1:6" x14ac:dyDescent="0.25">
      <c r="A5" s="89" t="s">
        <v>128</v>
      </c>
      <c r="B5" s="99">
        <f>'MURO DE ARRIMO'!B13</f>
        <v>14</v>
      </c>
      <c r="C5" s="99" t="s">
        <v>17</v>
      </c>
      <c r="D5" s="99" t="s">
        <v>129</v>
      </c>
      <c r="E5" s="99">
        <v>500</v>
      </c>
      <c r="F5" s="115" t="s">
        <v>125</v>
      </c>
    </row>
    <row r="6" spans="1:6" x14ac:dyDescent="0.25">
      <c r="A6" s="89" t="s">
        <v>132</v>
      </c>
      <c r="B6" s="99">
        <f>'MURO DE ARRIMO'!B16</f>
        <v>2</v>
      </c>
      <c r="C6" s="99" t="s">
        <v>17</v>
      </c>
      <c r="F6" s="115"/>
    </row>
    <row r="7" spans="1:6" x14ac:dyDescent="0.25">
      <c r="A7" s="89" t="s">
        <v>135</v>
      </c>
      <c r="B7" s="99">
        <f>'MURO DE ARRIMO'!B17</f>
        <v>39</v>
      </c>
      <c r="C7" s="99" t="s">
        <v>17</v>
      </c>
      <c r="F7" s="115"/>
    </row>
    <row r="8" spans="1:6" x14ac:dyDescent="0.25">
      <c r="A8" s="89" t="s">
        <v>150</v>
      </c>
      <c r="B8" s="99">
        <f>'MURO DE ARRIMO'!B19</f>
        <v>8</v>
      </c>
      <c r="C8" s="99" t="s">
        <v>23</v>
      </c>
      <c r="F8" s="115"/>
    </row>
    <row r="9" spans="1:6" ht="15.75" thickBot="1" x14ac:dyDescent="0.3">
      <c r="A9" s="116" t="s">
        <v>151</v>
      </c>
      <c r="B9" s="117">
        <f>ROUNDDOWN(((B43/B42)*100)/((B7+1)/2),0)</f>
        <v>0</v>
      </c>
      <c r="C9" s="118" t="s">
        <v>152</v>
      </c>
      <c r="D9" s="118"/>
      <c r="E9" s="118"/>
      <c r="F9" s="119"/>
    </row>
    <row r="10" spans="1:6" ht="15.75" thickBot="1" x14ac:dyDescent="0.3"/>
    <row r="11" spans="1:6" x14ac:dyDescent="0.25">
      <c r="A11" s="120" t="s">
        <v>168</v>
      </c>
      <c r="B11" s="121" t="str">
        <f>IF(B27&lt;30,"Sim","Não")</f>
        <v>Sim</v>
      </c>
    </row>
    <row r="12" spans="1:6" x14ac:dyDescent="0.25">
      <c r="A12" s="104" t="s">
        <v>165</v>
      </c>
      <c r="B12" s="122" t="str">
        <f>IF(B26&lt;30,"Sim","Não")</f>
        <v>Sim</v>
      </c>
    </row>
    <row r="13" spans="1:6" x14ac:dyDescent="0.25">
      <c r="A13" s="104" t="s">
        <v>142</v>
      </c>
      <c r="B13" s="122" t="str">
        <f>IF(B40&lt;0.4,"Sim","Não")</f>
        <v>Sim</v>
      </c>
    </row>
    <row r="14" spans="1:6" x14ac:dyDescent="0.25">
      <c r="A14" s="104" t="s">
        <v>144</v>
      </c>
      <c r="B14" s="122" t="str">
        <f>IF(B47&gt;B46,"Sim","Não")</f>
        <v>Sim</v>
      </c>
    </row>
    <row r="15" spans="1:6" ht="15.75" thickBot="1" x14ac:dyDescent="0.3">
      <c r="A15" s="123" t="s">
        <v>146</v>
      </c>
      <c r="B15" s="124" t="e">
        <f>IF(B53&gt;B52,"Sim","Não")</f>
        <v>#DIV/0!</v>
      </c>
    </row>
    <row r="16" spans="1:6" ht="15.75" thickBot="1" x14ac:dyDescent="0.3"/>
    <row r="17" spans="1:9" x14ac:dyDescent="0.25">
      <c r="A17" s="125" t="s">
        <v>195</v>
      </c>
      <c r="B17" s="127">
        <v>1</v>
      </c>
    </row>
    <row r="18" spans="1:9" x14ac:dyDescent="0.25">
      <c r="A18" s="89" t="s">
        <v>197</v>
      </c>
      <c r="B18" s="115">
        <v>0.5</v>
      </c>
    </row>
    <row r="19" spans="1:9" ht="15.75" thickBot="1" x14ac:dyDescent="0.3">
      <c r="A19" s="116" t="s">
        <v>196</v>
      </c>
      <c r="B19" s="119">
        <v>0</v>
      </c>
    </row>
    <row r="20" spans="1:9" ht="15.75" thickBot="1" x14ac:dyDescent="0.3">
      <c r="I20" s="100"/>
    </row>
    <row r="21" spans="1:9" x14ac:dyDescent="0.25">
      <c r="A21" s="125" t="s">
        <v>156</v>
      </c>
      <c r="B21" s="126">
        <f>'MURO DE ARRIMO'!B6</f>
        <v>4.25</v>
      </c>
      <c r="C21" s="127"/>
      <c r="I21" s="100"/>
    </row>
    <row r="22" spans="1:9" x14ac:dyDescent="0.25">
      <c r="A22" s="89" t="s">
        <v>157</v>
      </c>
      <c r="B22" s="99">
        <f>B21*B39*10</f>
        <v>2159.5915021271012</v>
      </c>
      <c r="C22" s="115" t="s">
        <v>158</v>
      </c>
      <c r="I22" s="100"/>
    </row>
    <row r="23" spans="1:9" ht="15.75" thickBot="1" x14ac:dyDescent="0.3">
      <c r="A23" s="116" t="s">
        <v>159</v>
      </c>
      <c r="B23" s="118">
        <f>B21*B46</f>
        <v>6.7610783308737012</v>
      </c>
      <c r="C23" s="119" t="s">
        <v>160</v>
      </c>
      <c r="I23" s="100"/>
    </row>
    <row r="24" spans="1:9" x14ac:dyDescent="0.25">
      <c r="I24" s="100"/>
    </row>
    <row r="25" spans="1:9" ht="15.75" thickBot="1" x14ac:dyDescent="0.3">
      <c r="I25" s="100"/>
    </row>
    <row r="26" spans="1:9" x14ac:dyDescent="0.25">
      <c r="A26" s="125" t="s">
        <v>166</v>
      </c>
      <c r="B26" s="128">
        <f>B4*100/B5*2</f>
        <v>25</v>
      </c>
      <c r="C26" s="127" t="s">
        <v>115</v>
      </c>
      <c r="I26" s="100"/>
    </row>
    <row r="27" spans="1:9" x14ac:dyDescent="0.25">
      <c r="A27" s="89" t="s">
        <v>167</v>
      </c>
      <c r="B27" s="90">
        <f>B4*100/'MURO DE ARRIMO'!B54*2</f>
        <v>11.666666666666666</v>
      </c>
      <c r="C27" s="115" t="s">
        <v>115</v>
      </c>
      <c r="I27" s="100"/>
    </row>
    <row r="28" spans="1:9" x14ac:dyDescent="0.25">
      <c r="A28" s="89" t="s">
        <v>121</v>
      </c>
      <c r="B28" s="99">
        <f>B7*B6*2+(B5-2*B6)*B6*3</f>
        <v>216</v>
      </c>
      <c r="C28" s="115" t="s">
        <v>19</v>
      </c>
      <c r="I28" s="100"/>
    </row>
    <row r="29" spans="1:9" x14ac:dyDescent="0.25">
      <c r="A29" s="89" t="s">
        <v>126</v>
      </c>
      <c r="B29" s="99">
        <f>B28*100/(B7+1)</f>
        <v>540</v>
      </c>
      <c r="C29" s="115" t="s">
        <v>19</v>
      </c>
      <c r="I29" s="100"/>
    </row>
    <row r="30" spans="1:9" x14ac:dyDescent="0.25">
      <c r="A30" s="89" t="s">
        <v>130</v>
      </c>
      <c r="B30" s="99">
        <f>E4/100/2</f>
        <v>0.04</v>
      </c>
      <c r="C30" s="115" t="s">
        <v>131</v>
      </c>
      <c r="I30" s="100"/>
    </row>
    <row r="31" spans="1:9" ht="15.75" thickBot="1" x14ac:dyDescent="0.3">
      <c r="A31" s="116" t="s">
        <v>133</v>
      </c>
      <c r="B31" s="118">
        <f>E5/100/2</f>
        <v>2.5</v>
      </c>
      <c r="C31" s="119" t="s">
        <v>131</v>
      </c>
    </row>
    <row r="32" spans="1:9" ht="15.75" thickBot="1" x14ac:dyDescent="0.3">
      <c r="E32" s="100"/>
    </row>
    <row r="33" spans="1:7" x14ac:dyDescent="0.25">
      <c r="A33" s="120" t="s">
        <v>171</v>
      </c>
      <c r="B33" s="129"/>
      <c r="C33" s="121"/>
      <c r="E33" s="100"/>
    </row>
    <row r="34" spans="1:7" x14ac:dyDescent="0.25">
      <c r="A34" s="89" t="s">
        <v>136</v>
      </c>
      <c r="B34" s="99">
        <f>VLOOKUP('MURO DE ARRIMO'!B3,A56:D63,2,FALSE)*VLOOKUP('MURO DE ARRIMO'!B3,A56:D63,3,FALSE)*B3</f>
        <v>4.3312499999999998</v>
      </c>
      <c r="C34" s="115" t="s">
        <v>137</v>
      </c>
      <c r="E34" s="100"/>
    </row>
    <row r="35" spans="1:7" x14ac:dyDescent="0.25">
      <c r="A35" s="89" t="s">
        <v>138</v>
      </c>
      <c r="B35" s="90">
        <f>VLOOKUP('MURO DE ARRIMO'!B3,A56:D63,4,FALSE)*VLOOKUP('MURO DE ARRIMO'!B3,A56:D63,3,FALSE)^0.5</f>
        <v>1.9595917942265424</v>
      </c>
      <c r="C35" s="115" t="s">
        <v>137</v>
      </c>
      <c r="E35" s="100"/>
    </row>
    <row r="36" spans="1:7" ht="15.75" thickBot="1" x14ac:dyDescent="0.3">
      <c r="A36" s="116" t="s">
        <v>139</v>
      </c>
      <c r="B36" s="130">
        <f>(B34-B35)/B34*B4</f>
        <v>0.95824573970644744</v>
      </c>
      <c r="C36" s="119" t="s">
        <v>6</v>
      </c>
      <c r="E36" s="100"/>
      <c r="G36" s="101"/>
    </row>
    <row r="37" spans="1:7" ht="15.75" thickBot="1" x14ac:dyDescent="0.3">
      <c r="E37" s="100"/>
      <c r="G37" s="101"/>
    </row>
    <row r="38" spans="1:7" x14ac:dyDescent="0.25">
      <c r="A38" s="120" t="s">
        <v>140</v>
      </c>
      <c r="B38" s="129"/>
      <c r="C38" s="121"/>
      <c r="E38" s="100"/>
      <c r="G38" s="101"/>
    </row>
    <row r="39" spans="1:7" x14ac:dyDescent="0.25">
      <c r="A39" s="89" t="s">
        <v>162</v>
      </c>
      <c r="B39" s="102">
        <f>(B34-B35)*B36^2/6*1.4*100</f>
        <v>50.813917697108266</v>
      </c>
      <c r="C39" s="115" t="s">
        <v>141</v>
      </c>
      <c r="E39" s="100"/>
      <c r="G39" s="101"/>
    </row>
    <row r="40" spans="1:7" x14ac:dyDescent="0.25">
      <c r="A40" s="89" t="s">
        <v>143</v>
      </c>
      <c r="B40" s="100">
        <f>B39/(B5/2)^2/100/B30</f>
        <v>0.25925468212810338</v>
      </c>
      <c r="C40" s="115"/>
      <c r="E40" s="100"/>
      <c r="G40" s="101"/>
    </row>
    <row r="41" spans="1:7" x14ac:dyDescent="0.25">
      <c r="A41" s="89" t="s">
        <v>145</v>
      </c>
      <c r="B41" s="100">
        <f>1-(1-2*B40)^0.5</f>
        <v>0.30610473719458697</v>
      </c>
      <c r="C41" s="115"/>
      <c r="E41" s="100"/>
      <c r="G41" s="101"/>
    </row>
    <row r="42" spans="1:7" x14ac:dyDescent="0.25">
      <c r="A42" s="89" t="s">
        <v>147</v>
      </c>
      <c r="B42" s="99">
        <f>B41*(B5/2)*100*B30/B31</f>
        <v>3.4283730565793737</v>
      </c>
      <c r="C42" s="115" t="s">
        <v>148</v>
      </c>
      <c r="E42" s="100"/>
      <c r="G42" s="101"/>
    </row>
    <row r="43" spans="1:7" ht="15.75" thickBot="1" x14ac:dyDescent="0.3">
      <c r="A43" s="116" t="s">
        <v>149</v>
      </c>
      <c r="B43" s="130">
        <f>(B8/10)^2*3.141592/4</f>
        <v>0.50265472000000011</v>
      </c>
      <c r="C43" s="119" t="s">
        <v>19</v>
      </c>
      <c r="E43" s="100"/>
      <c r="G43" s="101"/>
    </row>
    <row r="44" spans="1:7" ht="15.75" thickBot="1" x14ac:dyDescent="0.3">
      <c r="E44" s="100"/>
      <c r="G44" s="101"/>
    </row>
    <row r="45" spans="1:7" x14ac:dyDescent="0.25">
      <c r="A45" s="120" t="s">
        <v>153</v>
      </c>
      <c r="B45" s="129"/>
      <c r="C45" s="121"/>
      <c r="E45" s="100"/>
      <c r="G45" s="101"/>
    </row>
    <row r="46" spans="1:7" x14ac:dyDescent="0.25">
      <c r="A46" s="89" t="s">
        <v>163</v>
      </c>
      <c r="B46" s="90">
        <f>(B34-B35)*B36/2*1.4</f>
        <v>1.5908419602055768</v>
      </c>
      <c r="C46" s="115" t="s">
        <v>154</v>
      </c>
      <c r="E46" s="100"/>
      <c r="G46" s="101"/>
    </row>
    <row r="47" spans="1:7" ht="15.75" thickBot="1" x14ac:dyDescent="0.3">
      <c r="A47" s="116" t="s">
        <v>155</v>
      </c>
      <c r="B47" s="130">
        <f>MIN(0.35+17.5*B42/100/(B5/2),0.7)/100*B29</f>
        <v>2.3528303626382154</v>
      </c>
      <c r="C47" s="119" t="s">
        <v>154</v>
      </c>
      <c r="E47" s="100"/>
      <c r="G47" s="101"/>
    </row>
    <row r="48" spans="1:7" ht="15.75" thickBot="1" x14ac:dyDescent="0.3"/>
    <row r="49" spans="1:4" x14ac:dyDescent="0.25">
      <c r="A49" s="120" t="s">
        <v>116</v>
      </c>
      <c r="B49" s="129"/>
      <c r="C49" s="121"/>
    </row>
    <row r="50" spans="1:4" x14ac:dyDescent="0.25">
      <c r="A50" s="89" t="s">
        <v>122</v>
      </c>
      <c r="B50" s="100">
        <f>B29/100^2*2.2*B4</f>
        <v>0.2079</v>
      </c>
      <c r="C50" s="115" t="s">
        <v>123</v>
      </c>
    </row>
    <row r="51" spans="1:4" x14ac:dyDescent="0.25">
      <c r="A51" s="89" t="s">
        <v>127</v>
      </c>
      <c r="B51" s="100" t="e">
        <f>((B5*100)-B29)/B9*B4*2.5/100^2</f>
        <v>#DIV/0!</v>
      </c>
      <c r="C51" s="115" t="s">
        <v>123</v>
      </c>
    </row>
    <row r="52" spans="1:4" x14ac:dyDescent="0.25">
      <c r="A52" s="89" t="s">
        <v>164</v>
      </c>
      <c r="B52" s="100" t="e">
        <f>SUM(B50:B51)*1.4</f>
        <v>#DIV/0!</v>
      </c>
      <c r="C52" s="115" t="s">
        <v>123</v>
      </c>
    </row>
    <row r="53" spans="1:4" ht="15.75" thickBot="1" x14ac:dyDescent="0.3">
      <c r="A53" s="116" t="s">
        <v>134</v>
      </c>
      <c r="B53" s="131">
        <f>B30*B29*(1-(B26/40)^3)</f>
        <v>16.326562500000001</v>
      </c>
      <c r="C53" s="119" t="s">
        <v>123</v>
      </c>
    </row>
    <row r="54" spans="1:4" ht="15.75" thickBot="1" x14ac:dyDescent="0.3"/>
    <row r="55" spans="1:4" x14ac:dyDescent="0.25">
      <c r="A55" s="132" t="s">
        <v>117</v>
      </c>
      <c r="B55" s="126" t="s">
        <v>118</v>
      </c>
      <c r="C55" s="126" t="s">
        <v>119</v>
      </c>
      <c r="D55" s="127" t="s">
        <v>120</v>
      </c>
    </row>
    <row r="56" spans="1:4" x14ac:dyDescent="0.25">
      <c r="A56" s="133" t="s">
        <v>98</v>
      </c>
      <c r="B56" s="99">
        <v>0.85</v>
      </c>
      <c r="C56" s="99">
        <v>1.3</v>
      </c>
      <c r="D56" s="115">
        <v>0.8</v>
      </c>
    </row>
    <row r="57" spans="1:4" x14ac:dyDescent="0.25">
      <c r="A57" s="133" t="s">
        <v>99</v>
      </c>
      <c r="B57" s="99">
        <v>0.75</v>
      </c>
      <c r="C57" s="99">
        <v>1.5</v>
      </c>
      <c r="D57" s="115">
        <v>1.6</v>
      </c>
    </row>
    <row r="58" spans="1:4" x14ac:dyDescent="0.25">
      <c r="A58" s="133" t="s">
        <v>100</v>
      </c>
      <c r="B58" s="99">
        <v>0.65</v>
      </c>
      <c r="C58" s="99">
        <v>1.7</v>
      </c>
      <c r="D58" s="115">
        <v>4.8</v>
      </c>
    </row>
    <row r="59" spans="1:4" x14ac:dyDescent="0.25">
      <c r="A59" s="133" t="s">
        <v>101</v>
      </c>
      <c r="B59" s="99">
        <v>0.55000000000000004</v>
      </c>
      <c r="C59" s="99">
        <v>1.9</v>
      </c>
      <c r="D59" s="115">
        <v>9.6</v>
      </c>
    </row>
    <row r="60" spans="1:4" x14ac:dyDescent="0.25">
      <c r="A60" s="133" t="s">
        <v>102</v>
      </c>
      <c r="B60" s="99">
        <v>0.6</v>
      </c>
      <c r="C60" s="99">
        <v>1.7</v>
      </c>
      <c r="D60" s="115">
        <v>0</v>
      </c>
    </row>
    <row r="61" spans="1:4" x14ac:dyDescent="0.25">
      <c r="A61" s="133" t="s">
        <v>103</v>
      </c>
      <c r="B61" s="99">
        <v>0.55000000000000004</v>
      </c>
      <c r="C61" s="99">
        <v>1.9</v>
      </c>
      <c r="D61" s="115">
        <v>0</v>
      </c>
    </row>
    <row r="62" spans="1:4" x14ac:dyDescent="0.25">
      <c r="A62" s="133" t="s">
        <v>104</v>
      </c>
      <c r="B62" s="99">
        <v>0.5</v>
      </c>
      <c r="C62" s="99">
        <v>2</v>
      </c>
      <c r="D62" s="115">
        <v>0</v>
      </c>
    </row>
    <row r="63" spans="1:4" ht="15.75" thickBot="1" x14ac:dyDescent="0.3">
      <c r="A63" s="134" t="s">
        <v>105</v>
      </c>
      <c r="B63" s="118">
        <v>0.45</v>
      </c>
      <c r="C63" s="118">
        <v>2.1</v>
      </c>
      <c r="D63" s="119">
        <v>0</v>
      </c>
    </row>
  </sheetData>
  <mergeCells count="1">
    <mergeCell ref="A1:F2"/>
  </mergeCells>
  <pageMargins left="0.511811024" right="0.511811024" top="0.78740157499999996" bottom="0.78740157499999996" header="0.31496062000000002" footer="0.31496062000000002"/>
  <pageSetup paperSize="9" orientation="portrait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E5910-E374-4E80-A777-ECAA87A79CC3}">
  <dimension ref="A1:K49"/>
  <sheetViews>
    <sheetView zoomScale="126" zoomScaleNormal="126" workbookViewId="0">
      <selection activeCell="G16" sqref="G16"/>
    </sheetView>
  </sheetViews>
  <sheetFormatPr defaultColWidth="9.140625" defaultRowHeight="15" x14ac:dyDescent="0.25"/>
  <cols>
    <col min="1" max="1" width="9.140625" style="143"/>
    <col min="2" max="2" width="40.42578125" style="144" bestFit="1" customWidth="1"/>
    <col min="3" max="3" width="11.85546875" style="144" bestFit="1" customWidth="1"/>
    <col min="4" max="4" width="9.28515625" style="144" bestFit="1" customWidth="1"/>
    <col min="5" max="5" width="9.42578125" style="144" customWidth="1"/>
    <col min="6" max="7" width="9.140625" style="144"/>
    <col min="8" max="8" width="31" style="144" bestFit="1" customWidth="1"/>
    <col min="9" max="9" width="9.140625" style="144"/>
    <col min="10" max="10" width="36.85546875" style="144" bestFit="1" customWidth="1"/>
    <col min="11" max="11" width="5.85546875" style="144" bestFit="1" customWidth="1"/>
    <col min="12" max="16384" width="9.140625" style="144"/>
  </cols>
  <sheetData>
    <row r="1" spans="2:11" ht="30.6" customHeight="1" x14ac:dyDescent="0.25">
      <c r="B1" s="215" t="s">
        <v>243</v>
      </c>
      <c r="C1" s="215"/>
      <c r="D1" s="215"/>
      <c r="E1" s="215"/>
      <c r="F1" s="215"/>
      <c r="G1" s="215"/>
      <c r="H1" s="139"/>
    </row>
    <row r="2" spans="2:11" x14ac:dyDescent="0.25">
      <c r="B2" t="s">
        <v>244</v>
      </c>
      <c r="C2" s="145">
        <f>'MURO DE ARRIMO'!B13-5</f>
        <v>9</v>
      </c>
      <c r="D2" s="146" t="s">
        <v>17</v>
      </c>
      <c r="E2" s="143"/>
      <c r="F2" s="143"/>
      <c r="G2" s="143"/>
      <c r="H2" s="143"/>
      <c r="J2" s="216" t="s">
        <v>192</v>
      </c>
      <c r="K2" s="216"/>
    </row>
    <row r="3" spans="2:11" x14ac:dyDescent="0.25">
      <c r="B3" t="s">
        <v>245</v>
      </c>
      <c r="C3" s="145">
        <v>100</v>
      </c>
      <c r="D3" s="146" t="s">
        <v>17</v>
      </c>
      <c r="E3" s="143"/>
      <c r="F3" s="143"/>
      <c r="G3" s="143"/>
      <c r="H3" s="143"/>
      <c r="J3" t="s">
        <v>184</v>
      </c>
      <c r="K3" s="145">
        <v>2.4</v>
      </c>
    </row>
    <row r="4" spans="2:11" ht="12" customHeight="1" x14ac:dyDescent="0.25">
      <c r="B4" t="s">
        <v>246</v>
      </c>
      <c r="C4" s="145">
        <v>50</v>
      </c>
      <c r="D4" s="146"/>
      <c r="E4" s="143"/>
      <c r="F4" s="143"/>
      <c r="G4" s="143"/>
      <c r="H4" s="143"/>
      <c r="J4" t="s">
        <v>169</v>
      </c>
      <c r="K4" s="145">
        <v>19</v>
      </c>
    </row>
    <row r="5" spans="2:11" ht="12.6" customHeight="1" x14ac:dyDescent="0.25">
      <c r="B5" t="s">
        <v>247</v>
      </c>
      <c r="C5" s="145">
        <f>'MURO DE ARRIMO'!B18</f>
        <v>8</v>
      </c>
      <c r="D5" s="146"/>
      <c r="E5" s="143"/>
      <c r="F5" s="143"/>
      <c r="G5" s="143"/>
      <c r="H5" s="143"/>
      <c r="J5" t="s">
        <v>248</v>
      </c>
      <c r="K5" s="147">
        <v>0.5</v>
      </c>
    </row>
    <row r="6" spans="2:11" x14ac:dyDescent="0.25">
      <c r="B6" t="s">
        <v>203</v>
      </c>
      <c r="C6" s="145">
        <v>0.8</v>
      </c>
      <c r="D6" s="148" t="s">
        <v>204</v>
      </c>
      <c r="E6" s="149">
        <f>C5*C6</f>
        <v>6.4</v>
      </c>
      <c r="F6" s="149" t="s">
        <v>125</v>
      </c>
      <c r="G6" s="143"/>
      <c r="H6" s="143"/>
      <c r="J6" t="s">
        <v>250</v>
      </c>
      <c r="K6" s="77" t="e">
        <f>MAX('TABELAS LÍBANO'!#REF!)</f>
        <v>#REF!</v>
      </c>
    </row>
    <row r="7" spans="2:11" x14ac:dyDescent="0.25">
      <c r="B7" t="s">
        <v>205</v>
      </c>
      <c r="C7" s="145">
        <v>0.8</v>
      </c>
      <c r="D7" s="146"/>
      <c r="E7" s="143"/>
      <c r="F7" s="143"/>
      <c r="G7" s="143"/>
      <c r="H7" s="143"/>
      <c r="J7" t="s">
        <v>132</v>
      </c>
      <c r="K7" s="145">
        <v>2</v>
      </c>
    </row>
    <row r="8" spans="2:11" ht="13.9" customHeight="1" x14ac:dyDescent="0.25">
      <c r="B8" t="s">
        <v>206</v>
      </c>
      <c r="C8" s="145">
        <f>'MURO DE ARRIMO'!B14</f>
        <v>0.5</v>
      </c>
      <c r="D8" s="148" t="s">
        <v>207</v>
      </c>
      <c r="E8" s="149">
        <f>E6*(1+C7*C8)</f>
        <v>8.9599999999999991</v>
      </c>
      <c r="F8" s="149" t="s">
        <v>125</v>
      </c>
      <c r="G8" s="143"/>
      <c r="H8" s="143"/>
      <c r="J8" t="s">
        <v>135</v>
      </c>
      <c r="K8" s="145">
        <v>39</v>
      </c>
    </row>
    <row r="9" spans="2:11" x14ac:dyDescent="0.25">
      <c r="B9" t="s">
        <v>208</v>
      </c>
      <c r="C9" s="145">
        <f>'MURO DE ARRIMO'!B15</f>
        <v>23.555733200999999</v>
      </c>
      <c r="D9" s="146" t="s">
        <v>209</v>
      </c>
      <c r="E9" s="143"/>
      <c r="F9" s="1"/>
      <c r="G9" s="143"/>
      <c r="H9" s="143"/>
      <c r="J9" t="s">
        <v>189</v>
      </c>
      <c r="K9" s="145">
        <v>8</v>
      </c>
    </row>
    <row r="10" spans="2:11" x14ac:dyDescent="0.25">
      <c r="B10" s="143"/>
      <c r="C10" s="143"/>
      <c r="D10" s="143"/>
      <c r="E10" s="143"/>
      <c r="F10" s="143"/>
      <c r="G10" s="143"/>
      <c r="H10" s="143"/>
      <c r="J10" s="99" t="s">
        <v>150</v>
      </c>
      <c r="K10" s="145">
        <v>10</v>
      </c>
    </row>
    <row r="11" spans="2:11" x14ac:dyDescent="0.25">
      <c r="B11" s="170" t="s">
        <v>210</v>
      </c>
      <c r="C11" s="170"/>
      <c r="D11" s="170"/>
      <c r="E11" s="103"/>
      <c r="F11" s="103"/>
      <c r="G11" s="150"/>
      <c r="H11" s="150"/>
      <c r="J11" s="151" t="s">
        <v>151</v>
      </c>
      <c r="K11" s="135">
        <f>'FECHAMENTO EM ALVENARIA'!N39</f>
        <v>0</v>
      </c>
    </row>
    <row r="12" spans="2:11" x14ac:dyDescent="0.25">
      <c r="B12" s="171" t="s">
        <v>211</v>
      </c>
      <c r="C12" s="172">
        <f>E8/10*0.7/2</f>
        <v>0.31359999999999993</v>
      </c>
      <c r="D12" s="171" t="s">
        <v>212</v>
      </c>
      <c r="E12" s="152"/>
      <c r="F12" s="150"/>
      <c r="G12" s="150"/>
      <c r="H12" s="150"/>
    </row>
    <row r="13" spans="2:11" x14ac:dyDescent="0.25">
      <c r="B13" s="171" t="s">
        <v>213</v>
      </c>
      <c r="C13" s="172">
        <f>C4/1.15</f>
        <v>43.478260869565219</v>
      </c>
      <c r="D13" s="171" t="s">
        <v>212</v>
      </c>
      <c r="E13" s="150"/>
      <c r="F13" s="150"/>
      <c r="G13" s="150"/>
      <c r="H13" s="150"/>
    </row>
    <row r="14" spans="2:11" x14ac:dyDescent="0.25">
      <c r="B14" s="171" t="s">
        <v>214</v>
      </c>
      <c r="C14" s="172">
        <f>1.4*C9*100</f>
        <v>3297.8026481399993</v>
      </c>
      <c r="D14" s="171" t="s">
        <v>215</v>
      </c>
      <c r="E14" s="150"/>
      <c r="F14" s="150"/>
      <c r="G14" s="150"/>
      <c r="H14" s="150"/>
    </row>
    <row r="15" spans="2:11" x14ac:dyDescent="0.25">
      <c r="B15" s="103" t="s">
        <v>216</v>
      </c>
      <c r="C15" s="103"/>
      <c r="D15" s="103"/>
      <c r="E15" s="103"/>
      <c r="F15" s="103"/>
      <c r="G15" s="150"/>
      <c r="H15" s="150"/>
    </row>
    <row r="16" spans="2:11" x14ac:dyDescent="0.25">
      <c r="B16" s="150" t="s">
        <v>217</v>
      </c>
      <c r="C16" s="172">
        <f>C13/21000</f>
        <v>2.070393374741201E-3</v>
      </c>
      <c r="D16" s="150"/>
      <c r="E16" s="150"/>
      <c r="F16" s="150"/>
      <c r="G16" s="150"/>
      <c r="H16" s="150"/>
    </row>
    <row r="17" spans="2:9" x14ac:dyDescent="0.25">
      <c r="B17" s="103" t="s">
        <v>218</v>
      </c>
      <c r="C17" s="103"/>
      <c r="D17" s="103"/>
      <c r="E17" s="103"/>
      <c r="F17" s="103"/>
      <c r="G17" s="150"/>
      <c r="H17" s="150"/>
    </row>
    <row r="18" spans="2:9" x14ac:dyDescent="0.25">
      <c r="B18" s="153" t="s">
        <v>219</v>
      </c>
      <c r="C18" s="154">
        <f>0.23*C2</f>
        <v>2.0700000000000003</v>
      </c>
      <c r="D18" s="153" t="s">
        <v>17</v>
      </c>
      <c r="E18" s="155"/>
      <c r="F18" s="155"/>
      <c r="G18" s="155"/>
      <c r="H18" s="155"/>
      <c r="I18" s="156"/>
    </row>
    <row r="19" spans="2:9" x14ac:dyDescent="0.25">
      <c r="B19" s="153" t="s">
        <v>220</v>
      </c>
      <c r="C19" s="154">
        <f>(0.003/(0.003+C16))*C2</f>
        <v>5.3250306247447945</v>
      </c>
      <c r="D19" s="153" t="s">
        <v>17</v>
      </c>
      <c r="E19" s="155"/>
      <c r="F19" s="155"/>
      <c r="G19" s="155"/>
      <c r="H19" s="155"/>
      <c r="I19" s="156"/>
    </row>
    <row r="20" spans="2:9" ht="19.5" x14ac:dyDescent="0.35">
      <c r="B20" s="213" t="s">
        <v>221</v>
      </c>
      <c r="C20" s="213"/>
      <c r="D20" s="213"/>
      <c r="E20" s="213"/>
      <c r="F20" s="213"/>
      <c r="G20" s="150"/>
      <c r="H20" s="150"/>
    </row>
    <row r="21" spans="2:9" x14ac:dyDescent="0.25">
      <c r="B21" s="172">
        <v>1</v>
      </c>
      <c r="C21" s="172" t="s">
        <v>222</v>
      </c>
      <c r="D21" s="172">
        <f>2.5*C2</f>
        <v>22.5</v>
      </c>
      <c r="E21" s="172" t="s">
        <v>223</v>
      </c>
      <c r="F21" s="172">
        <f>C14/(0.32*C3*C12)</f>
        <v>328.62351005859375</v>
      </c>
      <c r="G21" s="172" t="s">
        <v>224</v>
      </c>
      <c r="H21" s="150"/>
    </row>
    <row r="22" spans="2:9" x14ac:dyDescent="0.25">
      <c r="B22" s="150" t="s">
        <v>225</v>
      </c>
      <c r="C22" s="173">
        <f>D21^2-4*B21*F21</f>
        <v>-808.24404023437501</v>
      </c>
      <c r="D22" s="150"/>
      <c r="E22" s="155" t="str">
        <f>IF(C22&lt;0,"**IMPOSSÍVEL DIMENSIONAR!**","")</f>
        <v>**IMPOSSÍVEL DIMENSIONAR!**</v>
      </c>
      <c r="F22" s="150"/>
      <c r="G22" s="150"/>
      <c r="H22" s="150"/>
    </row>
    <row r="23" spans="2:9" x14ac:dyDescent="0.25">
      <c r="B23" s="150" t="s">
        <v>226</v>
      </c>
      <c r="C23" s="174" t="e">
        <f>(D21-SQRT(C22))/2</f>
        <v>#NUM!</v>
      </c>
      <c r="D23" s="150" t="s">
        <v>17</v>
      </c>
      <c r="E23" s="150"/>
      <c r="F23" s="150"/>
      <c r="G23" s="150"/>
      <c r="H23" s="150"/>
    </row>
    <row r="24" spans="2:9" x14ac:dyDescent="0.25">
      <c r="B24" s="151" t="s">
        <v>227</v>
      </c>
      <c r="C24" s="106" t="e">
        <f>C23/C2</f>
        <v>#NUM!</v>
      </c>
      <c r="D24" s="155" t="e">
        <f>IF(C24&gt;0.45,"**REDIMENSIONAR!","")</f>
        <v>#NUM!</v>
      </c>
      <c r="E24" s="150"/>
      <c r="F24" s="150"/>
      <c r="G24" s="150"/>
      <c r="H24" s="150"/>
    </row>
    <row r="25" spans="2:9" ht="19.5" x14ac:dyDescent="0.35">
      <c r="B25" s="213" t="s">
        <v>228</v>
      </c>
      <c r="C25" s="213"/>
      <c r="D25" s="213"/>
      <c r="E25" s="213"/>
      <c r="F25" s="213"/>
      <c r="G25" s="213"/>
      <c r="H25" s="150"/>
    </row>
    <row r="26" spans="2:9" x14ac:dyDescent="0.25">
      <c r="B26" s="158" t="e">
        <f>IF(C23&lt;C18,"DOMÍNIO2","")</f>
        <v>#NUM!</v>
      </c>
      <c r="C26" s="158"/>
      <c r="D26" s="150"/>
      <c r="E26" s="150"/>
      <c r="F26" s="150"/>
      <c r="G26" s="150"/>
      <c r="H26" s="150"/>
    </row>
    <row r="27" spans="2:9" x14ac:dyDescent="0.25">
      <c r="B27" s="158" t="e">
        <f>IF(AND((C23&gt;C18),(C23&lt;C19)),"DOMÍNIO3","")</f>
        <v>#NUM!</v>
      </c>
      <c r="C27" s="158"/>
      <c r="D27" s="150"/>
      <c r="E27" s="150"/>
      <c r="F27" s="150"/>
      <c r="G27" s="150"/>
      <c r="H27" s="150"/>
    </row>
    <row r="28" spans="2:9" x14ac:dyDescent="0.25">
      <c r="B28" s="158" t="e">
        <f>IF(C23&gt;C19,"DOMÍNIO4","")</f>
        <v>#NUM!</v>
      </c>
      <c r="C28" s="158"/>
      <c r="D28" s="150"/>
      <c r="E28" s="150"/>
      <c r="F28" s="150"/>
      <c r="G28" s="150"/>
      <c r="H28" s="150"/>
    </row>
    <row r="29" spans="2:9" x14ac:dyDescent="0.25">
      <c r="B29" s="217"/>
      <c r="C29" s="217"/>
      <c r="D29" s="217"/>
      <c r="E29" s="217"/>
      <c r="F29" s="217"/>
      <c r="G29" s="217"/>
      <c r="H29" s="150"/>
    </row>
    <row r="30" spans="2:9" x14ac:dyDescent="0.25">
      <c r="B30" s="218" t="s">
        <v>229</v>
      </c>
      <c r="C30" s="218"/>
      <c r="D30" s="218"/>
      <c r="E30" s="218"/>
      <c r="F30" s="218"/>
      <c r="G30" s="218"/>
      <c r="H30" s="150"/>
    </row>
    <row r="31" spans="2:9" x14ac:dyDescent="0.25">
      <c r="B31" s="150" t="s">
        <v>230</v>
      </c>
      <c r="C31" s="150" t="e">
        <f>IF(OR(B26="DOMÍNIO2",B27="DOMÍNIO3"),"fyd","Es*EpsS")</f>
        <v>#NUM!</v>
      </c>
      <c r="D31" s="150" t="e">
        <f>IF(C31="fyd","=","")</f>
        <v>#NUM!</v>
      </c>
      <c r="E31" s="159" t="e">
        <f>IF(C31="fyd",C13,"")</f>
        <v>#NUM!</v>
      </c>
      <c r="F31" s="150"/>
      <c r="G31" s="150"/>
      <c r="H31" s="150"/>
    </row>
    <row r="32" spans="2:9" x14ac:dyDescent="0.25">
      <c r="B32" s="160" t="e">
        <f>IF(C31="Es*EpsS","Cálculo da deformação no aço pois é Domínio 4!","")</f>
        <v>#NUM!</v>
      </c>
      <c r="C32" s="150"/>
      <c r="D32" s="150"/>
      <c r="E32" s="150"/>
      <c r="F32" s="150"/>
      <c r="G32" s="150"/>
      <c r="H32" s="150"/>
    </row>
    <row r="33" spans="2:8" x14ac:dyDescent="0.25">
      <c r="B33" s="150"/>
      <c r="C33" s="150"/>
      <c r="D33" s="150"/>
      <c r="E33" s="150"/>
      <c r="F33" s="150"/>
      <c r="G33" s="150"/>
      <c r="H33" s="150"/>
    </row>
    <row r="34" spans="2:8" x14ac:dyDescent="0.25">
      <c r="B34" s="150" t="e">
        <f>IF(C31="Es*EpsS","EpsS =","")</f>
        <v>#NUM!</v>
      </c>
      <c r="C34" s="140" t="e">
        <f>IF(C31="Es*EpsS",0.003*(C2-C23)/C23,"")</f>
        <v>#NUM!</v>
      </c>
      <c r="D34" s="150"/>
      <c r="E34" s="150"/>
      <c r="F34" s="150"/>
      <c r="G34" s="150"/>
      <c r="H34" s="150"/>
    </row>
    <row r="35" spans="2:8" x14ac:dyDescent="0.25">
      <c r="B35" s="150"/>
      <c r="C35" s="150"/>
      <c r="D35" s="150"/>
      <c r="E35" s="150"/>
      <c r="F35" s="150"/>
      <c r="G35" s="150"/>
      <c r="H35" s="150"/>
    </row>
    <row r="36" spans="2:8" x14ac:dyDescent="0.25">
      <c r="B36" s="157" t="s">
        <v>231</v>
      </c>
      <c r="C36" s="161" t="e">
        <f>IF(C31="Es*EpsS",C34*21000,E31)</f>
        <v>#NUM!</v>
      </c>
      <c r="D36" s="157" t="s">
        <v>212</v>
      </c>
      <c r="E36" s="150"/>
      <c r="F36" s="150"/>
      <c r="G36" s="150"/>
      <c r="H36" s="150"/>
    </row>
    <row r="37" spans="2:8" x14ac:dyDescent="0.25">
      <c r="B37" s="150"/>
      <c r="C37" s="150"/>
      <c r="D37" s="150"/>
      <c r="E37" s="150"/>
      <c r="F37" s="150"/>
      <c r="G37" s="150"/>
      <c r="H37" s="150"/>
    </row>
    <row r="38" spans="2:8" x14ac:dyDescent="0.25">
      <c r="B38" s="150" t="e">
        <f>IF(C31="Es*EpsS","Obs: εs =EpsS","")</f>
        <v>#NUM!</v>
      </c>
      <c r="C38" s="150"/>
      <c r="D38" s="150"/>
      <c r="E38" s="150"/>
      <c r="F38" s="150"/>
      <c r="G38" s="150"/>
      <c r="H38" s="150"/>
    </row>
    <row r="39" spans="2:8" x14ac:dyDescent="0.25">
      <c r="B39" s="150"/>
      <c r="C39" s="150"/>
      <c r="D39" s="150"/>
      <c r="E39" s="150"/>
      <c r="F39" s="150"/>
      <c r="G39" s="155"/>
      <c r="H39" s="150"/>
    </row>
    <row r="40" spans="2:8" ht="19.5" x14ac:dyDescent="0.35">
      <c r="B40" s="213" t="s">
        <v>232</v>
      </c>
      <c r="C40" s="213"/>
      <c r="D40" s="213"/>
      <c r="E40" s="213"/>
      <c r="F40" s="213"/>
      <c r="G40" s="213"/>
      <c r="H40" s="213"/>
    </row>
    <row r="41" spans="2:8" x14ac:dyDescent="0.25">
      <c r="B41" s="150" t="s">
        <v>233</v>
      </c>
      <c r="C41" s="159" t="e">
        <f>0.8*C3*C12*C23</f>
        <v>#NUM!</v>
      </c>
      <c r="D41" s="150" t="s">
        <v>234</v>
      </c>
      <c r="E41" s="150"/>
      <c r="F41" s="150"/>
      <c r="G41" s="150"/>
      <c r="H41" s="150"/>
    </row>
    <row r="42" spans="2:8" x14ac:dyDescent="0.25">
      <c r="B42" s="150"/>
      <c r="C42" s="150"/>
      <c r="D42" s="150"/>
      <c r="E42" s="150"/>
      <c r="F42" s="150"/>
      <c r="G42" s="150"/>
      <c r="H42" s="150"/>
    </row>
    <row r="43" spans="2:8" ht="19.5" x14ac:dyDescent="0.35">
      <c r="B43" s="213" t="s">
        <v>235</v>
      </c>
      <c r="C43" s="213"/>
      <c r="D43" s="213"/>
      <c r="E43" s="213"/>
      <c r="F43" s="213"/>
      <c r="G43" s="213"/>
      <c r="H43" s="213"/>
    </row>
    <row r="44" spans="2:8" x14ac:dyDescent="0.25">
      <c r="B44" s="150" t="s">
        <v>236</v>
      </c>
      <c r="C44" s="159" t="e">
        <f>C41/C36</f>
        <v>#NUM!</v>
      </c>
      <c r="D44" s="150" t="s">
        <v>19</v>
      </c>
      <c r="E44" s="162" t="e">
        <f>MAX(C44:C45)</f>
        <v>#NUM!</v>
      </c>
      <c r="F44" s="163" t="s">
        <v>19</v>
      </c>
      <c r="G44" s="150"/>
      <c r="H44" s="150"/>
    </row>
    <row r="45" spans="2:8" x14ac:dyDescent="0.25">
      <c r="B45" s="150" t="s">
        <v>237</v>
      </c>
      <c r="C45" s="150">
        <f>0.1/100*C3*(C2+4)</f>
        <v>1.3</v>
      </c>
      <c r="D45" s="150" t="s">
        <v>19</v>
      </c>
      <c r="E45" s="150"/>
      <c r="F45" s="150"/>
      <c r="G45" s="150"/>
      <c r="H45" s="150"/>
    </row>
    <row r="48" spans="2:8" ht="18.75" x14ac:dyDescent="0.3">
      <c r="B48" s="164" t="s">
        <v>238</v>
      </c>
      <c r="C48" s="165">
        <f>'MURO DE ARRIMO'!B19</f>
        <v>8</v>
      </c>
      <c r="D48" s="166" t="s">
        <v>239</v>
      </c>
      <c r="E48" s="167" t="e">
        <f>(0.1*C48)^2*PI()/4*100/E44</f>
        <v>#NUM!</v>
      </c>
      <c r="F48" s="214" t="s">
        <v>240</v>
      </c>
      <c r="G48" s="214"/>
      <c r="H48" s="214"/>
    </row>
    <row r="49" spans="2:8" ht="18.75" x14ac:dyDescent="0.3">
      <c r="B49" s="168" t="s">
        <v>241</v>
      </c>
      <c r="C49" s="144" t="e">
        <f>ROUNDUP((E44/(PI()*(0.1*E49)^2/4)),0)</f>
        <v>#NUM!</v>
      </c>
      <c r="D49" s="164" t="s">
        <v>238</v>
      </c>
      <c r="E49" s="169">
        <v>10</v>
      </c>
      <c r="F49" s="214" t="s">
        <v>242</v>
      </c>
      <c r="G49" s="214"/>
      <c r="H49" s="214"/>
    </row>
  </sheetData>
  <mergeCells count="10">
    <mergeCell ref="B1:G1"/>
    <mergeCell ref="J2:K2"/>
    <mergeCell ref="B29:G29"/>
    <mergeCell ref="B30:G30"/>
    <mergeCell ref="B40:H40"/>
    <mergeCell ref="B43:H43"/>
    <mergeCell ref="F48:H48"/>
    <mergeCell ref="F49:H49"/>
    <mergeCell ref="B20:F20"/>
    <mergeCell ref="B25:G25"/>
  </mergeCells>
  <pageMargins left="0.511811024" right="0.511811024" top="0.78740157499999996" bottom="0.78740157499999996" header="0.31496062000000002" footer="0.31496062000000002"/>
  <pageSetup paperSize="9" orientation="portrait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765503-D1E0-48CE-952E-1E0A15BD4D65}">
  <dimension ref="A1:F8"/>
  <sheetViews>
    <sheetView workbookViewId="0">
      <selection activeCell="B8" sqref="B8"/>
    </sheetView>
  </sheetViews>
  <sheetFormatPr defaultRowHeight="15" x14ac:dyDescent="0.25"/>
  <cols>
    <col min="1" max="1" width="20.42578125" bestFit="1" customWidth="1"/>
    <col min="5" max="5" width="9.5703125" bestFit="1" customWidth="1"/>
  </cols>
  <sheetData>
    <row r="1" spans="1:6" x14ac:dyDescent="0.25">
      <c r="A1" t="s">
        <v>252</v>
      </c>
      <c r="B1">
        <f>'MURO DE ARRIMO'!B5</f>
        <v>3.85</v>
      </c>
    </row>
    <row r="2" spans="1:6" x14ac:dyDescent="0.25">
      <c r="A2" t="s">
        <v>253</v>
      </c>
      <c r="B2">
        <f>'MURO DE ARRIMO'!B6</f>
        <v>4.25</v>
      </c>
    </row>
    <row r="3" spans="1:6" x14ac:dyDescent="0.25">
      <c r="A3" t="s">
        <v>119</v>
      </c>
      <c r="B3" s="10">
        <f>B1/B2</f>
        <v>0.90588235294117647</v>
      </c>
    </row>
    <row r="4" spans="1:6" x14ac:dyDescent="0.25">
      <c r="A4" t="s">
        <v>255</v>
      </c>
      <c r="B4" s="98">
        <v>2.06</v>
      </c>
      <c r="D4" t="s">
        <v>259</v>
      </c>
      <c r="E4" s="10">
        <f>($B$7*$B$8^2/100)*B4</f>
        <v>7.617709638</v>
      </c>
      <c r="F4" t="s">
        <v>262</v>
      </c>
    </row>
    <row r="5" spans="1:6" x14ac:dyDescent="0.25">
      <c r="A5" t="s">
        <v>254</v>
      </c>
      <c r="B5" s="98">
        <v>6.37</v>
      </c>
      <c r="D5" t="s">
        <v>260</v>
      </c>
      <c r="E5" s="10">
        <f t="shared" ref="E5" si="0">($B$7*$B$8^2/100)*B5</f>
        <v>23.555733200999999</v>
      </c>
      <c r="F5" t="s">
        <v>262</v>
      </c>
    </row>
    <row r="6" spans="1:6" x14ac:dyDescent="0.25">
      <c r="A6" t="s">
        <v>256</v>
      </c>
      <c r="B6" s="98">
        <v>2.4</v>
      </c>
      <c r="D6" t="s">
        <v>261</v>
      </c>
      <c r="E6" s="10">
        <f>($B$7*$B$8^2/100)*B6</f>
        <v>8.8750015199999996</v>
      </c>
      <c r="F6" t="s">
        <v>262</v>
      </c>
    </row>
    <row r="7" spans="1:6" x14ac:dyDescent="0.25">
      <c r="A7" t="s">
        <v>257</v>
      </c>
      <c r="B7" s="10">
        <f>'MURO DE ARRIMO'!B35</f>
        <v>24.947999999999997</v>
      </c>
    </row>
    <row r="8" spans="1:6" x14ac:dyDescent="0.25">
      <c r="A8" t="s">
        <v>258</v>
      </c>
      <c r="B8">
        <f>MIN(B1:B2)</f>
        <v>3.85</v>
      </c>
    </row>
  </sheetData>
  <pageMargins left="0.511811024" right="0.511811024" top="0.78740157499999996" bottom="0.78740157499999996" header="0.31496062000000002" footer="0.31496062000000002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2F75B5"/>
    <pageSetUpPr fitToPage="1"/>
  </sheetPr>
  <dimension ref="A1:K68"/>
  <sheetViews>
    <sheetView tabSelected="1" showGridLines="0" workbookViewId="0">
      <selection activeCell="B5" sqref="B5"/>
    </sheetView>
  </sheetViews>
  <sheetFormatPr defaultRowHeight="15"/>
  <cols>
    <col min="1" max="1" width="50" customWidth="1"/>
    <col min="2" max="2" width="14" customWidth="1"/>
    <col min="3" max="3" width="14" customWidth="1"/>
    <col min="4" max="4" width="14" customWidth="1"/>
    <col min="5" max="5" width="14" customWidth="1"/>
    <col min="6" max="6" width="14" customWidth="1"/>
    <col min="7" max="7" width="13" customWidth="1"/>
    <col min="8" max="8" width="12" customWidth="1"/>
    <col min="9" max="9" width="12" customWidth="1"/>
    <col min="10" max="10" width="15" customWidth="1"/>
    <col min="11" max="11" width="13" customWidth="1"/>
  </cols>
  <sheetData>
    <row r="1" ht="24" customHeight="1">
      <c r="A1" s="219" t="inlineStr">
        <is>
          <t xml:space="preserve">CONTENÇÃO – CARGAS NO PILAR E NA LAJE ALVEOLAR (cálculo rápido)</t>
        </is>
      </c>
      <c r="B1" s="219"/>
      <c r="C1" s="219"/>
      <c r="D1" s="219"/>
      <c r="E1" s="219"/>
      <c r="F1" s="219"/>
      <c r="G1" s="219"/>
      <c r="H1" s="219"/>
      <c r="I1" s="219"/>
      <c r="J1" s="219"/>
      <c r="K1" s="219"/>
    </row>
    <row r="2" ht="26" customHeight="1">
      <c r="A2" s="221" t="inlineStr">
        <is>
          <t xml:space="preserve">Preencha só as células AMARELAS (texto azul). Empuxo de Rankine, solo sem coesão (a favor da segurança). Valores característicos (sem γf). Convenção: 1 tf = 10 kN.</t>
        </is>
      </c>
    </row>
    <row r="4" ht="18" customHeight="1">
      <c r="A4" s="220" t="inlineStr">
        <is>
          <t xml:space="preserve">1. DADOS DE ENTRADA</t>
        </is>
      </c>
      <c r="B4" s="220"/>
      <c r="C4" s="220"/>
      <c r="D4" s="220"/>
      <c r="E4" s="220"/>
      <c r="F4" s="220"/>
      <c r="G4" s="220"/>
      <c r="H4" s="220"/>
      <c r="I4" s="220"/>
      <c r="J4" s="220"/>
      <c r="K4" s="220"/>
    </row>
    <row r="5">
      <c r="A5" s="222" t="inlineStr">
        <is>
          <t xml:space="preserve">Sobrecarga no terreno (Sc)</t>
        </is>
      </c>
      <c r="B5" s="224">
        <v>5</v>
      </c>
      <c r="C5" s="223" t="inlineStr">
        <is>
          <t xml:space="preserve">kN/m²</t>
        </is>
      </c>
      <c r="D5" s="221" t="inlineStr">
        <is>
          <t xml:space="preserve">Veículos leves ≈ 5 a 10 kN/m²; só pedestres ≈ 2,5 a 5 kN/m².</t>
        </is>
      </c>
    </row>
    <row r="6">
      <c r="A6" s="222" t="inlineStr">
        <is>
          <t xml:space="preserve">Peso específico do solo (γ)</t>
        </is>
      </c>
      <c r="B6" s="224">
        <v>18</v>
      </c>
      <c r="C6" s="223" t="inlineStr">
        <is>
          <t xml:space="preserve">kN/m³</t>
        </is>
      </c>
    </row>
    <row r="7">
      <c r="A7" s="222" t="inlineStr">
        <is>
          <t xml:space="preserve">Ângulo de atrito do solo (φ)</t>
        </is>
      </c>
      <c r="B7" s="224">
        <v>18</v>
      </c>
      <c r="C7" s="223" t="inlineStr">
        <is>
          <t xml:space="preserve">°</t>
        </is>
      </c>
      <c r="D7" s="221" t="inlineStr">
        <is>
          <t xml:space="preserve">Ver aba DADOS DO SOLO (col. G) conforme tipo de solo e SPT.</t>
        </is>
      </c>
    </row>
    <row r="8">
      <c r="A8" s="222" t="inlineStr">
        <is>
          <t xml:space="preserve">Altura da contenção (H)</t>
        </is>
      </c>
      <c r="B8" s="224">
        <v>2.5</v>
      </c>
      <c r="C8" s="223" t="inlineStr">
        <is>
          <t xml:space="preserve">m</t>
        </is>
      </c>
      <c r="D8" s="221" t="inlineStr">
        <is>
          <t xml:space="preserve">Do nível de apoio (base) até o topo do terreno contido.</t>
        </is>
      </c>
    </row>
    <row r="9">
      <c r="A9" s="222" t="inlineStr">
        <is>
          <t xml:space="preserve">Largura de influência no pilar (D)</t>
        </is>
      </c>
      <c r="B9" s="225">
        <f>13.07/2</f>
      </c>
      <c r="C9" s="223" t="inlineStr">
        <is>
          <t xml:space="preserve">m</t>
        </is>
      </c>
      <c r="D9" s="221" t="inlineStr">
        <is>
          <t xml:space="preserve">Pilar intermediário: (vão esq. + vão dir.)/2.  Pilar de extremidade: vão/2.</t>
        </is>
      </c>
    </row>
    <row r="10">
      <c r="A10" s="222" t="inlineStr">
        <is>
          <t xml:space="preserve">Tipo de empuxo</t>
        </is>
      </c>
      <c r="B10" s="226" t="inlineStr">
        <is>
          <t xml:space="preserve">Ativo</t>
        </is>
      </c>
      <c r="C10" s="223" t="inlineStr">
        <is>
          <t xml:space="preserve"/>
        </is>
      </c>
      <c r="D10" s="221" t="inlineStr">
        <is>
          <t xml:space="preserve">Ativo (Ka): parede pode se deslocar.  Repouso (K0): topo travado por laje/viga, estrutura rígida.</t>
        </is>
      </c>
    </row>
    <row r="11">
      <c r="A11" s="222" t="inlineStr">
        <is>
          <t xml:space="preserve">Largura da placa de laje alveolar (bw)</t>
        </is>
      </c>
      <c r="B11" s="224">
        <v>1.25</v>
      </c>
      <c r="C11" s="223" t="inlineStr">
        <is>
          <t xml:space="preserve">m</t>
        </is>
      </c>
      <c r="D11" s="221" t="inlineStr">
        <is>
          <t xml:space="preserve">Altura de cada painel na contenção (placas deitadas, uma sobre a outra).</t>
        </is>
      </c>
    </row>
    <row r="12">
      <c r="A12" s="222" t="inlineStr">
        <is>
          <t xml:space="preserve">Vão da laje alveolar (L)</t>
        </is>
      </c>
      <c r="B12" s="225">
        <f>B9</f>
      </c>
      <c r="C12" s="223" t="inlineStr">
        <is>
          <t xml:space="preserve">m</t>
        </is>
      </c>
      <c r="D12" s="221" t="inlineStr">
        <is>
          <t xml:space="preserve">Vão horizontal que a placa vence entre pilares (padrão = D; altere se for diferente).</t>
        </is>
      </c>
    </row>
    <row r="13">
      <c r="A13" s="222" t="inlineStr">
        <is>
          <t xml:space="preserve">Cota de verificação (x, medida da base)</t>
        </is>
      </c>
      <c r="B13" s="224">
        <v>0</v>
      </c>
      <c r="C13" s="223" t="inlineStr">
        <is>
          <t xml:space="preserve">m</t>
        </is>
      </c>
      <c r="D13" s="221" t="inlineStr">
        <is>
          <t xml:space="preserve">Usada só na coluna 'M na cota x' da seção 4. x = 0 → base.</t>
        </is>
      </c>
    </row>
    <row r="15" ht="18" customHeight="1">
      <c r="A15" s="220" t="inlineStr">
        <is>
          <t xml:space="preserve">2. COEFICIENTE DE EMPUXO E PRESSÕES</t>
        </is>
      </c>
      <c r="B15" s="220"/>
      <c r="C15" s="220"/>
      <c r="D15" s="220"/>
      <c r="E15" s="220"/>
      <c r="F15" s="220"/>
      <c r="G15" s="220"/>
      <c r="H15" s="220"/>
      <c r="I15" s="220"/>
      <c r="J15" s="220"/>
      <c r="K15" s="220"/>
    </row>
    <row r="16">
      <c r="A16" s="222" t="inlineStr">
        <is>
          <t xml:space="preserve">Ka = tan²(45° − φ/2)  (ativo)</t>
        </is>
      </c>
      <c r="B16" s="228">
        <f>TAN(RADIANS(45-B7/2))^2</f>
      </c>
      <c r="C16" s="223" t="inlineStr">
        <is>
          <t xml:space="preserve"/>
        </is>
      </c>
    </row>
    <row r="17">
      <c r="A17" s="222" t="inlineStr">
        <is>
          <t xml:space="preserve">K0 = 1 − sen φ  (repouso)</t>
        </is>
      </c>
      <c r="B17" s="228">
        <f>1-SIN(RADIANS(B7))</f>
      </c>
      <c r="C17" s="223" t="inlineStr">
        <is>
          <t xml:space="preserve"/>
        </is>
      </c>
    </row>
    <row r="18">
      <c r="A18" s="230" t="inlineStr">
        <is>
          <t xml:space="preserve">K adotado</t>
        </is>
      </c>
      <c r="B18" s="229">
        <f>IF(B10="Repouso",B17,B16)</f>
      </c>
      <c r="C18" s="223" t="inlineStr">
        <is>
          <t xml:space="preserve"/>
        </is>
      </c>
    </row>
    <row r="19">
      <c r="A19" s="222" t="inlineStr">
        <is>
          <t xml:space="preserve">Altura equivalente da sobrecarga (heq = Sc/γ)</t>
        </is>
      </c>
      <c r="B19" s="228">
        <f>IF(B6=0,0,B5/B6)</f>
      </c>
      <c r="C19" s="223" t="inlineStr">
        <is>
          <t xml:space="preserve">m</t>
        </is>
      </c>
    </row>
    <row r="20">
      <c r="A20" s="222" t="inlineStr">
        <is>
          <t xml:space="preserve">Pressão no topo  σ,topo = K·Sc</t>
        </is>
      </c>
      <c r="B20" s="227">
        <f>B18*B5</f>
      </c>
      <c r="C20" s="223" t="inlineStr">
        <is>
          <t xml:space="preserve">kN/m²</t>
        </is>
      </c>
    </row>
    <row r="21">
      <c r="A21" s="222" t="inlineStr">
        <is>
          <t xml:space="preserve">Pressão na base  σ,base = K·(Sc + γ·H)</t>
        </is>
      </c>
      <c r="B21" s="227">
        <f>B18*(B5+B6*B8)</f>
      </c>
      <c r="C21" s="223" t="inlineStr">
        <is>
          <t xml:space="preserve">kN/m²</t>
        </is>
      </c>
    </row>
    <row r="22">
      <c r="A22" s="222" t="inlineStr">
        <is>
          <t xml:space="preserve">Pressão na base só do solo  K·γ·H</t>
        </is>
      </c>
      <c r="B22" s="227">
        <f>B18*B6*B8</f>
      </c>
      <c r="C22" s="223" t="inlineStr">
        <is>
          <t xml:space="preserve">kN/m²</t>
        </is>
      </c>
    </row>
    <row r="24" ht="18" customHeight="1">
      <c r="A24" s="220" t="inlineStr">
        <is>
          <t xml:space="preserve">3. PILAR – CARGA PARA LANÇAR NO MODELO (Eberick/TQS)</t>
        </is>
      </c>
      <c r="B24" s="220"/>
      <c r="C24" s="220"/>
      <c r="D24" s="220"/>
      <c r="E24" s="220"/>
      <c r="F24" s="220"/>
      <c r="G24" s="220"/>
      <c r="H24" s="220"/>
      <c r="I24" s="220"/>
      <c r="J24" s="220"/>
      <c r="K24" s="220"/>
    </row>
    <row r="25">
      <c r="A25" s="230" t="inlineStr">
        <is>
          <t xml:space="preserve">Carga distribuída no topo  p,topo = σ,topo·D</t>
        </is>
      </c>
      <c r="B25" s="229">
        <f>B20*B9</f>
      </c>
      <c r="C25" s="223" t="inlineStr">
        <is>
          <t xml:space="preserve">kN/m</t>
        </is>
      </c>
      <c r="D25" s="221" t="inlineStr">
        <is>
          <t xml:space="preserve">Lançar no pilar como carga horizontal TRAPEZOIDAL: p,topo no topo → p,base na base.</t>
        </is>
      </c>
    </row>
    <row r="26">
      <c r="A26" s="230" t="inlineStr">
        <is>
          <t xml:space="preserve">Carga distribuída na base  p,base = σ,base·D</t>
        </is>
      </c>
      <c r="B26" s="229">
        <f>B21*B9</f>
      </c>
      <c r="C26" s="223" t="inlineStr">
        <is>
          <t xml:space="preserve">kN/m</t>
        </is>
      </c>
    </row>
    <row r="27">
      <c r="A27" s="222" t="inlineStr">
        <is>
          <t xml:space="preserve">Parcela triangular  Δp = p,base − p,topo</t>
        </is>
      </c>
      <c r="B27" s="227">
        <f>B26-B25</f>
      </c>
      <c r="C27" s="223" t="inlineStr">
        <is>
          <t xml:space="preserve">kN/m</t>
        </is>
      </c>
    </row>
    <row r="28">
      <c r="A28" s="230" t="inlineStr">
        <is>
          <t xml:space="preserve">Resultante total (solo + Sc)  E = (p,topo + p,base)·H/2</t>
        </is>
      </c>
      <c r="B28" s="229">
        <f>(B25+B26)*B8/2</f>
      </c>
      <c r="C28" s="223" t="inlineStr">
        <is>
          <t xml:space="preserve">kN</t>
        </is>
      </c>
      <c r="D28" s="221" t="inlineStr">
        <is>
          <t xml:space="preserve">Se preferir carga concentrada, lançar E no ponto de aplicação abaixo.</t>
        </is>
      </c>
    </row>
    <row r="29">
      <c r="A29" s="222" t="inlineStr">
        <is>
          <t xml:space="preserve">Resultante total em tf</t>
        </is>
      </c>
      <c r="B29" s="227">
        <f>B28/10</f>
      </c>
      <c r="C29" s="223" t="inlineStr">
        <is>
          <t xml:space="preserve">tf</t>
        </is>
      </c>
    </row>
    <row r="30">
      <c r="A30" s="222" t="inlineStr">
        <is>
          <t xml:space="preserve">Ponto de aplicação de E (altura a partir da base)</t>
        </is>
      </c>
      <c r="B30" s="228">
        <f>IF(B28=0,0,(B25*B8^2/2+B27*B8^2/6)/B28)</f>
      </c>
      <c r="C30" s="223" t="inlineStr">
        <is>
          <t xml:space="preserve">m</t>
        </is>
      </c>
    </row>
    <row r="31">
      <c r="A31" s="222" t="inlineStr">
        <is>
          <t xml:space="preserve">Resultante só do solo (sem Sc)  K·γ·H²/2·D</t>
        </is>
      </c>
      <c r="B31" s="227">
        <f>B18*B6*B8^2/2*B9</f>
      </c>
      <c r="C31" s="223" t="inlineStr">
        <is>
          <t xml:space="preserve">kN</t>
        </is>
      </c>
      <c r="D31" s="221" t="inlineStr">
        <is>
          <t xml:space="preserve">Equivale ao 'Ea(total)' / 'Carga no pilar' da aba original (M23/M24).</t>
        </is>
      </c>
    </row>
    <row r="32">
      <c r="A32" s="222" t="inlineStr">
        <is>
          <t xml:space="preserve">Resultante só do solo em tf  (aplicada a H/3)</t>
        </is>
      </c>
      <c r="B32" s="227">
        <f>B31/10</f>
      </c>
      <c r="C32" s="223" t="inlineStr">
        <is>
          <t xml:space="preserve">tf</t>
        </is>
      </c>
    </row>
    <row r="34" ht="18" customHeight="1">
      <c r="A34" s="220" t="inlineStr">
        <is>
          <t xml:space="preserve">4. PILAR – ESFORÇOS POR MODELO ESTRUTURAL (característicos)</t>
        </is>
      </c>
      <c r="B34" s="220"/>
      <c r="C34" s="220"/>
      <c r="D34" s="220"/>
      <c r="E34" s="220"/>
      <c r="F34" s="220"/>
      <c r="G34" s="220"/>
      <c r="H34" s="220"/>
      <c r="I34" s="220"/>
      <c r="J34" s="220"/>
      <c r="K34" s="220"/>
    </row>
    <row r="35" ht="30" customHeight="1">
      <c r="A35" s="232" t="inlineStr">
        <is>
          <t xml:space="preserve">Modelo do pilar</t>
        </is>
      </c>
      <c r="B35" s="231" t="inlineStr">
        <is>
          <t xml:space="preserve">R topo → laje/viga (kN)</t>
        </is>
      </c>
      <c r="C35" s="231" t="inlineStr">
        <is>
          <t xml:space="preserve">R base → fundação (kN)</t>
        </is>
      </c>
      <c r="D35" s="231" t="inlineStr">
        <is>
          <t xml:space="preserve">M na base (kN·m)</t>
        </is>
      </c>
      <c r="E35" s="231" t="inlineStr">
        <is>
          <t xml:space="preserve">M máx. no vão (kN·m)</t>
        </is>
      </c>
      <c r="F35" s="231" t="inlineStr">
        <is>
          <t xml:space="preserve">Posição M máx. (m da base)</t>
        </is>
      </c>
      <c r="G35" s="231" t="inlineStr">
        <is>
          <t xml:space="preserve">M na cota x (kN·m)</t>
        </is>
      </c>
    </row>
    <row r="36" ht="28" customHeight="1">
      <c r="A36" s="235" t="inlineStr">
        <is>
          <t xml:space="preserve">Engastado na base / livre no topo (balanço)</t>
        </is>
      </c>
      <c r="B36" s="227">
        <f>0</f>
      </c>
      <c r="C36" s="227">
        <f>$B$28-B36</f>
      </c>
      <c r="D36" s="229">
        <f>-($B$25*$B$8^2/2+$B$27*$B$8^2/6)</f>
      </c>
      <c r="E36" s="234" t="inlineStr">
        <is>
          <t xml:space="preserve">—</t>
        </is>
      </c>
      <c r="F36" s="234" t="inlineStr">
        <is>
          <t xml:space="preserve">—</t>
        </is>
      </c>
      <c r="G36" s="227">
        <f>B36*($B$8-$B$13)-$B$25*($B$8-$B$13)^2/2-$B$27*($B$8-$B$13)^3/(6*$B$8)</f>
      </c>
    </row>
    <row r="37" ht="28" customHeight="1">
      <c r="A37" s="235" t="inlineStr">
        <is>
          <t xml:space="preserve">Engastado na base / apoiado no topo (laje) – RECOMENDADO</t>
        </is>
      </c>
      <c r="B37" s="227">
        <f>3*$B$25*$B$8/8+$B$27*$B$8/10</f>
      </c>
      <c r="C37" s="227">
        <f>$B$28-B37</f>
      </c>
      <c r="D37" s="229">
        <f>-($B$25*$B$8^2/8+$B$27*$B$8^2/15)</f>
      </c>
      <c r="E37" s="229">
        <f>B37*($B$8-F37)-$B$25*($B$8-F37)^2/2-$B$27*($B$8-F37)^3/(6*$B$8)</f>
      </c>
      <c r="F37" s="227">
        <f>$B$8-IFERROR(IF($B$27=0,B37/$B$25,(-$B$25+SQRT($B$25^2+2*$B$27*B37/$B$8))/($B$27/$B$8)),0)</f>
      </c>
      <c r="G37" s="227">
        <f>B37*($B$8-$B$13)-$B$25*($B$8-$B$13)^2/2-$B$27*($B$8-$B$13)^3/(6*$B$8)</f>
      </c>
    </row>
    <row r="38" ht="28" customHeight="1">
      <c r="A38" s="235" t="inlineStr">
        <is>
          <t xml:space="preserve">Biapoiado (rotulado na base e no topo)</t>
        </is>
      </c>
      <c r="B38" s="227">
        <f>$B$25*$B$8/2+$B$27*$B$8/6</f>
      </c>
      <c r="C38" s="227">
        <f>$B$28-B38</f>
      </c>
      <c r="D38" s="229">
        <v>0</v>
      </c>
      <c r="E38" s="229">
        <f>B38*($B$8-F38)-$B$25*($B$8-F38)^2/2-$B$27*($B$8-F38)^3/(6*$B$8)</f>
      </c>
      <c r="F38" s="227">
        <f>$B$8-IFERROR(IF($B$27=0,B38/$B$25,(-$B$25+SQRT($B$25^2+2*$B$27*B38/$B$8))/($B$27/$B$8)),0)</f>
      </c>
      <c r="G38" s="227">
        <f>B38*($B$8-$B$13)-$B$25*($B$8-$B$13)^2/2-$B$27*($B$8-$B$13)^3/(6*$B$8)</f>
      </c>
    </row>
    <row r="39" ht="26" customHeight="1">
      <c r="A39" s="221" t="inlineStr">
        <is>
          <t xml:space="preserve">Sinal: M negativo = tração na face do pilar em contato com o solo; M positivo = tração na face externa. R topo é a força horizontal que o pilar transmite à laje/viga do topo.</t>
        </is>
      </c>
    </row>
    <row r="40">
      <c r="A40" s="221" t="inlineStr">
        <is>
          <t xml:space="preserve">Com laje ou viga travando o topo, use 'engastado/apoiado'. O balanço só vale se nada travar o topo do pilar.</t>
        </is>
      </c>
    </row>
    <row r="42" ht="18" customHeight="1">
      <c r="A42" s="220" t="inlineStr">
        <is>
          <t xml:space="preserve">5. LAJE ALVEOLAR – CARGA EM CADA PAINEL (placas deitadas vencendo o vão L entre pilares)</t>
        </is>
      </c>
      <c r="B42" s="220"/>
      <c r="C42" s="220"/>
      <c r="D42" s="220"/>
      <c r="E42" s="220"/>
      <c r="F42" s="220"/>
      <c r="G42" s="220"/>
      <c r="H42" s="220"/>
      <c r="I42" s="220"/>
      <c r="J42" s="220"/>
      <c r="K42" s="220"/>
    </row>
    <row r="43" ht="38" customHeight="1">
      <c r="A43" s="221" t="inlineStr">
        <is>
          <t xml:space="preserve">Painel 1 = inferior (mais carregado). Carga de cada painel com a pressão da borda inferior do painel (a favor da segurança). g = parcela do solo (permanente); q = parcela da sobrecarga (variável). 'p total' é o valor a comparar com a tabela do fabricante (kN/m²).</t>
        </is>
      </c>
    </row>
    <row r="44" ht="42" customHeight="1">
      <c r="A44" s="231" t="inlineStr">
        <is>
          <t xml:space="preserve">Painel</t>
        </is>
      </c>
      <c r="B44" s="231" t="inlineStr">
        <is>
          <t xml:space="preserve">z topo (m, prof.)</t>
        </is>
      </c>
      <c r="C44" s="231" t="inlineStr">
        <is>
          <t xml:space="preserve">z base (m, prof.)</t>
        </is>
      </c>
      <c r="D44" s="231" t="inlineStr">
        <is>
          <t xml:space="preserve">Altura carregada (m)</t>
        </is>
      </c>
      <c r="E44" s="231" t="inlineStr">
        <is>
          <t xml:space="preserve">σg solo (kN/m²)</t>
        </is>
      </c>
      <c r="F44" s="231" t="inlineStr">
        <is>
          <t xml:space="preserve">σq sobrecarga (kN/m²)</t>
        </is>
      </c>
      <c r="G44" s="231" t="inlineStr">
        <is>
          <t xml:space="preserve">p total (kN/m²)</t>
        </is>
      </c>
      <c r="H44" s="231" t="inlineStr">
        <is>
          <t xml:space="preserve">g (kN/m)</t>
        </is>
      </c>
      <c r="I44" s="231" t="inlineStr">
        <is>
          <t xml:space="preserve">q (kN/m)</t>
        </is>
      </c>
      <c r="J44" s="231" t="inlineStr">
        <is>
          <t xml:space="preserve">Mk = (g+q)·L²/8 (kN·m)</t>
        </is>
      </c>
      <c r="K44" s="231" t="inlineStr">
        <is>
          <t xml:space="preserve">Vk = (g+q)·L/2 (kN)</t>
        </is>
      </c>
    </row>
    <row r="45">
      <c r="A45" s="233">
        <v>1</v>
      </c>
      <c r="B45" s="227">
        <f>IF((A45-1)*$B$11&gt;=$B$8,"",MAX($B$8-A45*$B$11,0))</f>
      </c>
      <c r="C45" s="227">
        <f>IF(B45="","",$B$8-(A45-1)*$B$11)</f>
      </c>
      <c r="D45" s="227">
        <f>IF(B45="","",C45-B45)</f>
      </c>
      <c r="E45" s="227">
        <f>IF(B45="","",$B$18*$B$6*C45)</f>
      </c>
      <c r="F45" s="227">
        <f>IF(B45="","",$B$18*$B$5)</f>
      </c>
      <c r="G45" s="229">
        <f>IF(B45="","",E45+F45)</f>
      </c>
      <c r="H45" s="229">
        <f>IF(B45="","",E45*D45)</f>
      </c>
      <c r="I45" s="229">
        <f>IF(B45="","",F45*D45)</f>
      </c>
      <c r="J45" s="229">
        <f>IF(B45="","",(H45+I45)*$B$12^2/8)</f>
      </c>
      <c r="K45" s="229">
        <f>IF(B45="","",(H45+I45)*$B$12/2)</f>
      </c>
    </row>
    <row r="46">
      <c r="A46" s="233">
        <v>2</v>
      </c>
      <c r="B46" s="227">
        <f>IF((A46-1)*$B$11&gt;=$B$8,"",MAX($B$8-A46*$B$11,0))</f>
      </c>
      <c r="C46" s="227">
        <f>IF(B46="","",$B$8-(A46-1)*$B$11)</f>
      </c>
      <c r="D46" s="227">
        <f>IF(B46="","",C46-B46)</f>
      </c>
      <c r="E46" s="227">
        <f>IF(B46="","",$B$18*$B$6*C46)</f>
      </c>
      <c r="F46" s="227">
        <f>IF(B46="","",$B$18*$B$5)</f>
      </c>
      <c r="G46" s="227">
        <f>IF(B46="","",E46+F46)</f>
      </c>
      <c r="H46" s="227">
        <f>IF(B46="","",E46*D46)</f>
      </c>
      <c r="I46" s="227">
        <f>IF(B46="","",F46*D46)</f>
      </c>
      <c r="J46" s="227">
        <f>IF(B46="","",(H46+I46)*$B$12^2/8)</f>
      </c>
      <c r="K46" s="227">
        <f>IF(B46="","",(H46+I46)*$B$12/2)</f>
      </c>
    </row>
    <row r="47">
      <c r="A47" s="233">
        <v>3</v>
      </c>
      <c r="B47" s="227">
        <f>IF((A47-1)*$B$11&gt;=$B$8,"",MAX($B$8-A47*$B$11,0))</f>
      </c>
      <c r="C47" s="227">
        <f>IF(B47="","",$B$8-(A47-1)*$B$11)</f>
      </c>
      <c r="D47" s="227">
        <f>IF(B47="","",C47-B47)</f>
      </c>
      <c r="E47" s="227">
        <f>IF(B47="","",$B$18*$B$6*C47)</f>
      </c>
      <c r="F47" s="227">
        <f>IF(B47="","",$B$18*$B$5)</f>
      </c>
      <c r="G47" s="227">
        <f>IF(B47="","",E47+F47)</f>
      </c>
      <c r="H47" s="227">
        <f>IF(B47="","",E47*D47)</f>
      </c>
      <c r="I47" s="227">
        <f>IF(B47="","",F47*D47)</f>
      </c>
      <c r="J47" s="227">
        <f>IF(B47="","",(H47+I47)*$B$12^2/8)</f>
      </c>
      <c r="K47" s="227">
        <f>IF(B47="","",(H47+I47)*$B$12/2)</f>
      </c>
    </row>
    <row r="48">
      <c r="A48" s="233">
        <v>4</v>
      </c>
      <c r="B48" s="227">
        <f>IF((A48-1)*$B$11&gt;=$B$8,"",MAX($B$8-A48*$B$11,0))</f>
      </c>
      <c r="C48" s="227">
        <f>IF(B48="","",$B$8-(A48-1)*$B$11)</f>
      </c>
      <c r="D48" s="227">
        <f>IF(B48="","",C48-B48)</f>
      </c>
      <c r="E48" s="227">
        <f>IF(B48="","",$B$18*$B$6*C48)</f>
      </c>
      <c r="F48" s="227">
        <f>IF(B48="","",$B$18*$B$5)</f>
      </c>
      <c r="G48" s="227">
        <f>IF(B48="","",E48+F48)</f>
      </c>
      <c r="H48" s="227">
        <f>IF(B48="","",E48*D48)</f>
      </c>
      <c r="I48" s="227">
        <f>IF(B48="","",F48*D48)</f>
      </c>
      <c r="J48" s="227">
        <f>IF(B48="","",(H48+I48)*$B$12^2/8)</f>
      </c>
      <c r="K48" s="227">
        <f>IF(B48="","",(H48+I48)*$B$12/2)</f>
      </c>
    </row>
    <row r="49">
      <c r="A49" s="233">
        <v>5</v>
      </c>
      <c r="B49" s="227">
        <f>IF((A49-1)*$B$11&gt;=$B$8,"",MAX($B$8-A49*$B$11,0))</f>
      </c>
      <c r="C49" s="227">
        <f>IF(B49="","",$B$8-(A49-1)*$B$11)</f>
      </c>
      <c r="D49" s="227">
        <f>IF(B49="","",C49-B49)</f>
      </c>
      <c r="E49" s="227">
        <f>IF(B49="","",$B$18*$B$6*C49)</f>
      </c>
      <c r="F49" s="227">
        <f>IF(B49="","",$B$18*$B$5)</f>
      </c>
      <c r="G49" s="227">
        <f>IF(B49="","",E49+F49)</f>
      </c>
      <c r="H49" s="227">
        <f>IF(B49="","",E49*D49)</f>
      </c>
      <c r="I49" s="227">
        <f>IF(B49="","",F49*D49)</f>
      </c>
      <c r="J49" s="227">
        <f>IF(B49="","",(H49+I49)*$B$12^2/8)</f>
      </c>
      <c r="K49" s="227">
        <f>IF(B49="","",(H49+I49)*$B$12/2)</f>
      </c>
    </row>
    <row r="50">
      <c r="A50" s="233">
        <v>6</v>
      </c>
      <c r="B50" s="227">
        <f>IF((A50-1)*$B$11&gt;=$B$8,"",MAX($B$8-A50*$B$11,0))</f>
      </c>
      <c r="C50" s="227">
        <f>IF(B50="","",$B$8-(A50-1)*$B$11)</f>
      </c>
      <c r="D50" s="227">
        <f>IF(B50="","",C50-B50)</f>
      </c>
      <c r="E50" s="227">
        <f>IF(B50="","",$B$18*$B$6*C50)</f>
      </c>
      <c r="F50" s="227">
        <f>IF(B50="","",$B$18*$B$5)</f>
      </c>
      <c r="G50" s="227">
        <f>IF(B50="","",E50+F50)</f>
      </c>
      <c r="H50" s="227">
        <f>IF(B50="","",E50*D50)</f>
      </c>
      <c r="I50" s="227">
        <f>IF(B50="","",F50*D50)</f>
      </c>
      <c r="J50" s="227">
        <f>IF(B50="","",(H50+I50)*$B$12^2/8)</f>
      </c>
      <c r="K50" s="227">
        <f>IF(B50="","",(H50+I50)*$B$12/2)</f>
      </c>
    </row>
    <row r="51">
      <c r="A51" s="233">
        <v>7</v>
      </c>
      <c r="B51" s="227">
        <f>IF((A51-1)*$B$11&gt;=$B$8,"",MAX($B$8-A51*$B$11,0))</f>
      </c>
      <c r="C51" s="227">
        <f>IF(B51="","",$B$8-(A51-1)*$B$11)</f>
      </c>
      <c r="D51" s="227">
        <f>IF(B51="","",C51-B51)</f>
      </c>
      <c r="E51" s="227">
        <f>IF(B51="","",$B$18*$B$6*C51)</f>
      </c>
      <c r="F51" s="227">
        <f>IF(B51="","",$B$18*$B$5)</f>
      </c>
      <c r="G51" s="227">
        <f>IF(B51="","",E51+F51)</f>
      </c>
      <c r="H51" s="227">
        <f>IF(B51="","",E51*D51)</f>
      </c>
      <c r="I51" s="227">
        <f>IF(B51="","",F51*D51)</f>
      </c>
      <c r="J51" s="227">
        <f>IF(B51="","",(H51+I51)*$B$12^2/8)</f>
      </c>
      <c r="K51" s="227">
        <f>IF(B51="","",(H51+I51)*$B$12/2)</f>
      </c>
    </row>
    <row r="52">
      <c r="A52" s="233">
        <v>8</v>
      </c>
      <c r="B52" s="227">
        <f>IF((A52-1)*$B$11&gt;=$B$8,"",MAX($B$8-A52*$B$11,0))</f>
      </c>
      <c r="C52" s="227">
        <f>IF(B52="","",$B$8-(A52-1)*$B$11)</f>
      </c>
      <c r="D52" s="227">
        <f>IF(B52="","",C52-B52)</f>
      </c>
      <c r="E52" s="227">
        <f>IF(B52="","",$B$18*$B$6*C52)</f>
      </c>
      <c r="F52" s="227">
        <f>IF(B52="","",$B$18*$B$5)</f>
      </c>
      <c r="G52" s="227">
        <f>IF(B52="","",E52+F52)</f>
      </c>
      <c r="H52" s="227">
        <f>IF(B52="","",E52*D52)</f>
      </c>
      <c r="I52" s="227">
        <f>IF(B52="","",F52*D52)</f>
      </c>
      <c r="J52" s="227">
        <f>IF(B52="","",(H52+I52)*$B$12^2/8)</f>
      </c>
      <c r="K52" s="227">
        <f>IF(B52="","",(H52+I52)*$B$12/2)</f>
      </c>
    </row>
    <row r="53">
      <c r="A53" s="233">
        <v>9</v>
      </c>
      <c r="B53" s="227">
        <f>IF((A53-1)*$B$11&gt;=$B$8,"",MAX($B$8-A53*$B$11,0))</f>
      </c>
      <c r="C53" s="227">
        <f>IF(B53="","",$B$8-(A53-1)*$B$11)</f>
      </c>
      <c r="D53" s="227">
        <f>IF(B53="","",C53-B53)</f>
      </c>
      <c r="E53" s="227">
        <f>IF(B53="","",$B$18*$B$6*C53)</f>
      </c>
      <c r="F53" s="227">
        <f>IF(B53="","",$B$18*$B$5)</f>
      </c>
      <c r="G53" s="227">
        <f>IF(B53="","",E53+F53)</f>
      </c>
      <c r="H53" s="227">
        <f>IF(B53="","",E53*D53)</f>
      </c>
      <c r="I53" s="227">
        <f>IF(B53="","",F53*D53)</f>
      </c>
      <c r="J53" s="227">
        <f>IF(B53="","",(H53+I53)*$B$12^2/8)</f>
      </c>
      <c r="K53" s="227">
        <f>IF(B53="","",(H53+I53)*$B$12/2)</f>
      </c>
    </row>
    <row r="54">
      <c r="A54" s="233">
        <v>10</v>
      </c>
      <c r="B54" s="227">
        <f>IF((A54-1)*$B$11&gt;=$B$8,"",MAX($B$8-A54*$B$11,0))</f>
      </c>
      <c r="C54" s="227">
        <f>IF(B54="","",$B$8-(A54-1)*$B$11)</f>
      </c>
      <c r="D54" s="227">
        <f>IF(B54="","",C54-B54)</f>
      </c>
      <c r="E54" s="227">
        <f>IF(B54="","",$B$18*$B$6*C54)</f>
      </c>
      <c r="F54" s="227">
        <f>IF(B54="","",$B$18*$B$5)</f>
      </c>
      <c r="G54" s="227">
        <f>IF(B54="","",E54+F54)</f>
      </c>
      <c r="H54" s="227">
        <f>IF(B54="","",E54*D54)</f>
      </c>
      <c r="I54" s="227">
        <f>IF(B54="","",F54*D54)</f>
      </c>
      <c r="J54" s="227">
        <f>IF(B54="","",(H54+I54)*$B$12^2/8)</f>
      </c>
      <c r="K54" s="227">
        <f>IF(B54="","",(H54+I54)*$B$12/2)</f>
      </c>
    </row>
    <row r="55">
      <c r="A55" s="222" t="inlineStr">
        <is>
          <t xml:space="preserve">Nº de painéis necessários</t>
        </is>
      </c>
      <c r="B55" s="227">
        <f>IF(B11=0,0,ROUNDUP(B8/B11,0))</f>
      </c>
      <c r="C55" s="223" t="inlineStr">
        <is>
          <t xml:space="preserve">un</t>
        </is>
      </c>
    </row>
    <row r="56">
      <c r="A56" s="221" t="inlineStr">
        <is>
          <t xml:space="preserve">A tabela mostra até 10 painéis (H até 10·bw). Se precisar de mais, copie a última linha para baixo.</t>
        </is>
      </c>
    </row>
    <row r="58" ht="18" customHeight="1">
      <c r="A58" s="220" t="inlineStr">
        <is>
          <t xml:space="preserve">6. CONFERÊNCIA DA ABA 'MURO DE ARRIMO' (região L2:X40)</t>
        </is>
      </c>
      <c r="B58" s="220"/>
      <c r="C58" s="220"/>
      <c r="D58" s="220"/>
      <c r="E58" s="220"/>
      <c r="F58" s="220"/>
      <c r="G58" s="220"/>
      <c r="H58" s="220"/>
      <c r="I58" s="220"/>
      <c r="J58" s="220"/>
      <c r="K58" s="220"/>
    </row>
    <row r="59" ht="16" customHeight="1">
      <c r="A59" s="236" t="inlineStr">
        <is>
          <t xml:space="preserve">1) M11 e M12 dão #REF! (referência apagada). São cópias antigas de M22/M23, que estão corretas – podem ser apagadas.</t>
        </is>
      </c>
    </row>
    <row r="60" ht="28" customHeight="1">
      <c r="A60" s="236" t="inlineStr">
        <is>
          <t xml:space="preserve">2) M22 a M26 (carga no pilar) consideram só o solo, sem a sobrecarga Sc. M30/M31 (Pa,sup/Pa,inf) já incluem Sc. Nesta aba: B28 = com Sc, B31 = sem Sc.</t>
        </is>
      </c>
    </row>
    <row r="61" ht="16" customHeight="1">
      <c r="A61" s="236" t="inlineStr">
        <is>
          <t xml:space="preserve">3) M26 (momento no pilar) está sem unidade: o resultado é em tf·m (base de pilar em balanço, sem Sc).</t>
        </is>
      </c>
    </row>
    <row r="62" ht="16" customHeight="1">
      <c r="A62" s="236" t="inlineStr">
        <is>
          <t xml:space="preserve">4) M28 = M25·M24/M27 com M27 = M25 → sempre igual a M24 (linha redundante, não é erro).</t>
        </is>
      </c>
    </row>
    <row r="63" ht="16" customHeight="1">
      <c r="A63" s="236" t="inlineStr">
        <is>
          <t xml:space="preserve">5) M34 só vale na cota 0 (usa H² na parcela uniforme). M36 é a fórmula correta para qualquer cota.</t>
        </is>
      </c>
    </row>
    <row r="64" ht="28" customHeight="1">
      <c r="A64" s="236" t="inlineStr">
        <is>
          <t xml:space="preserve">6) M40 ('biapoiado', 'em ajuste'): o modelo é na verdade ENGASTADO na base e APOIADO no topo. Na cota 0 está certo (−78,15 kN·m), mas para cota ≠ 0 os termos em x estão com sinal trocado e o termo x²·Δp/2 aparece duplicado. Corrigido na seção 4.</t>
        </is>
      </c>
    </row>
    <row r="65" ht="28" customHeight="1">
      <c r="A65" s="236" t="inlineStr">
        <is>
          <t xml:space="preserve">7) P22:R27 (laje alveolar) estão corretos para o painel inferior (pressão na base × bw). A seção 5 detalha todos os painéis.</t>
        </is>
      </c>
    </row>
    <row r="66" ht="16" customHeight="1">
      <c r="A66" s="236" t="inlineStr">
        <is>
          <t xml:space="preserve">8) Conversão kN → tf por ×0,1 (1 tf = 9,81 kN) fica ~2% abaixo do exato; mantida por ser a convenção usual.</t>
        </is>
      </c>
    </row>
    <row r="67" ht="16" customHeight="1">
      <c r="A67" s="236" t="inlineStr">
        <is>
          <t xml:space="preserve">9) L10 cita '− 2·c·√Ka', mas a coesão não é usada (a favor da segurança) – ok.</t>
        </is>
      </c>
    </row>
    <row r="68" ht="28" customHeight="1">
      <c r="A68" s="236" t="inlineStr">
        <is>
          <t xml:space="preserve">10) Pilar com laje/viga travando o topo quase não se desloca: o empuxo em repouso (K0 = 1 − sen φ) é mais realista que o ativo. Para φ = 18°: Ka = 0,53 e K0 = 0,69 (+31%). Use o seletor em B10.</t>
        </is>
      </c>
    </row>
  </sheetData>
  <mergeCells count="33">
    <mergeCell ref="A1:K1"/>
    <mergeCell ref="A2:K2"/>
    <mergeCell ref="A4:K4"/>
    <mergeCell ref="D5:K5"/>
    <mergeCell ref="D7:K7"/>
    <mergeCell ref="D8:K8"/>
    <mergeCell ref="D9:K9"/>
    <mergeCell ref="D10:K10"/>
    <mergeCell ref="D11:K11"/>
    <mergeCell ref="D12:K12"/>
    <mergeCell ref="D13:K13"/>
    <mergeCell ref="A15:K15"/>
    <mergeCell ref="A24:K24"/>
    <mergeCell ref="D25:K25"/>
    <mergeCell ref="D28:K28"/>
    <mergeCell ref="D31:K31"/>
    <mergeCell ref="A34:K34"/>
    <mergeCell ref="A39:K39"/>
    <mergeCell ref="A40:K40"/>
    <mergeCell ref="A42:K42"/>
    <mergeCell ref="A43:K43"/>
    <mergeCell ref="A56:K56"/>
    <mergeCell ref="A58:K58"/>
    <mergeCell ref="A59:K59"/>
    <mergeCell ref="A60:K60"/>
    <mergeCell ref="A61:K61"/>
    <mergeCell ref="A62:K62"/>
    <mergeCell ref="A63:K63"/>
    <mergeCell ref="A64:K64"/>
    <mergeCell ref="A65:K65"/>
    <mergeCell ref="A66:K66"/>
    <mergeCell ref="A67:K67"/>
    <mergeCell ref="A68:K68"/>
  </mergeCells>
  <dataValidations count="1">
    <dataValidation type="list" allowBlank="0" showErrorMessage="1" sqref="B10">
      <formula1>"Ativo,Repouso"</formula1>
    </dataValidation>
  </dataValidations>
  <pageMargins left="0.5" right="0.5" top="0.6" bottom="0.6" header="0.3" footer="0.3"/>
  <pageSetup paperSize="9" orientation="landscape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CONTENÇÃO RÁPIDA</vt:lpstr>
      <vt:lpstr>MURO DE ARRIMO</vt:lpstr>
      <vt:lpstr>DADOS DO SOLO</vt:lpstr>
      <vt:lpstr>ASSENTAMENTO</vt:lpstr>
      <vt:lpstr>KC E KS</vt:lpstr>
      <vt:lpstr>CÁLCULO FECHAMENTO</vt:lpstr>
      <vt:lpstr>FECHAMENTO EM ALVENARIA</vt:lpstr>
      <vt:lpstr>TABELAS LÍBANO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Intra</dc:creator>
  <cp:lastModifiedBy>Carlos  Eduardo Godoy Ferreira</cp:lastModifiedBy>
  <cp:lastPrinted>2025-10-15T17:48:02Z</cp:lastPrinted>
  <dcterms:created xsi:type="dcterms:W3CDTF">2019-07-17T12:07:00Z</dcterms:created>
  <dcterms:modified xsi:type="dcterms:W3CDTF">2026-07-16T11:58:06Z</dcterms:modified>
</cp:coreProperties>
</file>