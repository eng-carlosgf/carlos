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carlos.ferreira\Desktop\Carlos\Planilhas\"/>
    </mc:Choice>
  </mc:AlternateContent>
  <xr:revisionPtr revIDLastSave="0" documentId="13_ncr:1_{101037B6-2419-4B80-8897-F70871EB930D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CONTENÇÃO RÁPIDA" sheetId="11" r:id="rId99"/>
    <sheet name="DIMENSIONAMENTO PILAR" sheetId="12" r:id="rId98"/>
    <sheet name="MURO DE ARRIMO" sheetId="1" r:id="rId1"/>
    <sheet name="DADOS DO SOLO" sheetId="6" r:id="rId2"/>
    <sheet name="ASSENTAMENTO" sheetId="4" r:id="rId3"/>
    <sheet name="KC E KS" sheetId="3" r:id="rId4"/>
    <sheet name="CÁLCULO FECHAMENTO" sheetId="7" r:id="rId5"/>
    <sheet name="FECHAMENTO EM ALVENARIA" sheetId="9" r:id="rId6"/>
    <sheet name="TABELAS LÍBANO" sheetId="10" r:id="rId7"/>
  </sheets>
  <definedNames>
    <definedName name="_xlnm.Print_Area" localSheetId="0">'CONTENÇÃO RÁPIDA'!$K$1:$T$259</definedName>
    <definedName name="_xlnm.Print_Area" localSheetId="1">'DIMENSIONAMENTO PILAR'!$K$1:$T$639</definedName>
  </definedNames>
  <calcPr calcId="191029" fullCalcOnLoad="1" iterate="1" iterateCount="1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" l="1"/>
  <c r="M8" i="1"/>
  <c r="Q23" i="1"/>
  <c r="Q24" i="1"/>
  <c r="M29" i="1"/>
  <c r="M25" i="1"/>
  <c r="M27" i="1" s="1"/>
  <c r="M9" i="1"/>
  <c r="Q27" i="1" l="1"/>
  <c r="M30" i="1"/>
  <c r="M31" i="1"/>
  <c r="M10" i="1"/>
  <c r="M22" i="1" s="1"/>
  <c r="Q25" i="1"/>
  <c r="Q26" i="1" s="1"/>
  <c r="B34" i="1"/>
  <c r="B9" i="1"/>
  <c r="M23" i="1" l="1"/>
  <c r="M24" i="1" s="1"/>
  <c r="M11" i="1"/>
  <c r="M12" i="1" s="1"/>
  <c r="B39" i="1"/>
  <c r="B41" i="1" s="1"/>
  <c r="B8" i="1" a="1"/>
  <c r="B35" i="1" s="1"/>
  <c r="B36" i="1" s="1"/>
  <c r="B37" i="1" s="1"/>
  <c r="G38" i="6"/>
  <c r="F32" i="6"/>
  <c r="G73" i="6"/>
  <c r="G66" i="6"/>
  <c r="G53" i="6"/>
  <c r="G52" i="6"/>
  <c r="G49" i="6"/>
  <c r="G48" i="6"/>
  <c r="F48" i="6"/>
  <c r="K11" i="9"/>
  <c r="K6" i="9"/>
  <c r="C48" i="9"/>
  <c r="B1" i="10"/>
  <c r="B2" i="10"/>
  <c r="C8" i="9"/>
  <c r="C5" i="9"/>
  <c r="E6" i="9" s="1"/>
  <c r="C2" i="9"/>
  <c r="C45" i="9" s="1"/>
  <c r="C13" i="9"/>
  <c r="C16" i="9" s="1"/>
  <c r="M28" i="1" l="1"/>
  <c r="M26" i="1"/>
  <c r="M40" i="1"/>
  <c r="M34" i="1"/>
  <c r="M36" i="1"/>
  <c r="B50" i="1"/>
  <c r="B49" i="1"/>
  <c r="B43" i="1"/>
  <c r="B44" i="1"/>
  <c r="B46" i="1"/>
  <c r="B47" i="1"/>
  <c r="B45" i="1"/>
  <c r="B48" i="1"/>
  <c r="B8" i="10"/>
  <c r="B3" i="10"/>
  <c r="E8" i="9"/>
  <c r="C12" i="9" s="1"/>
  <c r="C19" i="9"/>
  <c r="C18" i="9"/>
  <c r="D21" i="9"/>
  <c r="B38" i="1" l="1"/>
  <c r="B3" i="7"/>
  <c r="B34" i="7" s="1"/>
  <c r="B4" i="7"/>
  <c r="B42" i="1" l="1"/>
  <c r="B40" i="1"/>
  <c r="E84" i="1"/>
  <c r="E85" i="1"/>
  <c r="E86" i="1"/>
  <c r="E87" i="1"/>
  <c r="E88" i="1"/>
  <c r="E89" i="1"/>
  <c r="E90" i="1"/>
  <c r="E4" i="7"/>
  <c r="B8" i="7"/>
  <c r="B5" i="7"/>
  <c r="B27" i="7" l="1"/>
  <c r="B11" i="7" s="1"/>
  <c r="B24" i="1" s="1"/>
  <c r="B35" i="7"/>
  <c r="B43" i="7"/>
  <c r="B7" i="7"/>
  <c r="B6" i="7"/>
  <c r="B21" i="7"/>
  <c r="B31" i="7"/>
  <c r="B30" i="7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2" i="6"/>
  <c r="B36" i="7" l="1"/>
  <c r="B30" i="1" s="1"/>
  <c r="B28" i="7"/>
  <c r="B29" i="7" s="1"/>
  <c r="B50" i="7" s="1"/>
  <c r="B26" i="7"/>
  <c r="B12" i="7" s="1"/>
  <c r="B25" i="1" s="1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G64" i="6"/>
  <c r="G65" i="6" s="1"/>
  <c r="G67" i="6" s="1"/>
  <c r="G68" i="6" s="1"/>
  <c r="G69" i="6" s="1"/>
  <c r="G70" i="6" s="1"/>
  <c r="G71" i="6" s="1"/>
  <c r="G72" i="6" s="1"/>
  <c r="G74" i="6" s="1"/>
  <c r="G75" i="6" s="1"/>
  <c r="G76" i="6" s="1"/>
  <c r="G77" i="6" s="1"/>
  <c r="G78" i="6" s="1"/>
  <c r="G79" i="6" s="1"/>
  <c r="G80" i="6" s="1"/>
  <c r="G81" i="6" s="1"/>
  <c r="G82" i="6" s="1"/>
  <c r="G44" i="6"/>
  <c r="G45" i="6" s="1"/>
  <c r="G46" i="6" s="1"/>
  <c r="G47" i="6" s="1"/>
  <c r="G50" i="6" s="1"/>
  <c r="G51" i="6" s="1"/>
  <c r="G54" i="6" s="1"/>
  <c r="G55" i="6" s="1"/>
  <c r="G56" i="6" s="1"/>
  <c r="G57" i="6" s="1"/>
  <c r="G58" i="6" s="1"/>
  <c r="G59" i="6" s="1"/>
  <c r="G60" i="6" s="1"/>
  <c r="G61" i="6" s="1"/>
  <c r="G62" i="6" s="1"/>
  <c r="G39" i="6"/>
  <c r="G40" i="6" s="1"/>
  <c r="G41" i="6" s="1"/>
  <c r="G42" i="6" s="1"/>
  <c r="B46" i="7" l="1"/>
  <c r="B53" i="7"/>
  <c r="B39" i="7"/>
  <c r="B22" i="7" s="1"/>
  <c r="B23" i="7" l="1"/>
  <c r="B31" i="1"/>
  <c r="B40" i="7"/>
  <c r="B13" i="7" s="1"/>
  <c r="B26" i="1" s="1"/>
  <c r="D24" i="4"/>
  <c r="D26" i="4" s="1"/>
  <c r="B87" i="1" s="1"/>
  <c r="B90" i="1"/>
  <c r="B85" i="1"/>
  <c r="D16" i="4" s="1"/>
  <c r="D21" i="4" s="1"/>
  <c r="B86" i="1" l="1"/>
  <c r="B91" i="1"/>
  <c r="B41" i="7"/>
  <c r="B42" i="7" s="1"/>
  <c r="S13" i="4"/>
  <c r="T13" i="4" s="1"/>
  <c r="O16" i="4" s="1"/>
  <c r="D20" i="4"/>
  <c r="D19" i="4" s="1"/>
  <c r="Q8" i="4" s="1"/>
  <c r="B47" i="7" l="1"/>
  <c r="B14" i="7" s="1"/>
  <c r="B27" i="1" s="1"/>
  <c r="B9" i="7"/>
  <c r="T8" i="4"/>
  <c r="D18" i="4"/>
  <c r="Q7" i="4" s="1"/>
  <c r="Q9" i="4"/>
  <c r="T9" i="4" s="1"/>
  <c r="P9" i="4"/>
  <c r="S9" i="4" s="1"/>
  <c r="P8" i="4"/>
  <c r="S8" i="4" s="1"/>
  <c r="B51" i="7" l="1"/>
  <c r="B52" i="7" s="1"/>
  <c r="B15" i="7" s="1"/>
  <c r="B28" i="1" s="1"/>
  <c r="P7" i="4"/>
  <c r="S7" i="4" s="1"/>
  <c r="T7" i="4"/>
  <c r="Q11" i="4"/>
  <c r="P11" i="4" l="1"/>
  <c r="B89" i="1" l="1"/>
  <c r="B88" i="1"/>
  <c r="B92" i="1" l="1"/>
  <c r="B57" i="1"/>
  <c r="B66" i="1" s="1"/>
  <c r="B58" i="1"/>
  <c r="B74" i="1"/>
  <c r="B78" i="1" s="1"/>
  <c r="B73" i="1"/>
  <c r="B82" i="1" s="1"/>
  <c r="B7" i="10" l="1"/>
  <c r="B80" i="1"/>
  <c r="B81" i="1" s="1"/>
  <c r="E6" i="10" l="1"/>
  <c r="E4" i="10"/>
  <c r="E5" i="10"/>
  <c r="B52" i="1" l="1"/>
  <c r="B62" i="1" s="1"/>
  <c r="B15" i="1"/>
  <c r="C9" i="9" s="1"/>
  <c r="C14" i="9" s="1"/>
  <c r="F21" i="9" s="1"/>
  <c r="C22" i="9" s="1"/>
  <c r="E22" i="9" s="1"/>
  <c r="B53" i="1" l="1"/>
  <c r="B64" i="1"/>
  <c r="B65" i="1" s="1"/>
  <c r="B23" i="1"/>
  <c r="C23" i="9"/>
  <c r="C24" i="9" s="1"/>
  <c r="D24" i="9" s="1"/>
  <c r="B26" i="9" l="1"/>
  <c r="B27" i="9"/>
  <c r="B28" i="9"/>
  <c r="C41" i="9"/>
  <c r="C31" i="9" l="1"/>
  <c r="B38" i="9" s="1"/>
  <c r="B32" i="9" l="1"/>
  <c r="C34" i="9"/>
  <c r="D31" i="9"/>
  <c r="B34" i="9"/>
  <c r="E31" i="9"/>
  <c r="C36" i="9" s="1"/>
  <c r="C44" i="9" s="1"/>
  <c r="E44" i="9" s="1"/>
  <c r="C49" i="9" s="1"/>
  <c r="E48" i="9" l="1"/>
  <c r="B2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Eduardo Godoy Ferreira</author>
  </authors>
  <commentList>
    <comment ref="L35" authorId="0" shapeId="0" xr:uid="{22BD783C-E0BE-4287-BF4C-61A406FE96C5}">
      <text>
        <r>
          <rPr>
            <b/>
            <sz val="9"/>
            <color indexed="81"/>
            <rFont val="Segoe UI"/>
            <family val="2"/>
          </rPr>
          <t>Carlos Eduardo Godoy Ferreira:</t>
        </r>
        <r>
          <rPr>
            <sz val="9"/>
            <color indexed="81"/>
            <rFont val="Segoe UI"/>
            <family val="2"/>
          </rPr>
          <t xml:space="preserve">
Momento em pilar biapoiado no comprimento indicado</t>
        </r>
      </text>
    </comment>
    <comment ref="L39" authorId="0" shapeId="0" xr:uid="{3BAEEEE5-0A33-4A3E-9D2E-9063579A261D}">
      <text>
        <r>
          <rPr>
            <b/>
            <sz val="9"/>
            <color indexed="81"/>
            <rFont val="Segoe UI"/>
            <family val="2"/>
          </rPr>
          <t>Carlos Eduardo Godoy Ferreira:</t>
        </r>
        <r>
          <rPr>
            <sz val="9"/>
            <color indexed="81"/>
            <rFont val="Segoe UI"/>
            <family val="2"/>
          </rPr>
          <t xml:space="preserve">
Momento em pilar biapoiado no comprimento indicado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<sst xmlns="http://schemas.openxmlformats.org/spreadsheetml/2006/main" count="559" uniqueCount="298">
  <si>
    <t>Peso específico (γ):</t>
  </si>
  <si>
    <t>Coesão [c]:</t>
  </si>
  <si>
    <t>Ângulo de atrito (φ):</t>
  </si>
  <si>
    <t>KN/m²</t>
  </si>
  <si>
    <t>Kpa</t>
  </si>
  <si>
    <t>KN/m³</t>
  </si>
  <si>
    <t>m</t>
  </si>
  <si>
    <t>KN/m</t>
  </si>
  <si>
    <t>Ea(total)=Ea.D</t>
  </si>
  <si>
    <t>KN</t>
  </si>
  <si>
    <t>Tf</t>
  </si>
  <si>
    <t>Ponto de aplicação=B/3</t>
  </si>
  <si>
    <t>Tensão A=</t>
  </si>
  <si>
    <t>Tensão B=</t>
  </si>
  <si>
    <t>Kgf.m</t>
  </si>
  <si>
    <t>dimensões viga (h):</t>
  </si>
  <si>
    <t>dimensões viga (b):</t>
  </si>
  <si>
    <t>cm</t>
  </si>
  <si>
    <t>As mín:</t>
  </si>
  <si>
    <t>cm²</t>
  </si>
  <si>
    <t>Kc=(b.d²)/Md</t>
  </si>
  <si>
    <t>d:</t>
  </si>
  <si>
    <t>Ø barra:</t>
  </si>
  <si>
    <t>mm</t>
  </si>
  <si>
    <t>estribo:</t>
  </si>
  <si>
    <t>cobrimento:</t>
  </si>
  <si>
    <t>*ver tabela</t>
  </si>
  <si>
    <t>Ks (tabela):</t>
  </si>
  <si>
    <t>As cálculado:</t>
  </si>
  <si>
    <t>Ø</t>
  </si>
  <si>
    <t>barras</t>
  </si>
  <si>
    <t>DIMENSIONAMENTO VIGA</t>
  </si>
  <si>
    <t>CÁLCULO DAS CARGAS</t>
  </si>
  <si>
    <t>DIMENSIONAMENTO PILAR</t>
  </si>
  <si>
    <t>dimensões pilar (h):</t>
  </si>
  <si>
    <t>dimensões pilar (b):</t>
  </si>
  <si>
    <t>Qtd de barras mínima:</t>
  </si>
  <si>
    <t>Qtd de barras cálculado:</t>
  </si>
  <si>
    <t>Momento fletor (Mk):</t>
  </si>
  <si>
    <t>Peso PILAR</t>
  </si>
  <si>
    <t>Peso VIGA</t>
  </si>
  <si>
    <t xml:space="preserve"> </t>
  </si>
  <si>
    <t>Materiais Para Assentamento de tijolo furado</t>
  </si>
  <si>
    <t>- Incluída perda de 7% para tijolos</t>
  </si>
  <si>
    <t>ASSENTAMENTO</t>
  </si>
  <si>
    <t>1 BETONEIRA</t>
  </si>
  <si>
    <t>- Descontar a área das portas e janelas da área da parede</t>
  </si>
  <si>
    <t>TRAÇO EM LATAS DE 18L</t>
  </si>
  <si>
    <t>10L</t>
  </si>
  <si>
    <t>18L</t>
  </si>
  <si>
    <t>- A junta entre os tijolos normalmente é de 1,5 cm</t>
  </si>
  <si>
    <t>CIMENTO</t>
  </si>
  <si>
    <t>Proporção de Cimento</t>
  </si>
  <si>
    <t>CAL</t>
  </si>
  <si>
    <t>Proporção de Cal</t>
  </si>
  <si>
    <t>AREIA</t>
  </si>
  <si>
    <t>Proporção de Areia</t>
  </si>
  <si>
    <t xml:space="preserve">Largura da Junta </t>
  </si>
  <si>
    <t>ÁGUA</t>
  </si>
  <si>
    <t>VOLUME DE ARGAMASSA</t>
  </si>
  <si>
    <t>Largura Tijolo</t>
  </si>
  <si>
    <t>ÁGUA/CIMENTO</t>
  </si>
  <si>
    <t>M³/M²</t>
  </si>
  <si>
    <t>TOTAL M³</t>
  </si>
  <si>
    <t>Altura Tijolo</t>
  </si>
  <si>
    <t>Comprimento Tijolo</t>
  </si>
  <si>
    <t>QTD</t>
  </si>
  <si>
    <t>BETONEIRA 400L (350L)</t>
  </si>
  <si>
    <t>Área de Parede</t>
  </si>
  <si>
    <t>m2</t>
  </si>
  <si>
    <t>Resultado:</t>
  </si>
  <si>
    <t>Quantidade de cimento</t>
  </si>
  <si>
    <t>saco de 50 kg</t>
  </si>
  <si>
    <t>Quantidade de cal</t>
  </si>
  <si>
    <t>saco de 20 Kg</t>
  </si>
  <si>
    <t>Quantidade de areia</t>
  </si>
  <si>
    <t>m3</t>
  </si>
  <si>
    <t>Quantidade de tijolos</t>
  </si>
  <si>
    <t>unidades</t>
  </si>
  <si>
    <t>Área de alvenaria</t>
  </si>
  <si>
    <t>m²</t>
  </si>
  <si>
    <t>Peso dos BlOCOS</t>
  </si>
  <si>
    <t>Peso do bloco</t>
  </si>
  <si>
    <t>kg</t>
  </si>
  <si>
    <t>Peso SAPATA</t>
  </si>
  <si>
    <t>GRAUTE</t>
  </si>
  <si>
    <t>QTD DE GRAUTES</t>
  </si>
  <si>
    <t>ÁREA DO SEPTO</t>
  </si>
  <si>
    <t>M²</t>
  </si>
  <si>
    <t>GRAUTES</t>
  </si>
  <si>
    <t>VOLUME DE GRAUTE</t>
  </si>
  <si>
    <t>PESO ESPECÍFICO GRAUTE</t>
  </si>
  <si>
    <t>M³</t>
  </si>
  <si>
    <t>Peso GRAUTE</t>
  </si>
  <si>
    <t>Peso total da seção do muro</t>
  </si>
  <si>
    <t>barras/ lado</t>
  </si>
  <si>
    <t>Momento fletor (Md):</t>
  </si>
  <si>
    <t>Momento fletor (Md) (Ver no Eberick):</t>
  </si>
  <si>
    <t>Argila/ Silte Fofo(SPT 5-)</t>
  </si>
  <si>
    <t>Argila/ Silte Média(SPT 6-9)</t>
  </si>
  <si>
    <t>Argila/ Silte Rijo(SPT 10-19)</t>
  </si>
  <si>
    <t>Argila/ Silte Duro(SPT 20+)</t>
  </si>
  <si>
    <t>Areia Fofa(SPT 8-)</t>
  </si>
  <si>
    <t>Areia Média(SPT 9-18)</t>
  </si>
  <si>
    <t>Areia Compacta(SPT 19-39)</t>
  </si>
  <si>
    <t>Areia Muito Compacta(SPT 40+)</t>
  </si>
  <si>
    <t>SOLO</t>
  </si>
  <si>
    <t>TIPO DE SOLO</t>
  </si>
  <si>
    <t>SPT</t>
  </si>
  <si>
    <t>coesão KN/M²</t>
  </si>
  <si>
    <t>ângulo de atrito</t>
  </si>
  <si>
    <t>fonte: Alonso (1943)</t>
  </si>
  <si>
    <t>γ (KN/m³)</t>
  </si>
  <si>
    <t>NSPT (laudo de sondagem)</t>
  </si>
  <si>
    <r>
      <rPr>
        <sz val="12"/>
        <color theme="0" tint="-0.34998626667073579"/>
        <rFont val="Calibri"/>
        <family val="2"/>
        <scheme val="minor"/>
      </rPr>
      <t>Tensão</t>
    </r>
    <r>
      <rPr>
        <sz val="16"/>
        <color theme="0" tint="-0.34998626667073579"/>
        <rFont val="Calibri"/>
        <family val="2"/>
        <scheme val="minor"/>
      </rPr>
      <t xml:space="preserve"> (σ</t>
    </r>
    <r>
      <rPr>
        <sz val="11"/>
        <color theme="0" tint="-0.34998626667073579"/>
        <rFont val="Calibri"/>
        <family val="2"/>
        <scheme val="minor"/>
      </rPr>
      <t>a): KN/m²</t>
    </r>
  </si>
  <si>
    <t>cm/cm</t>
  </si>
  <si>
    <t>PESO PRÓPRIO</t>
  </si>
  <si>
    <t>Solo</t>
  </si>
  <si>
    <t>K</t>
  </si>
  <si>
    <t>y</t>
  </si>
  <si>
    <t>C</t>
  </si>
  <si>
    <t>Área efeitva:</t>
  </si>
  <si>
    <t>Peso do bloco:</t>
  </si>
  <si>
    <t>tf/m</t>
  </si>
  <si>
    <t>Fc:</t>
  </si>
  <si>
    <t>Mpa</t>
  </si>
  <si>
    <t>Área por metro:</t>
  </si>
  <si>
    <t>Peso Grout:</t>
  </si>
  <si>
    <t>Espessura blocos</t>
  </si>
  <si>
    <t>Fyk:</t>
  </si>
  <si>
    <t>Fcd:</t>
  </si>
  <si>
    <t>tf/cm²</t>
  </si>
  <si>
    <t>Espessura parede do bloco:</t>
  </si>
  <si>
    <t>Fyd:</t>
  </si>
  <si>
    <t>Nrd:</t>
  </si>
  <si>
    <t>Largura do bloco:</t>
  </si>
  <si>
    <t>Empuxo ativo:</t>
  </si>
  <si>
    <t>tf/m²</t>
  </si>
  <si>
    <t>Coesão</t>
  </si>
  <si>
    <t>Altura efetiva:</t>
  </si>
  <si>
    <t>MOMENTO FLETOR</t>
  </si>
  <si>
    <t>tf.cm/m</t>
  </si>
  <si>
    <t>Momento abaixo do limite?</t>
  </si>
  <si>
    <t>μ (mi)</t>
  </si>
  <si>
    <t>Resiste ao cisalhamento?</t>
  </si>
  <si>
    <t>ξ (xi)</t>
  </si>
  <si>
    <t>Resiste a carga gravitacional?</t>
  </si>
  <si>
    <t>Área de aço (As)</t>
  </si>
  <si>
    <t>cm²/m</t>
  </si>
  <si>
    <t>As barra:</t>
  </si>
  <si>
    <t>Ø Barra:</t>
  </si>
  <si>
    <t>Espaçamento a cada:</t>
  </si>
  <si>
    <t>furos</t>
  </si>
  <si>
    <t>CISALHAMENTO</t>
  </si>
  <si>
    <t>Tf/m</t>
  </si>
  <si>
    <t>Vr:</t>
  </si>
  <si>
    <t>Distância entre pilares:</t>
  </si>
  <si>
    <t>Momento - base do pilar:</t>
  </si>
  <si>
    <t>kgf.m</t>
  </si>
  <si>
    <t>Força horizontal - base pilar:</t>
  </si>
  <si>
    <t>tf</t>
  </si>
  <si>
    <t>Carga no pilar (lançar no pilar)</t>
  </si>
  <si>
    <t>Md (aplicar na fundação):</t>
  </si>
  <si>
    <t>Vd (aplicar na fundação):</t>
  </si>
  <si>
    <t>N/m (aplicar no baldrame):</t>
  </si>
  <si>
    <t>Esbeltez da alvenaria abaixo do limite?</t>
  </si>
  <si>
    <t>Esbeltez da alvenaria:</t>
  </si>
  <si>
    <t>Esbeltez do pilar:</t>
  </si>
  <si>
    <t>Esbeltez do pilar abaixo do limite?</t>
  </si>
  <si>
    <t>Espessura dos blocos:</t>
  </si>
  <si>
    <t>FECHAMENTO DA ALVENARIA/ MURO APENAS DE BLOCO</t>
  </si>
  <si>
    <t>EMPUXO NA ALVENARIA</t>
  </si>
  <si>
    <t>K (coeficiente de empuxo ativo)</t>
  </si>
  <si>
    <t>Ka</t>
  </si>
  <si>
    <t>fator c</t>
  </si>
  <si>
    <t>Altura efetiva da contenção:</t>
  </si>
  <si>
    <t>Peso alvenaria (aplicar no baldrame)</t>
  </si>
  <si>
    <t>kgf/m</t>
  </si>
  <si>
    <t>Pa=σa.Ka - 2.c.√Ka</t>
  </si>
  <si>
    <t>Estimativa de Parâmetros dos Solos - Argilas/ Areias - CURSO DOMINE ENGENHARIA ESTRUTURAL V2.0</t>
  </si>
  <si>
    <t>Quantidade de blocos entre pilares</t>
  </si>
  <si>
    <t>blocos</t>
  </si>
  <si>
    <t>Altura pilar (H):</t>
  </si>
  <si>
    <t>Ea=(Pa.H)/2</t>
  </si>
  <si>
    <t>Fechamento da alvenaria (até 2 metros)</t>
  </si>
  <si>
    <t>AVISOS</t>
  </si>
  <si>
    <t>Momento alvenaria abaixo do limite?</t>
  </si>
  <si>
    <t>Alvenaria resiste ao cisalhamento?</t>
  </si>
  <si>
    <t>Alvenaria resiste a carga gravitacional?</t>
  </si>
  <si>
    <t>Resistência a compressão bloco</t>
  </si>
  <si>
    <t>Distância entre pilares (D):</t>
  </si>
  <si>
    <t>DADOS SOLO E PILARES:</t>
  </si>
  <si>
    <t>DADOS FECHAMENTO EM ALVENARIA:</t>
  </si>
  <si>
    <t>Solo se autosustenta?</t>
  </si>
  <si>
    <t>Considerar solo coesivo?</t>
  </si>
  <si>
    <t>Sim</t>
  </si>
  <si>
    <t>Não</t>
  </si>
  <si>
    <t>Apenas 50% de coesão</t>
  </si>
  <si>
    <t>Aplicar carga em:</t>
  </si>
  <si>
    <t>Aplicar carga:</t>
  </si>
  <si>
    <t>....</t>
  </si>
  <si>
    <t>Fechamento de alvenaria:</t>
  </si>
  <si>
    <t>Altura do pilar do muro de arrimo</t>
  </si>
  <si>
    <t>Fator de Eficiência (%)</t>
  </si>
  <si>
    <t>fpk,oco</t>
  </si>
  <si>
    <r>
      <t>f</t>
    </r>
    <r>
      <rPr>
        <b/>
        <sz val="8"/>
        <rFont val="Arial"/>
        <family val="2"/>
      </rPr>
      <t xml:space="preserve">pk,cheio </t>
    </r>
    <r>
      <rPr>
        <b/>
        <sz val="10"/>
        <rFont val="Arial"/>
        <family val="2"/>
      </rPr>
      <t>/ f</t>
    </r>
    <r>
      <rPr>
        <b/>
        <sz val="8"/>
        <rFont val="Arial"/>
        <family val="2"/>
      </rPr>
      <t>pk,oco</t>
    </r>
    <r>
      <rPr>
        <b/>
        <sz val="10"/>
        <rFont val="Arial"/>
        <family val="2"/>
      </rPr>
      <t xml:space="preserve">         (%)</t>
    </r>
  </si>
  <si>
    <t>Porcentagem de graute</t>
  </si>
  <si>
    <t>fpk,cheio</t>
  </si>
  <si>
    <t>Mk</t>
  </si>
  <si>
    <t>KN.m</t>
  </si>
  <si>
    <t>Valores de cálculo</t>
  </si>
  <si>
    <t>fd</t>
  </si>
  <si>
    <t>kN/cm²</t>
  </si>
  <si>
    <t>fyd</t>
  </si>
  <si>
    <t>Md</t>
  </si>
  <si>
    <t>KN.cm</t>
  </si>
  <si>
    <t>Cálculo de εyd</t>
  </si>
  <si>
    <t>εyd</t>
  </si>
  <si>
    <t>Limíte dos domínios</t>
  </si>
  <si>
    <t>x2lim</t>
  </si>
  <si>
    <t>x3lim</t>
  </si>
  <si>
    <t>Cálculo de x</t>
  </si>
  <si>
    <t>x²        -</t>
  </si>
  <si>
    <t>x      +</t>
  </si>
  <si>
    <t>= 0</t>
  </si>
  <si>
    <t>Δ</t>
  </si>
  <si>
    <t>x</t>
  </si>
  <si>
    <t>βx</t>
  </si>
  <si>
    <t>Verificação do Domínio</t>
  </si>
  <si>
    <t>CÁLCULO DA TENSÃO NO AÇO</t>
  </si>
  <si>
    <t>σ s =</t>
  </si>
  <si>
    <t>σ s</t>
  </si>
  <si>
    <t>Cálculo de Rc</t>
  </si>
  <si>
    <t>Rc</t>
  </si>
  <si>
    <t>kN</t>
  </si>
  <si>
    <t>Cálculo de As</t>
  </si>
  <si>
    <t>As</t>
  </si>
  <si>
    <t>As,min</t>
  </si>
  <si>
    <t>φ</t>
  </si>
  <si>
    <t>C/</t>
  </si>
  <si>
    <t>espaçamento p/painéis</t>
  </si>
  <si>
    <t>n</t>
  </si>
  <si>
    <t>número de barras</t>
  </si>
  <si>
    <t>ALVENARIA ESTRUTURAL - FLEXÃO SIMPLES SEÇÃO RETANGULAR ARMADURA SIMPLES</t>
  </si>
  <si>
    <t>d (espessura - 5 cm)</t>
  </si>
  <si>
    <t>bw (largura da alvenaria</t>
  </si>
  <si>
    <t>Aço CA50</t>
  </si>
  <si>
    <t>Resistência característica do blocofbk (Mpa)</t>
  </si>
  <si>
    <t>Porcentagem de graute:</t>
  </si>
  <si>
    <t>%</t>
  </si>
  <si>
    <t>Momento solicitante (Mk) - Líbano</t>
  </si>
  <si>
    <t>Kn.m</t>
  </si>
  <si>
    <t>La</t>
  </si>
  <si>
    <t>Lb</t>
  </si>
  <si>
    <t>μ'x</t>
  </si>
  <si>
    <t>μx</t>
  </si>
  <si>
    <t>μy</t>
  </si>
  <si>
    <t>p</t>
  </si>
  <si>
    <t>l (menor entre La e Lb</t>
  </si>
  <si>
    <t>mμx</t>
  </si>
  <si>
    <t>mμ'x</t>
  </si>
  <si>
    <t>mμy</t>
  </si>
  <si>
    <t>Kn.m/m</t>
  </si>
  <si>
    <t>Momento no Pilar</t>
  </si>
  <si>
    <t>Ka = tan²(45 - φ/2)</t>
  </si>
  <si>
    <t>Ka = tan²(45 - 30/2) = tan²(30) = 0.33 </t>
  </si>
  <si>
    <t>kN/m</t>
  </si>
  <si>
    <t>Carga Placa 1 h100cm</t>
  </si>
  <si>
    <t>Carga Placa 2 h100cm</t>
  </si>
  <si>
    <t>Carga Placa 3 h100cm</t>
  </si>
  <si>
    <t>Carga Placa 4 h100cm</t>
  </si>
  <si>
    <t>Carga Placa 5 h100cm</t>
  </si>
  <si>
    <t>Carga Placa 6 h100cm</t>
  </si>
  <si>
    <t>Sc</t>
  </si>
  <si>
    <t>kN/m²</t>
  </si>
  <si>
    <t>Pa,sup</t>
  </si>
  <si>
    <t>h,eq</t>
  </si>
  <si>
    <t>Pa,inf</t>
  </si>
  <si>
    <t>Momento máximo</t>
  </si>
  <si>
    <t>kN*m</t>
  </si>
  <si>
    <t>Momento máximo variado</t>
  </si>
  <si>
    <t>Cota de verificação</t>
  </si>
  <si>
    <t>Momento Pilar biapoiado</t>
  </si>
  <si>
    <t>Momento Pilar engastado/livre</t>
  </si>
  <si>
    <t>em ajuste</t>
  </si>
  <si>
    <t>Pa</t>
  </si>
  <si>
    <t>bw,laje</t>
  </si>
  <si>
    <t>º</t>
  </si>
  <si>
    <t>h</t>
  </si>
  <si>
    <t>Pa = G</t>
  </si>
  <si>
    <t>Pa = Q</t>
  </si>
  <si>
    <t>Largura da laje.</t>
  </si>
  <si>
    <t>Altura equivalente ocasionada pela sobrecarga.</t>
  </si>
  <si>
    <t>Altura da contenção.</t>
  </si>
  <si>
    <t>Tensão atuante.</t>
  </si>
  <si>
    <t>Resultante na laje devido às cargas permanentes.</t>
  </si>
  <si>
    <t>Resultante na laje devido às cargas variáveis.</t>
  </si>
  <si>
    <t>Sobrecargas em lajes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</si>
</sst>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"/>
    <numFmt numFmtId="166" formatCode="0.00000"/>
    <numFmt numFmtId="167" formatCode="0.000%"/>
    <numFmt numFmtId="168" formatCode="0.00"/>
    <numFmt numFmtId="169" formatCode="&quot;Ø &quot;0.0&quot; mm&quot;"/>
  </numFmts>
  <fonts count="3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16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2"/>
      <color theme="0" tint="-0.34998626667073579"/>
      <name val="Calibri"/>
      <family val="2"/>
      <scheme val="minor"/>
    </font>
    <font>
      <sz val="16"/>
      <color theme="0" tint="-0.34998626667073579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name val="Arial"/>
      <family val="2"/>
    </font>
    <font>
      <b/>
      <sz val="8"/>
      <name val="Arial"/>
      <family val="2"/>
    </font>
    <font>
      <i/>
      <sz val="11"/>
      <color theme="1"/>
      <name val="Times New Roman"/>
      <family val="1"/>
    </font>
    <font>
      <b/>
      <i/>
      <u/>
      <sz val="14"/>
      <color theme="1"/>
      <name val="Times New Roman"/>
      <family val="1"/>
    </font>
    <font>
      <i/>
      <sz val="11"/>
      <name val="Times New Roman"/>
      <family val="1"/>
    </font>
    <font>
      <i/>
      <sz val="11"/>
      <color rgb="FFFF0000"/>
      <name val="Times New Roman"/>
      <family val="1"/>
    </font>
    <font>
      <sz val="11"/>
      <color rgb="FFFF0000"/>
      <name val="Times New Roman"/>
      <family val="1"/>
    </font>
    <font>
      <b/>
      <i/>
      <u/>
      <sz val="11"/>
      <color theme="1"/>
      <name val="Times New Roman"/>
      <family val="1"/>
    </font>
    <font>
      <b/>
      <i/>
      <sz val="11"/>
      <color rgb="FFFF0000"/>
      <name val="Times New Roman"/>
      <family val="1"/>
    </font>
    <font>
      <sz val="14"/>
      <color theme="1"/>
      <name val="Calibri"/>
      <family val="2"/>
    </font>
    <font>
      <sz val="14"/>
      <name val="Arial"/>
      <family val="2"/>
    </font>
    <font>
      <sz val="8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theme="2" tint="-9.9978637043366805E-2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i/>
      <sz val="11"/>
      <color theme="1"/>
      <name val="Aptos Narrow"/>
      <family val="2"/>
    </font>
    <font>
      <i/>
      <sz val="11"/>
      <color rgb="FFFF0000"/>
      <name val="Aptos Narrow"/>
      <family val="2"/>
    </font>
    <font>
      <b/>
      <sz val="11"/>
      <color rgb="FFC00000"/>
      <name val="Aptos Narrow"/>
      <family val="2"/>
    </font>
  </fonts>
  <fills count="1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D1D1D1"/>
        <bgColor indexed="64"/>
      </patternFill>
    </fill>
    <fill>
      <patternFill patternType="solid">
        <fgColor rgb="FFFFF2CC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rgb="FFFF0000"/>
      </left>
      <right style="thin">
        <color rgb="FFFF000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0000"/>
      </left>
      <right style="thin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FF0000"/>
      </left>
      <right style="thin">
        <color rgb="FFFF0000"/>
      </right>
      <top style="thin">
        <color indexed="64"/>
      </top>
      <bottom style="thin">
        <color rgb="FFFF0000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9" fontId="15" fillId="0" borderId="0" applyFont="0" applyFill="0" applyBorder="0" applyAlignment="0" applyProtection="0"/>
    <xf numFmtId="0" fontId="3" fillId="0" borderId="0"/>
  </cellStyleXfs>
  <cellXfs count="24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9" xfId="0" applyBorder="1"/>
    <xf numFmtId="0" fontId="0" fillId="0" borderId="7" xfId="0" applyBorder="1"/>
    <xf numFmtId="0" fontId="0" fillId="0" borderId="0" xfId="0" applyAlignment="1">
      <alignment horizontal="left"/>
    </xf>
    <xf numFmtId="0" fontId="0" fillId="0" borderId="7" xfId="0" applyBorder="1" applyAlignment="1">
      <alignment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0" fontId="0" fillId="0" borderId="11" xfId="0" applyBorder="1"/>
    <xf numFmtId="0" fontId="0" fillId="0" borderId="6" xfId="0" applyBorder="1"/>
    <xf numFmtId="0" fontId="0" fillId="0" borderId="6" xfId="0" applyBorder="1" applyAlignment="1">
      <alignment horizontal="left"/>
    </xf>
    <xf numFmtId="0" fontId="2" fillId="5" borderId="7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5" fillId="5" borderId="7" xfId="0" quotePrefix="1" applyFont="1" applyFill="1" applyBorder="1" applyAlignment="1">
      <alignment horizontal="left"/>
    </xf>
    <xf numFmtId="0" fontId="2" fillId="5" borderId="0" xfId="0" applyFont="1" applyFill="1" applyAlignment="1">
      <alignment horizontal="left"/>
    </xf>
    <xf numFmtId="0" fontId="2" fillId="5" borderId="9" xfId="0" applyFont="1" applyFill="1" applyBorder="1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0" fillId="5" borderId="0" xfId="0" applyFill="1" applyAlignment="1">
      <alignment horizontal="left"/>
    </xf>
    <xf numFmtId="0" fontId="0" fillId="5" borderId="9" xfId="0" applyFill="1" applyBorder="1" applyAlignment="1">
      <alignment horizontal="left"/>
    </xf>
    <xf numFmtId="164" fontId="0" fillId="0" borderId="14" xfId="0" applyNumberFormat="1" applyBorder="1" applyAlignment="1">
      <alignment horizontal="center"/>
    </xf>
    <xf numFmtId="164" fontId="0" fillId="0" borderId="15" xfId="0" applyNumberFormat="1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0" borderId="17" xfId="0" applyNumberFormat="1" applyBorder="1" applyAlignment="1">
      <alignment horizontal="center"/>
    </xf>
    <xf numFmtId="164" fontId="0" fillId="0" borderId="18" xfId="0" applyNumberFormat="1" applyBorder="1" applyAlignment="1">
      <alignment horizontal="center"/>
    </xf>
    <xf numFmtId="0" fontId="0" fillId="6" borderId="14" xfId="0" applyFill="1" applyBorder="1"/>
    <xf numFmtId="0" fontId="0" fillId="6" borderId="15" xfId="0" applyFill="1" applyBorder="1"/>
    <xf numFmtId="0" fontId="0" fillId="6" borderId="19" xfId="0" applyFill="1" applyBorder="1" applyProtection="1">
      <protection locked="0"/>
    </xf>
    <xf numFmtId="0" fontId="0" fillId="6" borderId="5" xfId="0" applyFill="1" applyBorder="1"/>
    <xf numFmtId="0" fontId="0" fillId="6" borderId="8" xfId="0" applyFill="1" applyBorder="1"/>
    <xf numFmtId="164" fontId="0" fillId="0" borderId="20" xfId="0" applyNumberFormat="1" applyBorder="1" applyAlignment="1">
      <alignment horizontal="center"/>
    </xf>
    <xf numFmtId="164" fontId="0" fillId="0" borderId="21" xfId="0" applyNumberForma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0" fontId="0" fillId="6" borderId="20" xfId="0" applyFill="1" applyBorder="1"/>
    <xf numFmtId="0" fontId="0" fillId="6" borderId="21" xfId="0" applyFill="1" applyBorder="1"/>
    <xf numFmtId="0" fontId="0" fillId="6" borderId="23" xfId="0" applyFill="1" applyBorder="1" applyProtection="1">
      <protection locked="0"/>
    </xf>
    <xf numFmtId="0" fontId="0" fillId="6" borderId="0" xfId="0" applyFill="1"/>
    <xf numFmtId="0" fontId="0" fillId="6" borderId="9" xfId="0" applyFill="1" applyBorder="1"/>
    <xf numFmtId="164" fontId="0" fillId="0" borderId="24" xfId="0" applyNumberFormat="1" applyBorder="1" applyAlignment="1">
      <alignment horizontal="center"/>
    </xf>
    <xf numFmtId="164" fontId="0" fillId="0" borderId="25" xfId="0" applyNumberFormat="1" applyBorder="1" applyAlignment="1">
      <alignment horizontal="center"/>
    </xf>
    <xf numFmtId="164" fontId="0" fillId="0" borderId="26" xfId="0" applyNumberFormat="1" applyBorder="1" applyAlignment="1">
      <alignment horizontal="center"/>
    </xf>
    <xf numFmtId="164" fontId="0" fillId="0" borderId="27" xfId="0" applyNumberFormat="1" applyBorder="1" applyAlignment="1">
      <alignment horizontal="center"/>
    </xf>
    <xf numFmtId="164" fontId="0" fillId="0" borderId="28" xfId="0" applyNumberFormat="1" applyBorder="1" applyAlignment="1">
      <alignment horizontal="center"/>
    </xf>
    <xf numFmtId="164" fontId="0" fillId="0" borderId="29" xfId="0" applyNumberFormat="1" applyBorder="1" applyAlignment="1">
      <alignment horizontal="center"/>
    </xf>
    <xf numFmtId="164" fontId="0" fillId="0" borderId="30" xfId="0" applyNumberFormat="1" applyBorder="1"/>
    <xf numFmtId="164" fontId="0" fillId="0" borderId="0" xfId="0" applyNumberFormat="1"/>
    <xf numFmtId="165" fontId="0" fillId="0" borderId="20" xfId="0" applyNumberFormat="1" applyBorder="1" applyAlignment="1">
      <alignment horizontal="center"/>
    </xf>
    <xf numFmtId="165" fontId="0" fillId="0" borderId="33" xfId="0" applyNumberFormat="1" applyBorder="1" applyAlignment="1">
      <alignment horizontal="center"/>
    </xf>
    <xf numFmtId="166" fontId="0" fillId="0" borderId="24" xfId="0" applyNumberFormat="1" applyBorder="1" applyAlignment="1">
      <alignment horizontal="center"/>
    </xf>
    <xf numFmtId="2" fontId="0" fillId="0" borderId="3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6" borderId="35" xfId="0" applyFill="1" applyBorder="1" applyProtection="1">
      <protection locked="0"/>
    </xf>
    <xf numFmtId="0" fontId="0" fillId="6" borderId="36" xfId="0" applyFill="1" applyBorder="1"/>
    <xf numFmtId="0" fontId="0" fillId="6" borderId="37" xfId="0" applyFill="1" applyBorder="1"/>
    <xf numFmtId="0" fontId="0" fillId="0" borderId="28" xfId="0" applyBorder="1" applyAlignment="1">
      <alignment horizontal="center"/>
    </xf>
    <xf numFmtId="0" fontId="6" fillId="7" borderId="7" xfId="0" applyFont="1" applyFill="1" applyBorder="1"/>
    <xf numFmtId="0" fontId="0" fillId="7" borderId="0" xfId="0" applyFill="1"/>
    <xf numFmtId="0" fontId="0" fillId="7" borderId="9" xfId="0" applyFill="1" applyBorder="1"/>
    <xf numFmtId="0" fontId="0" fillId="7" borderId="20" xfId="0" applyFill="1" applyBorder="1"/>
    <xf numFmtId="0" fontId="0" fillId="7" borderId="3" xfId="0" applyFill="1" applyBorder="1"/>
    <xf numFmtId="164" fontId="0" fillId="8" borderId="3" xfId="0" applyNumberFormat="1" applyFill="1" applyBorder="1"/>
    <xf numFmtId="0" fontId="0" fillId="7" borderId="38" xfId="0" applyFill="1" applyBorder="1"/>
    <xf numFmtId="0" fontId="0" fillId="7" borderId="39" xfId="0" applyFill="1" applyBorder="1"/>
    <xf numFmtId="0" fontId="0" fillId="7" borderId="24" xfId="0" applyFill="1" applyBorder="1"/>
    <xf numFmtId="0" fontId="0" fillId="7" borderId="40" xfId="0" applyFill="1" applyBorder="1"/>
    <xf numFmtId="1" fontId="0" fillId="8" borderId="40" xfId="0" applyNumberFormat="1" applyFill="1" applyBorder="1"/>
    <xf numFmtId="0" fontId="0" fillId="7" borderId="6" xfId="0" applyFill="1" applyBorder="1"/>
    <xf numFmtId="0" fontId="0" fillId="7" borderId="10" xfId="0" applyFill="1" applyBorder="1"/>
    <xf numFmtId="0" fontId="5" fillId="0" borderId="0" xfId="0" quotePrefix="1" applyFont="1"/>
    <xf numFmtId="0" fontId="0" fillId="0" borderId="0" xfId="0" applyProtection="1">
      <protection locked="0"/>
    </xf>
    <xf numFmtId="0" fontId="6" fillId="0" borderId="0" xfId="0" applyFont="1"/>
    <xf numFmtId="0" fontId="5" fillId="0" borderId="0" xfId="0" applyFont="1"/>
    <xf numFmtId="2" fontId="0" fillId="0" borderId="0" xfId="0" applyNumberFormat="1" applyAlignment="1">
      <alignment horizontal="right" vertical="center"/>
    </xf>
    <xf numFmtId="1" fontId="0" fillId="0" borderId="0" xfId="0" applyNumberFormat="1"/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horizontal="left" vertical="center"/>
    </xf>
    <xf numFmtId="1" fontId="0" fillId="0" borderId="3" xfId="0" applyNumberFormat="1" applyBorder="1"/>
    <xf numFmtId="1" fontId="0" fillId="0" borderId="3" xfId="0" applyNumberFormat="1" applyBorder="1" applyAlignment="1">
      <alignment horizontal="center"/>
    </xf>
    <xf numFmtId="0" fontId="0" fillId="9" borderId="0" xfId="0" applyFill="1"/>
    <xf numFmtId="0" fontId="0" fillId="9" borderId="9" xfId="0" applyFill="1" applyBorder="1"/>
    <xf numFmtId="0" fontId="0" fillId="9" borderId="0" xfId="0" applyFill="1" applyAlignment="1">
      <alignment vertical="center"/>
    </xf>
    <xf numFmtId="2" fontId="0" fillId="0" borderId="3" xfId="0" applyNumberFormat="1" applyBorder="1"/>
    <xf numFmtId="0" fontId="8" fillId="0" borderId="7" xfId="0" applyFont="1" applyBorder="1"/>
    <xf numFmtId="2" fontId="8" fillId="0" borderId="0" xfId="0" applyNumberFormat="1" applyFont="1"/>
    <xf numFmtId="0" fontId="9" fillId="0" borderId="7" xfId="0" applyFont="1" applyBorder="1" applyAlignment="1">
      <alignment horizontal="left" vertical="top" wrapText="1"/>
    </xf>
    <xf numFmtId="2" fontId="9" fillId="0" borderId="0" xfId="0" applyNumberFormat="1" applyFont="1" applyAlignment="1">
      <alignment horizontal="right" vertical="center"/>
    </xf>
    <xf numFmtId="0" fontId="9" fillId="0" borderId="0" xfId="0" applyFont="1" applyAlignment="1">
      <alignment horizontal="left"/>
    </xf>
    <xf numFmtId="0" fontId="9" fillId="0" borderId="7" xfId="0" applyFont="1" applyBorder="1"/>
    <xf numFmtId="2" fontId="9" fillId="0" borderId="0" xfId="0" applyNumberFormat="1" applyFont="1"/>
    <xf numFmtId="0" fontId="9" fillId="0" borderId="7" xfId="0" applyFont="1" applyBorder="1" applyAlignment="1">
      <alignment wrapText="1"/>
    </xf>
    <xf numFmtId="0" fontId="9" fillId="0" borderId="0" xfId="0" applyFont="1"/>
    <xf numFmtId="0" fontId="7" fillId="0" borderId="0" xfId="0" applyFont="1"/>
    <xf numFmtId="0" fontId="8" fillId="0" borderId="0" xfId="0" applyFont="1"/>
    <xf numFmtId="165" fontId="8" fillId="0" borderId="0" xfId="0" applyNumberFormat="1" applyFont="1"/>
    <xf numFmtId="0" fontId="8" fillId="0" borderId="0" xfId="0" applyFont="1" applyAlignment="1">
      <alignment horizontal="center"/>
    </xf>
    <xf numFmtId="164" fontId="8" fillId="0" borderId="0" xfId="0" applyNumberFormat="1" applyFont="1"/>
    <xf numFmtId="0" fontId="12" fillId="0" borderId="0" xfId="0" applyFont="1"/>
    <xf numFmtId="0" fontId="12" fillId="0" borderId="7" xfId="0" applyFont="1" applyBorder="1"/>
    <xf numFmtId="0" fontId="14" fillId="0" borderId="7" xfId="0" applyFont="1" applyBorder="1"/>
    <xf numFmtId="2" fontId="14" fillId="0" borderId="0" xfId="0" applyNumberFormat="1" applyFont="1"/>
    <xf numFmtId="0" fontId="7" fillId="0" borderId="0" xfId="0" applyFont="1" applyAlignment="1">
      <alignment horizontal="left"/>
    </xf>
    <xf numFmtId="0" fontId="0" fillId="4" borderId="13" xfId="0" applyFill="1" applyBorder="1" applyAlignment="1">
      <alignment horizontal="center"/>
    </xf>
    <xf numFmtId="0" fontId="0" fillId="4" borderId="13" xfId="0" applyFill="1" applyBorder="1" applyAlignment="1">
      <alignment horizontal="right"/>
    </xf>
    <xf numFmtId="164" fontId="0" fillId="4" borderId="13" xfId="0" applyNumberFormat="1" applyFill="1" applyBorder="1" applyAlignment="1">
      <alignment horizontal="right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0" fillId="4" borderId="13" xfId="0" applyFill="1" applyBorder="1"/>
    <xf numFmtId="0" fontId="14" fillId="0" borderId="0" xfId="0" applyFont="1" applyAlignment="1">
      <alignment horizontal="left"/>
    </xf>
    <xf numFmtId="0" fontId="8" fillId="0" borderId="9" xfId="0" applyFont="1" applyBorder="1"/>
    <xf numFmtId="0" fontId="8" fillId="0" borderId="11" xfId="0" applyFont="1" applyBorder="1"/>
    <xf numFmtId="1" fontId="8" fillId="0" borderId="6" xfId="0" applyNumberFormat="1" applyFont="1" applyBorder="1"/>
    <xf numFmtId="0" fontId="8" fillId="0" borderId="6" xfId="0" applyFont="1" applyBorder="1"/>
    <xf numFmtId="0" fontId="8" fillId="0" borderId="10" xfId="0" applyFont="1" applyBorder="1"/>
    <xf numFmtId="0" fontId="12" fillId="0" borderId="12" xfId="0" applyFont="1" applyBorder="1"/>
    <xf numFmtId="0" fontId="12" fillId="0" borderId="8" xfId="0" applyFont="1" applyBorder="1"/>
    <xf numFmtId="0" fontId="12" fillId="0" borderId="9" xfId="0" applyFont="1" applyBorder="1"/>
    <xf numFmtId="0" fontId="12" fillId="0" borderId="11" xfId="0" applyFont="1" applyBorder="1"/>
    <xf numFmtId="0" fontId="12" fillId="0" borderId="10" xfId="0" applyFont="1" applyBorder="1"/>
    <xf numFmtId="0" fontId="8" fillId="0" borderId="12" xfId="0" applyFont="1" applyBorder="1"/>
    <xf numFmtId="0" fontId="8" fillId="0" borderId="5" xfId="0" applyFont="1" applyBorder="1"/>
    <xf numFmtId="0" fontId="8" fillId="0" borderId="8" xfId="0" applyFont="1" applyBorder="1"/>
    <xf numFmtId="2" fontId="8" fillId="0" borderId="5" xfId="0" applyNumberFormat="1" applyFont="1" applyBorder="1"/>
    <xf numFmtId="0" fontId="12" fillId="0" borderId="5" xfId="0" applyFont="1" applyBorder="1"/>
    <xf numFmtId="2" fontId="8" fillId="0" borderId="6" xfId="0" applyNumberFormat="1" applyFont="1" applyBorder="1"/>
    <xf numFmtId="165" fontId="8" fillId="0" borderId="6" xfId="0" applyNumberFormat="1" applyFont="1" applyBorder="1"/>
    <xf numFmtId="0" fontId="8" fillId="0" borderId="12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1" fontId="14" fillId="0" borderId="0" xfId="0" applyNumberFormat="1" applyFont="1" applyAlignment="1">
      <alignment horizontal="right"/>
    </xf>
    <xf numFmtId="164" fontId="0" fillId="0" borderId="6" xfId="0" applyNumberFormat="1" applyBorder="1"/>
    <xf numFmtId="0" fontId="12" fillId="0" borderId="1" xfId="0" applyFont="1" applyBorder="1"/>
    <xf numFmtId="2" fontId="0" fillId="0" borderId="3" xfId="0" applyNumberFormat="1" applyBorder="1" applyAlignment="1">
      <alignment horizontal="center"/>
    </xf>
    <xf numFmtId="0" fontId="13" fillId="0" borderId="0" xfId="0" applyFont="1" applyAlignment="1">
      <alignment horizontal="center" vertical="center"/>
    </xf>
    <xf numFmtId="167" fontId="20" fillId="5" borderId="0" xfId="2" applyNumberFormat="1" applyFont="1" applyFill="1" applyBorder="1"/>
    <xf numFmtId="9" fontId="0" fillId="4" borderId="13" xfId="2" applyFont="1" applyFill="1" applyBorder="1" applyAlignment="1">
      <alignment horizontal="right"/>
    </xf>
    <xf numFmtId="2" fontId="7" fillId="0" borderId="0" xfId="0" applyNumberFormat="1" applyFont="1"/>
    <xf numFmtId="0" fontId="17" fillId="5" borderId="0" xfId="0" applyFont="1" applyFill="1"/>
    <xf numFmtId="0" fontId="17" fillId="0" borderId="0" xfId="0" applyFont="1"/>
    <xf numFmtId="164" fontId="0" fillId="4" borderId="0" xfId="0" applyNumberFormat="1" applyFill="1" applyAlignment="1">
      <alignment horizontal="right"/>
    </xf>
    <xf numFmtId="0" fontId="16" fillId="5" borderId="0" xfId="0" applyFont="1" applyFill="1" applyAlignment="1">
      <alignment horizontal="left"/>
    </xf>
    <xf numFmtId="9" fontId="0" fillId="4" borderId="0" xfId="2" applyFont="1" applyFill="1" applyBorder="1" applyAlignment="1">
      <alignment horizontal="right"/>
    </xf>
    <xf numFmtId="0" fontId="16" fillId="10" borderId="0" xfId="0" applyFont="1" applyFill="1" applyAlignment="1">
      <alignment horizontal="left"/>
    </xf>
    <xf numFmtId="0" fontId="17" fillId="10" borderId="0" xfId="0" applyFont="1" applyFill="1"/>
    <xf numFmtId="0" fontId="20" fillId="5" borderId="0" xfId="0" applyFont="1" applyFill="1"/>
    <xf numFmtId="0" fontId="14" fillId="0" borderId="0" xfId="0" applyFont="1"/>
    <xf numFmtId="165" fontId="20" fillId="5" borderId="0" xfId="0" applyNumberFormat="1" applyFont="1" applyFill="1"/>
    <xf numFmtId="0" fontId="22" fillId="5" borderId="0" xfId="0" applyFont="1" applyFill="1"/>
    <xf numFmtId="2" fontId="22" fillId="5" borderId="0" xfId="0" applyNumberFormat="1" applyFont="1" applyFill="1"/>
    <xf numFmtId="0" fontId="23" fillId="5" borderId="0" xfId="0" applyFont="1" applyFill="1"/>
    <xf numFmtId="0" fontId="24" fillId="0" borderId="0" xfId="0" applyFont="1"/>
    <xf numFmtId="0" fontId="20" fillId="11" borderId="0" xfId="0" applyFont="1" applyFill="1"/>
    <xf numFmtId="0" fontId="16" fillId="11" borderId="0" xfId="0" applyFont="1" applyFill="1"/>
    <xf numFmtId="2" fontId="20" fillId="5" borderId="0" xfId="0" applyNumberFormat="1" applyFont="1" applyFill="1"/>
    <xf numFmtId="0" fontId="20" fillId="5" borderId="0" xfId="0" quotePrefix="1" applyFont="1" applyFill="1"/>
    <xf numFmtId="2" fontId="20" fillId="11" borderId="0" xfId="0" applyNumberFormat="1" applyFont="1" applyFill="1"/>
    <xf numFmtId="2" fontId="26" fillId="5" borderId="0" xfId="0" applyNumberFormat="1" applyFont="1" applyFill="1"/>
    <xf numFmtId="0" fontId="26" fillId="5" borderId="0" xfId="0" applyFont="1" applyFill="1"/>
    <xf numFmtId="0" fontId="27" fillId="0" borderId="0" xfId="0" applyFont="1" applyAlignment="1">
      <alignment horizontal="center"/>
    </xf>
    <xf numFmtId="0" fontId="17" fillId="12" borderId="0" xfId="0" applyFont="1" applyFill="1"/>
    <xf numFmtId="0" fontId="17" fillId="0" borderId="0" xfId="0" applyFont="1" applyAlignment="1">
      <alignment horizontal="center"/>
    </xf>
    <xf numFmtId="164" fontId="17" fillId="0" borderId="0" xfId="0" applyNumberFormat="1" applyFont="1" applyAlignment="1">
      <alignment horizontal="left"/>
    </xf>
    <xf numFmtId="0" fontId="17" fillId="0" borderId="0" xfId="0" applyFont="1" applyAlignment="1">
      <alignment horizontal="right"/>
    </xf>
    <xf numFmtId="0" fontId="17" fillId="12" borderId="0" xfId="0" applyFont="1" applyFill="1" applyAlignment="1">
      <alignment horizontal="left"/>
    </xf>
    <xf numFmtId="0" fontId="12" fillId="0" borderId="3" xfId="0" applyFont="1" applyBorder="1"/>
    <xf numFmtId="0" fontId="8" fillId="0" borderId="3" xfId="0" applyFont="1" applyBorder="1"/>
    <xf numFmtId="0" fontId="7" fillId="0" borderId="3" xfId="0" applyFont="1" applyBorder="1"/>
    <xf numFmtId="0" fontId="23" fillId="11" borderId="0" xfId="0" applyFont="1" applyFill="1"/>
    <xf numFmtId="2" fontId="26" fillId="11" borderId="0" xfId="0" applyNumberFormat="1" applyFont="1" applyFill="1"/>
    <xf numFmtId="0" fontId="28" fillId="0" borderId="0" xfId="0" applyFont="1"/>
    <xf numFmtId="0" fontId="9" fillId="0" borderId="0" xfId="0" applyFont="1" applyAlignment="1">
      <alignment horizontal="left" vertical="top" wrapText="1"/>
    </xf>
    <xf numFmtId="0" fontId="9" fillId="0" borderId="0" xfId="0" applyFont="1" applyAlignment="1">
      <alignment wrapText="1"/>
    </xf>
    <xf numFmtId="1" fontId="7" fillId="0" borderId="0" xfId="0" applyNumberFormat="1" applyFont="1"/>
    <xf numFmtId="0" fontId="32" fillId="0" borderId="0" xfId="0" applyFont="1"/>
    <xf numFmtId="0" fontId="9" fillId="0" borderId="3" xfId="0" applyFont="1" applyBorder="1" applyAlignment="1">
      <alignment wrapText="1"/>
    </xf>
    <xf numFmtId="2" fontId="9" fillId="0" borderId="3" xfId="0" applyNumberFormat="1" applyFont="1" applyBorder="1"/>
    <xf numFmtId="0" fontId="9" fillId="0" borderId="3" xfId="0" applyFont="1" applyBorder="1" applyAlignment="1">
      <alignment horizontal="left" vertical="top" wrapText="1"/>
    </xf>
    <xf numFmtId="2" fontId="9" fillId="0" borderId="3" xfId="0" applyNumberFormat="1" applyFont="1" applyBorder="1" applyAlignment="1">
      <alignment horizontal="right" vertical="top" wrapText="1"/>
    </xf>
    <xf numFmtId="0" fontId="9" fillId="0" borderId="3" xfId="0" applyFont="1" applyBorder="1" applyAlignment="1">
      <alignment horizontal="left"/>
    </xf>
    <xf numFmtId="2" fontId="9" fillId="0" borderId="0" xfId="0" applyNumberFormat="1" applyFont="1" applyAlignment="1">
      <alignment horizontal="right" vertical="top" wrapText="1"/>
    </xf>
    <xf numFmtId="0" fontId="33" fillId="0" borderId="0" xfId="0" applyFont="1"/>
    <xf numFmtId="0" fontId="8" fillId="0" borderId="0" xfId="0" applyFont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5" fontId="0" fillId="0" borderId="31" xfId="0" applyNumberFormat="1" applyBorder="1" applyAlignment="1">
      <alignment horizontal="center"/>
    </xf>
    <xf numFmtId="165" fontId="0" fillId="0" borderId="32" xfId="0" applyNumberFormat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4" fillId="5" borderId="5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"/>
    </xf>
    <xf numFmtId="0" fontId="13" fillId="0" borderId="12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21" fillId="5" borderId="0" xfId="0" applyFont="1" applyFill="1" applyAlignment="1">
      <alignment horizontal="left"/>
    </xf>
    <xf numFmtId="0" fontId="17" fillId="0" borderId="0" xfId="0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25" fillId="5" borderId="0" xfId="0" applyFont="1" applyFill="1" applyAlignment="1">
      <alignment horizontal="left"/>
    </xf>
    <xf numFmtId="0" fontId="35" fillId="13" borderId="41" xfId="0" applyNumberFormat="1" applyFont="1" applyFill="1" applyBorder="1" applyAlignment="1">
      <alignment horizontal="center" vertical="center" wrapText="1"/>
    </xf>
    <xf numFmtId="0" fontId="36" fillId="0" borderId="0" xfId="0" applyNumberFormat="1" applyFont="1" applyFill="1" applyBorder="1" applyAlignment="1">
      <alignment horizontal="left" vertical="top" wrapText="1"/>
    </xf>
    <xf numFmtId="0" fontId="35" fillId="13" borderId="41" xfId="0" applyNumberFormat="1" applyFont="1" applyFill="1" applyBorder="1" applyAlignment="1">
      <alignment horizontal="left" vertical="center" indent="1"/>
    </xf>
    <xf numFmtId="0" fontId="35" fillId="0" borderId="0" xfId="0" applyNumberFormat="1" applyFont="1" applyFill="1" applyBorder="1" applyAlignment="1">
      <alignment horizontal="left" vertical="center"/>
    </xf>
    <xf numFmtId="0" fontId="34" fillId="0" borderId="0" xfId="0" applyNumberFormat="1" applyFont="1" applyFill="1" applyBorder="1" applyAlignment="1">
      <alignment horizontal="right" vertical="center"/>
    </xf>
    <xf numFmtId="0" fontId="34" fillId="13" borderId="41" xfId="0" applyNumberFormat="1" applyFont="1" applyFill="1" applyBorder="1" applyAlignment="1">
      <alignment horizontal="center" vertical="center"/>
    </xf>
    <xf numFmtId="168" fontId="34" fillId="13" borderId="41" xfId="0" applyNumberFormat="1" applyFont="1" applyFill="1" applyBorder="1" applyAlignment="1">
      <alignment horizontal="center" vertical="center"/>
    </xf>
    <xf numFmtId="165" fontId="34" fillId="13" borderId="41" xfId="0" applyNumberFormat="1" applyFont="1" applyFill="1" applyBorder="1" applyAlignment="1">
      <alignment horizontal="center" vertical="center"/>
    </xf>
    <xf numFmtId="168" fontId="34" fillId="0" borderId="41" xfId="0" applyNumberFormat="1" applyFont="1" applyFill="1" applyBorder="1" applyAlignment="1">
      <alignment horizontal="center" vertical="center"/>
    </xf>
    <xf numFmtId="165" fontId="34" fillId="0" borderId="41" xfId="0" applyNumberFormat="1" applyFont="1" applyFill="1" applyBorder="1" applyAlignment="1">
      <alignment horizontal="center" vertical="center"/>
    </xf>
    <xf numFmtId="1" fontId="34" fillId="0" borderId="41" xfId="0" applyNumberFormat="1" applyFont="1" applyFill="1" applyBorder="1" applyAlignment="1">
      <alignment horizontal="center" vertical="center"/>
    </xf>
    <xf numFmtId="0" fontId="35" fillId="0" borderId="41" xfId="0" applyNumberFormat="1" applyFont="1" applyFill="1" applyBorder="1" applyAlignment="1">
      <alignment horizontal="center" vertical="center"/>
    </xf>
    <xf numFmtId="0" fontId="36" fillId="0" borderId="0" xfId="0" applyNumberFormat="1" applyFont="1" applyFill="1" applyBorder="1" applyAlignment="1">
      <alignment horizontal="left"/>
    </xf>
    <xf numFmtId="0" fontId="37" fillId="0" borderId="41" xfId="0" applyNumberFormat="1" applyFont="1" applyFill="1" applyBorder="1" applyAlignment="1">
      <alignment horizontal="center" vertical="center"/>
    </xf>
    <xf numFmtId="0" fontId="36" fillId="0" borderId="0" xfId="0" applyNumberFormat="1" applyFont="1" applyFill="1" applyBorder="1" applyAlignment="1">
      <alignment/>
    </xf>
    <xf numFmtId="0" fontId="38" fillId="14" borderId="0" xfId="0" applyNumberFormat="1" applyFont="1" applyFill="1" applyBorder="1" applyAlignment="1">
      <alignment horizontal="left" vertical="top" wrapText="1"/>
    </xf>
    <xf numFmtId="0" fontId="35" fillId="13" borderId="41" xfId="0" applyNumberFormat="1" applyFont="1" applyFill="1" applyBorder="1" applyAlignment="1">
      <alignment horizontal="center" vertical="center" wrapText="1"/>
    </xf>
    <xf numFmtId="0" fontId="35" fillId="0" borderId="41" xfId="0" applyNumberFormat="1" applyFont="1" applyFill="1" applyBorder="1" applyAlignment="1">
      <alignment horizontal="center" vertical="center"/>
    </xf>
    <xf numFmtId="0" fontId="34" fillId="0" borderId="41" xfId="0" applyNumberFormat="1" applyFont="1" applyFill="1" applyBorder="1" applyAlignment="1">
      <alignment horizontal="center" vertical="center"/>
    </xf>
    <xf numFmtId="0" fontId="35" fillId="0" borderId="41" xfId="0" applyNumberFormat="1" applyFont="1" applyFill="1" applyBorder="1" applyAlignment="1">
      <alignment horizontal="center" vertical="top"/>
    </xf>
    <xf numFmtId="0" fontId="35" fillId="13" borderId="41" xfId="0" applyNumberFormat="1" applyFont="1" applyFill="1" applyBorder="1" applyAlignment="1">
      <alignment horizontal="left" vertical="center" wrapText="1" indent="1"/>
    </xf>
    <xf numFmtId="0" fontId="35" fillId="0" borderId="41" xfId="0" applyNumberFormat="1" applyFont="1" applyFill="1" applyBorder="1" applyAlignment="1">
      <alignment horizontal="center" vertical="center" wrapText="1"/>
    </xf>
    <xf numFmtId="169" fontId="35" fillId="13" borderId="41" xfId="0" applyNumberFormat="1" applyFont="1" applyFill="1" applyBorder="1" applyAlignment="1">
      <alignment horizontal="center" vertical="center"/>
    </xf>
    <xf numFmtId="0" fontId="38" fillId="0" borderId="41" xfId="0" applyNumberFormat="1" applyFont="1" applyFill="1" applyBorder="1" applyAlignment="1">
      <alignment horizontal="center" vertical="center" wrapText="1"/>
    </xf>
    <xf numFmtId="0" fontId="36" fillId="0" borderId="41" xfId="0" applyNumberFormat="1" applyFont="1" applyFill="1" applyBorder="1" applyAlignment="1">
      <alignment horizontal="left" vertical="top" wrapText="1"/>
    </xf>
  </cellXfs>
  <cellStyles count="4">
    <cellStyle name="Normal" xfId="0" builtinId="0"/>
    <cellStyle name="Normal 14" xfId="3" xr:uid="{E0AA8538-1C0C-4746-AECC-F3C7E3CFC25F}"/>
    <cellStyle name="Normal 2" xfId="1" xr:uid="{00000000-0005-0000-0000-000001000000}"/>
    <cellStyle name="Porcentagem" xfId="2" builtinId="5"/>
  </cellStyles>
  <dxfs count="7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808080"/>
      </font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99" Type="http://schemas.openxmlformats.org/officeDocument/2006/relationships/worksheet" Target="worksheets/sheet8.xml"/><Relationship Id="rId98" Type="http://schemas.openxmlformats.org/officeDocument/2006/relationships/worksheet" Target="worksheets/sheet9.xml"/></Relationships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/>
            </a:pPr>
            <a:r>
              <a:rPr lang="pt-BR" sz="1100" b="1">
                <a:latin typeface="Aptos Narrow"/>
              </a:rPr>
              <a:t>PILAR – CARGA TRAPEZOIDAL (kN/m)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Pilar</c:v>
          </c:tx>
          <c:spPr>
            <a:ln w="7620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'CONTENÇÃO RÁPIDA'!$L$145:$L$146</c:f>
              <c:numCache>
                <c:formatCode>General</c:formatCode>
                <c:ptCount val="2"/>
                <c:pt idx="0">
                  <c:v>0.0</c:v>
                </c:pt>
                <c:pt idx="1">
                  <c:v>0.0</c:v>
                </c:pt>
              </c:numCache>
            </c:numRef>
          </c:xVal>
          <c:yVal>
            <c:numRef>
              <c:f>'CONTENÇÃO RÁPIDA'!$M$145:$M$146</c:f>
              <c:numCache>
                <c:formatCode>General</c:formatCode>
                <c:ptCount val="2"/>
                <c:pt idx="0">
                  <c:v>0.0</c:v>
                </c:pt>
                <c:pt idx="1">
                  <c:v>4.0</c:v>
                </c:pt>
              </c:numCache>
            </c:numRef>
          </c:yVal>
          <c:smooth val="0"/>
        </c:ser>
        <c:ser>
          <c:idx val="1"/>
          <c:order val="1"/>
          <c:tx>
            <c:v>Carga (kN/m)</c:v>
          </c:tx>
          <c:spPr>
            <a:ln w="22225" cap="rnd">
              <a:solidFill>
                <a:srgbClr val="C00000"/>
              </a:solidFill>
              <a:round/>
            </a:ln>
          </c:spPr>
          <c:marker>
            <c:symbol val="none"/>
          </c:marker>
          <c:xVal>
            <c:numRef>
              <c:f>'CONTENÇÃO RÁPIDA'!$L$147:$L$150</c:f>
              <c:numCache>
                <c:formatCode>General</c:formatCode>
                <c:ptCount val="4"/>
                <c:pt idx="0">
                  <c:v>0.0</c:v>
                </c:pt>
                <c:pt idx="1">
                  <c:v>12.167266237259694</c:v>
                </c:pt>
                <c:pt idx="2">
                  <c:v>187.3759000537993</c:v>
                </c:pt>
                <c:pt idx="3">
                  <c:v>0.0</c:v>
                </c:pt>
              </c:numCache>
            </c:numRef>
          </c:xVal>
          <c:yVal>
            <c:numRef>
              <c:f>'CONTENÇÃO RÁPIDA'!$M$147:$M$150</c:f>
              <c:numCache>
                <c:formatCode>General</c:formatCode>
                <c:ptCount val="4"/>
                <c:pt idx="0">
                  <c:v>4.0</c:v>
                </c:pt>
                <c:pt idx="1">
                  <c:v>4.0</c:v>
                </c:pt>
                <c:pt idx="2">
                  <c:v>0.0</c:v>
                </c:pt>
                <c:pt idx="3">
                  <c:v>0.0</c:v>
                </c:pt>
              </c:numCache>
            </c:numRef>
          </c:yVal>
          <c:smooth val="0"/>
        </c:ser>
        <c:ser>
          <c:idx val="2"/>
          <c:order val="2"/>
          <c:tx>
            <c:v>Sc | solo</c:v>
          </c:tx>
          <c:spPr>
            <a:ln w="9525" cap="rnd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xVal>
            <c:numRef>
              <c:f>'CONTENÇÃO RÁPIDA'!$L$151:$L$152</c:f>
              <c:numCache>
                <c:formatCode>General</c:formatCode>
                <c:ptCount val="2"/>
                <c:pt idx="0">
                  <c:v>12.167266237259694</c:v>
                </c:pt>
                <c:pt idx="1">
                  <c:v>12.167266237259694</c:v>
                </c:pt>
              </c:numCache>
            </c:numRef>
          </c:xVal>
          <c:yVal>
            <c:numRef>
              <c:f>'CONTENÇÃO RÁPIDA'!$M$151:$M$152</c:f>
              <c:numCache>
                <c:formatCode>General</c:formatCode>
                <c:ptCount val="2"/>
                <c:pt idx="0">
                  <c:v>4.0</c:v>
                </c:pt>
                <c:pt idx="1">
                  <c:v>0.0</c:v>
                </c:pt>
              </c:numCache>
            </c:numRef>
          </c:yVal>
          <c:smooth val="0"/>
        </c:ser>
        <c:ser>
          <c:idx val="3"/>
          <c:order val="3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RÁPIDA'!$L$153:$L$154</c:f>
              <c:numCache>
                <c:formatCode>General</c:formatCode>
                <c:ptCount val="2"/>
                <c:pt idx="0">
                  <c:v>158.17446108437605</c:v>
                </c:pt>
                <c:pt idx="1">
                  <c:v>0.0</c:v>
                </c:pt>
              </c:numCache>
            </c:numRef>
          </c:xVal>
          <c:yVal>
            <c:numRef>
              <c:f>'CONTENÇÃO RÁPIDA'!$M$153:$M$154</c:f>
              <c:numCache>
                <c:formatCode>General</c:formatCode>
                <c:ptCount val="2"/>
                <c:pt idx="0">
                  <c:v>0.6666666666666666</c:v>
                </c:pt>
                <c:pt idx="1">
                  <c:v>0.6666666666666666</c:v>
                </c:pt>
              </c:numCache>
            </c:numRef>
          </c:yVal>
          <c:smooth val="0"/>
        </c:ser>
        <c:ser>
          <c:idx val="4"/>
          <c:order val="4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RÁPIDA'!$L$155:$L$156</c:f>
              <c:numCache>
                <c:formatCode>General</c:formatCode>
                <c:ptCount val="2"/>
                <c:pt idx="0">
                  <c:v>128.97302211495278</c:v>
                </c:pt>
                <c:pt idx="1">
                  <c:v>0.0</c:v>
                </c:pt>
              </c:numCache>
            </c:numRef>
          </c:xVal>
          <c:yVal>
            <c:numRef>
              <c:f>'CONTENÇÃO RÁPIDA'!$M$155:$M$156</c:f>
              <c:numCache>
                <c:formatCode>General</c:formatCode>
                <c:ptCount val="2"/>
                <c:pt idx="0">
                  <c:v>1.3333333333333333</c:v>
                </c:pt>
                <c:pt idx="1">
                  <c:v>1.3333333333333333</c:v>
                </c:pt>
              </c:numCache>
            </c:numRef>
          </c:yVal>
          <c:smooth val="0"/>
        </c:ser>
        <c:ser>
          <c:idx val="5"/>
          <c:order val="5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RÁPIDA'!$L$157:$L$158</c:f>
              <c:numCache>
                <c:formatCode>General</c:formatCode>
                <c:ptCount val="2"/>
                <c:pt idx="0">
                  <c:v>99.7715831455295</c:v>
                </c:pt>
                <c:pt idx="1">
                  <c:v>0.0</c:v>
                </c:pt>
              </c:numCache>
            </c:numRef>
          </c:xVal>
          <c:yVal>
            <c:numRef>
              <c:f>'CONTENÇÃO RÁPIDA'!$M$157:$M$158</c:f>
              <c:numCache>
                <c:formatCode>General</c:formatCode>
                <c:ptCount val="2"/>
                <c:pt idx="0">
                  <c:v>2.0</c:v>
                </c:pt>
                <c:pt idx="1">
                  <c:v>2.0</c:v>
                </c:pt>
              </c:numCache>
            </c:numRef>
          </c:yVal>
          <c:smooth val="0"/>
        </c:ser>
        <c:ser>
          <c:idx val="6"/>
          <c:order val="6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RÁPIDA'!$L$159:$L$160</c:f>
              <c:numCache>
                <c:formatCode>General</c:formatCode>
                <c:ptCount val="2"/>
                <c:pt idx="0">
                  <c:v>70.57014417610624</c:v>
                </c:pt>
                <c:pt idx="1">
                  <c:v>0.0</c:v>
                </c:pt>
              </c:numCache>
            </c:numRef>
          </c:xVal>
          <c:yVal>
            <c:numRef>
              <c:f>'CONTENÇÃO RÁPIDA'!$M$159:$M$160</c:f>
              <c:numCache>
                <c:formatCode>General</c:formatCode>
                <c:ptCount val="2"/>
                <c:pt idx="0">
                  <c:v>2.6666666666666665</c:v>
                </c:pt>
                <c:pt idx="1">
                  <c:v>2.6666666666666665</c:v>
                </c:pt>
              </c:numCache>
            </c:numRef>
          </c:yVal>
          <c:smooth val="0"/>
        </c:ser>
        <c:ser>
          <c:idx val="7"/>
          <c:order val="7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RÁPIDA'!$L$161:$L$162</c:f>
              <c:numCache>
                <c:formatCode>General</c:formatCode>
                <c:ptCount val="2"/>
                <c:pt idx="0">
                  <c:v>41.36870520668296</c:v>
                </c:pt>
                <c:pt idx="1">
                  <c:v>0.0</c:v>
                </c:pt>
              </c:numCache>
            </c:numRef>
          </c:xVal>
          <c:yVal>
            <c:numRef>
              <c:f>'CONTENÇÃO RÁPIDA'!$M$161:$M$162</c:f>
              <c:numCache>
                <c:formatCode>General</c:formatCode>
                <c:ptCount val="2"/>
                <c:pt idx="0">
                  <c:v>3.3333333333333335</c:v>
                </c:pt>
                <c:pt idx="1">
                  <c:v>3.3333333333333335</c:v>
                </c:pt>
              </c:numCache>
            </c:numRef>
          </c:yVal>
          <c:smooth val="0"/>
        </c:ser>
        <c:ser>
          <c:idx val="8"/>
          <c:order val="8"/>
          <c:tx>
            <c:v>E</c:v>
          </c:tx>
          <c:spPr>
            <a:ln w="28575" cap="rnd">
              <a:solidFill>
                <a:srgbClr val="2F5597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RÁPIDA'!$L$163:$L$164</c:f>
              <c:numCache>
                <c:formatCode>General</c:formatCode>
                <c:ptCount val="2"/>
                <c:pt idx="0">
                  <c:v>215.4822850618692</c:v>
                </c:pt>
                <c:pt idx="1">
                  <c:v>0.0</c:v>
                </c:pt>
              </c:numCache>
            </c:numRef>
          </c:xVal>
          <c:yVal>
            <c:numRef>
              <c:f>'CONTENÇÃO RÁPIDA'!$M$163:$M$164</c:f>
              <c:numCache>
                <c:formatCode>General</c:formatCode>
                <c:ptCount val="2"/>
                <c:pt idx="0">
                  <c:v>1.4146341463414631</c:v>
                </c:pt>
                <c:pt idx="1">
                  <c:v>1.4146341463414631</c:v>
                </c:pt>
              </c:numCache>
            </c:numRef>
          </c:yVal>
          <c:smooth val="0"/>
        </c:ser>
        <c:ser>
          <c:idx val="9"/>
          <c:order val="9"/>
          <c:tx>
            <c:v>R,topo</c:v>
          </c:tx>
          <c:spPr>
            <a:ln w="25400" cap="rnd">
              <a:solidFill>
                <a:srgbClr val="548235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RÁPIDA'!$L$165:$L$166</c:f>
              <c:numCache>
                <c:formatCode>General</c:formatCode>
                <c:ptCount val="2"/>
                <c:pt idx="0">
                  <c:v>0.0</c:v>
                </c:pt>
                <c:pt idx="1">
                  <c:v>-65.58156501882975</c:v>
                </c:pt>
              </c:numCache>
            </c:numRef>
          </c:xVal>
          <c:yVal>
            <c:numRef>
              <c:f>'CONTENÇÃO RÁPIDA'!$M$165:$M$166</c:f>
              <c:numCache>
                <c:formatCode>General</c:formatCode>
                <c:ptCount val="2"/>
                <c:pt idx="0">
                  <c:v>4.0</c:v>
                </c:pt>
                <c:pt idx="1">
                  <c:v>4.0</c:v>
                </c:pt>
              </c:numCache>
            </c:numRef>
          </c:yVal>
          <c:smooth val="0"/>
        </c:ser>
        <c:ser>
          <c:idx val="10"/>
          <c:order val="10"/>
          <c:tx>
            <c:v>R,base</c:v>
          </c:tx>
          <c:spPr>
            <a:ln w="25400" cap="rnd">
              <a:solidFill>
                <a:srgbClr val="548235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RÁPIDA'!$L$167:$L$168</c:f>
              <c:numCache>
                <c:formatCode>General</c:formatCode>
                <c:ptCount val="2"/>
                <c:pt idx="0">
                  <c:v>0.0</c:v>
                </c:pt>
                <c:pt idx="1">
                  <c:v>-65.58156501882975</c:v>
                </c:pt>
              </c:numCache>
            </c:numRef>
          </c:xVal>
          <c:yVal>
            <c:numRef>
              <c:f>'CONTENÇÃO RÁPIDA'!$M$167:$M$168</c:f>
              <c:numCache>
                <c:formatCode>General</c:formatCode>
                <c:ptCount val="2"/>
                <c:pt idx="0">
                  <c:v>0.0</c:v>
                </c:pt>
                <c:pt idx="1">
                  <c:v>0.0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'CONTENÇÃO RÁPIDA'!$K$169</c:f>
              <c:strCache>
                <c:ptCount val="1"/>
                <c:pt idx="0">
                  <c:v>p,topo = 12,17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RÁPIDA'!$L$169:$L$169</c:f>
              <c:numCache>
                <c:formatCode>General</c:formatCode>
                <c:ptCount val="1"/>
                <c:pt idx="0">
                  <c:v>12.167266237259694</c:v>
                </c:pt>
              </c:numCache>
            </c:numRef>
          </c:xVal>
          <c:yVal>
            <c:numRef>
              <c:f>'CONTENÇÃO RÁPIDA'!$M$169:$M$169</c:f>
              <c:numCache>
                <c:formatCode>General</c:formatCode>
                <c:ptCount val="1"/>
                <c:pt idx="0">
                  <c:v>4.0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'CONTENÇÃO RÁPIDA'!$K$170</c:f>
              <c:strCache>
                <c:ptCount val="1"/>
                <c:pt idx="0">
                  <c:v>p,base = 187,38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RÁPIDA'!$L$170:$L$170</c:f>
              <c:numCache>
                <c:formatCode>General</c:formatCode>
                <c:ptCount val="1"/>
                <c:pt idx="0">
                  <c:v>187.3759000537993</c:v>
                </c:pt>
              </c:numCache>
            </c:numRef>
          </c:xVal>
          <c:yVal>
            <c:numRef>
              <c:f>'CONTENÇÃO RÁPIDA'!$M$170:$M$170</c:f>
              <c:numCache>
                <c:formatCode>General</c:formatCode>
                <c:ptCount val="1"/>
                <c:pt idx="0">
                  <c:v>0.0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'CONTENÇÃO RÁPIDA'!$K$171</c:f>
              <c:strCache>
                <c:ptCount val="1"/>
                <c:pt idx="0">
                  <c:v>E = 399,1 kN (y = 1,41 m)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RÁPIDA'!$L$171:$L$171</c:f>
              <c:numCache>
                <c:formatCode>General</c:formatCode>
                <c:ptCount val="1"/>
                <c:pt idx="0">
                  <c:v>215.4822850618692</c:v>
                </c:pt>
              </c:numCache>
            </c:numRef>
          </c:xVal>
          <c:yVal>
            <c:numRef>
              <c:f>'CONTENÇÃO RÁPIDA'!$M$171:$M$171</c:f>
              <c:numCache>
                <c:formatCode>General</c:formatCode>
                <c:ptCount val="1"/>
                <c:pt idx="0">
                  <c:v>1.4146341463414631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'CONTENÇÃO RÁPIDA'!$K$172</c:f>
              <c:strCache>
                <c:ptCount val="1"/>
                <c:pt idx="0">
                  <c:v>R,topo = 88,3 kN → laje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RÁPIDA'!$L$172:$L$172</c:f>
              <c:numCache>
                <c:formatCode>General</c:formatCode>
                <c:ptCount val="1"/>
                <c:pt idx="0">
                  <c:v>-65.58156501882975</c:v>
                </c:pt>
              </c:numCache>
            </c:numRef>
          </c:xVal>
          <c:yVal>
            <c:numRef>
              <c:f>'CONTENÇÃO RÁPIDA'!$M$172:$M$172</c:f>
              <c:numCache>
                <c:formatCode>General</c:formatCode>
                <c:ptCount val="1"/>
                <c:pt idx="0">
                  <c:v>4.0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'CONTENÇÃO RÁPIDA'!$K$173</c:f>
              <c:strCache>
                <c:ptCount val="1"/>
                <c:pt idx="0">
                  <c:v>R,base = 310,8 kN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RÁPIDA'!$L$173:$L$173</c:f>
              <c:numCache>
                <c:formatCode>General</c:formatCode>
                <c:ptCount val="1"/>
                <c:pt idx="0">
                  <c:v>-65.58156501882975</c:v>
                </c:pt>
              </c:numCache>
            </c:numRef>
          </c:xVal>
          <c:yVal>
            <c:numRef>
              <c:f>'CONTENÇÃO RÁPIDA'!$M$173:$M$173</c:f>
              <c:numCache>
                <c:formatCode>General</c:formatCode>
                <c:ptCount val="1"/>
                <c:pt idx="0">
                  <c:v>0.0</c:v>
                </c:pt>
              </c:numCache>
            </c:numRef>
          </c:yVal>
          <c:smooth val="0"/>
        </c:ser>
        <c:axId val="51"/>
        <c:axId val="52"/>
      </c:scatterChart>
      <c:valAx>
        <c:axId val="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carga (kN/m)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52"/>
        <c:crosses val="autoZero"/>
        <c:crossBetween val="midCat"/>
      </c:valAx>
      <c:valAx>
        <c:axId val="52"/>
        <c:scaling>
          <c:orientation val="minMax"/>
        </c:scaling>
        <c:delete val="0"/>
        <c:axPos val="l"/>
        <c:majorGridlines>
          <c:spPr>
            <a:ln w="3175">
              <a:solidFill>
                <a:srgbClr val="E7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altura a partir da base (m)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51"/>
        <c:crosses val="autoZero"/>
        <c:crossBetween val="midCat"/>
      </c:valAx>
    </c:plotArea>
    <c:plotVisOnly val="1"/>
    <c:dispBlanksAs val="gap"/>
  </c:chart>
  <c:spPr>
    <a:solidFill>
      <a:srgbClr val="FFFFFF"/>
    </a:solidFill>
    <a:ln w="9525">
      <a:solidFill>
        <a:srgbClr val="000000"/>
      </a:solidFill>
    </a:ln>
  </c:spPr>
  <c:txPr>
    <a:bodyPr/>
    <a:lstStyle/>
    <a:p>
      <a:pPr>
        <a:defRPr sz="900" b="0">
          <a:solidFill>
            <a:srgbClr val="404040"/>
          </a:solidFill>
          <a:latin typeface="Aptos Narrow"/>
        </a:defRPr>
      </a:pPr>
      <a:endParaRPr lang="pt-B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/>
            </a:pPr>
            <a:r>
              <a:rPr lang="pt-BR" sz="1100" b="1">
                <a:latin typeface="Aptos Narrow"/>
              </a:rPr>
              <a:t>LAJE ALVEOLAR – PRESSÃO (kN/m²) E CARGA NA PLACA (kN/m)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Placas</c:v>
          </c:tx>
          <c:spPr>
            <a:ln w="7620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'CONTENÇÃO RÁPIDA'!$L$174:$L$175</c:f>
              <c:numCache>
                <c:formatCode>General</c:formatCode>
                <c:ptCount val="2"/>
                <c:pt idx="0">
                  <c:v>0.0</c:v>
                </c:pt>
                <c:pt idx="1">
                  <c:v>0.0</c:v>
                </c:pt>
              </c:numCache>
            </c:numRef>
          </c:xVal>
          <c:yVal>
            <c:numRef>
              <c:f>'CONTENÇÃO RÁPIDA'!$M$174:$M$175</c:f>
              <c:numCache>
                <c:formatCode>General</c:formatCode>
                <c:ptCount val="2"/>
                <c:pt idx="0">
                  <c:v>0.0</c:v>
                </c:pt>
                <c:pt idx="1">
                  <c:v>4.0</c:v>
                </c:pt>
              </c:numCache>
            </c:numRef>
          </c:yVal>
          <c:smooth val="0"/>
        </c:ser>
        <c:ser>
          <c:idx val="1"/>
          <c:order val="1"/>
          <c:tx>
            <c:v>Pressão real</c:v>
          </c:tx>
          <c:spPr>
            <a:ln w="22225" cap="rnd">
              <a:solidFill>
                <a:srgbClr val="C00000"/>
              </a:solidFill>
              <a:round/>
            </a:ln>
          </c:spPr>
          <c:marker>
            <c:symbol val="none"/>
          </c:marker>
          <c:xVal>
            <c:numRef>
              <c:f>'CONTENÇÃO RÁPIDA'!$L$176:$L$179</c:f>
              <c:numCache>
                <c:formatCode>General</c:formatCode>
                <c:ptCount val="4"/>
                <c:pt idx="0">
                  <c:v>0.0</c:v>
                </c:pt>
                <c:pt idx="1">
                  <c:v>2.639320225002103</c:v>
                </c:pt>
                <c:pt idx="2">
                  <c:v>40.645531465032384</c:v>
                </c:pt>
                <c:pt idx="3">
                  <c:v>0.0</c:v>
                </c:pt>
              </c:numCache>
            </c:numRef>
          </c:xVal>
          <c:yVal>
            <c:numRef>
              <c:f>'CONTENÇÃO RÁPIDA'!$M$176:$M$179</c:f>
              <c:numCache>
                <c:formatCode>General</c:formatCode>
                <c:ptCount val="4"/>
                <c:pt idx="0">
                  <c:v>4.0</c:v>
                </c:pt>
                <c:pt idx="1">
                  <c:v>4.0</c:v>
                </c:pt>
                <c:pt idx="2">
                  <c:v>0.0</c:v>
                </c:pt>
                <c:pt idx="3">
                  <c:v>0.0</c:v>
                </c:pt>
              </c:numCache>
            </c:numRef>
          </c:yVal>
          <c:smooth val="0"/>
        </c:ser>
        <c:ser>
          <c:idx val="2"/>
          <c:order val="2"/>
          <c:tx>
            <c:v>Sc | solo</c:v>
          </c:tx>
          <c:spPr>
            <a:ln w="9525" cap="rnd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xVal>
            <c:numRef>
              <c:f>'CONTENÇÃO RÁPIDA'!$L$180:$L$181</c:f>
              <c:numCache>
                <c:formatCode>General</c:formatCode>
                <c:ptCount val="2"/>
                <c:pt idx="0">
                  <c:v>2.639320225002103</c:v>
                </c:pt>
                <c:pt idx="1">
                  <c:v>2.639320225002103</c:v>
                </c:pt>
              </c:numCache>
            </c:numRef>
          </c:xVal>
          <c:yVal>
            <c:numRef>
              <c:f>'CONTENÇÃO RÁPIDA'!$M$180:$M$181</c:f>
              <c:numCache>
                <c:formatCode>General</c:formatCode>
                <c:ptCount val="2"/>
                <c:pt idx="0">
                  <c:v>4.0</c:v>
                </c:pt>
                <c:pt idx="1">
                  <c:v>0.0</c:v>
                </c:pt>
              </c:numCache>
            </c:numRef>
          </c:yVal>
          <c:smooth val="0"/>
        </c:ser>
        <c:ser>
          <c:idx val="3"/>
          <c:order val="3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RÁPIDA'!$L$182:$L$183</c:f>
              <c:numCache>
                <c:formatCode>General</c:formatCode>
                <c:ptCount val="2"/>
                <c:pt idx="0">
                  <c:v>31.143978655024814</c:v>
                </c:pt>
                <c:pt idx="1">
                  <c:v>0.0</c:v>
                </c:pt>
              </c:numCache>
            </c:numRef>
          </c:xVal>
          <c:yVal>
            <c:numRef>
              <c:f>'CONTENÇÃO RÁPIDA'!$M$182:$M$183</c:f>
              <c:numCache>
                <c:formatCode>General</c:formatCod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yVal>
          <c:smooth val="0"/>
        </c:ser>
        <c:ser>
          <c:idx val="4"/>
          <c:order val="4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RÁPIDA'!$L$184:$L$185</c:f>
              <c:numCache>
                <c:formatCode>General</c:formatCode>
                <c:ptCount val="2"/>
                <c:pt idx="0">
                  <c:v>21.642425845017243</c:v>
                </c:pt>
                <c:pt idx="1">
                  <c:v>0.0</c:v>
                </c:pt>
              </c:numCache>
            </c:numRef>
          </c:xVal>
          <c:yVal>
            <c:numRef>
              <c:f>'CONTENÇÃO RÁPIDA'!$M$184:$M$185</c:f>
              <c:numCache>
                <c:formatCode>General</c:formatCode>
                <c:ptCount val="2"/>
                <c:pt idx="0">
                  <c:v>2.0</c:v>
                </c:pt>
                <c:pt idx="1">
                  <c:v>2.0</c:v>
                </c:pt>
              </c:numCache>
            </c:numRef>
          </c:yVal>
          <c:smooth val="0"/>
        </c:ser>
        <c:ser>
          <c:idx val="5"/>
          <c:order val="5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RÁPIDA'!$L$186:$L$187</c:f>
              <c:numCache>
                <c:formatCode>General</c:formatCode>
                <c:ptCount val="2"/>
                <c:pt idx="0">
                  <c:v>12.140873035009673</c:v>
                </c:pt>
                <c:pt idx="1">
                  <c:v>0.0</c:v>
                </c:pt>
              </c:numCache>
            </c:numRef>
          </c:xVal>
          <c:yVal>
            <c:numRef>
              <c:f>'CONTENÇÃO RÁPIDA'!$M$186:$M$187</c:f>
              <c:numCache>
                <c:formatCode>General</c:formatCode>
                <c:ptCount val="2"/>
                <c:pt idx="0">
                  <c:v>3.0</c:v>
                </c:pt>
                <c:pt idx="1">
                  <c:v>3.0</c:v>
                </c:pt>
              </c:numCache>
            </c:numRef>
          </c:yVal>
          <c:smooth val="0"/>
        </c:ser>
        <c:ser>
          <c:idx val="6"/>
          <c:order val="6"/>
          <c:tx>
            <c:v>Pressão adotada por painel</c:v>
          </c:tx>
          <c:spPr>
            <a:ln w="222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'CONTENÇÃO RÁPIDA'!$L$188:$L$207</c:f>
              <c:numCache>
                <c:formatCode>General</c:formatCode>
                <c:ptCount val="20"/>
                <c:pt idx="0">
                  <c:v>40.645531465032384</c:v>
                </c:pt>
                <c:pt idx="1">
                  <c:v>40.645531465032384</c:v>
                </c:pt>
                <c:pt idx="2">
                  <c:v>28.768590452522922</c:v>
                </c:pt>
                <c:pt idx="3">
                  <c:v>28.768590452522922</c:v>
                </c:pt>
                <c:pt idx="4">
                  <c:v>16.89164944001346</c:v>
                </c:pt>
                <c:pt idx="5">
                  <c:v>16.89164944001346</c:v>
                </c:pt>
                <c:pt idx="6">
                  <c:v>5.0147084275039955</c:v>
                </c:pt>
                <c:pt idx="7">
                  <c:v>5.0147084275039955</c:v>
                </c:pt>
                <c:pt idx="8">
                  <c:v>5.0147084275039955</c:v>
                </c:pt>
                <c:pt idx="9">
                  <c:v>5.0147084275039955</c:v>
                </c:pt>
                <c:pt idx="10">
                  <c:v>5.0147084275039955</c:v>
                </c:pt>
                <c:pt idx="11">
                  <c:v>5.0147084275039955</c:v>
                </c:pt>
                <c:pt idx="12">
                  <c:v>5.0147084275039955</c:v>
                </c:pt>
                <c:pt idx="13">
                  <c:v>5.0147084275039955</c:v>
                </c:pt>
                <c:pt idx="14">
                  <c:v>5.0147084275039955</c:v>
                </c:pt>
                <c:pt idx="15">
                  <c:v>5.0147084275039955</c:v>
                </c:pt>
                <c:pt idx="16">
                  <c:v>5.0147084275039955</c:v>
                </c:pt>
                <c:pt idx="17">
                  <c:v>5.0147084275039955</c:v>
                </c:pt>
                <c:pt idx="18">
                  <c:v>5.0147084275039955</c:v>
                </c:pt>
                <c:pt idx="19">
                  <c:v>5.0147084275039955</c:v>
                </c:pt>
              </c:numCache>
            </c:numRef>
          </c:xVal>
          <c:yVal>
            <c:numRef>
              <c:f>'CONTENÇÃO RÁPIDA'!$M$188:$M$207</c:f>
              <c:numCache>
                <c:formatCode>General</c:formatCode>
                <c:ptCount val="20"/>
                <c:pt idx="0">
                  <c:v>0.0</c:v>
                </c:pt>
                <c:pt idx="1">
                  <c:v>1.25</c:v>
                </c:pt>
                <c:pt idx="2">
                  <c:v>1.25</c:v>
                </c:pt>
                <c:pt idx="3">
                  <c:v>2.5</c:v>
                </c:pt>
                <c:pt idx="4">
                  <c:v>2.5</c:v>
                </c:pt>
                <c:pt idx="5">
                  <c:v>3.75</c:v>
                </c:pt>
                <c:pt idx="6">
                  <c:v>3.75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</c:numCache>
            </c:numRef>
          </c:yVal>
          <c:smooth val="0"/>
        </c:ser>
        <c:ser>
          <c:idx val="7"/>
          <c:order val="7"/>
          <c:tx>
            <c:v>junta 1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RÁPIDA'!$L$208:$L$209</c:f>
              <c:numCache>
                <c:formatCode>General</c:formatCode>
                <c:ptCount val="2"/>
                <c:pt idx="0">
                  <c:v>0.0</c:v>
                </c:pt>
                <c:pt idx="1">
                  <c:v>42.677808038284006</c:v>
                </c:pt>
              </c:numCache>
            </c:numRef>
          </c:xVal>
          <c:yVal>
            <c:numRef>
              <c:f>'CONTENÇÃO RÁPIDA'!$M$208:$M$209</c:f>
              <c:numCache>
                <c:formatCode>General</c:formatCode>
                <c:ptCount val="2"/>
                <c:pt idx="0">
                  <c:v>1.25</c:v>
                </c:pt>
                <c:pt idx="1">
                  <c:v>1.25</c:v>
                </c:pt>
              </c:numCache>
            </c:numRef>
          </c:yVal>
          <c:smooth val="0"/>
        </c:ser>
        <c:ser>
          <c:idx val="8"/>
          <c:order val="8"/>
          <c:tx>
            <c:v>junta 2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RÁPIDA'!$L$210:$L$211</c:f>
              <c:numCache>
                <c:formatCode>General</c:formatCode>
                <c:ptCount val="2"/>
                <c:pt idx="0">
                  <c:v>0.0</c:v>
                </c:pt>
                <c:pt idx="1">
                  <c:v>42.677808038284006</c:v>
                </c:pt>
              </c:numCache>
            </c:numRef>
          </c:xVal>
          <c:yVal>
            <c:numRef>
              <c:f>'CONTENÇÃO RÁPIDA'!$M$210:$M$211</c:f>
              <c:numCache>
                <c:formatCode>General</c:formatCode>
                <c:ptCount val="2"/>
                <c:pt idx="0">
                  <c:v>2.5</c:v>
                </c:pt>
                <c:pt idx="1">
                  <c:v>2.5</c:v>
                </c:pt>
              </c:numCache>
            </c:numRef>
          </c:yVal>
          <c:smooth val="0"/>
        </c:ser>
        <c:ser>
          <c:idx val="9"/>
          <c:order val="9"/>
          <c:tx>
            <c:v>junta 3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RÁPIDA'!$L$212:$L$213</c:f>
              <c:numCache>
                <c:formatCode>General</c:formatCode>
                <c:ptCount val="2"/>
                <c:pt idx="0">
                  <c:v>0.0</c:v>
                </c:pt>
                <c:pt idx="1">
                  <c:v>42.677808038284006</c:v>
                </c:pt>
              </c:numCache>
            </c:numRef>
          </c:xVal>
          <c:yVal>
            <c:numRef>
              <c:f>'CONTENÇÃO RÁPIDA'!$M$212:$M$213</c:f>
              <c:numCache>
                <c:formatCode>General</c:formatCode>
                <c:ptCount val="2"/>
                <c:pt idx="0">
                  <c:v>3.75</c:v>
                </c:pt>
                <c:pt idx="1">
                  <c:v>3.75</c:v>
                </c:pt>
              </c:numCache>
            </c:numRef>
          </c:yVal>
          <c:smooth val="0"/>
        </c:ser>
        <c:ser>
          <c:idx val="10"/>
          <c:order val="10"/>
          <c:tx>
            <c:v>junta 4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RÁPIDA'!$L$214:$L$215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RÁPIDA'!$M$214:$M$215</c:f>
              <c:numCache>
                <c:formatCode>General</c:formatCode>
                <c:ptCount val="2"/>
                <c:pt idx="0">
                  <c:v>5.0</c:v>
                </c:pt>
                <c:pt idx="1">
                  <c:v>5.0</c:v>
                </c:pt>
              </c:numCache>
            </c:numRef>
          </c:yVal>
          <c:smooth val="0"/>
        </c:ser>
        <c:ser>
          <c:idx val="11"/>
          <c:order val="11"/>
          <c:tx>
            <c:v>junta 5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RÁPIDA'!$L$216:$L$217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RÁPIDA'!$M$216:$M$217</c:f>
              <c:numCache>
                <c:formatCode>General</c:formatCode>
                <c:ptCount val="2"/>
                <c:pt idx="0">
                  <c:v>6.25</c:v>
                </c:pt>
                <c:pt idx="1">
                  <c:v>6.25</c:v>
                </c:pt>
              </c:numCache>
            </c:numRef>
          </c:yVal>
          <c:smooth val="0"/>
        </c:ser>
        <c:ser>
          <c:idx val="12"/>
          <c:order val="12"/>
          <c:tx>
            <c:v>junta 6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RÁPIDA'!$L$218:$L$219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RÁPIDA'!$M$218:$M$219</c:f>
              <c:numCache>
                <c:formatCode>General</c:formatCode>
                <c:ptCount val="2"/>
                <c:pt idx="0">
                  <c:v>7.5</c:v>
                </c:pt>
                <c:pt idx="1">
                  <c:v>7.5</c:v>
                </c:pt>
              </c:numCache>
            </c:numRef>
          </c:yVal>
          <c:smooth val="0"/>
        </c:ser>
        <c:ser>
          <c:idx val="13"/>
          <c:order val="13"/>
          <c:tx>
            <c:v>junta 7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RÁPIDA'!$L$220:$L$221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RÁPIDA'!$M$220:$M$221</c:f>
              <c:numCache>
                <c:formatCode>General</c:formatCode>
                <c:ptCount val="2"/>
                <c:pt idx="0">
                  <c:v>8.75</c:v>
                </c:pt>
                <c:pt idx="1">
                  <c:v>8.75</c:v>
                </c:pt>
              </c:numCache>
            </c:numRef>
          </c:yVal>
          <c:smooth val="0"/>
        </c:ser>
        <c:ser>
          <c:idx val="14"/>
          <c:order val="14"/>
          <c:tx>
            <c:v>junta 8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RÁPIDA'!$L$222:$L$223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RÁPIDA'!$M$222:$M$223</c:f>
              <c:numCache>
                <c:formatCode>General</c:formatCode>
                <c:ptCount val="2"/>
                <c:pt idx="0">
                  <c:v>10.0</c:v>
                </c:pt>
                <c:pt idx="1">
                  <c:v>10.0</c:v>
                </c:pt>
              </c:numCache>
            </c:numRef>
          </c:yVal>
          <c:smooth val="0"/>
        </c:ser>
        <c:ser>
          <c:idx val="15"/>
          <c:order val="15"/>
          <c:tx>
            <c:v>junta 9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RÁPIDA'!$L$224:$L$225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RÁPIDA'!$M$224:$M$225</c:f>
              <c:numCache>
                <c:formatCode>General</c:formatCode>
                <c:ptCount val="2"/>
                <c:pt idx="0">
                  <c:v>11.25</c:v>
                </c:pt>
                <c:pt idx="1">
                  <c:v>11.25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'CONTENÇÃO RÁPIDA'!$K$226</c:f>
              <c:strCache>
                <c:ptCount val="1"/>
                <c:pt idx="0">
                  <c:v>σq = 2,64 kN/m² (Sc)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RÁPIDA'!$L$226:$L$226</c:f>
              <c:numCache>
                <c:formatCode>General</c:formatCode>
                <c:ptCount val="1"/>
                <c:pt idx="0">
                  <c:v>2.639320225002103</c:v>
                </c:pt>
              </c:numCache>
            </c:numRef>
          </c:xVal>
          <c:yVal>
            <c:numRef>
              <c:f>'CONTENÇÃO RÁPIDA'!$M$226:$M$226</c:f>
              <c:numCache>
                <c:formatCode>General</c:formatCode>
                <c:ptCount val="1"/>
                <c:pt idx="0">
                  <c:v>4.0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'CONTENÇÃO RÁPIDA'!$K$227</c:f>
              <c:strCache>
                <c:ptCount val="1"/>
                <c:pt idx="0">
                  <c:v>σ,base = 40,65 kN/m² = solo 38,01 + Sc 2,64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RÁPIDA'!$L$227:$L$227</c:f>
              <c:numCache>
                <c:formatCode>General</c:formatCode>
                <c:ptCount val="1"/>
                <c:pt idx="0">
                  <c:v>40.645531465032384</c:v>
                </c:pt>
              </c:numCache>
            </c:numRef>
          </c:xVal>
          <c:yVal>
            <c:numRef>
              <c:f>'CONTENÇÃO RÁPIDA'!$M$227:$M$227</c:f>
              <c:numCache>
                <c:formatCode>General</c:formatCode>
                <c:ptCount val="1"/>
                <c:pt idx="0">
                  <c:v>0.0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'CONTENÇÃO RÁPIDA'!$K$228</c:f>
              <c:strCache>
                <c:ptCount val="1"/>
                <c:pt idx="0">
                  <c:v>P1: g = 47,51 | q = 3,30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RÁPIDA'!$L$228:$L$228</c:f>
              <c:numCache>
                <c:formatCode>General</c:formatCode>
                <c:ptCount val="1"/>
                <c:pt idx="0">
                  <c:v>40.645531465032384</c:v>
                </c:pt>
              </c:numCache>
            </c:numRef>
          </c:xVal>
          <c:yVal>
            <c:numRef>
              <c:f>'CONTENÇÃO RÁPIDA'!$M$228:$M$228</c:f>
              <c:numCache>
                <c:formatCode>General</c:formatCode>
                <c:ptCount val="1"/>
                <c:pt idx="0">
                  <c:v>0.625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'CONTENÇÃO RÁPIDA'!$K$229</c:f>
              <c:strCache>
                <c:ptCount val="1"/>
                <c:pt idx="0">
                  <c:v>P2: g = 32,66 | q = 3,30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RÁPIDA'!$L$229:$L$229</c:f>
              <c:numCache>
                <c:formatCode>General</c:formatCode>
                <c:ptCount val="1"/>
                <c:pt idx="0">
                  <c:v>28.768590452522922</c:v>
                </c:pt>
              </c:numCache>
            </c:numRef>
          </c:xVal>
          <c:yVal>
            <c:numRef>
              <c:f>'CONTENÇÃO RÁPIDA'!$M$229:$M$229</c:f>
              <c:numCache>
                <c:formatCode>General</c:formatCode>
                <c:ptCount val="1"/>
                <c:pt idx="0">
                  <c:v>1.875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'CONTENÇÃO RÁPIDA'!$K$230</c:f>
              <c:strCache>
                <c:ptCount val="1"/>
                <c:pt idx="0">
                  <c:v>P3: g = 17,82 | q = 3,30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RÁPIDA'!$L$230:$L$230</c:f>
              <c:numCache>
                <c:formatCode>General</c:formatCode>
                <c:ptCount val="1"/>
                <c:pt idx="0">
                  <c:v>16.89164944001346</c:v>
                </c:pt>
              </c:numCache>
            </c:numRef>
          </c:xVal>
          <c:yVal>
            <c:numRef>
              <c:f>'CONTENÇÃO RÁPIDA'!$M$230:$M$230</c:f>
              <c:numCache>
                <c:formatCode>General</c:formatCode>
                <c:ptCount val="1"/>
                <c:pt idx="0">
                  <c:v>3.125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'CONTENÇÃO RÁPIDA'!$K$231</c:f>
              <c:strCache>
                <c:ptCount val="1"/>
                <c:pt idx="0">
                  <c:v>P4: g = 0,59 | q = 0,66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RÁPIDA'!$L$231:$L$231</c:f>
              <c:numCache>
                <c:formatCode>General</c:formatCode>
                <c:ptCount val="1"/>
                <c:pt idx="0">
                  <c:v>5.0147084275039955</c:v>
                </c:pt>
              </c:numCache>
            </c:numRef>
          </c:xVal>
          <c:yVal>
            <c:numRef>
              <c:f>'CONTENÇÃO RÁPIDA'!$M$231:$M$231</c:f>
              <c:numCache>
                <c:formatCode>General</c:formatCode>
                <c:ptCount val="1"/>
                <c:pt idx="0">
                  <c:v>3.875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'CONTENÇÃO RÁPIDA'!$K$232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RÁPIDA'!$L$232:$L$232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RÁPIDA'!$M$232:$M$232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3"/>
          <c:order val="23"/>
          <c:tx>
            <c:strRef>
              <c:f>'CONTENÇÃO RÁPIDA'!$K$233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RÁPIDA'!$L$233:$L$233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RÁPIDA'!$M$233:$M$233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4"/>
          <c:order val="24"/>
          <c:tx>
            <c:strRef>
              <c:f>'CONTENÇÃO RÁPIDA'!$K$234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RÁPIDA'!$L$234:$L$234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RÁPIDA'!$M$234:$M$234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5"/>
          <c:order val="25"/>
          <c:tx>
            <c:strRef>
              <c:f>'CONTENÇÃO RÁPIDA'!$K$235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RÁPIDA'!$L$235:$L$235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RÁPIDA'!$M$235:$M$235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6"/>
          <c:order val="26"/>
          <c:tx>
            <c:strRef>
              <c:f>'CONTENÇÃO RÁPIDA'!$K$236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RÁPIDA'!$L$236:$L$236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RÁPIDA'!$M$236:$M$236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7"/>
          <c:order val="27"/>
          <c:tx>
            <c:strRef>
              <c:f>'CONTENÇÃO RÁPIDA'!$K$237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RÁPIDA'!$L$237:$L$237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RÁPIDA'!$M$237:$M$237</c:f>
              <c:numCache>
                <c:formatCode>General</c:formatCode>
                <c:ptCount val="1"/>
              </c:numCache>
            </c:numRef>
          </c:yVal>
          <c:smooth val="0"/>
        </c:ser>
        <c:axId val="61"/>
        <c:axId val="62"/>
      </c:scatterChart>
      <c:valAx>
        <c:axId val="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pressão (kN/m²)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62"/>
        <c:crosses val="autoZero"/>
        <c:crossBetween val="midCat"/>
      </c:valAx>
      <c:valAx>
        <c:axId val="62"/>
        <c:scaling>
          <c:orientation val="minMax"/>
        </c:scaling>
        <c:delete val="0"/>
        <c:axPos val="l"/>
        <c:majorGridlines>
          <c:spPr>
            <a:ln w="3175">
              <a:solidFill>
                <a:srgbClr val="E7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altura a partir da base (m)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61"/>
        <c:crosses val="autoZero"/>
        <c:crossBetween val="midCat"/>
      </c:valAx>
    </c:plotArea>
    <c:plotVisOnly val="1"/>
    <c:dispBlanksAs val="gap"/>
  </c:chart>
  <c:spPr>
    <a:solidFill>
      <a:srgbClr val="FFFFFF"/>
    </a:solidFill>
    <a:ln w="9525">
      <a:solidFill>
        <a:srgbClr val="000000"/>
      </a:solidFill>
    </a:ln>
  </c:spPr>
  <c:txPr>
    <a:bodyPr/>
    <a:lstStyle/>
    <a:p>
      <a:pPr>
        <a:defRPr sz="900" b="0">
          <a:solidFill>
            <a:srgbClr val="404040"/>
          </a:solidFill>
          <a:latin typeface="Aptos Narrow"/>
        </a:defRPr>
      </a:pPr>
      <a:endParaRPr lang="pt-B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/>
            </a:pPr>
            <a:r>
              <a:rPr lang="pt-BR" sz="1100" b="1">
                <a:latin typeface="Aptos Narrow"/>
              </a:rPr>
              <a:t>ESCALONAMENTO – |Md| DECALADO E BARRAS (1 face)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|Md|</c:v>
          </c:tx>
          <c:spPr>
            <a:ln w="222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PILAR'!$L$365:$L$445</c:f>
              <c:numCache>
                <c:formatCode>General</c:formatCode>
                <c:ptCount val="81"/>
                <c:pt idx="0">
                  <c:v>7.958078640513122e-14</c:v>
                </c:pt>
                <c:pt idx="1">
                  <c:v>17.72959283395405</c:v>
                </c:pt>
                <c:pt idx="2">
                  <c:v>34.8110353954495</c:v>
                </c:pt>
                <c:pt idx="3">
                  <c:v>51.25199306221535</c:v>
                </c:pt>
                <c:pt idx="4">
                  <c:v>67.06013121198154</c:v>
                </c:pt>
                <c:pt idx="5">
                  <c:v>82.24311522247723</c:v>
                </c:pt>
                <c:pt idx="6">
                  <c:v>96.8086104714319</c:v>
                </c:pt>
                <c:pt idx="7">
                  <c:v>110.76428233657532</c:v>
                </c:pt>
                <c:pt idx="8">
                  <c:v>124.11779619563643</c:v>
                </c:pt>
                <c:pt idx="9">
                  <c:v>136.87681742634547</c:v>
                </c:pt>
                <c:pt idx="10">
                  <c:v>149.04901140643113</c:v>
                </c:pt>
                <c:pt idx="11">
                  <c:v>160.64204351362338</c:v>
                </c:pt>
                <c:pt idx="12">
                  <c:v>171.6635791256516</c:v>
                </c:pt>
                <c:pt idx="13">
                  <c:v>182.121283620245</c:v>
                </c:pt>
                <c:pt idx="14">
                  <c:v>192.0228223751334</c:v>
                </c:pt>
                <c:pt idx="15">
                  <c:v>201.37586076804612</c:v>
                </c:pt>
                <c:pt idx="16">
                  <c:v>210.1880641767126</c:v>
                </c:pt>
                <c:pt idx="17">
                  <c:v>218.46709797886248</c:v>
                </c:pt>
                <c:pt idx="18">
                  <c:v>226.22062755222498</c:v>
                </c:pt>
                <c:pt idx="19">
                  <c:v>233.45631827452985</c:v>
                </c:pt>
                <c:pt idx="20">
                  <c:v>240.18183552350632</c:v>
                </c:pt>
                <c:pt idx="21">
                  <c:v>246.4048446768839</c:v>
                </c:pt>
                <c:pt idx="22">
                  <c:v>252.13301111239224</c:v>
                </c:pt>
                <c:pt idx="23">
                  <c:v>257.3740002077607</c:v>
                </c:pt>
                <c:pt idx="24">
                  <c:v>262.1354773407187</c:v>
                </c:pt>
                <c:pt idx="25">
                  <c:v>266.42510788899585</c:v>
                </c:pt>
                <c:pt idx="26">
                  <c:v>270.2505572303215</c:v>
                </c:pt>
                <c:pt idx="27">
                  <c:v>273.61949074242517</c:v>
                </c:pt>
                <c:pt idx="28">
                  <c:v>276.5395738030362</c:v>
                </c:pt>
                <c:pt idx="29">
                  <c:v>279.01847178988436</c:v>
                </c:pt>
                <c:pt idx="30">
                  <c:v>281.0638500806989</c:v>
                </c:pt>
                <c:pt idx="31">
                  <c:v>282.6833740532094</c:v>
                </c:pt>
                <c:pt idx="32">
                  <c:v>283.88470908514523</c:v>
                </c:pt>
                <c:pt idx="33">
                  <c:v>284.67552055423585</c:v>
                </c:pt>
                <c:pt idx="34">
                  <c:v>285.0634738382109</c:v>
                </c:pt>
                <c:pt idx="35">
                  <c:v>285.05623431479967</c:v>
                </c:pt>
                <c:pt idx="36">
                  <c:v>284.66146736173187</c:v>
                </c:pt>
                <c:pt idx="37">
                  <c:v>283.88683835673675</c:v>
                </c:pt>
                <c:pt idx="38">
                  <c:v>282.7400126775438</c:v>
                </c:pt>
                <c:pt idx="39">
                  <c:v>281.2286557018826</c:v>
                </c:pt>
                <c:pt idx="40">
                  <c:v>279.36043280748254</c:v>
                </c:pt>
                <c:pt idx="41">
                  <c:v>277.1430093720731</c:v>
                </c:pt>
                <c:pt idx="42">
                  <c:v>274.5840507733839</c:v>
                </c:pt>
                <c:pt idx="43">
                  <c:v>271.69122238914423</c:v>
                </c:pt>
                <c:pt idx="44">
                  <c:v>268.47218959708357</c:v>
                </c:pt>
                <c:pt idx="45">
                  <c:v>264.93461777493155</c:v>
                </c:pt>
                <c:pt idx="46">
                  <c:v>261.08617230041756</c:v>
                </c:pt>
                <c:pt idx="47">
                  <c:v>256.9345185512709</c:v>
                </c:pt>
                <c:pt idx="48">
                  <c:v>252.48732190522128</c:v>
                </c:pt>
                <c:pt idx="49">
                  <c:v>247.7522477399981</c:v>
                </c:pt>
                <c:pt idx="50">
                  <c:v>242.7369614333309</c:v>
                </c:pt>
                <c:pt idx="51">
                  <c:v>237.44912836294904</c:v>
                </c:pt>
                <c:pt idx="52">
                  <c:v>231.89641390658196</c:v>
                </c:pt>
                <c:pt idx="53">
                  <c:v>226.0864834419593</c:v>
                </c:pt>
                <c:pt idx="54">
                  <c:v>220.02700234681035</c:v>
                </c:pt>
                <c:pt idx="55">
                  <c:v>213.7256359988648</c:v>
                </c:pt>
                <c:pt idx="56">
                  <c:v>207.190049775852</c:v>
                </c:pt>
                <c:pt idx="57">
                  <c:v>200.4279090555013</c:v>
                </c:pt>
                <c:pt idx="58">
                  <c:v>193.44687921554237</c:v>
                </c:pt>
                <c:pt idx="59">
                  <c:v>186.25462563370456</c:v>
                </c:pt>
                <c:pt idx="60">
                  <c:v>178.8588136877175</c:v>
                </c:pt>
                <c:pt idx="61">
                  <c:v>171.26710875531055</c:v>
                </c:pt>
                <c:pt idx="62">
                  <c:v>163.48717621421306</c:v>
                </c:pt>
                <c:pt idx="63">
                  <c:v>155.52668144215477</c:v>
                </c:pt>
                <c:pt idx="64">
                  <c:v>147.39328981686492</c:v>
                </c:pt>
                <c:pt idx="65">
                  <c:v>139.09466671607314</c:v>
                </c:pt>
                <c:pt idx="66">
                  <c:v>130.63847751750887</c:v>
                </c:pt>
                <c:pt idx="67">
                  <c:v>122.0323875989015</c:v>
                </c:pt>
                <c:pt idx="68">
                  <c:v>113.28406233798063</c:v>
                </c:pt>
                <c:pt idx="69">
                  <c:v>104.40116711247559</c:v>
                </c:pt>
                <c:pt idx="70">
                  <c:v>95.391367300116</c:v>
                </c:pt>
                <c:pt idx="71">
                  <c:v>86.26232827863127</c:v>
                </c:pt>
                <c:pt idx="72">
                  <c:v>77.02171542575078</c:v>
                </c:pt>
                <c:pt idx="73">
                  <c:v>67.67719411920419</c:v>
                </c:pt>
                <c:pt idx="74">
                  <c:v>58.23642973672077</c:v>
                </c:pt>
                <c:pt idx="75">
                  <c:v>48.70708765603022</c:v>
                </c:pt>
                <c:pt idx="76">
                  <c:v>39.096833254861856</c:v>
                </c:pt>
                <c:pt idx="77">
                  <c:v>29.413331910945125</c:v>
                </c:pt>
                <c:pt idx="78">
                  <c:v>19.664249002009644</c:v>
                </c:pt>
                <c:pt idx="79">
                  <c:v>9.85724990578472</c:v>
                </c:pt>
                <c:pt idx="80">
                  <c:v>0.0</c:v>
                </c:pt>
              </c:numCache>
            </c:numRef>
          </c:xVal>
          <c:yVal>
            <c:numRef>
              <c:f>'DIMENSIONAMENTO PILAR'!$M$365:$M$445</c:f>
              <c:numCache>
                <c:formatCode>General</c:formatCode>
                <c:ptCount val="81"/>
                <c:pt idx="0">
                  <c:v>0.0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1.0</c:v>
                </c:pt>
                <c:pt idx="21">
                  <c:v>1.05</c:v>
                </c:pt>
                <c:pt idx="22">
                  <c:v>1.1</c:v>
                </c:pt>
                <c:pt idx="23">
                  <c:v>1.15</c:v>
                </c:pt>
                <c:pt idx="24">
                  <c:v>1.2</c:v>
                </c:pt>
                <c:pt idx="25">
                  <c:v>1.25</c:v>
                </c:pt>
                <c:pt idx="26">
                  <c:v>1.3</c:v>
                </c:pt>
                <c:pt idx="27">
                  <c:v>1.35</c:v>
                </c:pt>
                <c:pt idx="28">
                  <c:v>1.4</c:v>
                </c:pt>
                <c:pt idx="29">
                  <c:v>1.45</c:v>
                </c:pt>
                <c:pt idx="30">
                  <c:v>1.5</c:v>
                </c:pt>
                <c:pt idx="31">
                  <c:v>1.55</c:v>
                </c:pt>
                <c:pt idx="32">
                  <c:v>1.6</c:v>
                </c:pt>
                <c:pt idx="33">
                  <c:v>1.65</c:v>
                </c:pt>
                <c:pt idx="34">
                  <c:v>1.7</c:v>
                </c:pt>
                <c:pt idx="35">
                  <c:v>1.75</c:v>
                </c:pt>
                <c:pt idx="36">
                  <c:v>1.8</c:v>
                </c:pt>
                <c:pt idx="37">
                  <c:v>1.85</c:v>
                </c:pt>
                <c:pt idx="38">
                  <c:v>1.9</c:v>
                </c:pt>
                <c:pt idx="39">
                  <c:v>1.95</c:v>
                </c:pt>
                <c:pt idx="40">
                  <c:v>2.0</c:v>
                </c:pt>
                <c:pt idx="41">
                  <c:v>2.05</c:v>
                </c:pt>
                <c:pt idx="42">
                  <c:v>2.1</c:v>
                </c:pt>
                <c:pt idx="43">
                  <c:v>2.15</c:v>
                </c:pt>
                <c:pt idx="44">
                  <c:v>2.2</c:v>
                </c:pt>
                <c:pt idx="45">
                  <c:v>2.25</c:v>
                </c:pt>
                <c:pt idx="46">
                  <c:v>2.3</c:v>
                </c:pt>
                <c:pt idx="47">
                  <c:v>2.35</c:v>
                </c:pt>
                <c:pt idx="48">
                  <c:v>2.4</c:v>
                </c:pt>
                <c:pt idx="49">
                  <c:v>2.45</c:v>
                </c:pt>
                <c:pt idx="50">
                  <c:v>2.5</c:v>
                </c:pt>
                <c:pt idx="51">
                  <c:v>2.55</c:v>
                </c:pt>
                <c:pt idx="52">
                  <c:v>2.6</c:v>
                </c:pt>
                <c:pt idx="53">
                  <c:v>2.65</c:v>
                </c:pt>
                <c:pt idx="54">
                  <c:v>2.7</c:v>
                </c:pt>
                <c:pt idx="55">
                  <c:v>2.75</c:v>
                </c:pt>
                <c:pt idx="56">
                  <c:v>2.8</c:v>
                </c:pt>
                <c:pt idx="57">
                  <c:v>2.85</c:v>
                </c:pt>
                <c:pt idx="58">
                  <c:v>2.9</c:v>
                </c:pt>
                <c:pt idx="59">
                  <c:v>2.95</c:v>
                </c:pt>
                <c:pt idx="60">
                  <c:v>3.0</c:v>
                </c:pt>
                <c:pt idx="61">
                  <c:v>3.05</c:v>
                </c:pt>
                <c:pt idx="62">
                  <c:v>3.1</c:v>
                </c:pt>
                <c:pt idx="63">
                  <c:v>3.15</c:v>
                </c:pt>
                <c:pt idx="64">
                  <c:v>3.2</c:v>
                </c:pt>
                <c:pt idx="65">
                  <c:v>3.25</c:v>
                </c:pt>
                <c:pt idx="66">
                  <c:v>3.3</c:v>
                </c:pt>
                <c:pt idx="67">
                  <c:v>3.35</c:v>
                </c:pt>
                <c:pt idx="68">
                  <c:v>3.4</c:v>
                </c:pt>
                <c:pt idx="69">
                  <c:v>3.45</c:v>
                </c:pt>
                <c:pt idx="70">
                  <c:v>3.5</c:v>
                </c:pt>
                <c:pt idx="71">
                  <c:v>3.55</c:v>
                </c:pt>
                <c:pt idx="72">
                  <c:v>3.6</c:v>
                </c:pt>
                <c:pt idx="73">
                  <c:v>3.65</c:v>
                </c:pt>
                <c:pt idx="74">
                  <c:v>3.7</c:v>
                </c:pt>
                <c:pt idx="75">
                  <c:v>3.75</c:v>
                </c:pt>
                <c:pt idx="76">
                  <c:v>3.8</c:v>
                </c:pt>
                <c:pt idx="77">
                  <c:v>3.85</c:v>
                </c:pt>
                <c:pt idx="78">
                  <c:v>3.9</c:v>
                </c:pt>
                <c:pt idx="79">
                  <c:v>3.95</c:v>
                </c:pt>
                <c:pt idx="80">
                  <c:v>4.0</c:v>
                </c:pt>
              </c:numCache>
            </c:numRef>
          </c:yVal>
          <c:smooth val="0"/>
        </c:ser>
        <c:ser>
          <c:idx val="1"/>
          <c:order val="1"/>
          <c:tx>
            <c:v>|Md| decalado</c:v>
          </c:tx>
          <c:spPr>
            <a:ln w="15875" cap="rnd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xVal>
            <c:numRef>
              <c:f>'DIMENSIONAMENTO PILAR'!$L$446:$L$526</c:f>
              <c:numCache>
                <c:formatCode>General</c:formatCode>
                <c:ptCount val="81"/>
                <c:pt idx="0">
                  <c:v>123.0935041993709</c:v>
                </c:pt>
                <c:pt idx="1">
                  <c:v>135.8988094828217</c:v>
                </c:pt>
                <c:pt idx="2">
                  <c:v>148.11668716253337</c:v>
                </c:pt>
                <c:pt idx="3">
                  <c:v>159.75480261623574</c:v>
                </c:pt>
                <c:pt idx="4">
                  <c:v>170.82082122165778</c:v>
                </c:pt>
                <c:pt idx="5">
                  <c:v>181.32240835652914</c:v>
                </c:pt>
                <c:pt idx="6">
                  <c:v>191.26722939857945</c:v>
                </c:pt>
                <c:pt idx="7">
                  <c:v>200.6629497255379</c:v>
                </c:pt>
                <c:pt idx="8">
                  <c:v>209.51723471513424</c:v>
                </c:pt>
                <c:pt idx="9">
                  <c:v>217.83774974509777</c:v>
                </c:pt>
                <c:pt idx="10">
                  <c:v>225.63216019315817</c:v>
                </c:pt>
                <c:pt idx="11">
                  <c:v>232.90813143704466</c:v>
                </c:pt>
                <c:pt idx="12">
                  <c:v>239.67332885448678</c:v>
                </c:pt>
                <c:pt idx="13">
                  <c:v>245.93541782321412</c:v>
                </c:pt>
                <c:pt idx="14">
                  <c:v>251.702063720956</c:v>
                </c:pt>
                <c:pt idx="15">
                  <c:v>256.980931925442</c:v>
                </c:pt>
                <c:pt idx="16">
                  <c:v>261.77968781440165</c:v>
                </c:pt>
                <c:pt idx="17">
                  <c:v>266.1059967655642</c:v>
                </c:pt>
                <c:pt idx="18">
                  <c:v>269.96752415665935</c:v>
                </c:pt>
                <c:pt idx="19">
                  <c:v>273.3719353654164</c:v>
                </c:pt>
                <c:pt idx="20">
                  <c:v>276.326895769565</c:v>
                </c:pt>
                <c:pt idx="21">
                  <c:v>278.84007074683456</c:v>
                </c:pt>
                <c:pt idx="22">
                  <c:v>280.91912567495444</c:v>
                </c:pt>
                <c:pt idx="23">
                  <c:v>282.5717259316542</c:v>
                </c:pt>
                <c:pt idx="24">
                  <c:v>283.8055368946633</c:v>
                </c:pt>
                <c:pt idx="25">
                  <c:v>284.6282239417112</c:v>
                </c:pt>
                <c:pt idx="26">
                  <c:v>285.0474524505276</c:v>
                </c:pt>
                <c:pt idx="27">
                  <c:v>285.1088470803368</c:v>
                </c:pt>
                <c:pt idx="28">
                  <c:v>285.1088470803368</c:v>
                </c:pt>
                <c:pt idx="29">
                  <c:v>285.1088470803368</c:v>
                </c:pt>
                <c:pt idx="30">
                  <c:v>285.1088470803368</c:v>
                </c:pt>
                <c:pt idx="31">
                  <c:v>285.1088470803368</c:v>
                </c:pt>
                <c:pt idx="32">
                  <c:v>285.1088470803368</c:v>
                </c:pt>
                <c:pt idx="33">
                  <c:v>285.1088470803368</c:v>
                </c:pt>
                <c:pt idx="34">
                  <c:v>285.1088470803368</c:v>
                </c:pt>
                <c:pt idx="35">
                  <c:v>285.1088470803368</c:v>
                </c:pt>
                <c:pt idx="36">
                  <c:v>285.1088470803368</c:v>
                </c:pt>
                <c:pt idx="37">
                  <c:v>285.1088470803368</c:v>
                </c:pt>
                <c:pt idx="38">
                  <c:v>285.1088470803368</c:v>
                </c:pt>
                <c:pt idx="39">
                  <c:v>285.1088470803368</c:v>
                </c:pt>
                <c:pt idx="40">
                  <c:v>285.1088470803368</c:v>
                </c:pt>
                <c:pt idx="41">
                  <c:v>285.1088470803368</c:v>
                </c:pt>
                <c:pt idx="42">
                  <c:v>285.1088470803368</c:v>
                </c:pt>
                <c:pt idx="43">
                  <c:v>285.0392037230249</c:v>
                </c:pt>
                <c:pt idx="44">
                  <c:v>284.6144092710613</c:v>
                </c:pt>
                <c:pt idx="45">
                  <c:v>283.8103531202865</c:v>
                </c:pt>
                <c:pt idx="46">
                  <c:v>282.6347006484298</c:v>
                </c:pt>
                <c:pt idx="47">
                  <c:v>281.09511723322083</c:v>
                </c:pt>
                <c:pt idx="48">
                  <c:v>279.19926825238923</c:v>
                </c:pt>
                <c:pt idx="49">
                  <c:v>276.95481908366423</c:v>
                </c:pt>
                <c:pt idx="50">
                  <c:v>274.36943510477533</c:v>
                </c:pt>
                <c:pt idx="51">
                  <c:v>271.4507816934522</c:v>
                </c:pt>
                <c:pt idx="52">
                  <c:v>268.20652422742404</c:v>
                </c:pt>
                <c:pt idx="53">
                  <c:v>264.64432808442047</c:v>
                </c:pt>
                <c:pt idx="54">
                  <c:v>260.7718586421709</c:v>
                </c:pt>
                <c:pt idx="55">
                  <c:v>256.59678127840493</c:v>
                </c:pt>
                <c:pt idx="56">
                  <c:v>252.12676137085197</c:v>
                </c:pt>
                <c:pt idx="57">
                  <c:v>247.36946429724145</c:v>
                </c:pt>
                <c:pt idx="58">
                  <c:v>242.3325554353028</c:v>
                </c:pt>
                <c:pt idx="59">
                  <c:v>237.02370016276566</c:v>
                </c:pt>
                <c:pt idx="60">
                  <c:v>231.4505638573594</c:v>
                </c:pt>
                <c:pt idx="61">
                  <c:v>225.62081189681348</c:v>
                </c:pt>
                <c:pt idx="62">
                  <c:v>219.54210965885738</c:v>
                </c:pt>
                <c:pt idx="63">
                  <c:v>213.22212252122057</c:v>
                </c:pt>
                <c:pt idx="64">
                  <c:v>206.66851586163256</c:v>
                </c:pt>
                <c:pt idx="65">
                  <c:v>199.88895505782284</c:v>
                </c:pt>
                <c:pt idx="66">
                  <c:v>192.89110548752086</c:v>
                </c:pt>
                <c:pt idx="67">
                  <c:v>185.682632528456</c:v>
                </c:pt>
                <c:pt idx="68">
                  <c:v>178.27120155835792</c:v>
                </c:pt>
                <c:pt idx="69">
                  <c:v>170.66447795495588</c:v>
                </c:pt>
                <c:pt idx="70">
                  <c:v>162.87012709597957</c:v>
                </c:pt>
                <c:pt idx="71">
                  <c:v>154.89581435915835</c:v>
                </c:pt>
                <c:pt idx="72">
                  <c:v>146.7492051222216</c:v>
                </c:pt>
                <c:pt idx="73">
                  <c:v>138.43796476289899</c:v>
                </c:pt>
                <c:pt idx="74">
                  <c:v>129.96975865891983</c:v>
                </c:pt>
                <c:pt idx="75">
                  <c:v>121.35225218801371</c:v>
                </c:pt>
                <c:pt idx="76">
                  <c:v>112.5931107279101</c:v>
                </c:pt>
                <c:pt idx="77">
                  <c:v>103.69999965633832</c:v>
                </c:pt>
                <c:pt idx="78">
                  <c:v>94.68058435102803</c:v>
                </c:pt>
                <c:pt idx="79">
                  <c:v>85.54253018970856</c:v>
                </c:pt>
                <c:pt idx="80">
                  <c:v>76.29350255010952</c:v>
                </c:pt>
              </c:numCache>
            </c:numRef>
          </c:xVal>
          <c:yVal>
            <c:numRef>
              <c:f>'DIMENSIONAMENTO PILAR'!$M$446:$M$526</c:f>
              <c:numCache>
                <c:formatCode>General</c:formatCode>
                <c:ptCount val="81"/>
                <c:pt idx="0">
                  <c:v>0.0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1.0</c:v>
                </c:pt>
                <c:pt idx="21">
                  <c:v>1.05</c:v>
                </c:pt>
                <c:pt idx="22">
                  <c:v>1.1</c:v>
                </c:pt>
                <c:pt idx="23">
                  <c:v>1.15</c:v>
                </c:pt>
                <c:pt idx="24">
                  <c:v>1.2</c:v>
                </c:pt>
                <c:pt idx="25">
                  <c:v>1.25</c:v>
                </c:pt>
                <c:pt idx="26">
                  <c:v>1.3</c:v>
                </c:pt>
                <c:pt idx="27">
                  <c:v>1.35</c:v>
                </c:pt>
                <c:pt idx="28">
                  <c:v>1.4</c:v>
                </c:pt>
                <c:pt idx="29">
                  <c:v>1.45</c:v>
                </c:pt>
                <c:pt idx="30">
                  <c:v>1.5</c:v>
                </c:pt>
                <c:pt idx="31">
                  <c:v>1.55</c:v>
                </c:pt>
                <c:pt idx="32">
                  <c:v>1.6</c:v>
                </c:pt>
                <c:pt idx="33">
                  <c:v>1.65</c:v>
                </c:pt>
                <c:pt idx="34">
                  <c:v>1.7</c:v>
                </c:pt>
                <c:pt idx="35">
                  <c:v>1.75</c:v>
                </c:pt>
                <c:pt idx="36">
                  <c:v>1.8</c:v>
                </c:pt>
                <c:pt idx="37">
                  <c:v>1.85</c:v>
                </c:pt>
                <c:pt idx="38">
                  <c:v>1.9</c:v>
                </c:pt>
                <c:pt idx="39">
                  <c:v>1.95</c:v>
                </c:pt>
                <c:pt idx="40">
                  <c:v>2.0</c:v>
                </c:pt>
                <c:pt idx="41">
                  <c:v>2.05</c:v>
                </c:pt>
                <c:pt idx="42">
                  <c:v>2.1</c:v>
                </c:pt>
                <c:pt idx="43">
                  <c:v>2.15</c:v>
                </c:pt>
                <c:pt idx="44">
                  <c:v>2.2</c:v>
                </c:pt>
                <c:pt idx="45">
                  <c:v>2.25</c:v>
                </c:pt>
                <c:pt idx="46">
                  <c:v>2.3</c:v>
                </c:pt>
                <c:pt idx="47">
                  <c:v>2.35</c:v>
                </c:pt>
                <c:pt idx="48">
                  <c:v>2.4</c:v>
                </c:pt>
                <c:pt idx="49">
                  <c:v>2.45</c:v>
                </c:pt>
                <c:pt idx="50">
                  <c:v>2.5</c:v>
                </c:pt>
                <c:pt idx="51">
                  <c:v>2.55</c:v>
                </c:pt>
                <c:pt idx="52">
                  <c:v>2.6</c:v>
                </c:pt>
                <c:pt idx="53">
                  <c:v>2.65</c:v>
                </c:pt>
                <c:pt idx="54">
                  <c:v>2.7</c:v>
                </c:pt>
                <c:pt idx="55">
                  <c:v>2.75</c:v>
                </c:pt>
                <c:pt idx="56">
                  <c:v>2.8</c:v>
                </c:pt>
                <c:pt idx="57">
                  <c:v>2.85</c:v>
                </c:pt>
                <c:pt idx="58">
                  <c:v>2.9</c:v>
                </c:pt>
                <c:pt idx="59">
                  <c:v>2.95</c:v>
                </c:pt>
                <c:pt idx="60">
                  <c:v>3.0</c:v>
                </c:pt>
                <c:pt idx="61">
                  <c:v>3.05</c:v>
                </c:pt>
                <c:pt idx="62">
                  <c:v>3.1</c:v>
                </c:pt>
                <c:pt idx="63">
                  <c:v>3.15</c:v>
                </c:pt>
                <c:pt idx="64">
                  <c:v>3.2</c:v>
                </c:pt>
                <c:pt idx="65">
                  <c:v>3.25</c:v>
                </c:pt>
                <c:pt idx="66">
                  <c:v>3.3</c:v>
                </c:pt>
                <c:pt idx="67">
                  <c:v>3.35</c:v>
                </c:pt>
                <c:pt idx="68">
                  <c:v>3.4</c:v>
                </c:pt>
                <c:pt idx="69">
                  <c:v>3.45</c:v>
                </c:pt>
                <c:pt idx="70">
                  <c:v>3.5</c:v>
                </c:pt>
                <c:pt idx="71">
                  <c:v>3.55</c:v>
                </c:pt>
                <c:pt idx="72">
                  <c:v>3.6</c:v>
                </c:pt>
                <c:pt idx="73">
                  <c:v>3.65</c:v>
                </c:pt>
                <c:pt idx="74">
                  <c:v>3.7</c:v>
                </c:pt>
                <c:pt idx="75">
                  <c:v>3.75</c:v>
                </c:pt>
                <c:pt idx="76">
                  <c:v>3.8</c:v>
                </c:pt>
                <c:pt idx="77">
                  <c:v>3.85</c:v>
                </c:pt>
                <c:pt idx="78">
                  <c:v>3.9</c:v>
                </c:pt>
                <c:pt idx="79">
                  <c:v>3.95</c:v>
                </c:pt>
                <c:pt idx="80">
                  <c:v>4.0</c:v>
                </c:pt>
              </c:numCache>
            </c:numRef>
          </c:yVal>
          <c:smooth val="0"/>
        </c:ser>
        <c:ser>
          <c:idx val="2"/>
          <c:order val="2"/>
          <c:tx>
            <c:v>corrida 1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PILAR'!$L$527:$L$528</c:f>
              <c:numCache>
                <c:formatCode>General</c:formatCode>
                <c:ptCount val="2"/>
                <c:pt idx="0">
                  <c:v>58.4495543156273</c:v>
                </c:pt>
                <c:pt idx="1">
                  <c:v>58.4495543156273</c:v>
                </c:pt>
              </c:numCache>
            </c:numRef>
          </c:xVal>
          <c:yVal>
            <c:numRef>
              <c:f>'DIMENSIONAMENTO PILAR'!$M$527:$M$528</c:f>
              <c:numCache>
                <c:formatCode>General</c:formatCode>
                <c:ptCount val="2"/>
                <c:pt idx="0">
                  <c:v>0.0</c:v>
                </c:pt>
                <c:pt idx="1">
                  <c:v>4.0</c:v>
                </c:pt>
              </c:numCache>
            </c:numRef>
          </c:yVal>
          <c:smooth val="0"/>
        </c:ser>
        <c:ser>
          <c:idx val="3"/>
          <c:order val="3"/>
          <c:tx>
            <c:v>adicional 1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PILAR'!$L$529:$L$530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PILAR'!$M$529:$M$530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4"/>
          <c:order val="4"/>
          <c:tx>
            <c:v>corrida 2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PILAR'!$L$531:$L$532</c:f>
              <c:numCache>
                <c:formatCode>General</c:formatCode>
                <c:ptCount val="2"/>
                <c:pt idx="0">
                  <c:v>116.8991086312546</c:v>
                </c:pt>
                <c:pt idx="1">
                  <c:v>116.8991086312546</c:v>
                </c:pt>
              </c:numCache>
            </c:numRef>
          </c:xVal>
          <c:yVal>
            <c:numRef>
              <c:f>'DIMENSIONAMENTO PILAR'!$M$531:$M$532</c:f>
              <c:numCache>
                <c:formatCode>General</c:formatCode>
                <c:ptCount val="2"/>
                <c:pt idx="0">
                  <c:v>0.0</c:v>
                </c:pt>
                <c:pt idx="1">
                  <c:v>4.0</c:v>
                </c:pt>
              </c:numCache>
            </c:numRef>
          </c:yVal>
          <c:smooth val="0"/>
        </c:ser>
        <c:ser>
          <c:idx val="5"/>
          <c:order val="5"/>
          <c:tx>
            <c:v>adicional 2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PILAR'!$L$533:$L$534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PILAR'!$M$533:$M$534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6"/>
          <c:order val="6"/>
          <c:tx>
            <c:v>corrida 3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PILAR'!$L$535:$L$536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PILAR'!$M$535:$M$536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7"/>
          <c:order val="7"/>
          <c:tx>
            <c:v>adicional 3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PILAR'!$L$537:$L$538</c:f>
              <c:numCache>
                <c:formatCode>General</c:formatCode>
                <c:ptCount val="2"/>
                <c:pt idx="0">
                  <c:v>175.34866294688192</c:v>
                </c:pt>
                <c:pt idx="1">
                  <c:v>175.34866294688192</c:v>
                </c:pt>
              </c:numCache>
            </c:numRef>
          </c:xVal>
          <c:yVal>
            <c:numRef>
              <c:f>'DIMENSIONAMENTO PILAR'!$M$537:$M$538</c:f>
              <c:numCache>
                <c:formatCode>General</c:formatCode>
                <c:ptCount val="2"/>
                <c:pt idx="0">
                  <c:v>0.03</c:v>
                </c:pt>
                <c:pt idx="1">
                  <c:v>3.97</c:v>
                </c:pt>
              </c:numCache>
            </c:numRef>
          </c:yVal>
          <c:smooth val="0"/>
        </c:ser>
        <c:ser>
          <c:idx val="8"/>
          <c:order val="8"/>
          <c:tx>
            <c:v>corrida 4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PILAR'!$L$539:$L$540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PILAR'!$M$539:$M$540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9"/>
          <c:order val="9"/>
          <c:tx>
            <c:v>adicional 4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PILAR'!$L$541:$L$542</c:f>
              <c:numCache>
                <c:formatCode>General</c:formatCode>
                <c:ptCount val="2"/>
                <c:pt idx="0">
                  <c:v>233.7982172625092</c:v>
                </c:pt>
                <c:pt idx="1">
                  <c:v>233.7982172625092</c:v>
                </c:pt>
              </c:numCache>
            </c:numRef>
          </c:xVal>
          <c:yVal>
            <c:numRef>
              <c:f>'DIMENSIONAMENTO PILAR'!$M$541:$M$542</c:f>
              <c:numCache>
                <c:formatCode>General</c:formatCode>
                <c:ptCount val="2"/>
                <c:pt idx="0">
                  <c:v>0.03</c:v>
                </c:pt>
                <c:pt idx="1">
                  <c:v>3.65</c:v>
                </c:pt>
              </c:numCache>
            </c:numRef>
          </c:yVal>
          <c:smooth val="0"/>
        </c:ser>
        <c:ser>
          <c:idx val="10"/>
          <c:order val="10"/>
          <c:tx>
            <c:v>corrida 5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PILAR'!$L$543:$L$544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PILAR'!$M$543:$M$544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1"/>
          <c:order val="11"/>
          <c:tx>
            <c:v>adicional 5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PILAR'!$L$545:$L$546</c:f>
              <c:numCache>
                <c:formatCode>General</c:formatCode>
                <c:ptCount val="2"/>
                <c:pt idx="0">
                  <c:v>292.2477715781365</c:v>
                </c:pt>
                <c:pt idx="1">
                  <c:v>292.2477715781365</c:v>
                </c:pt>
              </c:numCache>
            </c:numRef>
          </c:xVal>
          <c:yVal>
            <c:numRef>
              <c:f>'DIMENSIONAMENTO PILAR'!$M$545:$M$546</c:f>
              <c:numCache>
                <c:formatCode>General</c:formatCode>
                <c:ptCount val="2"/>
                <c:pt idx="0">
                  <c:v>0.3</c:v>
                </c:pt>
                <c:pt idx="1">
                  <c:v>3.2</c:v>
                </c:pt>
              </c:numCache>
            </c:numRef>
          </c:yVal>
          <c:smooth val="0"/>
        </c:ser>
        <c:ser>
          <c:idx val="12"/>
          <c:order val="12"/>
          <c:tx>
            <c:v>corrida 6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PILAR'!$L$547:$L$548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PILAR'!$M$547:$M$548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3"/>
          <c:order val="13"/>
          <c:tx>
            <c:v>adicional 6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PILAR'!$L$549:$L$550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PILAR'!$M$549:$M$550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4"/>
          <c:order val="14"/>
          <c:tx>
            <c:v>corrida 7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PILAR'!$L$551:$L$552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PILAR'!$M$551:$M$552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5"/>
          <c:order val="15"/>
          <c:tx>
            <c:v>adicional 7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PILAR'!$L$553:$L$554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PILAR'!$M$553:$M$554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6"/>
          <c:order val="16"/>
          <c:tx>
            <c:v>corrida 8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PILAR'!$L$555:$L$556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PILAR'!$M$555:$M$556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7"/>
          <c:order val="17"/>
          <c:tx>
            <c:v>adicional 8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PILAR'!$L$557:$L$558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PILAR'!$M$557:$M$558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8"/>
          <c:order val="18"/>
          <c:tx>
            <c:v>corrida 9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PILAR'!$L$559:$L$560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PILAR'!$M$559:$M$560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9"/>
          <c:order val="19"/>
          <c:tx>
            <c:v>adicional 9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PILAR'!$L$561:$L$562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PILAR'!$M$561:$M$562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20"/>
          <c:order val="20"/>
          <c:tx>
            <c:v>corrida 10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PILAR'!$L$563:$L$564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PILAR'!$M$563:$M$564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21"/>
          <c:order val="21"/>
          <c:tx>
            <c:v>adicional 10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PILAR'!$L$565:$L$566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PILAR'!$M$565:$M$566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22"/>
          <c:order val="22"/>
          <c:tx>
            <c:v>corrida 11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PILAR'!$L$567:$L$568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PILAR'!$M$567:$M$568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23"/>
          <c:order val="23"/>
          <c:tx>
            <c:v>adicional 11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PILAR'!$L$569:$L$570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PILAR'!$M$569:$M$570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24"/>
          <c:order val="24"/>
          <c:tx>
            <c:v>corrida 12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PILAR'!$L$571:$L$572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PILAR'!$M$571:$M$572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25"/>
          <c:order val="25"/>
          <c:tx>
            <c:v>adicional 12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PILAR'!$L$573:$L$574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PILAR'!$M$573:$M$574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26"/>
          <c:order val="26"/>
          <c:tx>
            <c:v>corrida 13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PILAR'!$L$575:$L$576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PILAR'!$M$575:$M$576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27"/>
          <c:order val="27"/>
          <c:tx>
            <c:v>adicional 13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PILAR'!$L$577:$L$578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PILAR'!$M$577:$M$578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28"/>
          <c:order val="28"/>
          <c:tx>
            <c:v>corrida 14</c:v>
          </c:tx>
          <c:spPr>
            <a:ln w="444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PILAR'!$L$579:$L$580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PILAR'!$M$579:$M$580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29"/>
          <c:order val="29"/>
          <c:tx>
            <c:v>adicional 14</c:v>
          </c:tx>
          <c:spPr>
            <a:ln w="44450" cap="rnd">
              <a:solidFill>
                <a:srgbClr val="548235"/>
              </a:solidFill>
              <a:round/>
            </a:ln>
          </c:spPr>
          <c:marker>
            <c:symbol val="none"/>
          </c:marker>
          <c:xVal>
            <c:numRef>
              <c:f>'DIMENSIONAMENTO PILAR'!$L$581:$L$582</c:f>
              <c:numCache>
                <c:formatCode>General</c:formatCode>
                <c:ptCount val="2"/>
              </c:numCache>
            </c:numRef>
          </c:xVal>
          <c:yVal>
            <c:numRef>
              <c:f>'DIMENSIONAMENTO PILAR'!$M$581:$M$582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30"/>
          <c:order val="30"/>
          <c:tx>
            <c:strRef>
              <c:f>'DIMENSIONAMENTO PILAR'!$K$583</c:f>
              <c:strCache>
                <c:ptCount val="1"/>
                <c:pt idx="0">
                  <c:v>N1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PILAR'!$L$583:$L$583</c:f>
              <c:numCache>
                <c:formatCode>General</c:formatCode>
                <c:ptCount val="1"/>
                <c:pt idx="0">
                  <c:v>58.4495543156273</c:v>
                </c:pt>
              </c:numCache>
            </c:numRef>
          </c:xVal>
          <c:yVal>
            <c:numRef>
              <c:f>'DIMENSIONAMENTO PILAR'!$M$583:$M$583</c:f>
              <c:numCache>
                <c:formatCode>General</c:formatCode>
                <c:ptCount val="1"/>
                <c:pt idx="0">
                  <c:v>4.0</c:v>
                </c:pt>
              </c:numCache>
            </c:numRef>
          </c:yVal>
          <c:smooth val="0"/>
        </c:ser>
        <c:ser>
          <c:idx val="31"/>
          <c:order val="31"/>
          <c:tx>
            <c:strRef>
              <c:f>'DIMENSIONAMENTO PILAR'!$K$584</c:f>
              <c:strCache>
                <c:ptCount val="1"/>
                <c:pt idx="0">
                  <c:v>N1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PILAR'!$L$584:$L$584</c:f>
              <c:numCache>
                <c:formatCode>General</c:formatCode>
                <c:ptCount val="1"/>
                <c:pt idx="0">
                  <c:v>116.8991086312546</c:v>
                </c:pt>
              </c:numCache>
            </c:numRef>
          </c:xVal>
          <c:yVal>
            <c:numRef>
              <c:f>'DIMENSIONAMENTO PILAR'!$M$584:$M$584</c:f>
              <c:numCache>
                <c:formatCode>General</c:formatCode>
                <c:ptCount val="1"/>
                <c:pt idx="0">
                  <c:v>4.0</c:v>
                </c:pt>
              </c:numCache>
            </c:numRef>
          </c:yVal>
          <c:smooth val="0"/>
        </c:ser>
        <c:ser>
          <c:idx val="32"/>
          <c:order val="32"/>
          <c:tx>
            <c:strRef>
              <c:f>'DIMENSIONAMENTO PILAR'!$K$585</c:f>
              <c:strCache>
                <c:ptCount val="1"/>
                <c:pt idx="0">
                  <c:v>N2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PILAR'!$L$585:$L$585</c:f>
              <c:numCache>
                <c:formatCode>General</c:formatCode>
                <c:ptCount val="1"/>
                <c:pt idx="0">
                  <c:v>175.34866294688192</c:v>
                </c:pt>
              </c:numCache>
            </c:numRef>
          </c:xVal>
          <c:yVal>
            <c:numRef>
              <c:f>'DIMENSIONAMENTO PILAR'!$M$585:$M$585</c:f>
              <c:numCache>
                <c:formatCode>General</c:formatCode>
                <c:ptCount val="1"/>
                <c:pt idx="0">
                  <c:v>3.97</c:v>
                </c:pt>
              </c:numCache>
            </c:numRef>
          </c:yVal>
          <c:smooth val="0"/>
        </c:ser>
        <c:ser>
          <c:idx val="33"/>
          <c:order val="33"/>
          <c:tx>
            <c:strRef>
              <c:f>'DIMENSIONAMENTO PILAR'!$K$586</c:f>
              <c:strCache>
                <c:ptCount val="1"/>
                <c:pt idx="0">
                  <c:v>N3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PILAR'!$L$586:$L$586</c:f>
              <c:numCache>
                <c:formatCode>General</c:formatCode>
                <c:ptCount val="1"/>
                <c:pt idx="0">
                  <c:v>233.7982172625092</c:v>
                </c:pt>
              </c:numCache>
            </c:numRef>
          </c:xVal>
          <c:yVal>
            <c:numRef>
              <c:f>'DIMENSIONAMENTO PILAR'!$M$586:$M$586</c:f>
              <c:numCache>
                <c:formatCode>General</c:formatCode>
                <c:ptCount val="1"/>
                <c:pt idx="0">
                  <c:v>3.65</c:v>
                </c:pt>
              </c:numCache>
            </c:numRef>
          </c:yVal>
          <c:smooth val="0"/>
        </c:ser>
        <c:ser>
          <c:idx val="34"/>
          <c:order val="34"/>
          <c:tx>
            <c:strRef>
              <c:f>'DIMENSIONAMENTO PILAR'!$K$587</c:f>
              <c:strCache>
                <c:ptCount val="1"/>
                <c:pt idx="0">
                  <c:v>N4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PILAR'!$L$587:$L$587</c:f>
              <c:numCache>
                <c:formatCode>General</c:formatCode>
                <c:ptCount val="1"/>
                <c:pt idx="0">
                  <c:v>292.2477715781365</c:v>
                </c:pt>
              </c:numCache>
            </c:numRef>
          </c:xVal>
          <c:yVal>
            <c:numRef>
              <c:f>'DIMENSIONAMENTO PILAR'!$M$587:$M$587</c:f>
              <c:numCache>
                <c:formatCode>General</c:formatCode>
                <c:ptCount val="1"/>
                <c:pt idx="0">
                  <c:v>3.2</c:v>
                </c:pt>
              </c:numCache>
            </c:numRef>
          </c:yVal>
          <c:smooth val="0"/>
        </c:ser>
        <c:ser>
          <c:idx val="35"/>
          <c:order val="35"/>
          <c:tx>
            <c:strRef>
              <c:f>'DIMENSIONAMENTO PILAR'!$K$588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PILAR'!$L$588:$L$588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PILAR'!$M$588:$M$588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6"/>
          <c:order val="36"/>
          <c:tx>
            <c:strRef>
              <c:f>'DIMENSIONAMENTO PILAR'!$K$589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PILAR'!$L$589:$L$589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PILAR'!$M$589:$M$589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7"/>
          <c:order val="37"/>
          <c:tx>
            <c:strRef>
              <c:f>'DIMENSIONAMENTO PILAR'!$K$590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PILAR'!$L$590:$L$590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PILAR'!$M$590:$M$590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8"/>
          <c:order val="38"/>
          <c:tx>
            <c:strRef>
              <c:f>'DIMENSIONAMENTO PILAR'!$K$591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PILAR'!$L$591:$L$591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PILAR'!$M$591:$M$591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9"/>
          <c:order val="39"/>
          <c:tx>
            <c:strRef>
              <c:f>'DIMENSIONAMENTO PILAR'!$K$592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PILAR'!$L$592:$L$592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PILAR'!$M$592:$M$592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40"/>
          <c:order val="40"/>
          <c:tx>
            <c:strRef>
              <c:f>'DIMENSIONAMENTO PILAR'!$K$593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PILAR'!$L$593:$L$593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PILAR'!$M$593:$M$593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41"/>
          <c:order val="41"/>
          <c:tx>
            <c:strRef>
              <c:f>'DIMENSIONAMENTO PILAR'!$K$594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PILAR'!$L$594:$L$594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PILAR'!$M$594:$M$594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42"/>
          <c:order val="42"/>
          <c:tx>
            <c:strRef>
              <c:f>'DIMENSIONAMENTO PILAR'!$K$595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PILAR'!$L$595:$L$595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PILAR'!$M$595:$M$595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43"/>
          <c:order val="43"/>
          <c:tx>
            <c:strRef>
              <c:f>'DIMENSIONAMENTO PILAR'!$K$596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PILAR'!$L$596:$L$596</c:f>
              <c:numCache>
                <c:formatCode>General</c:formatCode>
                <c:ptCount val="1"/>
              </c:numCache>
            </c:numRef>
          </c:xVal>
          <c:yVal>
            <c:numRef>
              <c:f>'DIMENSIONAMENTO PILAR'!$M$596:$M$596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44"/>
          <c:order val="44"/>
          <c:tx>
            <c:strRef>
              <c:f>'DIMENSIONAMENTO PILAR'!$K$597</c:f>
              <c:strCache>
                <c:ptCount val="1"/>
                <c:pt idx="0">
                  <c:v>Md,máx = 285,1 kN·m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PILAR'!$L$597:$L$597</c:f>
              <c:numCache>
                <c:formatCode>General</c:formatCode>
                <c:ptCount val="1"/>
                <c:pt idx="0">
                  <c:v>285.0634738382109</c:v>
                </c:pt>
              </c:numCache>
            </c:numRef>
          </c:xVal>
          <c:yVal>
            <c:numRef>
              <c:f>'DIMENSIONAMENTO PILAR'!$M$597:$M$597</c:f>
              <c:numCache>
                <c:formatCode>General</c:formatCode>
                <c:ptCount val="1"/>
                <c:pt idx="0">
                  <c:v>1.7240344589863992</c:v>
                </c:pt>
              </c:numCache>
            </c:numRef>
          </c:yVal>
          <c:smooth val="0"/>
        </c:ser>
        <c:axId val="71"/>
        <c:axId val="72"/>
      </c:scatterChart>
      <c:valAx>
        <c:axId val="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momento de cálculo (kN·m)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72"/>
        <c:crosses val="autoZero"/>
        <c:crossBetween val="midCat"/>
      </c:valAx>
      <c:valAx>
        <c:axId val="72"/>
        <c:scaling>
          <c:orientation val="minMax"/>
        </c:scaling>
        <c:delete val="0"/>
        <c:axPos val="l"/>
        <c:majorGridlines>
          <c:spPr>
            <a:ln w="3175">
              <a:solidFill>
                <a:srgbClr val="E7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altura a partir da base (m)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71"/>
        <c:crosses val="autoZero"/>
        <c:crossBetween val="midCat"/>
      </c:valAx>
    </c:plotArea>
    <c:plotVisOnly val="1"/>
    <c:dispBlanksAs val="gap"/>
  </c:chart>
  <c:spPr>
    <a:solidFill>
      <a:srgbClr val="FFFFFF"/>
    </a:solidFill>
    <a:ln w="9525">
      <a:solidFill>
        <a:srgbClr val="000000"/>
      </a:solidFill>
    </a:ln>
  </c:spPr>
  <c:txPr>
    <a:bodyPr/>
    <a:lstStyle/>
    <a:p>
      <a:pPr>
        <a:defRPr sz="900" b="0">
          <a:solidFill>
            <a:srgbClr val="404040"/>
          </a:solidFill>
          <a:latin typeface="Aptos Narrow"/>
        </a:defRPr>
      </a:pPr>
      <a:endParaRPr lang="pt-B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/>
            </a:pPr>
            <a:r>
              <a:rPr lang="pt-BR" sz="1100" b="1">
                <a:latin typeface="Aptos Narrow"/>
              </a:rPr>
              <a:t>SEÇÃO TRANSVERSAL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Concreto</c:v>
          </c:tx>
          <c:spPr>
            <a:ln w="2540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'DIMENSIONAMENTO PILAR'!$L$598:$L$602</c:f>
              <c:numCache>
                <c:formatCode>General</c:formatCode>
                <c:ptCount val="5"/>
                <c:pt idx="0">
                  <c:v>0.0</c:v>
                </c:pt>
                <c:pt idx="1">
                  <c:v>30.0</c:v>
                </c:pt>
                <c:pt idx="2">
                  <c:v>30.0</c:v>
                </c:pt>
                <c:pt idx="3">
                  <c:v>0.0</c:v>
                </c:pt>
                <c:pt idx="4">
                  <c:v>0.0</c:v>
                </c:pt>
              </c:numCache>
            </c:numRef>
          </c:xVal>
          <c:yVal>
            <c:numRef>
              <c:f>'DIMENSIONAMENTO PILAR'!$M$598:$M$602</c:f>
              <c:numCache>
                <c:formatCode>General</c:formatCode>
                <c:ptCount val="5"/>
                <c:pt idx="0">
                  <c:v>0.0</c:v>
                </c:pt>
                <c:pt idx="1">
                  <c:v>0.0</c:v>
                </c:pt>
                <c:pt idx="2">
                  <c:v>50.0</c:v>
                </c:pt>
                <c:pt idx="3">
                  <c:v>50.0</c:v>
                </c:pt>
                <c:pt idx="4">
                  <c:v>0.0</c:v>
                </c:pt>
              </c:numCache>
            </c:numRef>
          </c:yVal>
          <c:smooth val="0"/>
        </c:ser>
        <c:ser>
          <c:idx val="1"/>
          <c:order val="1"/>
          <c:tx>
            <c:v>Estribo</c:v>
          </c:tx>
          <c:spPr>
            <a:ln w="19050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'DIMENSIONAMENTO PILAR'!$L$603:$L$607</c:f>
              <c:numCache>
                <c:formatCode>General</c:formatCode>
                <c:ptCount val="5"/>
                <c:pt idx="0">
                  <c:v>3.315</c:v>
                </c:pt>
                <c:pt idx="1">
                  <c:v>26.685</c:v>
                </c:pt>
                <c:pt idx="2">
                  <c:v>26.685</c:v>
                </c:pt>
                <c:pt idx="3">
                  <c:v>3.315</c:v>
                </c:pt>
                <c:pt idx="4">
                  <c:v>3.315</c:v>
                </c:pt>
              </c:numCache>
            </c:numRef>
          </c:xVal>
          <c:yVal>
            <c:numRef>
              <c:f>'DIMENSIONAMENTO PILAR'!$M$603:$M$607</c:f>
              <c:numCache>
                <c:formatCode>General</c:formatCode>
                <c:ptCount val="5"/>
                <c:pt idx="0">
                  <c:v>3.315</c:v>
                </c:pt>
                <c:pt idx="1">
                  <c:v>3.315</c:v>
                </c:pt>
                <c:pt idx="2">
                  <c:v>46.685</c:v>
                </c:pt>
                <c:pt idx="3">
                  <c:v>46.685</c:v>
                </c:pt>
                <c:pt idx="4">
                  <c:v>3.315</c:v>
                </c:pt>
              </c:numCache>
            </c:numRef>
          </c:yVal>
          <c:smooth val="0"/>
        </c:ser>
        <c:ser>
          <c:idx val="2"/>
          <c:order val="2"/>
          <c:tx>
            <c:v>Face externa</c:v>
          </c:tx>
          <c:spPr>
            <a:ln>
              <a:noFill/>
            </a:ln>
          </c:spPr>
          <c:marker>
            <c:symbol val="circle"/>
            <c:size val="9"/>
            <c:spPr>
              <a:solidFill>
                <a:srgbClr val="000000"/>
              </a:solidFill>
              <a:ln>
                <a:noFill/>
              </a:ln>
            </c:spPr>
          </c:marker>
          <c:xVal>
            <c:numRef>
              <c:f>'DIMENSIONAMENTO PILAR'!$L$608:$L$621</c:f>
              <c:numCache>
                <c:formatCode>General</c:formatCode>
                <c:ptCount val="14"/>
                <c:pt idx="0">
                  <c:v>4.63</c:v>
                </c:pt>
                <c:pt idx="1">
                  <c:v>9.815000000000001</c:v>
                </c:pt>
                <c:pt idx="2">
                  <c:v>15.0</c:v>
                </c:pt>
                <c:pt idx="3">
                  <c:v>20.185000000000002</c:v>
                </c:pt>
                <c:pt idx="4">
                  <c:v>25.37</c:v>
                </c:pt>
              </c:numCache>
            </c:numRef>
          </c:xVal>
          <c:yVal>
            <c:numRef>
              <c:f>'DIMENSIONAMENTO PILAR'!$M$608:$M$621</c:f>
              <c:numCache>
                <c:formatCode>General</c:formatCode>
                <c:ptCount val="14"/>
                <c:pt idx="0">
                  <c:v>4.63</c:v>
                </c:pt>
                <c:pt idx="1">
                  <c:v>4.63</c:v>
                </c:pt>
                <c:pt idx="2">
                  <c:v>4.63</c:v>
                </c:pt>
                <c:pt idx="3">
                  <c:v>4.63</c:v>
                </c:pt>
                <c:pt idx="4">
                  <c:v>4.63</c:v>
                </c:pt>
                <c:pt idx="5">
                  <c:v>4.63</c:v>
                </c:pt>
                <c:pt idx="6">
                  <c:v>4.63</c:v>
                </c:pt>
                <c:pt idx="7">
                  <c:v>4.63</c:v>
                </c:pt>
                <c:pt idx="8">
                  <c:v>4.63</c:v>
                </c:pt>
                <c:pt idx="9">
                  <c:v>4.63</c:v>
                </c:pt>
                <c:pt idx="10">
                  <c:v>4.63</c:v>
                </c:pt>
                <c:pt idx="11">
                  <c:v>4.63</c:v>
                </c:pt>
                <c:pt idx="12">
                  <c:v>4.63</c:v>
                </c:pt>
                <c:pt idx="13">
                  <c:v>4.63</c:v>
                </c:pt>
              </c:numCache>
            </c:numRef>
          </c:yVal>
          <c:smooth val="0"/>
        </c:ser>
        <c:ser>
          <c:idx val="3"/>
          <c:order val="3"/>
          <c:tx>
            <c:v>Face do solo</c:v>
          </c:tx>
          <c:spPr>
            <a:ln>
              <a:noFill/>
            </a:ln>
          </c:spPr>
          <c:marker>
            <c:symbol val="circle"/>
            <c:size val="9"/>
            <c:spPr>
              <a:solidFill>
                <a:srgbClr val="000000"/>
              </a:solidFill>
              <a:ln>
                <a:noFill/>
              </a:ln>
            </c:spPr>
          </c:marker>
          <c:xVal>
            <c:numRef>
              <c:f>'DIMENSIONAMENTO PILAR'!$L$622:$L$635</c:f>
              <c:numCache>
                <c:formatCode>General</c:formatCode>
                <c:ptCount val="14"/>
                <c:pt idx="0">
                  <c:v>4.63</c:v>
                </c:pt>
                <c:pt idx="1">
                  <c:v>9.815000000000001</c:v>
                </c:pt>
                <c:pt idx="2">
                  <c:v>15.0</c:v>
                </c:pt>
                <c:pt idx="3">
                  <c:v>20.185000000000002</c:v>
                </c:pt>
                <c:pt idx="4">
                  <c:v>25.37</c:v>
                </c:pt>
              </c:numCache>
            </c:numRef>
          </c:xVal>
          <c:yVal>
            <c:numRef>
              <c:f>'DIMENSIONAMENTO PILAR'!$M$622:$M$635</c:f>
              <c:numCache>
                <c:formatCode>General</c:formatCode>
                <c:ptCount val="14"/>
                <c:pt idx="0">
                  <c:v>45.37</c:v>
                </c:pt>
                <c:pt idx="1">
                  <c:v>45.37</c:v>
                </c:pt>
                <c:pt idx="2">
                  <c:v>45.37</c:v>
                </c:pt>
                <c:pt idx="3">
                  <c:v>45.37</c:v>
                </c:pt>
                <c:pt idx="4">
                  <c:v>45.37</c:v>
                </c:pt>
                <c:pt idx="5">
                  <c:v>45.37</c:v>
                </c:pt>
                <c:pt idx="6">
                  <c:v>45.37</c:v>
                </c:pt>
                <c:pt idx="7">
                  <c:v>45.37</c:v>
                </c:pt>
                <c:pt idx="8">
                  <c:v>45.37</c:v>
                </c:pt>
                <c:pt idx="9">
                  <c:v>45.37</c:v>
                </c:pt>
                <c:pt idx="10">
                  <c:v>45.37</c:v>
                </c:pt>
                <c:pt idx="11">
                  <c:v>45.37</c:v>
                </c:pt>
                <c:pt idx="12">
                  <c:v>45.37</c:v>
                </c:pt>
                <c:pt idx="13">
                  <c:v>45.37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'DIMENSIONAMENTO PILAR'!$K$636</c:f>
              <c:strCache>
                <c:ptCount val="1"/>
                <c:pt idx="0">
                  <c:v>5 Ø20 por face (2 N1 + 3 adicionais)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PILAR'!$L$636:$L$636</c:f>
              <c:numCache>
                <c:formatCode>General</c:formatCode>
                <c:ptCount val="1"/>
                <c:pt idx="0">
                  <c:v>15.0</c:v>
                </c:pt>
              </c:numCache>
            </c:numRef>
          </c:xVal>
          <c:yVal>
            <c:numRef>
              <c:f>'DIMENSIONAMENTO PILAR'!$M$636:$M$636</c:f>
              <c:numCache>
                <c:formatCode>General</c:formatCode>
                <c:ptCount val="1"/>
                <c:pt idx="0">
                  <c:v>25.0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'DIMENSIONAMENTO PILAR'!$K$637</c:f>
              <c:strCache>
                <c:ptCount val="1"/>
                <c:pt idx="0">
                  <c:v>Estribo Ø6.3 – 30×50 cm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'DIMENSIONAMENTO PILAR'!$L$637:$L$637</c:f>
              <c:numCache>
                <c:formatCode>General</c:formatCode>
                <c:ptCount val="1"/>
                <c:pt idx="0">
                  <c:v>15.0</c:v>
                </c:pt>
              </c:numCache>
            </c:numRef>
          </c:xVal>
          <c:yVal>
            <c:numRef>
              <c:f>'DIMENSIONAMENTO PILAR'!$M$637:$M$637</c:f>
              <c:numCache>
                <c:formatCode>General</c:formatCode>
                <c:ptCount val="1"/>
                <c:pt idx="0">
                  <c:v>19.0</c:v>
                </c:pt>
              </c:numCache>
            </c:numRef>
          </c:yVal>
          <c:smooth val="0"/>
        </c:ser>
        <c:ser>
          <c:idx val="6"/>
          <c:order val="6"/>
          <c:tx>
            <c:v>escala</c:v>
          </c:tx>
          <c:spPr>
            <a:ln>
              <a:noFill/>
            </a:ln>
          </c:spPr>
          <c:marker>
            <c:symbol val="none"/>
          </c:marker>
          <c:xVal>
            <c:numRef>
              <c:f>'DIMENSIONAMENTO PILAR'!$L$638:$L$639</c:f>
              <c:numCache>
                <c:formatCode>General</c:formatCode>
                <c:ptCount val="2"/>
                <c:pt idx="0">
                  <c:v>-2.5</c:v>
                </c:pt>
                <c:pt idx="1">
                  <c:v>52.5</c:v>
                </c:pt>
              </c:numCache>
            </c:numRef>
          </c:xVal>
          <c:yVal>
            <c:numRef>
              <c:f>'DIMENSIONAMENTO PILAR'!$M$638:$M$639</c:f>
              <c:numCache>
                <c:formatCode>General</c:formatCode>
                <c:ptCount val="2"/>
                <c:pt idx="0">
                  <c:v>-2.5</c:v>
                </c:pt>
                <c:pt idx="1">
                  <c:v>52.5</c:v>
                </c:pt>
              </c:numCache>
            </c:numRef>
          </c:yVal>
          <c:smooth val="0"/>
        </c:ser>
        <c:axId val="81"/>
        <c:axId val="82"/>
      </c:scatterChart>
      <c:valAx>
        <c:axId val="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b (cm)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82"/>
        <c:crosses val="autoZero"/>
        <c:crossBetween val="midCat"/>
      </c:valAx>
      <c:valAx>
        <c:axId val="82"/>
        <c:scaling>
          <c:orientation val="minMax"/>
        </c:scaling>
        <c:delete val="0"/>
        <c:axPos val="l"/>
        <c:majorGridlines>
          <c:spPr>
            <a:ln w="3175">
              <a:solidFill>
                <a:srgbClr val="E7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h (cm) – direção do empuxo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81"/>
        <c:crosses val="autoZero"/>
        <c:crossBetween val="midCat"/>
      </c:valAx>
    </c:plotArea>
    <c:plotVisOnly val="1"/>
    <c:dispBlanksAs val="gap"/>
  </c:chart>
  <c:spPr>
    <a:solidFill>
      <a:srgbClr val="FFFFFF"/>
    </a:solidFill>
    <a:ln w="9525">
      <a:solidFill>
        <a:srgbClr val="000000"/>
      </a:solidFill>
    </a:ln>
  </c:spPr>
  <c:txPr>
    <a:bodyPr/>
    <a:lstStyle/>
    <a:p>
      <a:pPr>
        <a:defRPr sz="900" b="0">
          <a:solidFill>
            <a:srgbClr val="404040"/>
          </a:solidFill>
          <a:latin typeface="Aptos Narrow"/>
        </a:defRPr>
      </a:pPr>
      <a:endParaRPr lang="pt-BR"/>
    </a:p>
  </c:txPr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jpeg"/><Relationship Id="rId1" Type="http://schemas.openxmlformats.org/officeDocument/2006/relationships/image" Target="../media/image6.png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361949</xdr:colOff>
      <xdr:row>3</xdr:row>
      <xdr:rowOff>112102</xdr:rowOff>
    </xdr:from>
    <xdr:to>
      <xdr:col>8</xdr:col>
      <xdr:colOff>394682</xdr:colOff>
      <xdr:row>33</xdr:row>
      <xdr:rowOff>169391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35564" y="705583"/>
          <a:ext cx="3901349" cy="3811127"/>
        </a:xfrm>
        <a:prstGeom prst="rect">
          <a:avLst/>
        </a:prstGeom>
      </xdr:spPr>
    </xdr:pic>
    <xdr:clientData/>
  </xdr:twoCellAnchor>
  <xdr:twoCellAnchor editAs="oneCell">
    <xdr:from>
      <xdr:col>4</xdr:col>
      <xdr:colOff>76200</xdr:colOff>
      <xdr:row>33</xdr:row>
      <xdr:rowOff>142875</xdr:rowOff>
    </xdr:from>
    <xdr:to>
      <xdr:col>8</xdr:col>
      <xdr:colOff>369891</xdr:colOff>
      <xdr:row>54</xdr:row>
      <xdr:rowOff>177917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2947"/>
        <a:stretch/>
      </xdr:blipFill>
      <xdr:spPr>
        <a:xfrm>
          <a:off x="5849815" y="6224221"/>
          <a:ext cx="4162307" cy="4140477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59</xdr:row>
      <xdr:rowOff>106893</xdr:rowOff>
    </xdr:from>
    <xdr:to>
      <xdr:col>9</xdr:col>
      <xdr:colOff>350651</xdr:colOff>
      <xdr:row>74</xdr:row>
      <xdr:rowOff>89161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238875" y="10355793"/>
          <a:ext cx="4827401" cy="2935018"/>
        </a:xfrm>
        <a:prstGeom prst="rect">
          <a:avLst/>
        </a:prstGeom>
      </xdr:spPr>
    </xdr:pic>
    <xdr:clientData/>
  </xdr:twoCellAnchor>
  <xdr:twoCellAnchor editAs="oneCell">
    <xdr:from>
      <xdr:col>16</xdr:col>
      <xdr:colOff>438150</xdr:colOff>
      <xdr:row>38</xdr:row>
      <xdr:rowOff>76200</xdr:rowOff>
    </xdr:from>
    <xdr:to>
      <xdr:col>28</xdr:col>
      <xdr:colOff>39065</xdr:colOff>
      <xdr:row>41</xdr:row>
      <xdr:rowOff>162017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FD50AA8-EAED-9749-2789-987B9A5C0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182975" y="5495925"/>
          <a:ext cx="6916115" cy="657317"/>
        </a:xfrm>
        <a:prstGeom prst="rect">
          <a:avLst/>
        </a:prstGeom>
      </xdr:spPr>
    </xdr:pic>
    <xdr:clientData/>
  </xdr:twoCellAnchor>
  <xdr:twoCellAnchor editAs="oneCell">
    <xdr:from>
      <xdr:col>16</xdr:col>
      <xdr:colOff>438150</xdr:colOff>
      <xdr:row>41</xdr:row>
      <xdr:rowOff>152400</xdr:rowOff>
    </xdr:from>
    <xdr:to>
      <xdr:col>19</xdr:col>
      <xdr:colOff>581300</xdr:colOff>
      <xdr:row>44</xdr:row>
      <xdr:rowOff>162006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B6D9B34-1A35-A11F-21C9-6E8E1E469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182975" y="6143625"/>
          <a:ext cx="1971950" cy="5811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161925</xdr:colOff>
      <xdr:row>0</xdr:row>
      <xdr:rowOff>57150</xdr:rowOff>
    </xdr:from>
    <xdr:to>
      <xdr:col>11</xdr:col>
      <xdr:colOff>314325</xdr:colOff>
      <xdr:row>7</xdr:row>
      <xdr:rowOff>180975</xdr:rowOff>
    </xdr:to>
    <xdr:pic>
      <xdr:nvPicPr>
        <xdr:cNvPr id="4" name="Imagem 12" descr="Largura Junta Alvenaria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95900" y="3238500"/>
          <a:ext cx="2590800" cy="1609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371475</xdr:colOff>
      <xdr:row>18</xdr:row>
      <xdr:rowOff>114300</xdr:rowOff>
    </xdr:from>
    <xdr:to>
      <xdr:col>10</xdr:col>
      <xdr:colOff>314325</xdr:colOff>
      <xdr:row>31</xdr:row>
      <xdr:rowOff>114300</xdr:rowOff>
    </xdr:to>
    <xdr:pic>
      <xdr:nvPicPr>
        <xdr:cNvPr id="6" name="Imagem 5" descr="Blocpar Bloco 19x19x39 estrutural | Rosny Aryon Conrad | Flickr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95850" y="7000875"/>
          <a:ext cx="2381250" cy="2533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19050</xdr:colOff>
      <xdr:row>18</xdr:row>
      <xdr:rowOff>76200</xdr:rowOff>
    </xdr:from>
    <xdr:to>
      <xdr:col>20</xdr:col>
      <xdr:colOff>189789</xdr:colOff>
      <xdr:row>30</xdr:row>
      <xdr:rowOff>199723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839325" y="6962775"/>
          <a:ext cx="5685714" cy="2419048"/>
        </a:xfrm>
        <a:prstGeom prst="rect">
          <a:avLst/>
        </a:prstGeom>
      </xdr:spPr>
    </xdr:pic>
    <xdr:clientData/>
  </xdr:twoCellAnchor>
  <xdr:twoCellAnchor editAs="oneCell">
    <xdr:from>
      <xdr:col>7</xdr:col>
      <xdr:colOff>228600</xdr:colOff>
      <xdr:row>7</xdr:row>
      <xdr:rowOff>133349</xdr:rowOff>
    </xdr:from>
    <xdr:to>
      <xdr:col>11</xdr:col>
      <xdr:colOff>236623</xdr:colOff>
      <xdr:row>17</xdr:row>
      <xdr:rowOff>47624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362575" y="4810124"/>
          <a:ext cx="2446423" cy="1933575"/>
        </a:xfrm>
        <a:prstGeom prst="rect">
          <a:avLst/>
        </a:prstGeom>
      </xdr:spPr>
    </xdr:pic>
    <xdr:clientData/>
  </xdr:twoCellAnchor>
  <xdr:twoCellAnchor editAs="oneCell">
    <xdr:from>
      <xdr:col>10</xdr:col>
      <xdr:colOff>514350</xdr:colOff>
      <xdr:row>17</xdr:row>
      <xdr:rowOff>0</xdr:rowOff>
    </xdr:from>
    <xdr:to>
      <xdr:col>13</xdr:col>
      <xdr:colOff>829763</xdr:colOff>
      <xdr:row>31</xdr:row>
      <xdr:rowOff>123825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77125" y="6696075"/>
          <a:ext cx="2144213" cy="2847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0</xdr:row>
      <xdr:rowOff>0</xdr:rowOff>
    </xdr:from>
    <xdr:to>
      <xdr:col>17</xdr:col>
      <xdr:colOff>285750</xdr:colOff>
      <xdr:row>103</xdr:row>
      <xdr:rowOff>40305</xdr:rowOff>
    </xdr:to>
    <xdr:grpSp>
      <xdr:nvGrpSpPr>
        <xdr:cNvPr id="7" name="Agrupar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pSpPr/>
      </xdr:nvGrpSpPr>
      <xdr:grpSpPr>
        <a:xfrm>
          <a:off x="171450" y="0"/>
          <a:ext cx="10477500" cy="19661805"/>
          <a:chOff x="171450" y="0"/>
          <a:chExt cx="7923811" cy="14870098"/>
        </a:xfrm>
      </xdr:grpSpPr>
      <xdr:pic>
        <xdr:nvPicPr>
          <xdr:cNvPr id="5" name="Imagem 4">
            <a:extLst>
              <a:ext uri="{FF2B5EF4-FFF2-40B4-BE49-F238E27FC236}">
                <a16:creationId xmlns:a16="http://schemas.microsoft.com/office/drawing/2014/main" id="{00000000-0008-0000-0300-000005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180975" y="0"/>
            <a:ext cx="7914286" cy="7647619"/>
          </a:xfrm>
          <a:prstGeom prst="rect">
            <a:avLst/>
          </a:prstGeom>
        </xdr:spPr>
      </xdr:pic>
      <xdr:pic>
        <xdr:nvPicPr>
          <xdr:cNvPr id="6" name="Imagem 5">
            <a:extLst>
              <a:ext uri="{FF2B5EF4-FFF2-40B4-BE49-F238E27FC236}">
                <a16:creationId xmlns:a16="http://schemas.microsoft.com/office/drawing/2014/main" id="{00000000-0008-0000-03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171450" y="7612955"/>
            <a:ext cx="7904762" cy="7257143"/>
          </a:xfrm>
          <a:prstGeom prst="rect">
            <a:avLst/>
          </a:prstGeom>
        </xdr:spPr>
      </xdr:pic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161925</xdr:colOff>
      <xdr:row>0</xdr:row>
      <xdr:rowOff>47625</xdr:rowOff>
    </xdr:from>
    <xdr:to>
      <xdr:col>17</xdr:col>
      <xdr:colOff>227830</xdr:colOff>
      <xdr:row>48</xdr:row>
      <xdr:rowOff>103625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EA0D4A1-93F1-4325-9A0F-45B6C56ED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29125" y="47625"/>
          <a:ext cx="6161905" cy="9200000"/>
        </a:xfrm>
        <a:prstGeom prst="rect">
          <a:avLst/>
        </a:prstGeom>
      </xdr:spPr>
    </xdr:pic>
    <xdr:clientData/>
  </xdr:twoCellAnchor>
  <xdr:twoCellAnchor editAs="oneCell">
    <xdr:from>
      <xdr:col>17</xdr:col>
      <xdr:colOff>419100</xdr:colOff>
      <xdr:row>0</xdr:row>
      <xdr:rowOff>57150</xdr:rowOff>
    </xdr:from>
    <xdr:to>
      <xdr:col>27</xdr:col>
      <xdr:colOff>542148</xdr:colOff>
      <xdr:row>49</xdr:row>
      <xdr:rowOff>27412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70726A8-91A9-4CA5-AD0E-8BBDE489C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782300" y="57150"/>
          <a:ext cx="6219048" cy="9304762"/>
        </a:xfrm>
        <a:prstGeom prst="rect">
          <a:avLst/>
        </a:prstGeom>
      </xdr:spPr>
    </xdr:pic>
    <xdr:clientData/>
  </xdr:twoCellAnchor>
  <xdr:twoCellAnchor editAs="oneCell">
    <xdr:from>
      <xdr:col>0</xdr:col>
      <xdr:colOff>95251</xdr:colOff>
      <xdr:row>15</xdr:row>
      <xdr:rowOff>76200</xdr:rowOff>
    </xdr:from>
    <xdr:to>
      <xdr:col>6</xdr:col>
      <xdr:colOff>585679</xdr:colOff>
      <xdr:row>35</xdr:row>
      <xdr:rowOff>85725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B25EA73-BCF9-4AD7-A9BC-2F2CA02D70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251" y="2933700"/>
          <a:ext cx="4929078" cy="3819525"/>
        </a:xfrm>
        <a:prstGeom prst="rect">
          <a:avLst/>
        </a:prstGeom>
      </xdr:spPr>
    </xdr:pic>
    <xdr:clientData/>
  </xdr:twoCellAnchor>
  <xdr:twoCellAnchor>
    <xdr:from>
      <xdr:col>7</xdr:col>
      <xdr:colOff>209550</xdr:colOff>
      <xdr:row>28</xdr:row>
      <xdr:rowOff>114300</xdr:rowOff>
    </xdr:from>
    <xdr:to>
      <xdr:col>13</xdr:col>
      <xdr:colOff>171450</xdr:colOff>
      <xdr:row>29</xdr:row>
      <xdr:rowOff>114300</xdr:rowOff>
    </xdr:to>
    <xdr:grpSp>
      <xdr:nvGrpSpPr>
        <xdr:cNvPr id="12" name="Agrupar 11">
          <a:extLst>
            <a:ext uri="{FF2B5EF4-FFF2-40B4-BE49-F238E27FC236}">
              <a16:creationId xmlns:a16="http://schemas.microsoft.com/office/drawing/2014/main" id="{454FD6FF-B144-D0DD-602F-C13014B76B30}"/>
            </a:ext>
          </a:extLst>
        </xdr:cNvPr>
        <xdr:cNvGrpSpPr/>
      </xdr:nvGrpSpPr>
      <xdr:grpSpPr>
        <a:xfrm>
          <a:off x="5257800" y="5448300"/>
          <a:ext cx="3619500" cy="190500"/>
          <a:chOff x="5257800" y="5448300"/>
          <a:chExt cx="3619500" cy="190500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16CDA6BB-91DA-B44E-515C-D22D447E781C}"/>
              </a:ext>
            </a:extLst>
          </xdr:cNvPr>
          <xdr:cNvSpPr/>
        </xdr:nvSpPr>
        <xdr:spPr>
          <a:xfrm>
            <a:off x="5257800" y="5448300"/>
            <a:ext cx="581025" cy="180975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6" name="Retângulo 5">
            <a:extLst>
              <a:ext uri="{FF2B5EF4-FFF2-40B4-BE49-F238E27FC236}">
                <a16:creationId xmlns:a16="http://schemas.microsoft.com/office/drawing/2014/main" id="{D0146A24-E3DE-443D-B0C1-5DE19FAF3E6D}"/>
              </a:ext>
            </a:extLst>
          </xdr:cNvPr>
          <xdr:cNvSpPr/>
        </xdr:nvSpPr>
        <xdr:spPr>
          <a:xfrm>
            <a:off x="7077075" y="5457825"/>
            <a:ext cx="1800225" cy="180975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cxnSp macro="">
        <xdr:nvCxnSpPr>
          <xdr:cNvPr id="11" name="Conector reto 10">
            <a:extLst>
              <a:ext uri="{FF2B5EF4-FFF2-40B4-BE49-F238E27FC236}">
                <a16:creationId xmlns:a16="http://schemas.microsoft.com/office/drawing/2014/main" id="{8AB03B44-C3B4-C350-6169-CB5A73405AE8}"/>
              </a:ext>
            </a:extLst>
          </xdr:cNvPr>
          <xdr:cNvCxnSpPr>
            <a:stCxn id="5" idx="3"/>
            <a:endCxn id="6" idx="1"/>
          </xdr:cNvCxnSpPr>
        </xdr:nvCxnSpPr>
        <xdr:spPr>
          <a:xfrm>
            <a:off x="5838825" y="5538788"/>
            <a:ext cx="1238250" cy="9525"/>
          </a:xfrm>
          <a:prstGeom prst="line">
            <a:avLst/>
          </a:prstGeom>
          <a:ln w="28575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112</xdr:row>
      <xdr:rowOff>0</xdr:rowOff>
    </xdr:from>
    <xdr:to>
      <xdr:col>14</xdr:col>
      <xdr:colOff>0</xdr:colOff>
      <xdr:row>142</xdr:row>
      <xdr:rowOff>0</xdr:rowOff>
    </xdr:to>
    <xdr:graphicFrame macro="">
      <xdr:nvGraphicFramePr>
        <xdr:cNvPr id="2" name="Diagrama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 editAs="oneCell">
    <xdr:from>
      <xdr:col>14</xdr:col>
      <xdr:colOff>0</xdr:colOff>
      <xdr:row>112</xdr:row>
      <xdr:rowOff>0</xdr:rowOff>
    </xdr:from>
    <xdr:to>
      <xdr:col>20</xdr:col>
      <xdr:colOff>0</xdr:colOff>
      <xdr:row>142</xdr:row>
      <xdr:rowOff>0</xdr:rowOff>
    </xdr:to>
    <xdr:graphicFrame macro="">
      <xdr:nvGraphicFramePr>
        <xdr:cNvPr id="3" name="Diagrama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330</xdr:row>
      <xdr:rowOff>0</xdr:rowOff>
    </xdr:from>
    <xdr:to>
      <xdr:col>14</xdr:col>
      <xdr:colOff>0</xdr:colOff>
      <xdr:row>362</xdr:row>
      <xdr:rowOff>0</xdr:rowOff>
    </xdr:to>
    <xdr:graphicFrame macro="">
      <xdr:nvGraphicFramePr>
        <xdr:cNvPr id="2" name="Diagrama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 editAs="oneCell">
    <xdr:from>
      <xdr:col>14</xdr:col>
      <xdr:colOff>0</xdr:colOff>
      <xdr:row>330</xdr:row>
      <xdr:rowOff>0</xdr:rowOff>
    </xdr:from>
    <xdr:to>
      <xdr:col>20</xdr:col>
      <xdr:colOff>0</xdr:colOff>
      <xdr:row>362</xdr:row>
      <xdr:rowOff>0</xdr:rowOff>
    </xdr:to>
    <xdr:graphicFrame macro="">
      <xdr:nvGraphicFramePr>
        <xdr:cNvPr id="3" name="Diagrama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D92"/>
  <sheetViews>
    <sheetView topLeftCell="L1" zoomScaleNormal="100" workbookViewId="0">
      <selection activeCell="P15" sqref="P15"/>
    </sheetView>
  </sheetViews>
  <sheetFormatPr defaultRowHeight="15" x14ac:dyDescent="0.25"/>
  <cols>
    <col min="1" max="1" width="35.85546875" bestFit="1" customWidth="1"/>
    <col min="2" max="2" width="28.42578125" bestFit="1" customWidth="1"/>
    <col min="3" max="3" width="12.140625" style="1" bestFit="1" customWidth="1"/>
    <col min="4" max="4" width="10.140625" bestFit="1" customWidth="1"/>
    <col min="5" max="5" width="13.28515625" bestFit="1" customWidth="1"/>
    <col min="6" max="6" width="26.42578125" bestFit="1" customWidth="1"/>
    <col min="12" max="12" width="24" customWidth="1"/>
    <col min="13" max="13" width="10.85546875" customWidth="1"/>
    <col min="16" max="16" width="11" customWidth="1"/>
  </cols>
  <sheetData>
    <row r="1" spans="1:56" s="2" customFormat="1" ht="15.75" thickBot="1" x14ac:dyDescent="0.3">
      <c r="A1" s="197" t="s">
        <v>179</v>
      </c>
      <c r="B1" s="198"/>
      <c r="C1" s="198"/>
      <c r="D1" s="198"/>
      <c r="E1" s="198"/>
      <c r="F1" s="198"/>
      <c r="G1" s="198"/>
      <c r="H1" s="198"/>
      <c r="I1" s="198"/>
      <c r="J1" s="199"/>
      <c r="BD1" s="2" t="s">
        <v>200</v>
      </c>
    </row>
    <row r="2" spans="1:56" ht="15.75" thickBot="1" x14ac:dyDescent="0.3">
      <c r="A2" s="194" t="s">
        <v>191</v>
      </c>
      <c r="B2" s="195"/>
      <c r="D2" s="85"/>
      <c r="E2" s="85"/>
      <c r="F2" s="85"/>
      <c r="G2" s="85"/>
      <c r="H2" s="85"/>
      <c r="I2" s="85"/>
      <c r="J2" s="85"/>
      <c r="L2" t="s">
        <v>273</v>
      </c>
      <c r="M2">
        <v>5</v>
      </c>
      <c r="N2" t="s">
        <v>274</v>
      </c>
    </row>
    <row r="3" spans="1:56" ht="15.75" thickBot="1" x14ac:dyDescent="0.3">
      <c r="A3" s="6" t="s">
        <v>107</v>
      </c>
      <c r="B3" s="108" t="s">
        <v>99</v>
      </c>
      <c r="D3" s="85"/>
      <c r="E3" s="85"/>
      <c r="F3" s="85"/>
      <c r="G3" s="85"/>
      <c r="H3" s="85"/>
      <c r="I3" s="85"/>
      <c r="J3" s="85"/>
      <c r="L3" t="s">
        <v>0</v>
      </c>
      <c r="M3" s="111">
        <v>18</v>
      </c>
      <c r="N3" s="7" t="s">
        <v>5</v>
      </c>
    </row>
    <row r="4" spans="1:56" ht="18.75" thickBot="1" x14ac:dyDescent="0.3">
      <c r="A4" s="6" t="s">
        <v>113</v>
      </c>
      <c r="B4" s="109">
        <v>0</v>
      </c>
      <c r="D4" s="85"/>
      <c r="E4" s="85"/>
      <c r="F4" s="85"/>
      <c r="G4" s="85"/>
      <c r="H4" s="85"/>
      <c r="I4" s="85"/>
      <c r="J4" s="85"/>
      <c r="L4" t="s">
        <v>182</v>
      </c>
      <c r="M4">
        <v>2.5</v>
      </c>
      <c r="N4" t="s">
        <v>6</v>
      </c>
      <c r="Q4" s="175" t="s">
        <v>265</v>
      </c>
    </row>
    <row r="5" spans="1:56" ht="15.75" thickBot="1" x14ac:dyDescent="0.3">
      <c r="A5" s="6" t="s">
        <v>182</v>
      </c>
      <c r="B5" s="109">
        <v>3.85</v>
      </c>
      <c r="C5" s="7" t="s">
        <v>6</v>
      </c>
      <c r="D5" s="85"/>
      <c r="E5" s="85"/>
      <c r="F5" s="85"/>
      <c r="G5" s="85"/>
      <c r="H5" s="85"/>
      <c r="I5" s="85"/>
      <c r="J5" s="85"/>
      <c r="L5" t="s">
        <v>190</v>
      </c>
      <c r="M5">
        <f>13.07/2</f>
        <v>6.5350000000000001</v>
      </c>
      <c r="N5" t="s">
        <v>6</v>
      </c>
      <c r="Q5" s="103" t="s">
        <v>264</v>
      </c>
    </row>
    <row r="6" spans="1:56" ht="15.75" thickBot="1" x14ac:dyDescent="0.3">
      <c r="A6" s="6" t="s">
        <v>190</v>
      </c>
      <c r="B6" s="109">
        <v>4.25</v>
      </c>
      <c r="C6" s="7" t="s">
        <v>6</v>
      </c>
      <c r="D6" s="85"/>
      <c r="E6" s="85"/>
      <c r="F6" s="85"/>
      <c r="G6" s="85"/>
      <c r="H6" s="85"/>
      <c r="I6" s="85"/>
      <c r="J6" s="85"/>
    </row>
    <row r="7" spans="1:56" x14ac:dyDescent="0.25">
      <c r="A7" s="6" t="s">
        <v>0</v>
      </c>
      <c r="B7" s="111">
        <v>18</v>
      </c>
      <c r="C7" s="7" t="s">
        <v>5</v>
      </c>
      <c r="D7" s="85"/>
      <c r="E7" s="85"/>
      <c r="F7" s="85"/>
      <c r="G7" s="85"/>
      <c r="H7" s="85"/>
      <c r="I7" s="85"/>
      <c r="J7" s="85"/>
      <c r="L7" s="179" t="s">
        <v>110</v>
      </c>
      <c r="M7" s="179">
        <v>18</v>
      </c>
      <c r="N7" s="179" t="s">
        <v>287</v>
      </c>
    </row>
    <row r="8" spans="1:56" x14ac:dyDescent="0.25">
      <c r="A8" s="6" t="s">
        <v>1</v>
      </c>
      <c r="B8" s="112" cm="1">
        <f t="array" ref="B8">(IF(B4&gt;30,200,(SUMPRODUCT(('DADOS DO SOLO'!C2:C84=B4)*('DADOS DO SOLO'!A2:A84=B3)*('DADOS DO SOLO'!F2:F84)))))*(VLOOKUP(B10,'CÁLCULO FECHAMENTO'!A17:B19,2,0))</f>
        <v>0</v>
      </c>
      <c r="C8" s="7" t="s">
        <v>4</v>
      </c>
      <c r="D8" s="85"/>
      <c r="E8" s="85"/>
      <c r="F8" s="85"/>
      <c r="G8" s="85"/>
      <c r="H8" s="85"/>
      <c r="I8" s="85"/>
      <c r="J8" s="85"/>
      <c r="L8" s="176" t="s">
        <v>173</v>
      </c>
      <c r="M8" s="92">
        <f>TAN(RADIANS(45 - M7/2))^2</f>
        <v>0.52786404500042061</v>
      </c>
    </row>
    <row r="9" spans="1:56" ht="15.75" customHeight="1" x14ac:dyDescent="0.35">
      <c r="A9" s="6" t="s">
        <v>2</v>
      </c>
      <c r="B9" s="112">
        <f>IF(B4&gt;50,45,(SUMPRODUCT(('DADOS DO SOLO'!C2:C84=B4)*('DADOS DO SOLO'!A2:A84=B3)*('DADOS DO SOLO'!G2:G84))))</f>
        <v>0</v>
      </c>
      <c r="C9" s="7" t="s">
        <v>41</v>
      </c>
      <c r="D9" s="85"/>
      <c r="E9" s="85"/>
      <c r="F9" s="85"/>
      <c r="G9" s="85"/>
      <c r="H9" s="85"/>
      <c r="I9" s="85"/>
      <c r="J9" s="85"/>
      <c r="L9" s="97" t="s">
        <v>114</v>
      </c>
      <c r="M9" s="95">
        <f>M3*M4</f>
        <v>45</v>
      </c>
      <c r="N9" s="93" t="s">
        <v>3</v>
      </c>
    </row>
    <row r="10" spans="1:56" ht="15.75" thickBot="1" x14ac:dyDescent="0.3">
      <c r="A10" s="6" t="s">
        <v>194</v>
      </c>
      <c r="B10" s="112" t="s">
        <v>196</v>
      </c>
      <c r="C10" s="7"/>
      <c r="D10" s="85"/>
      <c r="E10" s="85"/>
      <c r="F10" s="85"/>
      <c r="G10" s="85"/>
      <c r="H10" s="85"/>
      <c r="I10" s="85"/>
      <c r="J10" s="85"/>
      <c r="L10" s="177" t="s">
        <v>178</v>
      </c>
      <c r="M10" s="142">
        <f>(M9*M8)</f>
        <v>23.753882025018928</v>
      </c>
      <c r="N10" s="93" t="s">
        <v>3</v>
      </c>
      <c r="P10" s="196" t="s">
        <v>297</v>
      </c>
      <c r="Q10" s="196"/>
      <c r="R10" s="196"/>
    </row>
    <row r="11" spans="1:56" ht="15.75" hidden="1" thickBot="1" x14ac:dyDescent="0.3">
      <c r="A11" s="194" t="s">
        <v>192</v>
      </c>
      <c r="B11" s="195"/>
      <c r="C11" s="7"/>
      <c r="D11" s="85"/>
      <c r="E11" s="85"/>
      <c r="F11" s="85"/>
      <c r="G11" s="85"/>
      <c r="H11" s="85"/>
      <c r="I11" s="85"/>
      <c r="J11" s="85"/>
      <c r="L11" s="177" t="s">
        <v>183</v>
      </c>
      <c r="M11" s="95" t="e">
        <f>M10*#REF!/2</f>
        <v>#REF!</v>
      </c>
      <c r="N11" s="93" t="s">
        <v>7</v>
      </c>
      <c r="P11" s="81"/>
      <c r="Q11" s="81"/>
      <c r="R11" s="81"/>
    </row>
    <row r="12" spans="1:56" ht="15.75" hidden="1" thickBot="1" x14ac:dyDescent="0.3">
      <c r="A12" s="6" t="s">
        <v>184</v>
      </c>
      <c r="B12" s="110">
        <v>1.75</v>
      </c>
      <c r="C12" s="7" t="s">
        <v>6</v>
      </c>
      <c r="D12" s="85"/>
      <c r="E12" s="85"/>
      <c r="F12" s="85"/>
      <c r="G12" s="85"/>
      <c r="H12" s="85"/>
      <c r="I12" s="85"/>
      <c r="J12" s="85"/>
      <c r="L12" s="97" t="s">
        <v>8</v>
      </c>
      <c r="M12" s="95" t="e">
        <f>(M11*#REF!)</f>
        <v>#REF!</v>
      </c>
      <c r="N12" s="93" t="s">
        <v>9</v>
      </c>
      <c r="P12" s="81"/>
      <c r="Q12" s="81"/>
      <c r="R12" s="81"/>
    </row>
    <row r="13" spans="1:56" ht="15.75" hidden="1" thickBot="1" x14ac:dyDescent="0.3">
      <c r="A13" s="6" t="s">
        <v>169</v>
      </c>
      <c r="B13" s="110">
        <v>14</v>
      </c>
      <c r="C13" s="7" t="s">
        <v>17</v>
      </c>
      <c r="D13" s="85"/>
      <c r="E13" s="85"/>
      <c r="F13" s="85"/>
      <c r="G13" s="85"/>
      <c r="H13" s="85"/>
      <c r="I13" s="85"/>
      <c r="J13" s="85"/>
      <c r="P13" s="81"/>
      <c r="Q13" s="81"/>
      <c r="R13" s="81"/>
    </row>
    <row r="14" spans="1:56" ht="15.75" hidden="1" thickBot="1" x14ac:dyDescent="0.3">
      <c r="A14" s="6" t="s">
        <v>248</v>
      </c>
      <c r="B14" s="141">
        <v>0.5</v>
      </c>
      <c r="C14" s="7" t="s">
        <v>249</v>
      </c>
      <c r="D14" s="85"/>
      <c r="E14" s="85"/>
      <c r="F14" s="85"/>
      <c r="G14" s="85"/>
      <c r="H14" s="85"/>
      <c r="I14" s="85"/>
      <c r="J14" s="85"/>
      <c r="P14" s="81"/>
      <c r="Q14" s="81"/>
      <c r="R14" s="81"/>
    </row>
    <row r="15" spans="1:56" ht="15.75" hidden="1" thickBot="1" x14ac:dyDescent="0.3">
      <c r="A15" s="6" t="s">
        <v>250</v>
      </c>
      <c r="B15" s="77">
        <f>MAX('TABELAS LÍBANO'!E4:E6)</f>
        <v>23.555733200999999</v>
      </c>
      <c r="C15" s="7" t="s">
        <v>251</v>
      </c>
      <c r="D15" s="85"/>
      <c r="E15" s="85"/>
      <c r="F15" s="85"/>
      <c r="G15" s="85"/>
      <c r="H15" s="85"/>
      <c r="I15" s="85"/>
      <c r="J15" s="85"/>
      <c r="P15" s="81"/>
      <c r="Q15" s="81"/>
      <c r="R15" s="81"/>
    </row>
    <row r="16" spans="1:56" ht="15.75" hidden="1" thickBot="1" x14ac:dyDescent="0.3">
      <c r="A16" s="6" t="s">
        <v>132</v>
      </c>
      <c r="B16" s="110">
        <v>2</v>
      </c>
      <c r="C16" s="7" t="s">
        <v>17</v>
      </c>
      <c r="D16" s="85"/>
      <c r="E16" s="85"/>
      <c r="F16" s="85"/>
      <c r="G16" s="85"/>
      <c r="H16" s="85"/>
      <c r="I16" s="85"/>
      <c r="J16" s="85"/>
      <c r="K16" s="98"/>
      <c r="L16" s="98"/>
      <c r="P16" s="81"/>
      <c r="Q16" s="81"/>
      <c r="R16" s="81"/>
    </row>
    <row r="17" spans="1:20" ht="15.75" hidden="1" thickBot="1" x14ac:dyDescent="0.3">
      <c r="A17" s="6" t="s">
        <v>135</v>
      </c>
      <c r="B17" s="110">
        <v>39</v>
      </c>
      <c r="C17" s="7" t="s">
        <v>17</v>
      </c>
      <c r="D17" s="85"/>
      <c r="E17" s="85"/>
      <c r="F17" s="85"/>
      <c r="G17" s="85"/>
      <c r="H17" s="85"/>
      <c r="I17" s="85"/>
      <c r="J17" s="85"/>
      <c r="K17" s="98"/>
      <c r="L17" s="98"/>
      <c r="P17" s="81"/>
      <c r="Q17" s="81"/>
      <c r="R17" s="81"/>
    </row>
    <row r="18" spans="1:20" ht="15.75" hidden="1" thickBot="1" x14ac:dyDescent="0.3">
      <c r="A18" s="6" t="s">
        <v>189</v>
      </c>
      <c r="B18" s="110">
        <v>8</v>
      </c>
      <c r="C18" s="7" t="s">
        <v>125</v>
      </c>
      <c r="D18" s="85"/>
      <c r="E18" s="85"/>
      <c r="F18" s="85"/>
      <c r="G18" s="85"/>
      <c r="H18" s="85"/>
      <c r="I18" s="85"/>
      <c r="J18" s="85"/>
      <c r="K18" s="178"/>
      <c r="L18" s="98"/>
      <c r="P18" s="81"/>
      <c r="Q18" s="81"/>
      <c r="R18" s="81"/>
    </row>
    <row r="19" spans="1:20" ht="15.75" hidden="1" thickBot="1" x14ac:dyDescent="0.3">
      <c r="A19" s="89" t="s">
        <v>150</v>
      </c>
      <c r="B19" s="110">
        <v>8</v>
      </c>
      <c r="D19" s="85"/>
      <c r="E19" s="85"/>
      <c r="F19" s="85"/>
      <c r="G19" s="85"/>
      <c r="H19" s="85"/>
      <c r="I19" s="85"/>
      <c r="J19" s="85"/>
      <c r="P19" s="81"/>
      <c r="Q19" s="81"/>
      <c r="R19" s="81"/>
    </row>
    <row r="20" spans="1:20" ht="15.75" hidden="1" thickBot="1" x14ac:dyDescent="0.3">
      <c r="A20" s="105" t="s">
        <v>151</v>
      </c>
      <c r="B20" s="135" t="e">
        <f>'FECHAMENTO EM ALVENARIA'!E48</f>
        <v>#NUM!</v>
      </c>
      <c r="C20" s="114" t="s">
        <v>17</v>
      </c>
      <c r="D20" s="85"/>
      <c r="E20" s="85"/>
      <c r="F20" s="85"/>
      <c r="G20" s="85"/>
      <c r="H20" s="85"/>
      <c r="I20" s="85"/>
      <c r="J20" s="85"/>
      <c r="P20" s="81"/>
      <c r="Q20" s="81"/>
      <c r="R20" s="81"/>
    </row>
    <row r="21" spans="1:20" ht="15.75" hidden="1" thickBot="1" x14ac:dyDescent="0.3">
      <c r="A21" s="105"/>
      <c r="B21" s="135"/>
      <c r="C21" s="114"/>
      <c r="D21" s="85"/>
      <c r="E21" s="85"/>
      <c r="F21" s="85"/>
      <c r="G21" s="85"/>
      <c r="H21" s="85"/>
      <c r="I21" s="85"/>
      <c r="J21" s="85"/>
      <c r="P21" s="81"/>
      <c r="Q21" s="81"/>
      <c r="R21" s="81"/>
    </row>
    <row r="22" spans="1:20" ht="15.75" thickBot="1" x14ac:dyDescent="0.3">
      <c r="A22" s="194" t="s">
        <v>185</v>
      </c>
      <c r="B22" s="195"/>
      <c r="C22" s="114"/>
      <c r="D22" s="85"/>
      <c r="E22" s="85"/>
      <c r="F22" s="85"/>
      <c r="G22" s="85"/>
      <c r="H22" s="85"/>
      <c r="I22" s="85"/>
      <c r="J22" s="85"/>
      <c r="L22" s="177" t="s">
        <v>183</v>
      </c>
      <c r="M22" s="95">
        <f>M10*M4/2</f>
        <v>29.692352531273659</v>
      </c>
      <c r="N22" s="93" t="s">
        <v>7</v>
      </c>
      <c r="P22" s="180" t="s">
        <v>286</v>
      </c>
      <c r="Q22" s="181">
        <v>1.25</v>
      </c>
      <c r="R22" s="181" t="s">
        <v>6</v>
      </c>
      <c r="T22" s="186" t="s">
        <v>291</v>
      </c>
    </row>
    <row r="23" spans="1:20" ht="15.75" thickBot="1" x14ac:dyDescent="0.3">
      <c r="A23" s="120" t="s">
        <v>193</v>
      </c>
      <c r="B23" s="121" t="str">
        <f>IF(B38&gt;0,"Não","Sim")</f>
        <v>Não</v>
      </c>
      <c r="C23" s="114"/>
      <c r="D23" s="85"/>
      <c r="E23" s="85"/>
      <c r="F23" s="85"/>
      <c r="G23" s="85"/>
      <c r="H23" s="85"/>
      <c r="I23" s="85"/>
      <c r="J23" s="85"/>
      <c r="L23" s="97" t="s">
        <v>8</v>
      </c>
      <c r="M23" s="95">
        <f>(M22*M5)</f>
        <v>194.03952379187336</v>
      </c>
      <c r="N23" s="93" t="s">
        <v>9</v>
      </c>
      <c r="P23" s="180" t="s">
        <v>288</v>
      </c>
      <c r="Q23" s="181">
        <f>M4</f>
        <v>2.5</v>
      </c>
      <c r="R23" s="181" t="s">
        <v>6</v>
      </c>
      <c r="T23" s="186" t="s">
        <v>293</v>
      </c>
    </row>
    <row r="24" spans="1:20" ht="15.75" thickBot="1" x14ac:dyDescent="0.3">
      <c r="A24" s="137" t="s">
        <v>168</v>
      </c>
      <c r="B24" s="121" t="str">
        <f>IF('CÁLCULO FECHAMENTO'!B11="Não","Aumentar largura pilar",'CÁLCULO FECHAMENTO'!B11)</f>
        <v>Sim</v>
      </c>
      <c r="C24" s="114"/>
      <c r="D24" s="85"/>
      <c r="E24" s="85"/>
      <c r="F24" s="85"/>
      <c r="G24" s="85"/>
      <c r="H24" s="85"/>
      <c r="I24" s="85"/>
      <c r="J24" s="85"/>
      <c r="L24" s="151" t="s">
        <v>161</v>
      </c>
      <c r="M24" s="106">
        <f>M23*0.1</f>
        <v>19.403952379187338</v>
      </c>
      <c r="N24" s="107" t="s">
        <v>10</v>
      </c>
      <c r="P24" s="180" t="s">
        <v>276</v>
      </c>
      <c r="Q24" s="181">
        <f>M2/M3</f>
        <v>0.27777777777777779</v>
      </c>
      <c r="R24" s="181" t="s">
        <v>6</v>
      </c>
      <c r="T24" s="186" t="s">
        <v>292</v>
      </c>
    </row>
    <row r="25" spans="1:20" ht="15.75" thickBot="1" x14ac:dyDescent="0.3">
      <c r="A25" s="137" t="s">
        <v>165</v>
      </c>
      <c r="B25" s="121" t="str">
        <f>IF('CÁLCULO FECHAMENTO'!B12="Não","Aumentar largura da alvenaria",'CÁLCULO FECHAMENTO'!B12)</f>
        <v>Sim</v>
      </c>
      <c r="C25" s="114"/>
      <c r="D25" s="85"/>
      <c r="E25" s="85"/>
      <c r="F25" s="85"/>
      <c r="G25" s="85"/>
      <c r="H25" s="85"/>
      <c r="I25" s="85"/>
      <c r="J25" s="85"/>
      <c r="L25" s="151" t="s">
        <v>11</v>
      </c>
      <c r="M25" s="106">
        <f>M4/3</f>
        <v>0.83333333333333337</v>
      </c>
      <c r="N25" s="107" t="s">
        <v>6</v>
      </c>
      <c r="P25" s="182" t="s">
        <v>285</v>
      </c>
      <c r="Q25" s="183">
        <f>Q23*M8*M3</f>
        <v>23.753882025018925</v>
      </c>
      <c r="R25" s="184" t="s">
        <v>3</v>
      </c>
      <c r="T25" s="186" t="s">
        <v>294</v>
      </c>
    </row>
    <row r="26" spans="1:20" ht="15.75" thickBot="1" x14ac:dyDescent="0.3">
      <c r="A26" s="137" t="s">
        <v>186</v>
      </c>
      <c r="B26" s="121" t="str">
        <f>IF('CÁLCULO FECHAMENTO'!B13="Não","Aumentar resistência do bloco",'CÁLCULO FECHAMENTO'!B13)</f>
        <v>Sim</v>
      </c>
      <c r="C26" s="114"/>
      <c r="D26" s="85"/>
      <c r="E26" s="85"/>
      <c r="F26" s="85"/>
      <c r="G26" s="85"/>
      <c r="H26" s="85"/>
      <c r="I26" s="85"/>
      <c r="J26" s="85"/>
      <c r="L26" t="s">
        <v>263</v>
      </c>
      <c r="M26" s="95">
        <f>M24*M25</f>
        <v>16.169960315989449</v>
      </c>
      <c r="N26" s="1"/>
      <c r="P26" s="182" t="s">
        <v>289</v>
      </c>
      <c r="Q26" s="183">
        <f>Q25*Q22</f>
        <v>29.692352531273656</v>
      </c>
      <c r="R26" s="184" t="s">
        <v>7</v>
      </c>
      <c r="T26" s="186" t="s">
        <v>295</v>
      </c>
    </row>
    <row r="27" spans="1:20" ht="15.75" thickBot="1" x14ac:dyDescent="0.3">
      <c r="A27" s="137" t="s">
        <v>187</v>
      </c>
      <c r="B27" s="121" t="str">
        <f>IF('CÁLCULO FECHAMENTO'!B14="Não","Aumentar resistência do bloco",'CÁLCULO FECHAMENTO'!B14)</f>
        <v>Sim</v>
      </c>
      <c r="C27" s="114"/>
      <c r="D27" s="85"/>
      <c r="E27" s="85"/>
      <c r="F27" s="85"/>
      <c r="G27" s="85"/>
      <c r="H27" s="85"/>
      <c r="I27" s="85"/>
      <c r="J27" s="85"/>
      <c r="L27" t="s">
        <v>198</v>
      </c>
      <c r="M27" s="142">
        <f>M25</f>
        <v>0.83333333333333337</v>
      </c>
      <c r="N27" s="95" t="s">
        <v>6</v>
      </c>
      <c r="P27" s="182" t="s">
        <v>290</v>
      </c>
      <c r="Q27" s="183">
        <f>Q24*M3*M8*Q22</f>
        <v>3.2991502812526283</v>
      </c>
      <c r="R27" s="184" t="s">
        <v>7</v>
      </c>
      <c r="T27" s="186" t="s">
        <v>296</v>
      </c>
    </row>
    <row r="28" spans="1:20" ht="15.75" thickBot="1" x14ac:dyDescent="0.3">
      <c r="A28" s="123" t="s">
        <v>188</v>
      </c>
      <c r="B28" s="121" t="e">
        <f>IF('CÁLCULO FECHAMENTO'!B15="Não","Aumentar resistência do bloco",'CÁLCULO FECHAMENTO'!B15)</f>
        <v>#DIV/0!</v>
      </c>
      <c r="C28" s="7"/>
      <c r="D28" s="85"/>
      <c r="E28" s="85"/>
      <c r="F28" s="85"/>
      <c r="G28" s="85"/>
      <c r="H28" s="85"/>
      <c r="I28" s="85"/>
      <c r="J28" s="85"/>
      <c r="L28" t="s">
        <v>199</v>
      </c>
      <c r="M28" s="95">
        <f>M25*M24/M27</f>
        <v>19.403952379187338</v>
      </c>
      <c r="N28" s="95" t="s">
        <v>160</v>
      </c>
    </row>
    <row r="29" spans="1:20" x14ac:dyDescent="0.25">
      <c r="A29" s="104"/>
      <c r="C29" s="7"/>
      <c r="D29" s="85"/>
      <c r="E29" s="85"/>
      <c r="F29" s="85"/>
      <c r="G29" s="85"/>
      <c r="H29" s="85"/>
      <c r="I29" s="85"/>
      <c r="J29" s="85"/>
      <c r="L29" s="177" t="s">
        <v>276</v>
      </c>
      <c r="M29" s="95">
        <f>M2/M3</f>
        <v>0.27777777777777779</v>
      </c>
      <c r="N29" s="95" t="s">
        <v>6</v>
      </c>
    </row>
    <row r="30" spans="1:20" s="2" customFormat="1" x14ac:dyDescent="0.25">
      <c r="A30" s="8" t="s">
        <v>175</v>
      </c>
      <c r="B30" s="77">
        <f>'CÁLCULO FECHAMENTO'!B36</f>
        <v>0.95824573970644744</v>
      </c>
      <c r="C30" s="9" t="s">
        <v>6</v>
      </c>
      <c r="D30" s="87"/>
      <c r="E30" s="87"/>
      <c r="F30" s="87"/>
      <c r="G30" s="87"/>
      <c r="H30" s="87"/>
      <c r="I30" s="87"/>
      <c r="J30" s="87"/>
      <c r="K30"/>
      <c r="L30" s="177" t="s">
        <v>275</v>
      </c>
      <c r="M30" s="95">
        <f>M29*M8*M3*M5</f>
        <v>17.247957670388743</v>
      </c>
      <c r="N30" s="93" t="s">
        <v>7</v>
      </c>
      <c r="P30"/>
      <c r="Q30"/>
      <c r="R30"/>
    </row>
    <row r="31" spans="1:20" ht="15.75" thickBot="1" x14ac:dyDescent="0.3">
      <c r="A31" s="105" t="s">
        <v>176</v>
      </c>
      <c r="B31" s="106">
        <f>'CÁLCULO FECHAMENTO'!B46*1000</f>
        <v>1590.8419602055767</v>
      </c>
      <c r="C31" s="114" t="s">
        <v>177</v>
      </c>
      <c r="D31" s="85"/>
      <c r="E31" s="85"/>
      <c r="F31" s="85"/>
      <c r="G31" s="85"/>
      <c r="H31" s="85"/>
      <c r="I31" s="85"/>
      <c r="J31" s="85"/>
      <c r="L31" s="177" t="s">
        <v>277</v>
      </c>
      <c r="M31" s="95">
        <f>(M29+M4)*M8*M3*M5</f>
        <v>172.47957670388743</v>
      </c>
      <c r="N31" s="93" t="s">
        <v>7</v>
      </c>
      <c r="P31" s="176"/>
      <c r="Q31" s="185"/>
      <c r="R31" s="93"/>
    </row>
    <row r="32" spans="1:20" ht="15.75" thickBot="1" x14ac:dyDescent="0.3">
      <c r="A32" s="194" t="s">
        <v>32</v>
      </c>
      <c r="B32" s="195"/>
      <c r="C32" s="7"/>
      <c r="D32" s="85"/>
      <c r="E32" s="85"/>
      <c r="F32" s="85"/>
      <c r="G32" s="85"/>
      <c r="H32" s="85"/>
      <c r="I32" s="85"/>
      <c r="J32" s="85"/>
      <c r="P32" s="176"/>
      <c r="Q32" s="185"/>
      <c r="R32" s="93"/>
    </row>
    <row r="33" spans="1:18" x14ac:dyDescent="0.25">
      <c r="A33" s="91" t="s">
        <v>173</v>
      </c>
      <c r="B33" s="92">
        <v>0.36</v>
      </c>
      <c r="C33" s="93"/>
      <c r="D33" s="85"/>
      <c r="E33" s="85"/>
      <c r="F33" s="85"/>
      <c r="G33" s="85"/>
      <c r="H33" s="85"/>
      <c r="I33" s="85"/>
      <c r="J33" s="86"/>
      <c r="L33" s="187" t="s">
        <v>283</v>
      </c>
      <c r="M33" s="187"/>
      <c r="N33" s="187"/>
      <c r="P33" s="176"/>
      <c r="Q33" s="185"/>
      <c r="R33" s="93"/>
    </row>
    <row r="34" spans="1:18" ht="21" x14ac:dyDescent="0.35">
      <c r="A34" s="94" t="s">
        <v>114</v>
      </c>
      <c r="B34" s="95">
        <f>B7*B5</f>
        <v>69.3</v>
      </c>
      <c r="C34" s="93" t="s">
        <v>3</v>
      </c>
      <c r="D34" s="85"/>
      <c r="E34" s="85"/>
      <c r="F34" s="85"/>
      <c r="G34" s="85"/>
      <c r="H34" s="85"/>
      <c r="I34" s="85"/>
      <c r="J34" s="86"/>
      <c r="L34" t="s">
        <v>278</v>
      </c>
      <c r="M34" s="10">
        <f>(((M31-M30)*(M4-M35)^3)/(6*M4))+(M30*M4^2)/2</f>
        <v>215.5994708798593</v>
      </c>
      <c r="N34" t="s">
        <v>279</v>
      </c>
    </row>
    <row r="35" spans="1:18" x14ac:dyDescent="0.25">
      <c r="A35" s="96" t="s">
        <v>178</v>
      </c>
      <c r="B35" s="142">
        <f>(B34*B33)-(2*B8*SQRT(B33))</f>
        <v>24.947999999999997</v>
      </c>
      <c r="C35" s="93" t="s">
        <v>3</v>
      </c>
      <c r="D35" s="85"/>
      <c r="E35" s="85"/>
      <c r="F35" s="85"/>
      <c r="G35" s="85"/>
      <c r="H35" s="85"/>
      <c r="I35" s="85"/>
      <c r="J35" s="86"/>
      <c r="L35" t="s">
        <v>281</v>
      </c>
      <c r="M35">
        <v>0</v>
      </c>
      <c r="N35" t="s">
        <v>6</v>
      </c>
    </row>
    <row r="36" spans="1:18" x14ac:dyDescent="0.25">
      <c r="A36" s="96" t="s">
        <v>183</v>
      </c>
      <c r="B36" s="95">
        <f>B35*B5/2</f>
        <v>48.024899999999995</v>
      </c>
      <c r="C36" s="93" t="s">
        <v>7</v>
      </c>
      <c r="D36" s="85"/>
      <c r="E36" s="85"/>
      <c r="F36" s="85"/>
      <c r="G36" s="85"/>
      <c r="H36" s="85"/>
      <c r="I36" s="85"/>
      <c r="J36" s="86"/>
      <c r="L36" t="s">
        <v>280</v>
      </c>
      <c r="M36" s="10">
        <f>((M31-M30)*(M4-M35)^3)/(6*M4)+(M30*(M4-M35)^2)/2</f>
        <v>215.5994708798593</v>
      </c>
      <c r="N36" t="s">
        <v>279</v>
      </c>
    </row>
    <row r="37" spans="1:18" x14ac:dyDescent="0.25">
      <c r="A37" s="94" t="s">
        <v>8</v>
      </c>
      <c r="B37" s="95">
        <f>(B36*B6)</f>
        <v>204.10582499999998</v>
      </c>
      <c r="C37" s="93" t="s">
        <v>9</v>
      </c>
      <c r="D37" s="85"/>
      <c r="E37" s="85"/>
      <c r="F37" s="85"/>
      <c r="G37" s="85"/>
      <c r="H37" s="85"/>
      <c r="I37" s="85"/>
      <c r="J37" s="86"/>
    </row>
    <row r="38" spans="1:18" x14ac:dyDescent="0.25">
      <c r="A38" s="105" t="s">
        <v>161</v>
      </c>
      <c r="B38" s="106">
        <f>B37*0.1</f>
        <v>20.4105825</v>
      </c>
      <c r="C38" s="107" t="s">
        <v>10</v>
      </c>
      <c r="D38" s="85"/>
      <c r="E38" s="85"/>
      <c r="F38" s="85"/>
      <c r="G38" s="85"/>
      <c r="H38" s="85"/>
      <c r="I38" s="85"/>
      <c r="J38" s="86"/>
      <c r="L38" s="187" t="s">
        <v>282</v>
      </c>
      <c r="M38" s="187"/>
      <c r="N38" s="187"/>
    </row>
    <row r="39" spans="1:18" x14ac:dyDescent="0.25">
      <c r="A39" s="105" t="s">
        <v>11</v>
      </c>
      <c r="B39" s="106">
        <f>B5/3</f>
        <v>1.2833333333333334</v>
      </c>
      <c r="C39" s="107" t="s">
        <v>6</v>
      </c>
      <c r="D39" s="85"/>
      <c r="E39" s="85"/>
      <c r="F39" s="85"/>
      <c r="G39" s="85"/>
      <c r="H39" s="85"/>
      <c r="I39" s="85"/>
      <c r="J39" s="86"/>
      <c r="L39" t="s">
        <v>281</v>
      </c>
      <c r="M39">
        <v>0</v>
      </c>
      <c r="N39" t="s">
        <v>6</v>
      </c>
      <c r="O39" t="s">
        <v>284</v>
      </c>
    </row>
    <row r="40" spans="1:18" x14ac:dyDescent="0.25">
      <c r="A40" s="6" t="s">
        <v>263</v>
      </c>
      <c r="B40" s="10">
        <f>B38*B39</f>
        <v>26.193580875000002</v>
      </c>
      <c r="D40" s="85"/>
      <c r="E40" s="85"/>
      <c r="F40" s="85"/>
      <c r="G40" s="85"/>
      <c r="H40" s="85"/>
      <c r="I40" s="85"/>
      <c r="J40" s="86"/>
      <c r="L40" t="s">
        <v>280</v>
      </c>
      <c r="M40" s="10">
        <f>-(M4^2*M30)/8-(M4^2*(M31-M30)/15+(5*M4*M39*M30)/8+(2*M4*M39*(M31-M30))/5-(M39^2*M30)/2-(M39^2*(M31-M30))/2-(M39^2*(M31-M30))/2+(M39^3*(M31-M30))/(6*M4))</f>
        <v>-78.154808193949009</v>
      </c>
      <c r="N40" t="s">
        <v>279</v>
      </c>
    </row>
    <row r="41" spans="1:18" x14ac:dyDescent="0.25">
      <c r="A41" t="s">
        <v>198</v>
      </c>
      <c r="B41" s="142">
        <f>B39</f>
        <v>1.2833333333333334</v>
      </c>
      <c r="C41" s="1" t="s">
        <v>6</v>
      </c>
      <c r="D41" s="85"/>
      <c r="E41" s="85"/>
      <c r="F41" s="85"/>
      <c r="G41" s="85"/>
      <c r="H41" s="85"/>
      <c r="I41" s="85"/>
      <c r="J41" s="86"/>
    </row>
    <row r="42" spans="1:18" x14ac:dyDescent="0.25">
      <c r="A42" t="s">
        <v>199</v>
      </c>
      <c r="B42" s="10">
        <f>B39*B38/B41</f>
        <v>20.4105825</v>
      </c>
      <c r="C42" s="1" t="s">
        <v>160</v>
      </c>
      <c r="D42" s="85"/>
      <c r="E42" s="85"/>
      <c r="F42" s="85"/>
      <c r="G42" s="85"/>
      <c r="H42" s="85"/>
      <c r="I42" s="85"/>
      <c r="J42" s="86"/>
    </row>
    <row r="43" spans="1:18" x14ac:dyDescent="0.25">
      <c r="A43" s="94" t="s">
        <v>12</v>
      </c>
      <c r="B43" s="95">
        <f>B35*(1/6)</f>
        <v>4.1579999999999995</v>
      </c>
      <c r="C43" s="93" t="s">
        <v>3</v>
      </c>
      <c r="D43" s="85"/>
      <c r="E43" s="85"/>
      <c r="F43" s="85"/>
      <c r="G43" s="85"/>
      <c r="H43" s="85"/>
      <c r="I43" s="85"/>
      <c r="J43" s="86"/>
    </row>
    <row r="44" spans="1:18" x14ac:dyDescent="0.25">
      <c r="A44" s="94" t="s">
        <v>13</v>
      </c>
      <c r="B44" s="95">
        <f>B35*(5/6)</f>
        <v>20.79</v>
      </c>
      <c r="C44" s="93" t="s">
        <v>3</v>
      </c>
      <c r="D44" s="85"/>
      <c r="E44" s="85"/>
      <c r="F44" s="85"/>
      <c r="G44" s="85"/>
      <c r="H44" s="85"/>
      <c r="I44" s="85"/>
      <c r="J44" s="86"/>
    </row>
    <row r="45" spans="1:18" x14ac:dyDescent="0.25">
      <c r="A45" s="6" t="s">
        <v>267</v>
      </c>
      <c r="B45" s="10">
        <f>$B$35*1/6</f>
        <v>4.1579999999999995</v>
      </c>
      <c r="C45" s="7" t="s">
        <v>266</v>
      </c>
      <c r="D45" s="85"/>
      <c r="E45" s="85"/>
      <c r="F45" s="85"/>
      <c r="G45" s="85"/>
      <c r="H45" s="85"/>
      <c r="I45" s="85"/>
      <c r="J45" s="86"/>
    </row>
    <row r="46" spans="1:18" x14ac:dyDescent="0.25">
      <c r="A46" s="6" t="s">
        <v>268</v>
      </c>
      <c r="B46" s="10">
        <f>$B$35*2/6</f>
        <v>8.3159999999999989</v>
      </c>
      <c r="C46" s="7" t="s">
        <v>266</v>
      </c>
      <c r="D46" s="85"/>
      <c r="E46" s="85"/>
      <c r="F46" s="85"/>
      <c r="G46" s="85"/>
      <c r="H46" s="85"/>
      <c r="I46" s="85"/>
      <c r="J46" s="86"/>
    </row>
    <row r="47" spans="1:18" x14ac:dyDescent="0.25">
      <c r="A47" s="6" t="s">
        <v>269</v>
      </c>
      <c r="B47" s="10">
        <f>$B$35*3/6</f>
        <v>12.473999999999998</v>
      </c>
      <c r="C47" s="7" t="s">
        <v>266</v>
      </c>
      <c r="D47" s="85"/>
      <c r="E47" s="85"/>
      <c r="F47" s="85"/>
      <c r="G47" s="85"/>
      <c r="H47" s="85"/>
      <c r="I47" s="85"/>
      <c r="J47" s="86"/>
    </row>
    <row r="48" spans="1:18" x14ac:dyDescent="0.25">
      <c r="A48" s="6" t="s">
        <v>270</v>
      </c>
      <c r="B48" s="10">
        <f>$B$35*4/6</f>
        <v>16.631999999999998</v>
      </c>
      <c r="C48" s="7" t="s">
        <v>266</v>
      </c>
      <c r="D48" s="85"/>
      <c r="E48" s="85"/>
      <c r="F48" s="85"/>
      <c r="G48" s="85"/>
      <c r="H48" s="85"/>
      <c r="I48" s="85"/>
      <c r="J48" s="86"/>
    </row>
    <row r="49" spans="1:10" x14ac:dyDescent="0.25">
      <c r="A49" s="6" t="s">
        <v>271</v>
      </c>
      <c r="B49" s="10">
        <f>$B$35*5/6</f>
        <v>20.789999999999996</v>
      </c>
      <c r="C49" s="7" t="s">
        <v>266</v>
      </c>
      <c r="D49" s="85"/>
      <c r="E49" s="85"/>
      <c r="F49" s="85"/>
      <c r="G49" s="85"/>
      <c r="H49" s="85"/>
      <c r="I49" s="85"/>
      <c r="J49" s="86"/>
    </row>
    <row r="50" spans="1:10" ht="15.75" thickBot="1" x14ac:dyDescent="0.3">
      <c r="A50" s="6" t="s">
        <v>272</v>
      </c>
      <c r="B50" s="10">
        <f>$B$35*6/6</f>
        <v>24.947999999999997</v>
      </c>
      <c r="C50" s="7" t="s">
        <v>266</v>
      </c>
      <c r="D50" s="85"/>
      <c r="E50" s="85"/>
      <c r="F50" s="85"/>
      <c r="G50" s="85"/>
      <c r="H50" s="85"/>
      <c r="I50" s="85"/>
      <c r="J50" s="86"/>
    </row>
    <row r="51" spans="1:10" ht="15.75" thickBot="1" x14ac:dyDescent="0.3">
      <c r="A51" s="194" t="s">
        <v>33</v>
      </c>
      <c r="B51" s="195"/>
      <c r="D51" s="85"/>
      <c r="E51" s="85"/>
      <c r="F51" s="85"/>
      <c r="G51" s="85"/>
      <c r="H51" s="85"/>
      <c r="I51" s="85"/>
      <c r="J51" s="86"/>
    </row>
    <row r="52" spans="1:10" x14ac:dyDescent="0.25">
      <c r="A52" s="94" t="s">
        <v>38</v>
      </c>
      <c r="B52" s="95">
        <f>(B37*((B5/3)+0.6))*100</f>
        <v>38439.930374999996</v>
      </c>
      <c r="C52" s="93" t="s">
        <v>14</v>
      </c>
      <c r="D52" s="85"/>
      <c r="E52" s="85"/>
      <c r="F52" s="85"/>
      <c r="G52" s="85"/>
      <c r="H52" s="85"/>
      <c r="I52" s="85"/>
      <c r="J52" s="86"/>
    </row>
    <row r="53" spans="1:10" ht="15.75" thickBot="1" x14ac:dyDescent="0.3">
      <c r="A53" s="94" t="s">
        <v>96</v>
      </c>
      <c r="B53" s="95">
        <f>B52*1.4</f>
        <v>53815.90252499999</v>
      </c>
      <c r="C53" s="93" t="s">
        <v>14</v>
      </c>
      <c r="D53" s="85"/>
      <c r="E53" s="85"/>
      <c r="F53" s="85"/>
      <c r="G53" s="85"/>
      <c r="H53" s="85"/>
      <c r="I53" s="85"/>
      <c r="J53" s="86"/>
    </row>
    <row r="54" spans="1:10" ht="15.75" thickBot="1" x14ac:dyDescent="0.3">
      <c r="A54" s="6" t="s">
        <v>34</v>
      </c>
      <c r="B54" s="113">
        <v>30</v>
      </c>
      <c r="C54" s="7" t="s">
        <v>17</v>
      </c>
      <c r="D54" s="85"/>
      <c r="E54" s="85"/>
      <c r="F54" s="85"/>
      <c r="G54" s="85"/>
      <c r="H54" s="85"/>
      <c r="I54" s="85"/>
      <c r="J54" s="86"/>
    </row>
    <row r="55" spans="1:10" ht="15.75" thickBot="1" x14ac:dyDescent="0.3">
      <c r="A55" s="6" t="s">
        <v>35</v>
      </c>
      <c r="B55" s="113">
        <v>20</v>
      </c>
      <c r="C55" s="7" t="s">
        <v>17</v>
      </c>
      <c r="D55" s="85"/>
      <c r="E55" s="85"/>
      <c r="F55" s="85"/>
      <c r="G55" s="85"/>
      <c r="H55" s="85"/>
      <c r="I55" s="85"/>
      <c r="J55" s="86"/>
    </row>
    <row r="56" spans="1:10" x14ac:dyDescent="0.25">
      <c r="A56" s="6"/>
      <c r="D56" s="85"/>
      <c r="E56" s="85"/>
      <c r="F56" s="85"/>
      <c r="G56" s="85"/>
      <c r="H56" s="85"/>
      <c r="I56" s="85"/>
      <c r="J56" s="86"/>
    </row>
    <row r="57" spans="1:10" x14ac:dyDescent="0.25">
      <c r="A57" s="94" t="s">
        <v>18</v>
      </c>
      <c r="B57" s="97">
        <f>(0.15/100)*B54*B55</f>
        <v>0.89999999999999991</v>
      </c>
      <c r="C57" s="93" t="s">
        <v>19</v>
      </c>
      <c r="D57" s="85"/>
      <c r="E57" s="85"/>
      <c r="F57" s="85"/>
      <c r="G57" s="85"/>
      <c r="H57" s="85"/>
      <c r="I57" s="85"/>
      <c r="J57" s="86"/>
    </row>
    <row r="58" spans="1:10" ht="15.75" thickBot="1" x14ac:dyDescent="0.3">
      <c r="A58" s="94" t="s">
        <v>21</v>
      </c>
      <c r="B58" s="97">
        <f>B54-B59-(B60/10)-(B61/10/2)</f>
        <v>25.875</v>
      </c>
      <c r="C58" s="93" t="s">
        <v>17</v>
      </c>
      <c r="D58" s="85"/>
      <c r="E58" s="85"/>
      <c r="F58" s="85"/>
      <c r="G58" s="85"/>
      <c r="H58" s="85"/>
      <c r="I58" s="85"/>
      <c r="J58" s="86"/>
    </row>
    <row r="59" spans="1:10" ht="15.75" thickBot="1" x14ac:dyDescent="0.3">
      <c r="A59" s="6" t="s">
        <v>25</v>
      </c>
      <c r="B59" s="113">
        <v>3</v>
      </c>
      <c r="D59" s="85"/>
      <c r="E59" s="85"/>
      <c r="F59" s="85"/>
      <c r="G59" s="85"/>
      <c r="H59" s="85"/>
      <c r="I59" s="85"/>
      <c r="J59" s="86"/>
    </row>
    <row r="60" spans="1:10" ht="15.75" thickBot="1" x14ac:dyDescent="0.3">
      <c r="A60" s="6" t="s">
        <v>24</v>
      </c>
      <c r="B60" s="113">
        <v>5</v>
      </c>
      <c r="C60" t="s">
        <v>23</v>
      </c>
      <c r="D60" s="85"/>
      <c r="E60" s="85"/>
      <c r="F60" s="85"/>
      <c r="G60" s="85"/>
      <c r="H60" s="85"/>
      <c r="I60" s="85"/>
      <c r="J60" s="86"/>
    </row>
    <row r="61" spans="1:10" ht="15.75" thickBot="1" x14ac:dyDescent="0.3">
      <c r="A61" s="6" t="s">
        <v>22</v>
      </c>
      <c r="B61" s="113">
        <v>12.5</v>
      </c>
      <c r="C61" s="7" t="s">
        <v>23</v>
      </c>
      <c r="D61" s="85"/>
      <c r="E61" s="85"/>
      <c r="F61" s="85"/>
      <c r="G61" s="85"/>
      <c r="H61" s="85"/>
      <c r="I61" s="85"/>
      <c r="J61" s="86"/>
    </row>
    <row r="62" spans="1:10" ht="15.75" thickBot="1" x14ac:dyDescent="0.3">
      <c r="A62" s="6" t="s">
        <v>20</v>
      </c>
      <c r="B62" s="10">
        <f>(B55*B58^2)/(B52*1.4)</f>
        <v>0.24881702009512108</v>
      </c>
      <c r="C62" s="7" t="s">
        <v>26</v>
      </c>
      <c r="D62" s="85"/>
      <c r="E62" s="85"/>
      <c r="F62" s="85"/>
      <c r="G62" s="85"/>
      <c r="H62" s="85"/>
      <c r="I62" s="85"/>
      <c r="J62" s="86"/>
    </row>
    <row r="63" spans="1:10" ht="15.75" thickBot="1" x14ac:dyDescent="0.3">
      <c r="A63" s="6" t="s">
        <v>27</v>
      </c>
      <c r="B63" s="113">
        <v>2.8000000000000001E-2</v>
      </c>
      <c r="C63" s="7" t="s">
        <v>26</v>
      </c>
      <c r="D63" s="85"/>
      <c r="E63" s="85"/>
      <c r="F63" s="85"/>
      <c r="G63" s="85"/>
      <c r="H63" s="85"/>
      <c r="I63" s="85"/>
      <c r="J63" s="86"/>
    </row>
    <row r="64" spans="1:10" x14ac:dyDescent="0.25">
      <c r="A64" s="6" t="s">
        <v>28</v>
      </c>
      <c r="B64" s="10">
        <f>B63*B52*1.4/B58</f>
        <v>58.235566017391299</v>
      </c>
      <c r="C64" s="7" t="s">
        <v>19</v>
      </c>
      <c r="D64" s="85"/>
      <c r="E64" s="85"/>
      <c r="F64" s="85"/>
      <c r="G64" s="85"/>
      <c r="H64" s="85"/>
      <c r="I64" s="85"/>
      <c r="J64" s="86"/>
    </row>
    <row r="65" spans="1:10" x14ac:dyDescent="0.25">
      <c r="A65" s="6" t="s">
        <v>37</v>
      </c>
      <c r="B65">
        <f>ROUNDUP(B64/((3.14*(B61/10/2)^2)),0)</f>
        <v>48</v>
      </c>
      <c r="C65" s="7" t="s">
        <v>95</v>
      </c>
      <c r="D65" s="85"/>
      <c r="E65" s="85"/>
      <c r="F65" s="85"/>
      <c r="G65" s="85"/>
      <c r="H65" s="85"/>
      <c r="I65" s="85"/>
      <c r="J65" s="86"/>
    </row>
    <row r="66" spans="1:10" x14ac:dyDescent="0.25">
      <c r="A66" s="6" t="s">
        <v>36</v>
      </c>
      <c r="B66">
        <f>ROUNDUP(B57/((3.14*(B61/10/2)^2)),0)</f>
        <v>1</v>
      </c>
      <c r="C66" s="7" t="s">
        <v>30</v>
      </c>
      <c r="D66" s="85"/>
      <c r="E66" s="85"/>
      <c r="F66" s="85"/>
      <c r="G66" s="85"/>
      <c r="H66" s="85"/>
      <c r="I66" s="85"/>
      <c r="J66" s="86"/>
    </row>
    <row r="67" spans="1:10" ht="15.75" thickBot="1" x14ac:dyDescent="0.3">
      <c r="A67" s="6"/>
      <c r="D67" s="85"/>
      <c r="E67" s="85"/>
      <c r="F67" s="85"/>
      <c r="G67" s="85"/>
      <c r="H67" s="85"/>
      <c r="I67" s="85"/>
      <c r="J67" s="86"/>
    </row>
    <row r="68" spans="1:10" ht="15.75" thickBot="1" x14ac:dyDescent="0.3">
      <c r="A68" s="194" t="s">
        <v>31</v>
      </c>
      <c r="B68" s="195"/>
      <c r="D68" s="85"/>
      <c r="E68" s="85"/>
      <c r="F68" s="85"/>
      <c r="G68" s="85"/>
      <c r="H68" s="85"/>
      <c r="I68" s="85"/>
      <c r="J68" s="86"/>
    </row>
    <row r="69" spans="1:10" ht="15.75" thickBot="1" x14ac:dyDescent="0.3">
      <c r="A69" s="6" t="s">
        <v>97</v>
      </c>
      <c r="B69" s="113">
        <v>1188</v>
      </c>
      <c r="C69" s="7" t="s">
        <v>14</v>
      </c>
      <c r="D69" s="85"/>
      <c r="E69" s="85"/>
      <c r="F69" s="85"/>
      <c r="G69" s="85"/>
      <c r="H69" s="85"/>
      <c r="I69" s="85"/>
      <c r="J69" s="86"/>
    </row>
    <row r="70" spans="1:10" ht="15.75" thickBot="1" x14ac:dyDescent="0.3">
      <c r="A70" s="6" t="s">
        <v>15</v>
      </c>
      <c r="B70" s="113">
        <v>40</v>
      </c>
      <c r="C70" s="7" t="s">
        <v>17</v>
      </c>
      <c r="D70" s="85"/>
      <c r="E70" s="85"/>
      <c r="F70" s="85"/>
      <c r="G70" s="85"/>
      <c r="H70" s="85"/>
      <c r="I70" s="85"/>
      <c r="J70" s="86"/>
    </row>
    <row r="71" spans="1:10" ht="15.75" thickBot="1" x14ac:dyDescent="0.3">
      <c r="A71" s="6" t="s">
        <v>16</v>
      </c>
      <c r="B71" s="113">
        <v>19</v>
      </c>
      <c r="C71" s="7" t="s">
        <v>17</v>
      </c>
      <c r="D71" s="85"/>
      <c r="E71" s="85"/>
      <c r="F71" s="85"/>
      <c r="G71" s="85"/>
      <c r="H71" s="85"/>
      <c r="I71" s="85"/>
      <c r="J71" s="86"/>
    </row>
    <row r="72" spans="1:10" x14ac:dyDescent="0.25">
      <c r="A72" s="6"/>
      <c r="D72" s="85"/>
      <c r="E72" s="85"/>
      <c r="F72" s="85"/>
      <c r="G72" s="85"/>
      <c r="H72" s="85"/>
      <c r="I72" s="85"/>
      <c r="J72" s="86"/>
    </row>
    <row r="73" spans="1:10" x14ac:dyDescent="0.25">
      <c r="A73" s="6" t="s">
        <v>18</v>
      </c>
      <c r="B73">
        <f>(0.15/100)*B70*B71</f>
        <v>1.1399999999999999</v>
      </c>
      <c r="C73" s="7" t="s">
        <v>19</v>
      </c>
      <c r="D73" s="85"/>
      <c r="E73" s="85"/>
      <c r="F73" s="85"/>
      <c r="G73" s="85"/>
      <c r="H73" s="85"/>
      <c r="I73" s="85"/>
      <c r="J73" s="86"/>
    </row>
    <row r="74" spans="1:10" ht="15.75" thickBot="1" x14ac:dyDescent="0.3">
      <c r="A74" s="6" t="s">
        <v>21</v>
      </c>
      <c r="B74">
        <f>B70-B75-(B76/10)-(B77/10/2)</f>
        <v>36.1</v>
      </c>
      <c r="C74" s="7" t="s">
        <v>17</v>
      </c>
      <c r="D74" s="85"/>
      <c r="E74" s="85"/>
      <c r="F74" s="85"/>
      <c r="G74" s="85"/>
      <c r="H74" s="85"/>
      <c r="I74" s="85"/>
      <c r="J74" s="86"/>
    </row>
    <row r="75" spans="1:10" ht="15.75" thickBot="1" x14ac:dyDescent="0.3">
      <c r="A75" s="6" t="s">
        <v>25</v>
      </c>
      <c r="B75" s="113">
        <v>3</v>
      </c>
      <c r="D75" s="85"/>
      <c r="E75" s="85"/>
      <c r="F75" s="85"/>
      <c r="G75" s="85"/>
      <c r="H75" s="85"/>
      <c r="I75" s="85"/>
      <c r="J75" s="86"/>
    </row>
    <row r="76" spans="1:10" ht="15.75" thickBot="1" x14ac:dyDescent="0.3">
      <c r="A76" s="6" t="s">
        <v>24</v>
      </c>
      <c r="B76" s="113">
        <v>5</v>
      </c>
      <c r="C76" t="s">
        <v>23</v>
      </c>
      <c r="D76" s="85"/>
      <c r="E76" s="85"/>
      <c r="F76" s="85"/>
      <c r="G76" s="85"/>
      <c r="H76" s="85"/>
      <c r="I76" s="85"/>
      <c r="J76" s="86"/>
    </row>
    <row r="77" spans="1:10" ht="15.75" thickBot="1" x14ac:dyDescent="0.3">
      <c r="A77" s="6" t="s">
        <v>22</v>
      </c>
      <c r="B77" s="113">
        <v>8</v>
      </c>
      <c r="C77" s="7" t="s">
        <v>23</v>
      </c>
      <c r="D77" s="85"/>
      <c r="E77" s="85"/>
      <c r="F77" s="85"/>
      <c r="G77" s="85"/>
      <c r="H77" s="85"/>
      <c r="I77" s="85"/>
      <c r="J77" s="86"/>
    </row>
    <row r="78" spans="1:10" ht="15.75" thickBot="1" x14ac:dyDescent="0.3">
      <c r="A78" s="6" t="s">
        <v>20</v>
      </c>
      <c r="B78" s="10">
        <f>(B71*B74^2)/B69</f>
        <v>20.842584175084177</v>
      </c>
      <c r="C78" s="7" t="s">
        <v>26</v>
      </c>
      <c r="D78" s="85"/>
      <c r="E78" s="85"/>
      <c r="F78" s="85"/>
      <c r="G78" s="85"/>
      <c r="H78" s="85"/>
      <c r="I78" s="85"/>
      <c r="J78" s="86"/>
    </row>
    <row r="79" spans="1:10" ht="15.75" thickBot="1" x14ac:dyDescent="0.3">
      <c r="A79" s="6" t="s">
        <v>27</v>
      </c>
      <c r="B79" s="113">
        <v>2.3E-2</v>
      </c>
      <c r="C79" s="7" t="s">
        <v>26</v>
      </c>
      <c r="D79" s="85"/>
      <c r="E79" s="85"/>
      <c r="F79" s="85"/>
      <c r="G79" s="85"/>
      <c r="H79" s="85"/>
      <c r="I79" s="85"/>
      <c r="J79" s="86"/>
    </row>
    <row r="80" spans="1:10" x14ac:dyDescent="0.25">
      <c r="A80" s="6" t="s">
        <v>28</v>
      </c>
      <c r="B80" s="10">
        <f>B79*B69/B74</f>
        <v>0.75689750692520763</v>
      </c>
      <c r="C80" s="7" t="s">
        <v>19</v>
      </c>
      <c r="D80" s="85"/>
      <c r="E80" s="85"/>
      <c r="F80" s="85"/>
      <c r="G80" s="85"/>
      <c r="H80" s="85"/>
      <c r="I80" s="85"/>
      <c r="J80" s="86"/>
    </row>
    <row r="81" spans="1:10" x14ac:dyDescent="0.25">
      <c r="A81" s="6" t="s">
        <v>37</v>
      </c>
      <c r="B81">
        <f>ROUNDUP(B80/((3.14*(B77/10/2)^2)),0)</f>
        <v>2</v>
      </c>
      <c r="C81" s="7" t="s">
        <v>30</v>
      </c>
      <c r="D81" s="85"/>
      <c r="E81" s="85"/>
      <c r="F81" s="85"/>
      <c r="G81" s="85"/>
      <c r="H81" s="85"/>
      <c r="I81" s="85"/>
      <c r="J81" s="86"/>
    </row>
    <row r="82" spans="1:10" ht="15.75" thickBot="1" x14ac:dyDescent="0.3">
      <c r="A82" s="11" t="s">
        <v>36</v>
      </c>
      <c r="B82" s="12">
        <f>ROUNDUP(B73/((3.14*(B77/10/2)^2)),0)</f>
        <v>3</v>
      </c>
      <c r="C82" s="13" t="s">
        <v>30</v>
      </c>
      <c r="J82" s="5"/>
    </row>
    <row r="83" spans="1:10" x14ac:dyDescent="0.25">
      <c r="A83" s="6"/>
      <c r="D83" s="3" t="s">
        <v>29</v>
      </c>
      <c r="E83" s="3" t="s">
        <v>19</v>
      </c>
      <c r="J83" s="5"/>
    </row>
    <row r="84" spans="1:10" x14ac:dyDescent="0.25">
      <c r="A84" s="6"/>
      <c r="D84" s="4">
        <v>6.3</v>
      </c>
      <c r="E84" s="138">
        <f>3.14*(D84/10/2)^2</f>
        <v>0.31156650000000002</v>
      </c>
      <c r="J84" s="5"/>
    </row>
    <row r="85" spans="1:10" x14ac:dyDescent="0.25">
      <c r="A85" s="6" t="s">
        <v>79</v>
      </c>
      <c r="B85" s="50">
        <f>B6*B5-B55*B5/100-((B6*B71/100-(B71*B55/100/100))*3)</f>
        <v>13.284000000000001</v>
      </c>
      <c r="C85" s="7" t="s">
        <v>80</v>
      </c>
      <c r="D85" s="4">
        <v>8</v>
      </c>
      <c r="E85" s="138">
        <f t="shared" ref="E85:E90" si="0">3.14*(D85/10/2)^2</f>
        <v>0.50240000000000007</v>
      </c>
      <c r="J85" s="5"/>
    </row>
    <row r="86" spans="1:10" x14ac:dyDescent="0.25">
      <c r="A86" s="6" t="s">
        <v>81</v>
      </c>
      <c r="B86" s="50">
        <f>ASSENTAMENTO!D15*ASSENTAMENTO!D21/100</f>
        <v>25.600000000000005</v>
      </c>
      <c r="C86" s="7" t="s">
        <v>9</v>
      </c>
      <c r="D86" s="4">
        <v>10</v>
      </c>
      <c r="E86" s="138">
        <f t="shared" si="0"/>
        <v>0.78500000000000003</v>
      </c>
      <c r="J86" s="5"/>
    </row>
    <row r="87" spans="1:10" x14ac:dyDescent="0.25">
      <c r="A87" s="6" t="s">
        <v>93</v>
      </c>
      <c r="B87" s="50">
        <f>ASSENTAMENTO!D26*ASSENTAMENTO!D27</f>
        <v>0.24037860000000003</v>
      </c>
      <c r="C87" s="7" t="s">
        <v>9</v>
      </c>
      <c r="D87" s="4">
        <v>12.5</v>
      </c>
      <c r="E87" s="138">
        <f t="shared" si="0"/>
        <v>1.2265625</v>
      </c>
      <c r="J87" s="5"/>
    </row>
    <row r="88" spans="1:10" x14ac:dyDescent="0.25">
      <c r="A88" s="6" t="s">
        <v>39</v>
      </c>
      <c r="B88" s="50">
        <f>B5*(B54/100)*(B55/100)*25</f>
        <v>5.7750000000000004</v>
      </c>
      <c r="C88" s="7" t="s">
        <v>9</v>
      </c>
      <c r="D88" s="4">
        <v>16</v>
      </c>
      <c r="E88" s="138">
        <f t="shared" si="0"/>
        <v>2.0096000000000003</v>
      </c>
      <c r="J88" s="5"/>
    </row>
    <row r="89" spans="1:10" x14ac:dyDescent="0.25">
      <c r="A89" s="6" t="s">
        <v>40</v>
      </c>
      <c r="B89" s="50">
        <f>(B6-B55/100)*(B70/100)*(B71/100)*25*3</f>
        <v>23.085000000000001</v>
      </c>
      <c r="C89" s="7" t="s">
        <v>9</v>
      </c>
      <c r="D89" s="4">
        <v>20</v>
      </c>
      <c r="E89" s="138">
        <f t="shared" si="0"/>
        <v>3.14</v>
      </c>
      <c r="J89" s="5"/>
    </row>
    <row r="90" spans="1:10" ht="15.75" thickBot="1" x14ac:dyDescent="0.3">
      <c r="A90" s="6" t="s">
        <v>84</v>
      </c>
      <c r="B90">
        <f>1.2*1*0.5*25</f>
        <v>15</v>
      </c>
      <c r="C90" s="7" t="s">
        <v>9</v>
      </c>
      <c r="D90" s="4">
        <v>25</v>
      </c>
      <c r="E90" s="138">
        <f t="shared" si="0"/>
        <v>4.90625</v>
      </c>
      <c r="J90" s="5"/>
    </row>
    <row r="91" spans="1:10" ht="15.75" thickBot="1" x14ac:dyDescent="0.3">
      <c r="A91" s="6" t="s">
        <v>180</v>
      </c>
      <c r="B91" s="78">
        <f>ASSENTAMENTO!D21</f>
        <v>160.00000000000003</v>
      </c>
      <c r="C91" s="7" t="s">
        <v>181</v>
      </c>
      <c r="D91" s="191"/>
      <c r="E91" s="192"/>
      <c r="F91" s="192"/>
      <c r="G91" s="192"/>
      <c r="H91" s="192"/>
      <c r="I91" s="192"/>
      <c r="J91" s="193"/>
    </row>
    <row r="92" spans="1:10" ht="15.75" customHeight="1" thickBot="1" x14ac:dyDescent="0.3">
      <c r="A92" s="11" t="s">
        <v>94</v>
      </c>
      <c r="B92" s="136">
        <f>SUM(B86:B90)</f>
        <v>69.700378600000008</v>
      </c>
      <c r="C92" s="13" t="s">
        <v>9</v>
      </c>
      <c r="D92" s="188"/>
      <c r="E92" s="189"/>
      <c r="F92" s="189"/>
      <c r="G92" s="189"/>
      <c r="H92" s="189"/>
      <c r="I92" s="189"/>
      <c r="J92" s="190"/>
    </row>
  </sheetData>
  <mergeCells count="12">
    <mergeCell ref="P10:R10"/>
    <mergeCell ref="A1:J1"/>
    <mergeCell ref="A2:B2"/>
    <mergeCell ref="A32:B32"/>
    <mergeCell ref="A11:B11"/>
    <mergeCell ref="A22:B22"/>
    <mergeCell ref="L33:N33"/>
    <mergeCell ref="L38:N38"/>
    <mergeCell ref="D92:J92"/>
    <mergeCell ref="D91:J91"/>
    <mergeCell ref="A68:B68"/>
    <mergeCell ref="A51:B51"/>
  </mergeCells>
  <phoneticPr fontId="29" type="noConversion"/>
  <conditionalFormatting sqref="B23:B28">
    <cfRule type="containsText" dxfId="4" priority="4" operator="containsText" text="Não">
      <formula>NOT(ISERROR(SEARCH("Não",B23)))</formula>
    </cfRule>
    <cfRule type="containsText" dxfId="3" priority="5" operator="containsText" text="Sim">
      <formula>NOT(ISERROR(SEARCH("Sim",B23)))</formula>
    </cfRule>
  </conditionalFormatting>
  <conditionalFormatting sqref="B24">
    <cfRule type="containsText" dxfId="2" priority="3" operator="containsText" text="Aumentar largura pilar">
      <formula>NOT(ISERROR(SEARCH("Aumentar largura pilar",B24)))</formula>
    </cfRule>
  </conditionalFormatting>
  <conditionalFormatting sqref="B25">
    <cfRule type="containsText" dxfId="1" priority="2" operator="containsText" text="Aumentar largura da alvenaria">
      <formula>NOT(ISERROR(SEARCH("Aumentar largura da alvenaria",B25)))</formula>
    </cfRule>
  </conditionalFormatting>
  <conditionalFormatting sqref="B26">
    <cfRule type="containsText" dxfId="0" priority="1" operator="containsText" text="Aumentar resistência do bloco">
      <formula>NOT(ISERROR(SEARCH("Aumentar resistência do bloco",B26)))</formula>
    </cfRule>
  </conditionalFormatting>
  <pageMargins left="0.511811024" right="0.511811024" top="0.78740157499999996" bottom="0.78740157499999996" header="0.31496062000000002" footer="0.31496062000000002"/>
  <pageSetup paperSize="9" scale="15" orientation="portrait" verticalDpi="300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00000000-0002-0000-0000-000000000000}">
          <x14:formula1>
            <xm:f>'DADOS DO SOLO'!$K$2:$K$9</xm:f>
          </x14:formula1>
          <xm:sqref>B3</xm:sqref>
        </x14:dataValidation>
        <x14:dataValidation type="list" allowBlank="1" showInputMessage="1" showErrorMessage="1" xr:uid="{00000000-0002-0000-0000-000001000000}">
          <x14:formula1>
            <xm:f>'CÁLCULO FECHAMENTO'!$A$17:$A$19</xm:f>
          </x14:formula1>
          <xm:sqref>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86"/>
  <sheetViews>
    <sheetView topLeftCell="A31" workbookViewId="0">
      <selection activeCell="G32" sqref="A32:G32"/>
    </sheetView>
  </sheetViews>
  <sheetFormatPr defaultRowHeight="15" x14ac:dyDescent="0.25"/>
  <cols>
    <col min="1" max="1" width="29.140625" style="7" bestFit="1" customWidth="1"/>
    <col min="2" max="2" width="29.140625" style="1" bestFit="1" customWidth="1"/>
    <col min="3" max="3" width="4.140625" bestFit="1" customWidth="1"/>
    <col min="4" max="4" width="9.7109375" bestFit="1" customWidth="1"/>
    <col min="5" max="5" width="11" customWidth="1"/>
    <col min="6" max="6" width="13.5703125" bestFit="1" customWidth="1"/>
    <col min="7" max="7" width="15.140625" bestFit="1" customWidth="1"/>
    <col min="11" max="11" width="29.140625" bestFit="1" customWidth="1"/>
  </cols>
  <sheetData>
    <row r="1" spans="1:14" x14ac:dyDescent="0.25">
      <c r="A1" s="79" t="s">
        <v>106</v>
      </c>
      <c r="B1" s="4" t="s">
        <v>172</v>
      </c>
      <c r="C1" s="4" t="s">
        <v>108</v>
      </c>
      <c r="D1" s="80" t="s">
        <v>112</v>
      </c>
      <c r="E1" s="4" t="s">
        <v>174</v>
      </c>
      <c r="F1" s="4" t="s">
        <v>109</v>
      </c>
      <c r="G1" s="81" t="s">
        <v>110</v>
      </c>
      <c r="K1" s="101" t="s">
        <v>117</v>
      </c>
      <c r="L1" s="99" t="s">
        <v>118</v>
      </c>
      <c r="M1" s="99" t="s">
        <v>119</v>
      </c>
      <c r="N1" s="99" t="s">
        <v>120</v>
      </c>
    </row>
    <row r="2" spans="1:14" x14ac:dyDescent="0.25">
      <c r="A2" s="82" t="s">
        <v>98</v>
      </c>
      <c r="B2" s="4">
        <v>0.85</v>
      </c>
      <c r="C2" s="4">
        <v>0</v>
      </c>
      <c r="D2" s="4">
        <v>13</v>
      </c>
      <c r="E2" s="4">
        <v>0.8</v>
      </c>
      <c r="F2" s="88">
        <f>E2*(D2/10)^0.5*10</f>
        <v>9.1214034007931044</v>
      </c>
      <c r="G2" s="4">
        <v>0</v>
      </c>
      <c r="K2" s="4" t="s">
        <v>98</v>
      </c>
      <c r="L2" s="99">
        <v>0.85</v>
      </c>
      <c r="M2" s="99">
        <v>1.3</v>
      </c>
      <c r="N2" s="99">
        <v>0.8</v>
      </c>
    </row>
    <row r="3" spans="1:14" x14ac:dyDescent="0.25">
      <c r="A3" s="82" t="s">
        <v>98</v>
      </c>
      <c r="B3" s="4">
        <v>0.85</v>
      </c>
      <c r="C3" s="4">
        <v>1</v>
      </c>
      <c r="D3" s="4">
        <v>13</v>
      </c>
      <c r="E3" s="4">
        <v>0.8</v>
      </c>
      <c r="F3" s="88">
        <f t="shared" ref="F3:F31" si="0">E3*(D3/10)^0.5*10</f>
        <v>9.1214034007931044</v>
      </c>
      <c r="G3" s="4">
        <v>0</v>
      </c>
      <c r="K3" s="4" t="s">
        <v>99</v>
      </c>
      <c r="L3" s="99">
        <v>0.75</v>
      </c>
      <c r="M3" s="99">
        <v>1.5</v>
      </c>
      <c r="N3" s="99">
        <v>1.6</v>
      </c>
    </row>
    <row r="4" spans="1:14" x14ac:dyDescent="0.25">
      <c r="A4" s="82" t="s">
        <v>98</v>
      </c>
      <c r="B4" s="4">
        <v>0.85</v>
      </c>
      <c r="C4" s="4">
        <v>2</v>
      </c>
      <c r="D4" s="4">
        <v>13</v>
      </c>
      <c r="E4" s="4">
        <v>0.8</v>
      </c>
      <c r="F4" s="88">
        <f t="shared" si="0"/>
        <v>9.1214034007931044</v>
      </c>
      <c r="G4" s="4">
        <v>0</v>
      </c>
      <c r="K4" s="4" t="s">
        <v>100</v>
      </c>
      <c r="L4" s="99">
        <v>0.65</v>
      </c>
      <c r="M4" s="99">
        <v>1.7</v>
      </c>
      <c r="N4" s="99">
        <v>4.8</v>
      </c>
    </row>
    <row r="5" spans="1:14" x14ac:dyDescent="0.25">
      <c r="A5" s="82" t="s">
        <v>98</v>
      </c>
      <c r="B5" s="4">
        <v>0.85</v>
      </c>
      <c r="C5" s="4">
        <v>3</v>
      </c>
      <c r="D5" s="4">
        <v>13</v>
      </c>
      <c r="E5" s="4">
        <v>0.8</v>
      </c>
      <c r="F5" s="88">
        <f t="shared" si="0"/>
        <v>9.1214034007931044</v>
      </c>
      <c r="G5" s="4">
        <v>0</v>
      </c>
      <c r="K5" s="4" t="s">
        <v>101</v>
      </c>
      <c r="L5" s="99">
        <v>0.55000000000000004</v>
      </c>
      <c r="M5" s="99">
        <v>1.9</v>
      </c>
      <c r="N5" s="99">
        <v>9.6</v>
      </c>
    </row>
    <row r="6" spans="1:14" x14ac:dyDescent="0.25">
      <c r="A6" s="82" t="s">
        <v>98</v>
      </c>
      <c r="B6" s="4">
        <v>0.85</v>
      </c>
      <c r="C6" s="4">
        <v>4</v>
      </c>
      <c r="D6" s="4">
        <v>13</v>
      </c>
      <c r="E6" s="4">
        <v>0.8</v>
      </c>
      <c r="F6" s="88">
        <f t="shared" si="0"/>
        <v>9.1214034007931044</v>
      </c>
      <c r="G6" s="4">
        <v>0</v>
      </c>
      <c r="K6" s="4" t="s">
        <v>102</v>
      </c>
      <c r="L6" s="99">
        <v>0.6</v>
      </c>
      <c r="M6" s="99">
        <v>1.7</v>
      </c>
      <c r="N6" s="99">
        <v>0</v>
      </c>
    </row>
    <row r="7" spans="1:14" x14ac:dyDescent="0.25">
      <c r="A7" s="82" t="s">
        <v>98</v>
      </c>
      <c r="B7" s="4">
        <v>0.85</v>
      </c>
      <c r="C7" s="4">
        <v>5</v>
      </c>
      <c r="D7" s="4">
        <v>13</v>
      </c>
      <c r="E7" s="4">
        <v>0.8</v>
      </c>
      <c r="F7" s="88">
        <f t="shared" si="0"/>
        <v>9.1214034007931044</v>
      </c>
      <c r="G7" s="4">
        <v>0</v>
      </c>
      <c r="K7" s="4" t="s">
        <v>103</v>
      </c>
      <c r="L7" s="99">
        <v>0.55000000000000004</v>
      </c>
      <c r="M7" s="99">
        <v>1.9</v>
      </c>
      <c r="N7" s="99">
        <v>0</v>
      </c>
    </row>
    <row r="8" spans="1:14" x14ac:dyDescent="0.25">
      <c r="A8" s="82" t="s">
        <v>99</v>
      </c>
      <c r="B8" s="4">
        <v>0.75</v>
      </c>
      <c r="C8" s="4">
        <v>6</v>
      </c>
      <c r="D8" s="4">
        <v>15</v>
      </c>
      <c r="E8" s="4">
        <v>1.6</v>
      </c>
      <c r="F8" s="88">
        <f t="shared" si="0"/>
        <v>19.595917942265423</v>
      </c>
      <c r="G8" s="4">
        <v>0</v>
      </c>
      <c r="K8" s="4" t="s">
        <v>104</v>
      </c>
      <c r="L8" s="99">
        <v>0.5</v>
      </c>
      <c r="M8" s="99">
        <v>2</v>
      </c>
      <c r="N8" s="99">
        <v>0</v>
      </c>
    </row>
    <row r="9" spans="1:14" x14ac:dyDescent="0.25">
      <c r="A9" s="82" t="s">
        <v>99</v>
      </c>
      <c r="B9" s="4">
        <v>0.75</v>
      </c>
      <c r="C9" s="4">
        <v>7</v>
      </c>
      <c r="D9" s="4">
        <v>15</v>
      </c>
      <c r="E9" s="4">
        <v>1.6</v>
      </c>
      <c r="F9" s="88">
        <f t="shared" si="0"/>
        <v>19.595917942265423</v>
      </c>
      <c r="G9" s="4">
        <v>0</v>
      </c>
      <c r="K9" s="4" t="s">
        <v>105</v>
      </c>
      <c r="L9" s="99">
        <v>0.45</v>
      </c>
      <c r="M9" s="99">
        <v>2.1</v>
      </c>
      <c r="N9" s="99">
        <v>0</v>
      </c>
    </row>
    <row r="10" spans="1:14" x14ac:dyDescent="0.25">
      <c r="A10" s="82" t="s">
        <v>99</v>
      </c>
      <c r="B10" s="4">
        <v>0.75</v>
      </c>
      <c r="C10" s="4">
        <v>8</v>
      </c>
      <c r="D10" s="4">
        <v>15</v>
      </c>
      <c r="E10" s="4">
        <v>1.6</v>
      </c>
      <c r="F10" s="88">
        <f t="shared" si="0"/>
        <v>19.595917942265423</v>
      </c>
      <c r="G10" s="4">
        <v>0</v>
      </c>
    </row>
    <row r="11" spans="1:14" x14ac:dyDescent="0.25">
      <c r="A11" s="82" t="s">
        <v>99</v>
      </c>
      <c r="B11" s="4">
        <v>0.75</v>
      </c>
      <c r="C11" s="4">
        <v>9</v>
      </c>
      <c r="D11" s="4">
        <v>15</v>
      </c>
      <c r="E11" s="4">
        <v>1.6</v>
      </c>
      <c r="F11" s="88">
        <f t="shared" si="0"/>
        <v>19.595917942265423</v>
      </c>
      <c r="G11" s="4">
        <v>0</v>
      </c>
      <c r="K11" s="101" t="s">
        <v>117</v>
      </c>
    </row>
    <row r="12" spans="1:14" x14ac:dyDescent="0.25">
      <c r="A12" s="79" t="s">
        <v>100</v>
      </c>
      <c r="B12" s="4">
        <v>0.65</v>
      </c>
      <c r="C12" s="4">
        <v>10</v>
      </c>
      <c r="D12" s="4">
        <v>17</v>
      </c>
      <c r="E12" s="4">
        <v>4.8</v>
      </c>
      <c r="F12" s="88">
        <f t="shared" si="0"/>
        <v>62.584343089945421</v>
      </c>
      <c r="G12" s="4">
        <v>0</v>
      </c>
      <c r="K12" s="101" t="s">
        <v>98</v>
      </c>
    </row>
    <row r="13" spans="1:14" x14ac:dyDescent="0.25">
      <c r="A13" s="79" t="s">
        <v>100</v>
      </c>
      <c r="B13" s="4">
        <v>0.65</v>
      </c>
      <c r="C13" s="4">
        <v>11</v>
      </c>
      <c r="D13" s="4">
        <v>17</v>
      </c>
      <c r="E13" s="4">
        <v>4.8</v>
      </c>
      <c r="F13" s="88">
        <f t="shared" si="0"/>
        <v>62.584343089945421</v>
      </c>
      <c r="G13" s="4">
        <v>0</v>
      </c>
      <c r="K13" s="101" t="s">
        <v>99</v>
      </c>
    </row>
    <row r="14" spans="1:14" x14ac:dyDescent="0.25">
      <c r="A14" s="79" t="s">
        <v>100</v>
      </c>
      <c r="B14" s="4">
        <v>0.65</v>
      </c>
      <c r="C14" s="4">
        <v>12</v>
      </c>
      <c r="D14" s="4">
        <v>17</v>
      </c>
      <c r="E14" s="4">
        <v>4.8</v>
      </c>
      <c r="F14" s="88">
        <f t="shared" si="0"/>
        <v>62.584343089945421</v>
      </c>
      <c r="G14" s="4">
        <v>0</v>
      </c>
      <c r="K14" s="101" t="s">
        <v>100</v>
      </c>
    </row>
    <row r="15" spans="1:14" x14ac:dyDescent="0.25">
      <c r="A15" s="79" t="s">
        <v>100</v>
      </c>
      <c r="B15" s="4">
        <v>0.65</v>
      </c>
      <c r="C15" s="4">
        <v>13</v>
      </c>
      <c r="D15" s="4">
        <v>17</v>
      </c>
      <c r="E15" s="4">
        <v>4.8</v>
      </c>
      <c r="F15" s="88">
        <f t="shared" si="0"/>
        <v>62.584343089945421</v>
      </c>
      <c r="G15" s="4">
        <v>0</v>
      </c>
      <c r="K15" s="101" t="s">
        <v>101</v>
      </c>
    </row>
    <row r="16" spans="1:14" x14ac:dyDescent="0.25">
      <c r="A16" s="79" t="s">
        <v>100</v>
      </c>
      <c r="B16" s="4">
        <v>0.65</v>
      </c>
      <c r="C16" s="4">
        <v>14</v>
      </c>
      <c r="D16" s="4">
        <v>17</v>
      </c>
      <c r="E16" s="4">
        <v>4.8</v>
      </c>
      <c r="F16" s="88">
        <f t="shared" si="0"/>
        <v>62.584343089945421</v>
      </c>
      <c r="G16" s="4">
        <v>0</v>
      </c>
      <c r="K16" s="101" t="s">
        <v>102</v>
      </c>
    </row>
    <row r="17" spans="1:11" x14ac:dyDescent="0.25">
      <c r="A17" s="79" t="s">
        <v>100</v>
      </c>
      <c r="B17" s="4">
        <v>0.65</v>
      </c>
      <c r="C17" s="4">
        <v>15</v>
      </c>
      <c r="D17" s="4">
        <v>17</v>
      </c>
      <c r="E17" s="4">
        <v>4.8</v>
      </c>
      <c r="F17" s="88">
        <f t="shared" si="0"/>
        <v>62.584343089945421</v>
      </c>
      <c r="G17" s="4">
        <v>0</v>
      </c>
      <c r="K17" s="101" t="s">
        <v>103</v>
      </c>
    </row>
    <row r="18" spans="1:11" x14ac:dyDescent="0.25">
      <c r="A18" s="79" t="s">
        <v>100</v>
      </c>
      <c r="B18" s="4">
        <v>0.55000000000000004</v>
      </c>
      <c r="C18" s="4">
        <v>16</v>
      </c>
      <c r="D18" s="4">
        <v>17</v>
      </c>
      <c r="E18" s="4">
        <v>4.8</v>
      </c>
      <c r="F18" s="88">
        <f t="shared" si="0"/>
        <v>62.584343089945421</v>
      </c>
      <c r="G18" s="4">
        <v>0</v>
      </c>
      <c r="K18" s="101" t="s">
        <v>104</v>
      </c>
    </row>
    <row r="19" spans="1:11" x14ac:dyDescent="0.25">
      <c r="A19" s="79" t="s">
        <v>100</v>
      </c>
      <c r="B19" s="4">
        <v>0.55000000000000004</v>
      </c>
      <c r="C19" s="4">
        <v>17</v>
      </c>
      <c r="D19" s="4">
        <v>17</v>
      </c>
      <c r="E19" s="4">
        <v>4.8</v>
      </c>
      <c r="F19" s="88">
        <f t="shared" si="0"/>
        <v>62.584343089945421</v>
      </c>
      <c r="G19" s="4">
        <v>0</v>
      </c>
      <c r="K19" s="101" t="s">
        <v>105</v>
      </c>
    </row>
    <row r="20" spans="1:11" x14ac:dyDescent="0.25">
      <c r="A20" s="79" t="s">
        <v>100</v>
      </c>
      <c r="B20" s="4">
        <v>0.55000000000000004</v>
      </c>
      <c r="C20" s="4">
        <v>18</v>
      </c>
      <c r="D20" s="4">
        <v>17</v>
      </c>
      <c r="E20" s="4">
        <v>4.8</v>
      </c>
      <c r="F20" s="88">
        <f t="shared" si="0"/>
        <v>62.584343089945421</v>
      </c>
      <c r="G20" s="4">
        <v>0</v>
      </c>
    </row>
    <row r="21" spans="1:11" x14ac:dyDescent="0.25">
      <c r="A21" s="79" t="s">
        <v>100</v>
      </c>
      <c r="B21" s="4">
        <v>0.55000000000000004</v>
      </c>
      <c r="C21" s="4">
        <v>19</v>
      </c>
      <c r="D21" s="4">
        <v>17</v>
      </c>
      <c r="E21" s="4">
        <v>4.8</v>
      </c>
      <c r="F21" s="88">
        <f t="shared" si="0"/>
        <v>62.584343089945421</v>
      </c>
      <c r="G21" s="4">
        <v>0</v>
      </c>
    </row>
    <row r="22" spans="1:11" x14ac:dyDescent="0.25">
      <c r="A22" s="79" t="s">
        <v>101</v>
      </c>
      <c r="B22" s="4">
        <v>0.55000000000000004</v>
      </c>
      <c r="C22" s="4">
        <v>20</v>
      </c>
      <c r="D22" s="4">
        <v>19</v>
      </c>
      <c r="E22" s="4">
        <v>9.6</v>
      </c>
      <c r="F22" s="88">
        <f t="shared" si="0"/>
        <v>132.32686802006612</v>
      </c>
      <c r="G22" s="4">
        <v>0</v>
      </c>
    </row>
    <row r="23" spans="1:11" x14ac:dyDescent="0.25">
      <c r="A23" s="79" t="s">
        <v>101</v>
      </c>
      <c r="B23" s="4">
        <v>0.55000000000000004</v>
      </c>
      <c r="C23" s="4">
        <v>21</v>
      </c>
      <c r="D23" s="4">
        <v>19</v>
      </c>
      <c r="E23" s="4">
        <v>9.6</v>
      </c>
      <c r="F23" s="88">
        <f t="shared" si="0"/>
        <v>132.32686802006612</v>
      </c>
      <c r="G23" s="4">
        <v>0</v>
      </c>
    </row>
    <row r="24" spans="1:11" x14ac:dyDescent="0.25">
      <c r="A24" s="79" t="s">
        <v>101</v>
      </c>
      <c r="B24" s="4">
        <v>0.55000000000000004</v>
      </c>
      <c r="C24" s="4">
        <v>22</v>
      </c>
      <c r="D24" s="4">
        <v>19</v>
      </c>
      <c r="E24" s="4">
        <v>9.6</v>
      </c>
      <c r="F24" s="88">
        <f t="shared" si="0"/>
        <v>132.32686802006612</v>
      </c>
      <c r="G24" s="4">
        <v>0</v>
      </c>
    </row>
    <row r="25" spans="1:11" x14ac:dyDescent="0.25">
      <c r="A25" s="79" t="s">
        <v>101</v>
      </c>
      <c r="B25" s="4">
        <v>0.55000000000000004</v>
      </c>
      <c r="C25" s="4">
        <v>23</v>
      </c>
      <c r="D25" s="4">
        <v>19</v>
      </c>
      <c r="E25" s="4">
        <v>9.6</v>
      </c>
      <c r="F25" s="88">
        <f t="shared" si="0"/>
        <v>132.32686802006612</v>
      </c>
      <c r="G25" s="4">
        <v>0</v>
      </c>
    </row>
    <row r="26" spans="1:11" x14ac:dyDescent="0.25">
      <c r="A26" s="79" t="s">
        <v>101</v>
      </c>
      <c r="B26" s="4">
        <v>0.55000000000000004</v>
      </c>
      <c r="C26" s="4">
        <v>24</v>
      </c>
      <c r="D26" s="4">
        <v>19</v>
      </c>
      <c r="E26" s="4">
        <v>9.6</v>
      </c>
      <c r="F26" s="88">
        <f t="shared" si="0"/>
        <v>132.32686802006612</v>
      </c>
      <c r="G26" s="4">
        <v>0</v>
      </c>
    </row>
    <row r="27" spans="1:11" x14ac:dyDescent="0.25">
      <c r="A27" s="79" t="s">
        <v>101</v>
      </c>
      <c r="B27" s="4">
        <v>0.55000000000000004</v>
      </c>
      <c r="C27" s="4">
        <v>25</v>
      </c>
      <c r="D27" s="4">
        <v>19</v>
      </c>
      <c r="E27" s="4">
        <v>9.6</v>
      </c>
      <c r="F27" s="88">
        <f t="shared" si="0"/>
        <v>132.32686802006612</v>
      </c>
      <c r="G27" s="4">
        <v>0</v>
      </c>
    </row>
    <row r="28" spans="1:11" x14ac:dyDescent="0.25">
      <c r="A28" s="79" t="s">
        <v>101</v>
      </c>
      <c r="B28" s="4">
        <v>0.55000000000000004</v>
      </c>
      <c r="C28" s="4">
        <v>26</v>
      </c>
      <c r="D28" s="4">
        <v>19</v>
      </c>
      <c r="E28" s="4">
        <v>9.6</v>
      </c>
      <c r="F28" s="88">
        <f t="shared" si="0"/>
        <v>132.32686802006612</v>
      </c>
      <c r="G28" s="4">
        <v>0</v>
      </c>
    </row>
    <row r="29" spans="1:11" x14ac:dyDescent="0.25">
      <c r="A29" s="79" t="s">
        <v>101</v>
      </c>
      <c r="B29" s="4">
        <v>0.55000000000000004</v>
      </c>
      <c r="C29" s="4">
        <v>27</v>
      </c>
      <c r="D29" s="4">
        <v>19</v>
      </c>
      <c r="E29" s="4">
        <v>9.6</v>
      </c>
      <c r="F29" s="88">
        <f t="shared" si="0"/>
        <v>132.32686802006612</v>
      </c>
      <c r="G29" s="4">
        <v>0</v>
      </c>
    </row>
    <row r="30" spans="1:11" x14ac:dyDescent="0.25">
      <c r="A30" s="79" t="s">
        <v>101</v>
      </c>
      <c r="B30" s="4">
        <v>0.55000000000000004</v>
      </c>
      <c r="C30" s="4">
        <v>28</v>
      </c>
      <c r="D30" s="4">
        <v>19</v>
      </c>
      <c r="E30" s="4">
        <v>9.6</v>
      </c>
      <c r="F30" s="88">
        <f t="shared" si="0"/>
        <v>132.32686802006612</v>
      </c>
      <c r="G30" s="4">
        <v>0</v>
      </c>
    </row>
    <row r="31" spans="1:11" x14ac:dyDescent="0.25">
      <c r="A31" s="79" t="s">
        <v>101</v>
      </c>
      <c r="B31" s="4">
        <v>0.55000000000000004</v>
      </c>
      <c r="C31" s="4">
        <v>29</v>
      </c>
      <c r="D31" s="4">
        <v>19</v>
      </c>
      <c r="E31" s="4">
        <v>9.6</v>
      </c>
      <c r="F31" s="88">
        <f t="shared" si="0"/>
        <v>132.32686802006612</v>
      </c>
      <c r="G31" s="4">
        <v>0</v>
      </c>
    </row>
    <row r="32" spans="1:11" x14ac:dyDescent="0.25">
      <c r="A32" s="79" t="s">
        <v>101</v>
      </c>
      <c r="B32" s="4">
        <v>0.55000000000000004</v>
      </c>
      <c r="C32" s="4">
        <v>30</v>
      </c>
      <c r="D32" s="4">
        <v>19</v>
      </c>
      <c r="E32" s="4">
        <v>9.6</v>
      </c>
      <c r="F32" s="88">
        <f>E32*(D32/10)^0.5*10</f>
        <v>132.32686802006612</v>
      </c>
      <c r="G32" s="4">
        <v>0</v>
      </c>
    </row>
    <row r="33" spans="1:7" x14ac:dyDescent="0.25">
      <c r="A33" s="4" t="s">
        <v>102</v>
      </c>
      <c r="B33" s="4">
        <v>0.6</v>
      </c>
      <c r="C33" s="4">
        <v>0</v>
      </c>
      <c r="D33" s="4">
        <v>17</v>
      </c>
      <c r="E33" s="4">
        <v>0</v>
      </c>
      <c r="F33" s="83">
        <f t="shared" ref="F33:F66" si="1">((D33/10)*E33)^0.5*10</f>
        <v>0</v>
      </c>
      <c r="G33" s="84">
        <v>0</v>
      </c>
    </row>
    <row r="34" spans="1:7" x14ac:dyDescent="0.25">
      <c r="A34" s="4" t="s">
        <v>102</v>
      </c>
      <c r="B34" s="4">
        <v>0.6</v>
      </c>
      <c r="C34" s="4">
        <v>1</v>
      </c>
      <c r="D34" s="4">
        <v>17</v>
      </c>
      <c r="E34" s="4">
        <v>0</v>
      </c>
      <c r="F34" s="83">
        <f t="shared" si="1"/>
        <v>0</v>
      </c>
      <c r="G34" s="84">
        <v>7.5</v>
      </c>
    </row>
    <row r="35" spans="1:7" x14ac:dyDescent="0.25">
      <c r="A35" s="4" t="s">
        <v>102</v>
      </c>
      <c r="B35" s="4">
        <v>0.6</v>
      </c>
      <c r="C35" s="4">
        <v>2</v>
      </c>
      <c r="D35" s="4">
        <v>17</v>
      </c>
      <c r="E35" s="4">
        <v>0</v>
      </c>
      <c r="F35" s="83">
        <f t="shared" si="1"/>
        <v>0</v>
      </c>
      <c r="G35" s="84">
        <v>15</v>
      </c>
    </row>
    <row r="36" spans="1:7" x14ac:dyDescent="0.25">
      <c r="A36" s="4" t="s">
        <v>102</v>
      </c>
      <c r="B36" s="4">
        <v>0.6</v>
      </c>
      <c r="C36" s="4">
        <v>3</v>
      </c>
      <c r="D36" s="4">
        <v>17</v>
      </c>
      <c r="E36" s="4">
        <v>0</v>
      </c>
      <c r="F36" s="83">
        <f t="shared" si="1"/>
        <v>0</v>
      </c>
      <c r="G36" s="84">
        <v>22.5</v>
      </c>
    </row>
    <row r="37" spans="1:7" x14ac:dyDescent="0.25">
      <c r="A37" s="4" t="s">
        <v>102</v>
      </c>
      <c r="B37" s="4">
        <v>0.6</v>
      </c>
      <c r="C37" s="4">
        <v>4</v>
      </c>
      <c r="D37" s="4">
        <v>17</v>
      </c>
      <c r="E37" s="4">
        <v>0</v>
      </c>
      <c r="F37" s="83">
        <f t="shared" si="1"/>
        <v>0</v>
      </c>
      <c r="G37" s="84">
        <v>30</v>
      </c>
    </row>
    <row r="38" spans="1:7" x14ac:dyDescent="0.25">
      <c r="A38" s="4" t="s">
        <v>102</v>
      </c>
      <c r="B38" s="4">
        <v>0.6</v>
      </c>
      <c r="C38" s="4">
        <v>5</v>
      </c>
      <c r="D38" s="4">
        <v>17</v>
      </c>
      <c r="E38" s="4">
        <v>0</v>
      </c>
      <c r="F38" s="83">
        <f t="shared" si="1"/>
        <v>0</v>
      </c>
      <c r="G38" s="84">
        <f>G37-((C37-C38)*(G37-G43)/(C37-C43))</f>
        <v>30.833333333333332</v>
      </c>
    </row>
    <row r="39" spans="1:7" x14ac:dyDescent="0.25">
      <c r="A39" s="4" t="s">
        <v>102</v>
      </c>
      <c r="B39" s="4">
        <v>0.6</v>
      </c>
      <c r="C39" s="4">
        <v>6</v>
      </c>
      <c r="D39" s="4">
        <v>17</v>
      </c>
      <c r="E39" s="4">
        <v>0</v>
      </c>
      <c r="F39" s="83">
        <f t="shared" si="1"/>
        <v>0</v>
      </c>
      <c r="G39" s="84">
        <f>G38-((C38-C39)*(G38-G$43)/(C38-C$43))</f>
        <v>31.666666666666664</v>
      </c>
    </row>
    <row r="40" spans="1:7" x14ac:dyDescent="0.25">
      <c r="A40" s="4" t="s">
        <v>102</v>
      </c>
      <c r="B40" s="4">
        <v>0.6</v>
      </c>
      <c r="C40" s="4">
        <v>7</v>
      </c>
      <c r="D40" s="4">
        <v>17</v>
      </c>
      <c r="E40" s="4">
        <v>0</v>
      </c>
      <c r="F40" s="83">
        <f t="shared" si="1"/>
        <v>0</v>
      </c>
      <c r="G40" s="84">
        <f>G39-((C39-C40)*(G39-$G$43)/(C39-$C$43))</f>
        <v>32.5</v>
      </c>
    </row>
    <row r="41" spans="1:7" x14ac:dyDescent="0.25">
      <c r="A41" s="4" t="s">
        <v>102</v>
      </c>
      <c r="B41" s="4">
        <v>0.6</v>
      </c>
      <c r="C41" s="4">
        <v>8</v>
      </c>
      <c r="D41" s="4">
        <v>17</v>
      </c>
      <c r="E41" s="4">
        <v>0</v>
      </c>
      <c r="F41" s="83">
        <f t="shared" si="1"/>
        <v>0</v>
      </c>
      <c r="G41" s="84">
        <f>G40-((C40-C41)*(G40-$G$43)/(C40-$C$43))</f>
        <v>33.333333333333336</v>
      </c>
    </row>
    <row r="42" spans="1:7" x14ac:dyDescent="0.25">
      <c r="A42" s="4" t="s">
        <v>103</v>
      </c>
      <c r="B42" s="4">
        <v>0.55000000000000004</v>
      </c>
      <c r="C42" s="4">
        <v>9</v>
      </c>
      <c r="D42" s="4">
        <v>19</v>
      </c>
      <c r="E42" s="4">
        <v>0</v>
      </c>
      <c r="F42" s="83">
        <f t="shared" si="1"/>
        <v>0</v>
      </c>
      <c r="G42" s="84">
        <f>G41-((C41-C42)*(G41-G43)/(C41-C43))</f>
        <v>34.166666666666671</v>
      </c>
    </row>
    <row r="43" spans="1:7" x14ac:dyDescent="0.25">
      <c r="A43" s="4" t="s">
        <v>103</v>
      </c>
      <c r="B43" s="4">
        <v>0.55000000000000004</v>
      </c>
      <c r="C43" s="4">
        <v>10</v>
      </c>
      <c r="D43" s="4">
        <v>19</v>
      </c>
      <c r="E43" s="4">
        <v>0</v>
      </c>
      <c r="F43" s="83">
        <f t="shared" si="1"/>
        <v>0</v>
      </c>
      <c r="G43" s="84">
        <v>35</v>
      </c>
    </row>
    <row r="44" spans="1:7" x14ac:dyDescent="0.25">
      <c r="A44" s="4" t="s">
        <v>103</v>
      </c>
      <c r="B44" s="4">
        <v>0.55000000000000004</v>
      </c>
      <c r="C44" s="4">
        <v>11</v>
      </c>
      <c r="D44" s="4">
        <v>19</v>
      </c>
      <c r="E44" s="4">
        <v>0</v>
      </c>
      <c r="F44" s="83">
        <f t="shared" si="1"/>
        <v>0</v>
      </c>
      <c r="G44" s="84">
        <f>G43-((C43-C44)*(G43-G63)/(C43-C63))</f>
        <v>35.25</v>
      </c>
    </row>
    <row r="45" spans="1:7" x14ac:dyDescent="0.25">
      <c r="A45" s="4" t="s">
        <v>103</v>
      </c>
      <c r="B45" s="4">
        <v>0.55000000000000004</v>
      </c>
      <c r="C45" s="4">
        <v>12</v>
      </c>
      <c r="D45" s="4">
        <v>19</v>
      </c>
      <c r="E45" s="4">
        <v>0</v>
      </c>
      <c r="F45" s="83">
        <f t="shared" si="1"/>
        <v>0</v>
      </c>
      <c r="G45" s="84">
        <f t="shared" ref="G45:G62" si="2">G44-((C44-C45)*(G44-$G$63)/(C44-$C$63))</f>
        <v>35.5</v>
      </c>
    </row>
    <row r="46" spans="1:7" x14ac:dyDescent="0.25">
      <c r="A46" s="4" t="s">
        <v>103</v>
      </c>
      <c r="B46" s="4">
        <v>0.55000000000000004</v>
      </c>
      <c r="C46" s="4">
        <v>13</v>
      </c>
      <c r="D46" s="4">
        <v>19</v>
      </c>
      <c r="E46" s="4">
        <v>0</v>
      </c>
      <c r="F46" s="83">
        <f t="shared" si="1"/>
        <v>0</v>
      </c>
      <c r="G46" s="84">
        <f t="shared" si="2"/>
        <v>35.75</v>
      </c>
    </row>
    <row r="47" spans="1:7" x14ac:dyDescent="0.25">
      <c r="A47" s="4" t="s">
        <v>103</v>
      </c>
      <c r="B47" s="4">
        <v>0.55000000000000004</v>
      </c>
      <c r="C47" s="4">
        <v>14</v>
      </c>
      <c r="D47" s="4">
        <v>19</v>
      </c>
      <c r="E47" s="4">
        <v>0</v>
      </c>
      <c r="F47" s="83">
        <f t="shared" si="1"/>
        <v>0</v>
      </c>
      <c r="G47" s="84">
        <f t="shared" si="2"/>
        <v>36</v>
      </c>
    </row>
    <row r="48" spans="1:7" x14ac:dyDescent="0.25">
      <c r="A48" s="4" t="s">
        <v>103</v>
      </c>
      <c r="B48" s="4">
        <v>0.55000000000000004</v>
      </c>
      <c r="C48" s="4">
        <v>15</v>
      </c>
      <c r="D48" s="4">
        <v>19</v>
      </c>
      <c r="E48" s="4">
        <v>0</v>
      </c>
      <c r="F48" s="83">
        <f>((D48/10)*E48)^0.5*10</f>
        <v>0</v>
      </c>
      <c r="G48" s="84">
        <f>G47-((C47-C48)*(G47-$G$63)/(C47-$C$63))</f>
        <v>36.25</v>
      </c>
    </row>
    <row r="49" spans="1:7" x14ac:dyDescent="0.25">
      <c r="A49" s="4" t="s">
        <v>103</v>
      </c>
      <c r="B49" s="4">
        <v>0.55000000000000004</v>
      </c>
      <c r="C49" s="4">
        <v>16</v>
      </c>
      <c r="D49" s="4">
        <v>19</v>
      </c>
      <c r="E49" s="4">
        <v>0</v>
      </c>
      <c r="F49" s="83">
        <f t="shared" si="1"/>
        <v>0</v>
      </c>
      <c r="G49" s="84">
        <f>G48-((C48-C49)*(G48-$G$63)/(C48-$C$63))</f>
        <v>36.5</v>
      </c>
    </row>
    <row r="50" spans="1:7" x14ac:dyDescent="0.25">
      <c r="A50" s="4" t="s">
        <v>103</v>
      </c>
      <c r="B50" s="4">
        <v>0.55000000000000004</v>
      </c>
      <c r="C50" s="4">
        <v>17</v>
      </c>
      <c r="D50" s="4">
        <v>19</v>
      </c>
      <c r="E50" s="4">
        <v>0</v>
      </c>
      <c r="F50" s="83">
        <f t="shared" si="1"/>
        <v>0</v>
      </c>
      <c r="G50" s="84">
        <f t="shared" si="2"/>
        <v>36.75</v>
      </c>
    </row>
    <row r="51" spans="1:7" x14ac:dyDescent="0.25">
      <c r="A51" s="4" t="s">
        <v>103</v>
      </c>
      <c r="B51" s="4">
        <v>0.55000000000000004</v>
      </c>
      <c r="C51" s="4">
        <v>18</v>
      </c>
      <c r="D51" s="4">
        <v>19</v>
      </c>
      <c r="E51" s="4">
        <v>0</v>
      </c>
      <c r="F51" s="83">
        <f t="shared" si="1"/>
        <v>0</v>
      </c>
      <c r="G51" s="84">
        <f t="shared" si="2"/>
        <v>37</v>
      </c>
    </row>
    <row r="52" spans="1:7" x14ac:dyDescent="0.25">
      <c r="A52" s="4" t="s">
        <v>104</v>
      </c>
      <c r="B52" s="4">
        <v>0.5</v>
      </c>
      <c r="C52" s="4">
        <v>19</v>
      </c>
      <c r="D52" s="4">
        <v>20</v>
      </c>
      <c r="E52" s="4">
        <v>0</v>
      </c>
      <c r="F52" s="83">
        <f t="shared" si="1"/>
        <v>0</v>
      </c>
      <c r="G52" s="84">
        <f>G51-((C51-C52)*(G51-$G$63)/(C51-$C$63))</f>
        <v>37.25</v>
      </c>
    </row>
    <row r="53" spans="1:7" x14ac:dyDescent="0.25">
      <c r="A53" s="4" t="s">
        <v>104</v>
      </c>
      <c r="B53" s="4">
        <v>0.5</v>
      </c>
      <c r="C53" s="4">
        <v>20</v>
      </c>
      <c r="D53" s="4">
        <v>20</v>
      </c>
      <c r="E53" s="4">
        <v>0</v>
      </c>
      <c r="F53" s="83">
        <f t="shared" si="1"/>
        <v>0</v>
      </c>
      <c r="G53" s="84">
        <f>G52-((C52-C53)*(G52-$G$63)/(C52-$C$63))</f>
        <v>37.5</v>
      </c>
    </row>
    <row r="54" spans="1:7" x14ac:dyDescent="0.25">
      <c r="A54" s="4" t="s">
        <v>104</v>
      </c>
      <c r="B54" s="4">
        <v>0.5</v>
      </c>
      <c r="C54" s="4">
        <v>21</v>
      </c>
      <c r="D54" s="4">
        <v>20</v>
      </c>
      <c r="E54" s="4">
        <v>0</v>
      </c>
      <c r="F54" s="83">
        <f t="shared" si="1"/>
        <v>0</v>
      </c>
      <c r="G54" s="84">
        <f t="shared" si="2"/>
        <v>37.75</v>
      </c>
    </row>
    <row r="55" spans="1:7" x14ac:dyDescent="0.25">
      <c r="A55" s="4" t="s">
        <v>104</v>
      </c>
      <c r="B55" s="4">
        <v>0.5</v>
      </c>
      <c r="C55" s="4">
        <v>22</v>
      </c>
      <c r="D55" s="4">
        <v>20</v>
      </c>
      <c r="E55" s="4">
        <v>0</v>
      </c>
      <c r="F55" s="83">
        <f t="shared" si="1"/>
        <v>0</v>
      </c>
      <c r="G55" s="84">
        <f t="shared" si="2"/>
        <v>38</v>
      </c>
    </row>
    <row r="56" spans="1:7" x14ac:dyDescent="0.25">
      <c r="A56" s="4" t="s">
        <v>104</v>
      </c>
      <c r="B56" s="4">
        <v>0.5</v>
      </c>
      <c r="C56" s="4">
        <v>23</v>
      </c>
      <c r="D56" s="4">
        <v>20</v>
      </c>
      <c r="E56" s="4">
        <v>0</v>
      </c>
      <c r="F56" s="83">
        <f t="shared" si="1"/>
        <v>0</v>
      </c>
      <c r="G56" s="84">
        <f t="shared" si="2"/>
        <v>38.25</v>
      </c>
    </row>
    <row r="57" spans="1:7" x14ac:dyDescent="0.25">
      <c r="A57" s="4" t="s">
        <v>104</v>
      </c>
      <c r="B57" s="4">
        <v>0.5</v>
      </c>
      <c r="C57" s="4">
        <v>24</v>
      </c>
      <c r="D57" s="4">
        <v>20</v>
      </c>
      <c r="E57" s="4">
        <v>0</v>
      </c>
      <c r="F57" s="83">
        <f t="shared" si="1"/>
        <v>0</v>
      </c>
      <c r="G57" s="84">
        <f t="shared" si="2"/>
        <v>38.5</v>
      </c>
    </row>
    <row r="58" spans="1:7" x14ac:dyDescent="0.25">
      <c r="A58" s="4" t="s">
        <v>104</v>
      </c>
      <c r="B58" s="4">
        <v>0.5</v>
      </c>
      <c r="C58" s="4">
        <v>25</v>
      </c>
      <c r="D58" s="4">
        <v>20</v>
      </c>
      <c r="E58" s="4">
        <v>0</v>
      </c>
      <c r="F58" s="83">
        <f t="shared" si="1"/>
        <v>0</v>
      </c>
      <c r="G58" s="84">
        <f t="shared" si="2"/>
        <v>38.75</v>
      </c>
    </row>
    <row r="59" spans="1:7" x14ac:dyDescent="0.25">
      <c r="A59" s="4" t="s">
        <v>104</v>
      </c>
      <c r="B59" s="4">
        <v>0.5</v>
      </c>
      <c r="C59" s="4">
        <v>26</v>
      </c>
      <c r="D59" s="4">
        <v>20</v>
      </c>
      <c r="E59" s="4">
        <v>0</v>
      </c>
      <c r="F59" s="83">
        <f t="shared" si="1"/>
        <v>0</v>
      </c>
      <c r="G59" s="84">
        <f t="shared" si="2"/>
        <v>39</v>
      </c>
    </row>
    <row r="60" spans="1:7" x14ac:dyDescent="0.25">
      <c r="A60" s="4" t="s">
        <v>104</v>
      </c>
      <c r="B60" s="4">
        <v>0.5</v>
      </c>
      <c r="C60" s="4">
        <v>27</v>
      </c>
      <c r="D60" s="4">
        <v>20</v>
      </c>
      <c r="E60" s="4">
        <v>0</v>
      </c>
      <c r="F60" s="83">
        <f t="shared" si="1"/>
        <v>0</v>
      </c>
      <c r="G60" s="84">
        <f t="shared" si="2"/>
        <v>39.25</v>
      </c>
    </row>
    <row r="61" spans="1:7" x14ac:dyDescent="0.25">
      <c r="A61" s="4" t="s">
        <v>104</v>
      </c>
      <c r="B61" s="4">
        <v>0.5</v>
      </c>
      <c r="C61" s="4">
        <v>28</v>
      </c>
      <c r="D61" s="4">
        <v>20</v>
      </c>
      <c r="E61" s="4">
        <v>0</v>
      </c>
      <c r="F61" s="83">
        <f t="shared" si="1"/>
        <v>0</v>
      </c>
      <c r="G61" s="84">
        <f t="shared" si="2"/>
        <v>39.5</v>
      </c>
    </row>
    <row r="62" spans="1:7" x14ac:dyDescent="0.25">
      <c r="A62" s="4" t="s">
        <v>104</v>
      </c>
      <c r="B62" s="4">
        <v>0.5</v>
      </c>
      <c r="C62" s="4">
        <v>29</v>
      </c>
      <c r="D62" s="4">
        <v>20</v>
      </c>
      <c r="E62" s="4">
        <v>0</v>
      </c>
      <c r="F62" s="83">
        <f t="shared" si="1"/>
        <v>0</v>
      </c>
      <c r="G62" s="84">
        <f t="shared" si="2"/>
        <v>39.75</v>
      </c>
    </row>
    <row r="63" spans="1:7" x14ac:dyDescent="0.25">
      <c r="A63" s="4" t="s">
        <v>104</v>
      </c>
      <c r="B63" s="4">
        <v>0.5</v>
      </c>
      <c r="C63" s="4">
        <v>30</v>
      </c>
      <c r="D63" s="4">
        <v>20</v>
      </c>
      <c r="E63" s="4">
        <v>0</v>
      </c>
      <c r="F63" s="83">
        <f t="shared" si="1"/>
        <v>0</v>
      </c>
      <c r="G63" s="84">
        <v>40</v>
      </c>
    </row>
    <row r="64" spans="1:7" x14ac:dyDescent="0.25">
      <c r="A64" s="4" t="s">
        <v>104</v>
      </c>
      <c r="B64" s="4">
        <v>0.5</v>
      </c>
      <c r="C64" s="4">
        <v>31</v>
      </c>
      <c r="D64" s="4">
        <v>20</v>
      </c>
      <c r="E64" s="4">
        <v>0</v>
      </c>
      <c r="F64" s="83">
        <f t="shared" si="1"/>
        <v>0</v>
      </c>
      <c r="G64" s="84">
        <f>G63-((C63-C64)*(G63-$G$83)/(C63-$C$83))</f>
        <v>40.25</v>
      </c>
    </row>
    <row r="65" spans="1:7" x14ac:dyDescent="0.25">
      <c r="A65" s="4" t="s">
        <v>104</v>
      </c>
      <c r="B65" s="4">
        <v>0.5</v>
      </c>
      <c r="C65" s="4">
        <v>32</v>
      </c>
      <c r="D65" s="4">
        <v>20</v>
      </c>
      <c r="E65" s="4">
        <v>0</v>
      </c>
      <c r="F65" s="83">
        <f t="shared" si="1"/>
        <v>0</v>
      </c>
      <c r="G65" s="84">
        <f t="shared" ref="G65:G82" si="3">G64-((C64-C65)*(G64-$G$83)/(C64-$C$83))</f>
        <v>40.5</v>
      </c>
    </row>
    <row r="66" spans="1:7" x14ac:dyDescent="0.25">
      <c r="A66" s="4" t="s">
        <v>104</v>
      </c>
      <c r="B66" s="4">
        <v>0.5</v>
      </c>
      <c r="C66" s="4">
        <v>33</v>
      </c>
      <c r="D66" s="4">
        <v>20</v>
      </c>
      <c r="E66" s="4">
        <v>0</v>
      </c>
      <c r="F66" s="83">
        <f t="shared" si="1"/>
        <v>0</v>
      </c>
      <c r="G66" s="84">
        <f>G65-((C65-C66)*(G65-$G$83)/(C65-$C$83))</f>
        <v>40.75</v>
      </c>
    </row>
    <row r="67" spans="1:7" x14ac:dyDescent="0.25">
      <c r="A67" s="4" t="s">
        <v>104</v>
      </c>
      <c r="B67" s="4">
        <v>0.5</v>
      </c>
      <c r="C67" s="4">
        <v>34</v>
      </c>
      <c r="D67" s="4">
        <v>20</v>
      </c>
      <c r="E67" s="4">
        <v>0</v>
      </c>
      <c r="F67" s="83">
        <f t="shared" ref="F67:F84" si="4">((D67/10)*E67)^0.5*10</f>
        <v>0</v>
      </c>
      <c r="G67" s="84">
        <f t="shared" si="3"/>
        <v>41</v>
      </c>
    </row>
    <row r="68" spans="1:7" x14ac:dyDescent="0.25">
      <c r="A68" s="4" t="s">
        <v>104</v>
      </c>
      <c r="B68" s="4">
        <v>0.5</v>
      </c>
      <c r="C68" s="4">
        <v>35</v>
      </c>
      <c r="D68" s="4">
        <v>20</v>
      </c>
      <c r="E68" s="4">
        <v>0</v>
      </c>
      <c r="F68" s="83">
        <f t="shared" si="4"/>
        <v>0</v>
      </c>
      <c r="G68" s="84">
        <f t="shared" si="3"/>
        <v>41.25</v>
      </c>
    </row>
    <row r="69" spans="1:7" x14ac:dyDescent="0.25">
      <c r="A69" s="4" t="s">
        <v>104</v>
      </c>
      <c r="B69" s="4">
        <v>0.5</v>
      </c>
      <c r="C69" s="4">
        <v>36</v>
      </c>
      <c r="D69" s="4">
        <v>20</v>
      </c>
      <c r="E69" s="4">
        <v>0</v>
      </c>
      <c r="F69" s="83">
        <f t="shared" si="4"/>
        <v>0</v>
      </c>
      <c r="G69" s="84">
        <f t="shared" si="3"/>
        <v>41.5</v>
      </c>
    </row>
    <row r="70" spans="1:7" x14ac:dyDescent="0.25">
      <c r="A70" s="4" t="s">
        <v>104</v>
      </c>
      <c r="B70" s="4">
        <v>0.5</v>
      </c>
      <c r="C70" s="4">
        <v>37</v>
      </c>
      <c r="D70" s="4">
        <v>20</v>
      </c>
      <c r="E70" s="4">
        <v>0</v>
      </c>
      <c r="F70" s="83">
        <f t="shared" si="4"/>
        <v>0</v>
      </c>
      <c r="G70" s="84">
        <f t="shared" si="3"/>
        <v>41.75</v>
      </c>
    </row>
    <row r="71" spans="1:7" x14ac:dyDescent="0.25">
      <c r="A71" s="4" t="s">
        <v>104</v>
      </c>
      <c r="B71" s="4">
        <v>0.5</v>
      </c>
      <c r="C71" s="4">
        <v>38</v>
      </c>
      <c r="D71" s="4">
        <v>20</v>
      </c>
      <c r="E71" s="4">
        <v>0</v>
      </c>
      <c r="F71" s="83">
        <f t="shared" si="4"/>
        <v>0</v>
      </c>
      <c r="G71" s="84">
        <f t="shared" si="3"/>
        <v>42</v>
      </c>
    </row>
    <row r="72" spans="1:7" x14ac:dyDescent="0.25">
      <c r="A72" s="4" t="s">
        <v>104</v>
      </c>
      <c r="B72" s="4">
        <v>0.5</v>
      </c>
      <c r="C72" s="4">
        <v>39</v>
      </c>
      <c r="D72" s="4">
        <v>20</v>
      </c>
      <c r="E72" s="4">
        <v>0</v>
      </c>
      <c r="F72" s="83">
        <f t="shared" si="4"/>
        <v>0</v>
      </c>
      <c r="G72" s="84">
        <f t="shared" si="3"/>
        <v>42.25</v>
      </c>
    </row>
    <row r="73" spans="1:7" x14ac:dyDescent="0.25">
      <c r="A73" s="4" t="s">
        <v>105</v>
      </c>
      <c r="B73" s="4">
        <v>0.45</v>
      </c>
      <c r="C73" s="4">
        <v>40</v>
      </c>
      <c r="D73" s="4">
        <v>21</v>
      </c>
      <c r="E73" s="4">
        <v>0</v>
      </c>
      <c r="F73" s="83">
        <f t="shared" si="4"/>
        <v>0</v>
      </c>
      <c r="G73" s="84">
        <f>G72-((C72-C73)*(G72-$G$83)/(C72-$C$83))</f>
        <v>42.5</v>
      </c>
    </row>
    <row r="74" spans="1:7" x14ac:dyDescent="0.25">
      <c r="A74" s="4" t="s">
        <v>105</v>
      </c>
      <c r="B74" s="4">
        <v>0.45</v>
      </c>
      <c r="C74" s="4">
        <v>41</v>
      </c>
      <c r="D74" s="4">
        <v>21</v>
      </c>
      <c r="E74" s="4">
        <v>0</v>
      </c>
      <c r="F74" s="83">
        <f t="shared" si="4"/>
        <v>0</v>
      </c>
      <c r="G74" s="84">
        <f t="shared" si="3"/>
        <v>42.75</v>
      </c>
    </row>
    <row r="75" spans="1:7" x14ac:dyDescent="0.25">
      <c r="A75" s="4" t="s">
        <v>105</v>
      </c>
      <c r="B75" s="4">
        <v>0.45</v>
      </c>
      <c r="C75" s="4">
        <v>42</v>
      </c>
      <c r="D75" s="4">
        <v>21</v>
      </c>
      <c r="E75" s="4">
        <v>0</v>
      </c>
      <c r="F75" s="83">
        <f t="shared" si="4"/>
        <v>0</v>
      </c>
      <c r="G75" s="84">
        <f t="shared" si="3"/>
        <v>43</v>
      </c>
    </row>
    <row r="76" spans="1:7" x14ac:dyDescent="0.25">
      <c r="A76" s="4" t="s">
        <v>105</v>
      </c>
      <c r="B76" s="4">
        <v>0.45</v>
      </c>
      <c r="C76" s="4">
        <v>43</v>
      </c>
      <c r="D76" s="4">
        <v>21</v>
      </c>
      <c r="E76" s="4">
        <v>0</v>
      </c>
      <c r="F76" s="83">
        <f t="shared" si="4"/>
        <v>0</v>
      </c>
      <c r="G76" s="84">
        <f t="shared" si="3"/>
        <v>43.25</v>
      </c>
    </row>
    <row r="77" spans="1:7" x14ac:dyDescent="0.25">
      <c r="A77" s="4" t="s">
        <v>105</v>
      </c>
      <c r="B77" s="4">
        <v>0.45</v>
      </c>
      <c r="C77" s="4">
        <v>44</v>
      </c>
      <c r="D77" s="4">
        <v>21</v>
      </c>
      <c r="E77" s="4">
        <v>0</v>
      </c>
      <c r="F77" s="83">
        <f t="shared" si="4"/>
        <v>0</v>
      </c>
      <c r="G77" s="84">
        <f t="shared" si="3"/>
        <v>43.5</v>
      </c>
    </row>
    <row r="78" spans="1:7" x14ac:dyDescent="0.25">
      <c r="A78" s="4" t="s">
        <v>105</v>
      </c>
      <c r="B78" s="4">
        <v>0.45</v>
      </c>
      <c r="C78" s="4">
        <v>45</v>
      </c>
      <c r="D78" s="4">
        <v>21</v>
      </c>
      <c r="E78" s="4">
        <v>0</v>
      </c>
      <c r="F78" s="83">
        <f t="shared" si="4"/>
        <v>0</v>
      </c>
      <c r="G78" s="84">
        <f t="shared" si="3"/>
        <v>43.75</v>
      </c>
    </row>
    <row r="79" spans="1:7" x14ac:dyDescent="0.25">
      <c r="A79" s="4" t="s">
        <v>105</v>
      </c>
      <c r="B79" s="4">
        <v>0.45</v>
      </c>
      <c r="C79" s="4">
        <v>46</v>
      </c>
      <c r="D79" s="4">
        <v>21</v>
      </c>
      <c r="E79" s="4">
        <v>0</v>
      </c>
      <c r="F79" s="83">
        <f t="shared" si="4"/>
        <v>0</v>
      </c>
      <c r="G79" s="84">
        <f t="shared" si="3"/>
        <v>44</v>
      </c>
    </row>
    <row r="80" spans="1:7" x14ac:dyDescent="0.25">
      <c r="A80" s="4" t="s">
        <v>105</v>
      </c>
      <c r="B80" s="4">
        <v>0.45</v>
      </c>
      <c r="C80" s="4">
        <v>47</v>
      </c>
      <c r="D80" s="4">
        <v>21</v>
      </c>
      <c r="E80" s="4">
        <v>0</v>
      </c>
      <c r="F80" s="83">
        <f t="shared" si="4"/>
        <v>0</v>
      </c>
      <c r="G80" s="84">
        <f t="shared" si="3"/>
        <v>44.25</v>
      </c>
    </row>
    <row r="81" spans="1:7" x14ac:dyDescent="0.25">
      <c r="A81" s="4" t="s">
        <v>105</v>
      </c>
      <c r="B81" s="4">
        <v>0.45</v>
      </c>
      <c r="C81" s="4">
        <v>48</v>
      </c>
      <c r="D81" s="4">
        <v>21</v>
      </c>
      <c r="E81" s="4">
        <v>0</v>
      </c>
      <c r="F81" s="83">
        <f t="shared" si="4"/>
        <v>0</v>
      </c>
      <c r="G81" s="84">
        <f t="shared" si="3"/>
        <v>44.5</v>
      </c>
    </row>
    <row r="82" spans="1:7" x14ac:dyDescent="0.25">
      <c r="A82" s="4" t="s">
        <v>105</v>
      </c>
      <c r="B82" s="4">
        <v>0.45</v>
      </c>
      <c r="C82" s="4">
        <v>49</v>
      </c>
      <c r="D82" s="4">
        <v>21</v>
      </c>
      <c r="E82" s="4">
        <v>0</v>
      </c>
      <c r="F82" s="83">
        <f t="shared" si="4"/>
        <v>0</v>
      </c>
      <c r="G82" s="84">
        <f t="shared" si="3"/>
        <v>44.75</v>
      </c>
    </row>
    <row r="83" spans="1:7" x14ac:dyDescent="0.25">
      <c r="A83" s="4" t="s">
        <v>105</v>
      </c>
      <c r="B83" s="4">
        <v>0.45</v>
      </c>
      <c r="C83" s="4">
        <v>50</v>
      </c>
      <c r="D83" s="4">
        <v>21</v>
      </c>
      <c r="E83" s="4">
        <v>0</v>
      </c>
      <c r="F83" s="83">
        <f t="shared" si="4"/>
        <v>0</v>
      </c>
      <c r="G83" s="84">
        <v>45</v>
      </c>
    </row>
    <row r="84" spans="1:7" x14ac:dyDescent="0.25">
      <c r="A84" s="4" t="s">
        <v>105</v>
      </c>
      <c r="B84" s="4">
        <v>0.45</v>
      </c>
      <c r="C84" s="4">
        <v>51</v>
      </c>
      <c r="D84" s="4">
        <v>21</v>
      </c>
      <c r="E84" s="4">
        <v>0</v>
      </c>
      <c r="F84" s="83">
        <f t="shared" si="4"/>
        <v>0</v>
      </c>
      <c r="G84" s="84">
        <v>45</v>
      </c>
    </row>
    <row r="86" spans="1:7" x14ac:dyDescent="0.25">
      <c r="A86" s="7" t="s">
        <v>111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T33"/>
  <sheetViews>
    <sheetView workbookViewId="0">
      <selection activeCell="F29" sqref="F29"/>
    </sheetView>
  </sheetViews>
  <sheetFormatPr defaultRowHeight="15" x14ac:dyDescent="0.25"/>
  <cols>
    <col min="2" max="2" width="12.85546875" customWidth="1"/>
    <col min="3" max="3" width="13" customWidth="1"/>
    <col min="6" max="6" width="18.28515625" customWidth="1"/>
    <col min="14" max="14" width="15.42578125" bestFit="1" customWidth="1"/>
    <col min="15" max="15" width="21.42578125" bestFit="1" customWidth="1"/>
    <col min="16" max="16" width="19.85546875" customWidth="1"/>
    <col min="17" max="17" width="8.7109375" bestFit="1" customWidth="1"/>
    <col min="19" max="19" width="8.28515625" bestFit="1" customWidth="1"/>
    <col min="20" max="20" width="15.28515625" customWidth="1"/>
  </cols>
  <sheetData>
    <row r="2" spans="2:20" ht="15.75" thickBot="1" x14ac:dyDescent="0.3"/>
    <row r="3" spans="2:20" ht="21" x14ac:dyDescent="0.35">
      <c r="B3" s="204" t="s">
        <v>42</v>
      </c>
      <c r="C3" s="205"/>
      <c r="D3" s="205"/>
      <c r="E3" s="205"/>
      <c r="F3" s="206"/>
    </row>
    <row r="4" spans="2:20" ht="16.5" thickBot="1" x14ac:dyDescent="0.3">
      <c r="B4" s="14"/>
      <c r="C4" s="15"/>
      <c r="D4" s="15"/>
      <c r="E4" s="15"/>
      <c r="F4" s="16"/>
    </row>
    <row r="5" spans="2:20" ht="16.5" thickBot="1" x14ac:dyDescent="0.3">
      <c r="B5" s="17" t="s">
        <v>43</v>
      </c>
      <c r="C5" s="18"/>
      <c r="D5" s="18"/>
      <c r="E5" s="18"/>
      <c r="F5" s="19"/>
      <c r="O5" s="200" t="s">
        <v>44</v>
      </c>
      <c r="P5" s="201"/>
      <c r="Q5" s="20"/>
      <c r="S5" s="200" t="s">
        <v>45</v>
      </c>
      <c r="T5" s="201"/>
    </row>
    <row r="6" spans="2:20" ht="16.5" thickBot="1" x14ac:dyDescent="0.3">
      <c r="B6" s="17" t="s">
        <v>46</v>
      </c>
      <c r="C6" s="18"/>
      <c r="D6" s="18"/>
      <c r="E6" s="18"/>
      <c r="F6" s="19"/>
      <c r="O6" s="200" t="s">
        <v>47</v>
      </c>
      <c r="P6" s="201"/>
      <c r="Q6" s="21" t="s">
        <v>48</v>
      </c>
      <c r="S6" s="21" t="s">
        <v>49</v>
      </c>
      <c r="T6" s="22" t="s">
        <v>48</v>
      </c>
    </row>
    <row r="7" spans="2:20" ht="15.75" thickBot="1" x14ac:dyDescent="0.3">
      <c r="B7" s="17" t="s">
        <v>50</v>
      </c>
      <c r="C7" s="23"/>
      <c r="D7" s="23"/>
      <c r="E7" s="23"/>
      <c r="F7" s="24"/>
      <c r="O7" s="25" t="s">
        <v>51</v>
      </c>
      <c r="P7" s="26">
        <f>((D18*50)/1400)/0.018</f>
        <v>3.2467762962962965</v>
      </c>
      <c r="Q7" s="27">
        <f>((D18*50)/1400)/0.01</f>
        <v>5.8441973333333337</v>
      </c>
      <c r="S7" s="28">
        <f>P7/$O$16</f>
        <v>4.1883079157589007</v>
      </c>
      <c r="T7" s="29">
        <f>Q7/$O$16</f>
        <v>7.5389542483660215</v>
      </c>
    </row>
    <row r="8" spans="2:20" x14ac:dyDescent="0.25">
      <c r="B8" s="30" t="s">
        <v>52</v>
      </c>
      <c r="C8" s="31"/>
      <c r="D8" s="32">
        <v>1</v>
      </c>
      <c r="E8" s="33"/>
      <c r="F8" s="34"/>
      <c r="O8" s="35" t="s">
        <v>53</v>
      </c>
      <c r="P8" s="36">
        <f>((D20*20)/670)/0.018</f>
        <v>0.43613412935323392</v>
      </c>
      <c r="Q8" s="37">
        <f>((D19*20)/670)/0.01</f>
        <v>2.9220986666666668</v>
      </c>
      <c r="S8" s="28">
        <f t="shared" ref="S8:T9" si="0">P8/$O$16</f>
        <v>0.56260852599746436</v>
      </c>
      <c r="T8" s="29">
        <f t="shared" si="0"/>
        <v>3.7694771241830107</v>
      </c>
    </row>
    <row r="9" spans="2:20" ht="15.75" thickBot="1" x14ac:dyDescent="0.3">
      <c r="B9" s="38" t="s">
        <v>54</v>
      </c>
      <c r="C9" s="39"/>
      <c r="D9" s="40">
        <v>0.5</v>
      </c>
      <c r="E9" s="41"/>
      <c r="F9" s="42"/>
      <c r="O9" s="43" t="s">
        <v>55</v>
      </c>
      <c r="P9" s="44">
        <f>D20/0.018</f>
        <v>14.610493333333336</v>
      </c>
      <c r="Q9" s="45">
        <f>D20/0.01</f>
        <v>26.298888000000002</v>
      </c>
      <c r="S9" s="46">
        <f t="shared" si="0"/>
        <v>18.847385620915055</v>
      </c>
      <c r="T9" s="47">
        <f t="shared" si="0"/>
        <v>33.925294117647098</v>
      </c>
    </row>
    <row r="10" spans="2:20" ht="15.75" thickBot="1" x14ac:dyDescent="0.3">
      <c r="B10" s="38" t="s">
        <v>56</v>
      </c>
      <c r="C10" s="39"/>
      <c r="D10" s="40">
        <v>4.5</v>
      </c>
      <c r="E10" s="41"/>
      <c r="F10" s="42"/>
    </row>
    <row r="11" spans="2:20" ht="15.75" thickBot="1" x14ac:dyDescent="0.3">
      <c r="B11" s="38" t="s">
        <v>57</v>
      </c>
      <c r="C11" s="39"/>
      <c r="D11" s="40">
        <v>1</v>
      </c>
      <c r="E11" s="41" t="s">
        <v>17</v>
      </c>
      <c r="F11" s="42"/>
      <c r="O11" s="48" t="s">
        <v>58</v>
      </c>
      <c r="P11" s="49">
        <f>$O$12*P7</f>
        <v>1.4610493333333334</v>
      </c>
      <c r="Q11" s="49">
        <f>$O$12*Q7</f>
        <v>2.6298888000000002</v>
      </c>
      <c r="S11" s="202" t="s">
        <v>59</v>
      </c>
      <c r="T11" s="203"/>
    </row>
    <row r="12" spans="2:20" x14ac:dyDescent="0.25">
      <c r="B12" s="38" t="s">
        <v>60</v>
      </c>
      <c r="C12" s="39"/>
      <c r="D12" s="40">
        <v>19</v>
      </c>
      <c r="E12" s="41" t="s">
        <v>17</v>
      </c>
      <c r="F12" s="42"/>
      <c r="N12" t="s">
        <v>61</v>
      </c>
      <c r="O12" s="10">
        <v>0.45</v>
      </c>
      <c r="P12" s="50"/>
      <c r="Q12" s="50"/>
      <c r="S12" s="51" t="s">
        <v>62</v>
      </c>
      <c r="T12" s="52" t="s">
        <v>63</v>
      </c>
    </row>
    <row r="13" spans="2:20" ht="15.75" thickBot="1" x14ac:dyDescent="0.3">
      <c r="B13" s="38" t="s">
        <v>64</v>
      </c>
      <c r="C13" s="39"/>
      <c r="D13" s="40">
        <v>19</v>
      </c>
      <c r="E13" s="41" t="s">
        <v>17</v>
      </c>
      <c r="F13" s="42"/>
      <c r="S13" s="53">
        <f>(1-(D21/D16)*((D14/100)*(D13/100)))*(D12/100)</f>
        <v>2.0424570912375768E-2</v>
      </c>
      <c r="T13" s="54">
        <f>S13*D16</f>
        <v>0.27131999999999973</v>
      </c>
    </row>
    <row r="14" spans="2:20" ht="15.75" thickBot="1" x14ac:dyDescent="0.3">
      <c r="B14" s="38" t="s">
        <v>65</v>
      </c>
      <c r="C14" s="39"/>
      <c r="D14" s="40">
        <v>39</v>
      </c>
      <c r="E14" s="41" t="s">
        <v>17</v>
      </c>
      <c r="F14" s="42"/>
      <c r="N14" t="s">
        <v>66</v>
      </c>
      <c r="O14" s="55" t="s">
        <v>67</v>
      </c>
    </row>
    <row r="15" spans="2:20" ht="15.75" thickBot="1" x14ac:dyDescent="0.3">
      <c r="B15" s="38" t="s">
        <v>82</v>
      </c>
      <c r="C15" s="39"/>
      <c r="D15" s="40">
        <v>16</v>
      </c>
      <c r="E15" s="41" t="s">
        <v>83</v>
      </c>
      <c r="F15" s="42"/>
      <c r="O15" s="59"/>
    </row>
    <row r="16" spans="2:20" ht="15.75" thickBot="1" x14ac:dyDescent="0.3">
      <c r="B16" s="38" t="s">
        <v>68</v>
      </c>
      <c r="C16" s="39"/>
      <c r="D16" s="56">
        <f>'MURO DE ARRIMO'!B85</f>
        <v>13.284000000000001</v>
      </c>
      <c r="E16" s="57" t="s">
        <v>69</v>
      </c>
      <c r="F16" s="58"/>
      <c r="O16" s="59">
        <f>(T13/0.35)</f>
        <v>0.77519999999999922</v>
      </c>
    </row>
    <row r="17" spans="2:6" ht="18.75" x14ac:dyDescent="0.3">
      <c r="B17" s="60" t="s">
        <v>70</v>
      </c>
      <c r="C17" s="61"/>
      <c r="D17" s="61"/>
      <c r="E17" s="61"/>
      <c r="F17" s="62"/>
    </row>
    <row r="18" spans="2:6" x14ac:dyDescent="0.25">
      <c r="B18" s="63" t="s">
        <v>71</v>
      </c>
      <c r="C18" s="64"/>
      <c r="D18" s="65">
        <f>(D20/D10 )*1400/50</f>
        <v>1.6363752533333333</v>
      </c>
      <c r="E18" s="66" t="s">
        <v>72</v>
      </c>
      <c r="F18" s="67"/>
    </row>
    <row r="19" spans="2:6" x14ac:dyDescent="0.25">
      <c r="B19" s="63" t="s">
        <v>73</v>
      </c>
      <c r="C19" s="64"/>
      <c r="D19" s="65">
        <f xml:space="preserve"> ( (D20/D10 )* (D9*670 ) )/20</f>
        <v>0.97890305333333349</v>
      </c>
      <c r="E19" s="61" t="s">
        <v>74</v>
      </c>
      <c r="F19" s="62"/>
    </row>
    <row r="20" spans="2:6" x14ac:dyDescent="0.25">
      <c r="B20" s="63" t="s">
        <v>75</v>
      </c>
      <c r="C20" s="64"/>
      <c r="D20" s="65">
        <f>D11*D12* ( (2*D13 )+D14 )*(1.07/((D13+1.5 )* (D14+1.5 )/10000 ))*D16/1000000*1.05</f>
        <v>0.26298888000000004</v>
      </c>
      <c r="E20" s="61" t="s">
        <v>76</v>
      </c>
      <c r="F20" s="62"/>
    </row>
    <row r="21" spans="2:6" ht="15.75" thickBot="1" x14ac:dyDescent="0.3">
      <c r="B21" s="68" t="s">
        <v>77</v>
      </c>
      <c r="C21" s="69"/>
      <c r="D21" s="70">
        <f>1/( (D13+1.5 )* (D14+1.5 )/10000 )*D16</f>
        <v>160.00000000000003</v>
      </c>
      <c r="E21" s="71" t="s">
        <v>78</v>
      </c>
      <c r="F21" s="72"/>
    </row>
    <row r="23" spans="2:6" x14ac:dyDescent="0.25">
      <c r="B23" s="73" t="s">
        <v>85</v>
      </c>
    </row>
    <row r="24" spans="2:6" x14ac:dyDescent="0.25">
      <c r="B24" s="73" t="s">
        <v>86</v>
      </c>
      <c r="D24">
        <f>ROUNDUP(('MURO DE ARRIMO'!B6-'MURO DE ARRIMO'!B55/100)/(D14/100),0)</f>
        <v>11</v>
      </c>
      <c r="E24" s="61" t="s">
        <v>89</v>
      </c>
    </row>
    <row r="25" spans="2:6" x14ac:dyDescent="0.25">
      <c r="B25" s="73" t="s">
        <v>87</v>
      </c>
      <c r="D25">
        <v>2.365E-4</v>
      </c>
      <c r="E25" t="s">
        <v>88</v>
      </c>
    </row>
    <row r="26" spans="2:6" x14ac:dyDescent="0.25">
      <c r="B26" s="73" t="s">
        <v>90</v>
      </c>
      <c r="D26">
        <f>D24*D25*'MURO DE ARRIMO'!B5</f>
        <v>1.0015775000000001E-2</v>
      </c>
      <c r="E26" t="s">
        <v>92</v>
      </c>
    </row>
    <row r="27" spans="2:6" x14ac:dyDescent="0.25">
      <c r="B27" s="76" t="s">
        <v>91</v>
      </c>
      <c r="D27" s="74">
        <v>24</v>
      </c>
      <c r="E27" t="s">
        <v>9</v>
      </c>
    </row>
    <row r="28" spans="2:6" x14ac:dyDescent="0.25">
      <c r="D28" s="74"/>
    </row>
    <row r="29" spans="2:6" x14ac:dyDescent="0.25">
      <c r="D29" s="74"/>
    </row>
    <row r="30" spans="2:6" x14ac:dyDescent="0.25">
      <c r="D30" s="74"/>
    </row>
    <row r="31" spans="2:6" ht="18.75" x14ac:dyDescent="0.3">
      <c r="B31" s="75"/>
    </row>
    <row r="32" spans="2:6" x14ac:dyDescent="0.25">
      <c r="D32" s="50"/>
    </row>
    <row r="33" spans="4:4" x14ac:dyDescent="0.25">
      <c r="D33" s="50"/>
    </row>
  </sheetData>
  <mergeCells count="5">
    <mergeCell ref="S5:T5"/>
    <mergeCell ref="O6:P6"/>
    <mergeCell ref="S11:T11"/>
    <mergeCell ref="B3:F3"/>
    <mergeCell ref="O5:P5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topLeftCell="A43" workbookViewId="0">
      <selection activeCell="U23" sqref="U23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63"/>
  <sheetViews>
    <sheetView topLeftCell="A15" workbookViewId="0">
      <selection activeCell="I44" sqref="I44"/>
    </sheetView>
  </sheetViews>
  <sheetFormatPr defaultColWidth="9.140625" defaultRowHeight="15" x14ac:dyDescent="0.25"/>
  <cols>
    <col min="1" max="1" width="36.140625" style="99" bestFit="1" customWidth="1"/>
    <col min="2" max="2" width="12" style="99" bestFit="1" customWidth="1"/>
    <col min="3" max="3" width="8.140625" style="99" bestFit="1" customWidth="1"/>
    <col min="4" max="4" width="4.5703125" style="99" bestFit="1" customWidth="1"/>
    <col min="5" max="5" width="4" style="99" bestFit="1" customWidth="1"/>
    <col min="6" max="6" width="4.85546875" style="99" bestFit="1" customWidth="1"/>
    <col min="7" max="7" width="24.140625" style="99" bestFit="1" customWidth="1"/>
    <col min="8" max="8" width="9.5703125" style="99" bestFit="1" customWidth="1"/>
    <col min="9" max="9" width="9.140625" style="99"/>
    <col min="10" max="10" width="25.28515625" style="99" bestFit="1" customWidth="1"/>
    <col min="11" max="11" width="9.140625" style="100"/>
    <col min="12" max="12" width="9.140625" style="99"/>
    <col min="13" max="13" width="29.140625" style="101" bestFit="1" customWidth="1"/>
    <col min="14" max="16384" width="9.140625" style="99"/>
  </cols>
  <sheetData>
    <row r="1" spans="1:6" x14ac:dyDescent="0.25">
      <c r="A1" s="207" t="s">
        <v>170</v>
      </c>
      <c r="B1" s="208"/>
      <c r="C1" s="208"/>
      <c r="D1" s="208"/>
      <c r="E1" s="208"/>
      <c r="F1" s="209"/>
    </row>
    <row r="2" spans="1:6" x14ac:dyDescent="0.25">
      <c r="A2" s="210"/>
      <c r="B2" s="211"/>
      <c r="C2" s="211"/>
      <c r="D2" s="211"/>
      <c r="E2" s="211"/>
      <c r="F2" s="212"/>
    </row>
    <row r="3" spans="1:6" x14ac:dyDescent="0.25">
      <c r="A3" s="99" t="s">
        <v>202</v>
      </c>
      <c r="B3" s="99">
        <f>'MURO DE ARRIMO'!B5</f>
        <v>3.85</v>
      </c>
      <c r="C3" s="99" t="s">
        <v>6</v>
      </c>
    </row>
    <row r="4" spans="1:6" x14ac:dyDescent="0.25">
      <c r="A4" s="89" t="s">
        <v>201</v>
      </c>
      <c r="B4" s="99">
        <f>'MURO DE ARRIMO'!B12</f>
        <v>1.75</v>
      </c>
      <c r="C4" s="99" t="s">
        <v>6</v>
      </c>
      <c r="D4" s="99" t="s">
        <v>124</v>
      </c>
      <c r="E4" s="99">
        <f>'MURO DE ARRIMO'!B18</f>
        <v>8</v>
      </c>
      <c r="F4" s="115" t="s">
        <v>125</v>
      </c>
    </row>
    <row r="5" spans="1:6" x14ac:dyDescent="0.25">
      <c r="A5" s="89" t="s">
        <v>128</v>
      </c>
      <c r="B5" s="99">
        <f>'MURO DE ARRIMO'!B13</f>
        <v>14</v>
      </c>
      <c r="C5" s="99" t="s">
        <v>17</v>
      </c>
      <c r="D5" s="99" t="s">
        <v>129</v>
      </c>
      <c r="E5" s="99">
        <v>500</v>
      </c>
      <c r="F5" s="115" t="s">
        <v>125</v>
      </c>
    </row>
    <row r="6" spans="1:6" x14ac:dyDescent="0.25">
      <c r="A6" s="89" t="s">
        <v>132</v>
      </c>
      <c r="B6" s="99">
        <f>'MURO DE ARRIMO'!B16</f>
        <v>2</v>
      </c>
      <c r="C6" s="99" t="s">
        <v>17</v>
      </c>
      <c r="F6" s="115"/>
    </row>
    <row r="7" spans="1:6" x14ac:dyDescent="0.25">
      <c r="A7" s="89" t="s">
        <v>135</v>
      </c>
      <c r="B7" s="99">
        <f>'MURO DE ARRIMO'!B17</f>
        <v>39</v>
      </c>
      <c r="C7" s="99" t="s">
        <v>17</v>
      </c>
      <c r="F7" s="115"/>
    </row>
    <row r="8" spans="1:6" x14ac:dyDescent="0.25">
      <c r="A8" s="89" t="s">
        <v>150</v>
      </c>
      <c r="B8" s="99">
        <f>'MURO DE ARRIMO'!B19</f>
        <v>8</v>
      </c>
      <c r="C8" s="99" t="s">
        <v>23</v>
      </c>
      <c r="F8" s="115"/>
    </row>
    <row r="9" spans="1:6" ht="15.75" thickBot="1" x14ac:dyDescent="0.3">
      <c r="A9" s="116" t="s">
        <v>151</v>
      </c>
      <c r="B9" s="117">
        <f>ROUNDDOWN(((B43/B42)*100)/((B7+1)/2),0)</f>
        <v>0</v>
      </c>
      <c r="C9" s="118" t="s">
        <v>152</v>
      </c>
      <c r="D9" s="118"/>
      <c r="E9" s="118"/>
      <c r="F9" s="119"/>
    </row>
    <row r="10" spans="1:6" ht="15.75" thickBot="1" x14ac:dyDescent="0.3"/>
    <row r="11" spans="1:6" x14ac:dyDescent="0.25">
      <c r="A11" s="120" t="s">
        <v>168</v>
      </c>
      <c r="B11" s="121" t="str">
        <f>IF(B27&lt;30,"Sim","Não")</f>
        <v>Sim</v>
      </c>
    </row>
    <row r="12" spans="1:6" x14ac:dyDescent="0.25">
      <c r="A12" s="104" t="s">
        <v>165</v>
      </c>
      <c r="B12" s="122" t="str">
        <f>IF(B26&lt;30,"Sim","Não")</f>
        <v>Sim</v>
      </c>
    </row>
    <row r="13" spans="1:6" x14ac:dyDescent="0.25">
      <c r="A13" s="104" t="s">
        <v>142</v>
      </c>
      <c r="B13" s="122" t="str">
        <f>IF(B40&lt;0.4,"Sim","Não")</f>
        <v>Sim</v>
      </c>
    </row>
    <row r="14" spans="1:6" x14ac:dyDescent="0.25">
      <c r="A14" s="104" t="s">
        <v>144</v>
      </c>
      <c r="B14" s="122" t="str">
        <f>IF(B47&gt;B46,"Sim","Não")</f>
        <v>Sim</v>
      </c>
    </row>
    <row r="15" spans="1:6" ht="15.75" thickBot="1" x14ac:dyDescent="0.3">
      <c r="A15" s="123" t="s">
        <v>146</v>
      </c>
      <c r="B15" s="124" t="e">
        <f>IF(B53&gt;B52,"Sim","Não")</f>
        <v>#DIV/0!</v>
      </c>
    </row>
    <row r="16" spans="1:6" ht="15.75" thickBot="1" x14ac:dyDescent="0.3"/>
    <row r="17" spans="1:9" x14ac:dyDescent="0.25">
      <c r="A17" s="125" t="s">
        <v>195</v>
      </c>
      <c r="B17" s="127">
        <v>1</v>
      </c>
    </row>
    <row r="18" spans="1:9" x14ac:dyDescent="0.25">
      <c r="A18" s="89" t="s">
        <v>197</v>
      </c>
      <c r="B18" s="115">
        <v>0.5</v>
      </c>
    </row>
    <row r="19" spans="1:9" ht="15.75" thickBot="1" x14ac:dyDescent="0.3">
      <c r="A19" s="116" t="s">
        <v>196</v>
      </c>
      <c r="B19" s="119">
        <v>0</v>
      </c>
    </row>
    <row r="20" spans="1:9" ht="15.75" thickBot="1" x14ac:dyDescent="0.3">
      <c r="I20" s="100"/>
    </row>
    <row r="21" spans="1:9" x14ac:dyDescent="0.25">
      <c r="A21" s="125" t="s">
        <v>156</v>
      </c>
      <c r="B21" s="126">
        <f>'MURO DE ARRIMO'!B6</f>
        <v>4.25</v>
      </c>
      <c r="C21" s="127"/>
      <c r="I21" s="100"/>
    </row>
    <row r="22" spans="1:9" x14ac:dyDescent="0.25">
      <c r="A22" s="89" t="s">
        <v>157</v>
      </c>
      <c r="B22" s="99">
        <f>B21*B39*10</f>
        <v>2159.5915021271012</v>
      </c>
      <c r="C22" s="115" t="s">
        <v>158</v>
      </c>
      <c r="I22" s="100"/>
    </row>
    <row r="23" spans="1:9" ht="15.75" thickBot="1" x14ac:dyDescent="0.3">
      <c r="A23" s="116" t="s">
        <v>159</v>
      </c>
      <c r="B23" s="118">
        <f>B21*B46</f>
        <v>6.7610783308737012</v>
      </c>
      <c r="C23" s="119" t="s">
        <v>160</v>
      </c>
      <c r="I23" s="100"/>
    </row>
    <row r="24" spans="1:9" x14ac:dyDescent="0.25">
      <c r="I24" s="100"/>
    </row>
    <row r="25" spans="1:9" ht="15.75" thickBot="1" x14ac:dyDescent="0.3">
      <c r="I25" s="100"/>
    </row>
    <row r="26" spans="1:9" x14ac:dyDescent="0.25">
      <c r="A26" s="125" t="s">
        <v>166</v>
      </c>
      <c r="B26" s="128">
        <f>B4*100/B5*2</f>
        <v>25</v>
      </c>
      <c r="C26" s="127" t="s">
        <v>115</v>
      </c>
      <c r="I26" s="100"/>
    </row>
    <row r="27" spans="1:9" x14ac:dyDescent="0.25">
      <c r="A27" s="89" t="s">
        <v>167</v>
      </c>
      <c r="B27" s="90">
        <f>B4*100/'MURO DE ARRIMO'!B54*2</f>
        <v>11.666666666666666</v>
      </c>
      <c r="C27" s="115" t="s">
        <v>115</v>
      </c>
      <c r="I27" s="100"/>
    </row>
    <row r="28" spans="1:9" x14ac:dyDescent="0.25">
      <c r="A28" s="89" t="s">
        <v>121</v>
      </c>
      <c r="B28" s="99">
        <f>B7*B6*2+(B5-2*B6)*B6*3</f>
        <v>216</v>
      </c>
      <c r="C28" s="115" t="s">
        <v>19</v>
      </c>
      <c r="I28" s="100"/>
    </row>
    <row r="29" spans="1:9" x14ac:dyDescent="0.25">
      <c r="A29" s="89" t="s">
        <v>126</v>
      </c>
      <c r="B29" s="99">
        <f>B28*100/(B7+1)</f>
        <v>540</v>
      </c>
      <c r="C29" s="115" t="s">
        <v>19</v>
      </c>
      <c r="I29" s="100"/>
    </row>
    <row r="30" spans="1:9" x14ac:dyDescent="0.25">
      <c r="A30" s="89" t="s">
        <v>130</v>
      </c>
      <c r="B30" s="99">
        <f>E4/100/2</f>
        <v>0.04</v>
      </c>
      <c r="C30" s="115" t="s">
        <v>131</v>
      </c>
      <c r="I30" s="100"/>
    </row>
    <row r="31" spans="1:9" ht="15.75" thickBot="1" x14ac:dyDescent="0.3">
      <c r="A31" s="116" t="s">
        <v>133</v>
      </c>
      <c r="B31" s="118">
        <f>E5/100/2</f>
        <v>2.5</v>
      </c>
      <c r="C31" s="119" t="s">
        <v>131</v>
      </c>
    </row>
    <row r="32" spans="1:9" ht="15.75" thickBot="1" x14ac:dyDescent="0.3">
      <c r="E32" s="100"/>
    </row>
    <row r="33" spans="1:7" x14ac:dyDescent="0.25">
      <c r="A33" s="120" t="s">
        <v>171</v>
      </c>
      <c r="B33" s="129"/>
      <c r="C33" s="121"/>
      <c r="E33" s="100"/>
    </row>
    <row r="34" spans="1:7" x14ac:dyDescent="0.25">
      <c r="A34" s="89" t="s">
        <v>136</v>
      </c>
      <c r="B34" s="99">
        <f>VLOOKUP('MURO DE ARRIMO'!B3,A56:D63,2,FALSE)*VLOOKUP('MURO DE ARRIMO'!B3,A56:D63,3,FALSE)*B3</f>
        <v>4.3312499999999998</v>
      </c>
      <c r="C34" s="115" t="s">
        <v>137</v>
      </c>
      <c r="E34" s="100"/>
    </row>
    <row r="35" spans="1:7" x14ac:dyDescent="0.25">
      <c r="A35" s="89" t="s">
        <v>138</v>
      </c>
      <c r="B35" s="90">
        <f>VLOOKUP('MURO DE ARRIMO'!B3,A56:D63,4,FALSE)*VLOOKUP('MURO DE ARRIMO'!B3,A56:D63,3,FALSE)^0.5</f>
        <v>1.9595917942265424</v>
      </c>
      <c r="C35" s="115" t="s">
        <v>137</v>
      </c>
      <c r="E35" s="100"/>
    </row>
    <row r="36" spans="1:7" ht="15.75" thickBot="1" x14ac:dyDescent="0.3">
      <c r="A36" s="116" t="s">
        <v>139</v>
      </c>
      <c r="B36" s="130">
        <f>(B34-B35)/B34*B4</f>
        <v>0.95824573970644744</v>
      </c>
      <c r="C36" s="119" t="s">
        <v>6</v>
      </c>
      <c r="E36" s="100"/>
      <c r="G36" s="101"/>
    </row>
    <row r="37" spans="1:7" ht="15.75" thickBot="1" x14ac:dyDescent="0.3">
      <c r="E37" s="100"/>
      <c r="G37" s="101"/>
    </row>
    <row r="38" spans="1:7" x14ac:dyDescent="0.25">
      <c r="A38" s="120" t="s">
        <v>140</v>
      </c>
      <c r="B38" s="129"/>
      <c r="C38" s="121"/>
      <c r="E38" s="100"/>
      <c r="G38" s="101"/>
    </row>
    <row r="39" spans="1:7" x14ac:dyDescent="0.25">
      <c r="A39" s="89" t="s">
        <v>162</v>
      </c>
      <c r="B39" s="102">
        <f>(B34-B35)*B36^2/6*1.4*100</f>
        <v>50.813917697108266</v>
      </c>
      <c r="C39" s="115" t="s">
        <v>141</v>
      </c>
      <c r="E39" s="100"/>
      <c r="G39" s="101"/>
    </row>
    <row r="40" spans="1:7" x14ac:dyDescent="0.25">
      <c r="A40" s="89" t="s">
        <v>143</v>
      </c>
      <c r="B40" s="100">
        <f>B39/(B5/2)^2/100/B30</f>
        <v>0.25925468212810338</v>
      </c>
      <c r="C40" s="115"/>
      <c r="E40" s="100"/>
      <c r="G40" s="101"/>
    </row>
    <row r="41" spans="1:7" x14ac:dyDescent="0.25">
      <c r="A41" s="89" t="s">
        <v>145</v>
      </c>
      <c r="B41" s="100">
        <f>1-(1-2*B40)^0.5</f>
        <v>0.30610473719458697</v>
      </c>
      <c r="C41" s="115"/>
      <c r="E41" s="100"/>
      <c r="G41" s="101"/>
    </row>
    <row r="42" spans="1:7" x14ac:dyDescent="0.25">
      <c r="A42" s="89" t="s">
        <v>147</v>
      </c>
      <c r="B42" s="99">
        <f>B41*(B5/2)*100*B30/B31</f>
        <v>3.4283730565793737</v>
      </c>
      <c r="C42" s="115" t="s">
        <v>148</v>
      </c>
      <c r="E42" s="100"/>
      <c r="G42" s="101"/>
    </row>
    <row r="43" spans="1:7" ht="15.75" thickBot="1" x14ac:dyDescent="0.3">
      <c r="A43" s="116" t="s">
        <v>149</v>
      </c>
      <c r="B43" s="130">
        <f>(B8/10)^2*3.141592/4</f>
        <v>0.50265472000000011</v>
      </c>
      <c r="C43" s="119" t="s">
        <v>19</v>
      </c>
      <c r="E43" s="100"/>
      <c r="G43" s="101"/>
    </row>
    <row r="44" spans="1:7" ht="15.75" thickBot="1" x14ac:dyDescent="0.3">
      <c r="E44" s="100"/>
      <c r="G44" s="101"/>
    </row>
    <row r="45" spans="1:7" x14ac:dyDescent="0.25">
      <c r="A45" s="120" t="s">
        <v>153</v>
      </c>
      <c r="B45" s="129"/>
      <c r="C45" s="121"/>
      <c r="E45" s="100"/>
      <c r="G45" s="101"/>
    </row>
    <row r="46" spans="1:7" x14ac:dyDescent="0.25">
      <c r="A46" s="89" t="s">
        <v>163</v>
      </c>
      <c r="B46" s="90">
        <f>(B34-B35)*B36/2*1.4</f>
        <v>1.5908419602055768</v>
      </c>
      <c r="C46" s="115" t="s">
        <v>154</v>
      </c>
      <c r="E46" s="100"/>
      <c r="G46" s="101"/>
    </row>
    <row r="47" spans="1:7" ht="15.75" thickBot="1" x14ac:dyDescent="0.3">
      <c r="A47" s="116" t="s">
        <v>155</v>
      </c>
      <c r="B47" s="130">
        <f>MIN(0.35+17.5*B42/100/(B5/2),0.7)/100*B29</f>
        <v>2.3528303626382154</v>
      </c>
      <c r="C47" s="119" t="s">
        <v>154</v>
      </c>
      <c r="E47" s="100"/>
      <c r="G47" s="101"/>
    </row>
    <row r="48" spans="1:7" ht="15.75" thickBot="1" x14ac:dyDescent="0.3"/>
    <row r="49" spans="1:4" x14ac:dyDescent="0.25">
      <c r="A49" s="120" t="s">
        <v>116</v>
      </c>
      <c r="B49" s="129"/>
      <c r="C49" s="121"/>
    </row>
    <row r="50" spans="1:4" x14ac:dyDescent="0.25">
      <c r="A50" s="89" t="s">
        <v>122</v>
      </c>
      <c r="B50" s="100">
        <f>B29/100^2*2.2*B4</f>
        <v>0.2079</v>
      </c>
      <c r="C50" s="115" t="s">
        <v>123</v>
      </c>
    </row>
    <row r="51" spans="1:4" x14ac:dyDescent="0.25">
      <c r="A51" s="89" t="s">
        <v>127</v>
      </c>
      <c r="B51" s="100" t="e">
        <f>((B5*100)-B29)/B9*B4*2.5/100^2</f>
        <v>#DIV/0!</v>
      </c>
      <c r="C51" s="115" t="s">
        <v>123</v>
      </c>
    </row>
    <row r="52" spans="1:4" x14ac:dyDescent="0.25">
      <c r="A52" s="89" t="s">
        <v>164</v>
      </c>
      <c r="B52" s="100" t="e">
        <f>SUM(B50:B51)*1.4</f>
        <v>#DIV/0!</v>
      </c>
      <c r="C52" s="115" t="s">
        <v>123</v>
      </c>
    </row>
    <row r="53" spans="1:4" ht="15.75" thickBot="1" x14ac:dyDescent="0.3">
      <c r="A53" s="116" t="s">
        <v>134</v>
      </c>
      <c r="B53" s="131">
        <f>B30*B29*(1-(B26/40)^3)</f>
        <v>16.326562500000001</v>
      </c>
      <c r="C53" s="119" t="s">
        <v>123</v>
      </c>
    </row>
    <row r="54" spans="1:4" ht="15.75" thickBot="1" x14ac:dyDescent="0.3"/>
    <row r="55" spans="1:4" x14ac:dyDescent="0.25">
      <c r="A55" s="132" t="s">
        <v>117</v>
      </c>
      <c r="B55" s="126" t="s">
        <v>118</v>
      </c>
      <c r="C55" s="126" t="s">
        <v>119</v>
      </c>
      <c r="D55" s="127" t="s">
        <v>120</v>
      </c>
    </row>
    <row r="56" spans="1:4" x14ac:dyDescent="0.25">
      <c r="A56" s="133" t="s">
        <v>98</v>
      </c>
      <c r="B56" s="99">
        <v>0.85</v>
      </c>
      <c r="C56" s="99">
        <v>1.3</v>
      </c>
      <c r="D56" s="115">
        <v>0.8</v>
      </c>
    </row>
    <row r="57" spans="1:4" x14ac:dyDescent="0.25">
      <c r="A57" s="133" t="s">
        <v>99</v>
      </c>
      <c r="B57" s="99">
        <v>0.75</v>
      </c>
      <c r="C57" s="99">
        <v>1.5</v>
      </c>
      <c r="D57" s="115">
        <v>1.6</v>
      </c>
    </row>
    <row r="58" spans="1:4" x14ac:dyDescent="0.25">
      <c r="A58" s="133" t="s">
        <v>100</v>
      </c>
      <c r="B58" s="99">
        <v>0.65</v>
      </c>
      <c r="C58" s="99">
        <v>1.7</v>
      </c>
      <c r="D58" s="115">
        <v>4.8</v>
      </c>
    </row>
    <row r="59" spans="1:4" x14ac:dyDescent="0.25">
      <c r="A59" s="133" t="s">
        <v>101</v>
      </c>
      <c r="B59" s="99">
        <v>0.55000000000000004</v>
      </c>
      <c r="C59" s="99">
        <v>1.9</v>
      </c>
      <c r="D59" s="115">
        <v>9.6</v>
      </c>
    </row>
    <row r="60" spans="1:4" x14ac:dyDescent="0.25">
      <c r="A60" s="133" t="s">
        <v>102</v>
      </c>
      <c r="B60" s="99">
        <v>0.6</v>
      </c>
      <c r="C60" s="99">
        <v>1.7</v>
      </c>
      <c r="D60" s="115">
        <v>0</v>
      </c>
    </row>
    <row r="61" spans="1:4" x14ac:dyDescent="0.25">
      <c r="A61" s="133" t="s">
        <v>103</v>
      </c>
      <c r="B61" s="99">
        <v>0.55000000000000004</v>
      </c>
      <c r="C61" s="99">
        <v>1.9</v>
      </c>
      <c r="D61" s="115">
        <v>0</v>
      </c>
    </row>
    <row r="62" spans="1:4" x14ac:dyDescent="0.25">
      <c r="A62" s="133" t="s">
        <v>104</v>
      </c>
      <c r="B62" s="99">
        <v>0.5</v>
      </c>
      <c r="C62" s="99">
        <v>2</v>
      </c>
      <c r="D62" s="115">
        <v>0</v>
      </c>
    </row>
    <row r="63" spans="1:4" ht="15.75" thickBot="1" x14ac:dyDescent="0.3">
      <c r="A63" s="134" t="s">
        <v>105</v>
      </c>
      <c r="B63" s="118">
        <v>0.45</v>
      </c>
      <c r="C63" s="118">
        <v>2.1</v>
      </c>
      <c r="D63" s="119">
        <v>0</v>
      </c>
    </row>
  </sheetData>
  <mergeCells count="1">
    <mergeCell ref="A1:F2"/>
  </mergeCells>
  <pageMargins left="0.511811024" right="0.511811024" top="0.78740157499999996" bottom="0.78740157499999996" header="0.31496062000000002" footer="0.31496062000000002"/>
  <pageSetup paperSize="9" orientation="portrait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E5910-E374-4E80-A777-ECAA87A79CC3}">
  <dimension ref="A1:K49"/>
  <sheetViews>
    <sheetView zoomScale="126" zoomScaleNormal="126" workbookViewId="0">
      <selection activeCell="G16" sqref="G16"/>
    </sheetView>
  </sheetViews>
  <sheetFormatPr defaultColWidth="9.140625" defaultRowHeight="15" x14ac:dyDescent="0.25"/>
  <cols>
    <col min="1" max="1" width="9.140625" style="143"/>
    <col min="2" max="2" width="40.42578125" style="144" bestFit="1" customWidth="1"/>
    <col min="3" max="3" width="11.85546875" style="144" bestFit="1" customWidth="1"/>
    <col min="4" max="4" width="9.28515625" style="144" bestFit="1" customWidth="1"/>
    <col min="5" max="5" width="9.42578125" style="144" customWidth="1"/>
    <col min="6" max="7" width="9.140625" style="144"/>
    <col min="8" max="8" width="31" style="144" bestFit="1" customWidth="1"/>
    <col min="9" max="9" width="9.140625" style="144"/>
    <col min="10" max="10" width="36.85546875" style="144" bestFit="1" customWidth="1"/>
    <col min="11" max="11" width="5.85546875" style="144" bestFit="1" customWidth="1"/>
    <col min="12" max="16384" width="9.140625" style="144"/>
  </cols>
  <sheetData>
    <row r="1" spans="2:11" ht="30.6" customHeight="1" x14ac:dyDescent="0.25">
      <c r="B1" s="215" t="s">
        <v>243</v>
      </c>
      <c r="C1" s="215"/>
      <c r="D1" s="215"/>
      <c r="E1" s="215"/>
      <c r="F1" s="215"/>
      <c r="G1" s="215"/>
      <c r="H1" s="139"/>
    </row>
    <row r="2" spans="2:11" x14ac:dyDescent="0.25">
      <c r="B2" t="s">
        <v>244</v>
      </c>
      <c r="C2" s="145">
        <f>'MURO DE ARRIMO'!B13-5</f>
        <v>9</v>
      </c>
      <c r="D2" s="146" t="s">
        <v>17</v>
      </c>
      <c r="E2" s="143"/>
      <c r="F2" s="143"/>
      <c r="G2" s="143"/>
      <c r="H2" s="143"/>
      <c r="J2" s="216" t="s">
        <v>192</v>
      </c>
      <c r="K2" s="216"/>
    </row>
    <row r="3" spans="2:11" x14ac:dyDescent="0.25">
      <c r="B3" t="s">
        <v>245</v>
      </c>
      <c r="C3" s="145">
        <v>100</v>
      </c>
      <c r="D3" s="146" t="s">
        <v>17</v>
      </c>
      <c r="E3" s="143"/>
      <c r="F3" s="143"/>
      <c r="G3" s="143"/>
      <c r="H3" s="143"/>
      <c r="J3" t="s">
        <v>184</v>
      </c>
      <c r="K3" s="145">
        <v>2.4</v>
      </c>
    </row>
    <row r="4" spans="2:11" ht="12" customHeight="1" x14ac:dyDescent="0.25">
      <c r="B4" t="s">
        <v>246</v>
      </c>
      <c r="C4" s="145">
        <v>50</v>
      </c>
      <c r="D4" s="146"/>
      <c r="E4" s="143"/>
      <c r="F4" s="143"/>
      <c r="G4" s="143"/>
      <c r="H4" s="143"/>
      <c r="J4" t="s">
        <v>169</v>
      </c>
      <c r="K4" s="145">
        <v>19</v>
      </c>
    </row>
    <row r="5" spans="2:11" ht="12.6" customHeight="1" x14ac:dyDescent="0.25">
      <c r="B5" t="s">
        <v>247</v>
      </c>
      <c r="C5" s="145">
        <f>'MURO DE ARRIMO'!B18</f>
        <v>8</v>
      </c>
      <c r="D5" s="146"/>
      <c r="E5" s="143"/>
      <c r="F5" s="143"/>
      <c r="G5" s="143"/>
      <c r="H5" s="143"/>
      <c r="J5" t="s">
        <v>248</v>
      </c>
      <c r="K5" s="147">
        <v>0.5</v>
      </c>
    </row>
    <row r="6" spans="2:11" x14ac:dyDescent="0.25">
      <c r="B6" t="s">
        <v>203</v>
      </c>
      <c r="C6" s="145">
        <v>0.8</v>
      </c>
      <c r="D6" s="148" t="s">
        <v>204</v>
      </c>
      <c r="E6" s="149">
        <f>C5*C6</f>
        <v>6.4</v>
      </c>
      <c r="F6" s="149" t="s">
        <v>125</v>
      </c>
      <c r="G6" s="143"/>
      <c r="H6" s="143"/>
      <c r="J6" t="s">
        <v>250</v>
      </c>
      <c r="K6" s="77" t="e">
        <f>MAX('TABELAS LÍBANO'!#REF!)</f>
        <v>#REF!</v>
      </c>
    </row>
    <row r="7" spans="2:11" x14ac:dyDescent="0.25">
      <c r="B7" t="s">
        <v>205</v>
      </c>
      <c r="C7" s="145">
        <v>0.8</v>
      </c>
      <c r="D7" s="146"/>
      <c r="E7" s="143"/>
      <c r="F7" s="143"/>
      <c r="G7" s="143"/>
      <c r="H7" s="143"/>
      <c r="J7" t="s">
        <v>132</v>
      </c>
      <c r="K7" s="145">
        <v>2</v>
      </c>
    </row>
    <row r="8" spans="2:11" ht="13.9" customHeight="1" x14ac:dyDescent="0.25">
      <c r="B8" t="s">
        <v>206</v>
      </c>
      <c r="C8" s="145">
        <f>'MURO DE ARRIMO'!B14</f>
        <v>0.5</v>
      </c>
      <c r="D8" s="148" t="s">
        <v>207</v>
      </c>
      <c r="E8" s="149">
        <f>E6*(1+C7*C8)</f>
        <v>8.9599999999999991</v>
      </c>
      <c r="F8" s="149" t="s">
        <v>125</v>
      </c>
      <c r="G8" s="143"/>
      <c r="H8" s="143"/>
      <c r="J8" t="s">
        <v>135</v>
      </c>
      <c r="K8" s="145">
        <v>39</v>
      </c>
    </row>
    <row r="9" spans="2:11" x14ac:dyDescent="0.25">
      <c r="B9" t="s">
        <v>208</v>
      </c>
      <c r="C9" s="145">
        <f>'MURO DE ARRIMO'!B15</f>
        <v>23.555733200999999</v>
      </c>
      <c r="D9" s="146" t="s">
        <v>209</v>
      </c>
      <c r="E9" s="143"/>
      <c r="F9" s="1"/>
      <c r="G9" s="143"/>
      <c r="H9" s="143"/>
      <c r="J9" t="s">
        <v>189</v>
      </c>
      <c r="K9" s="145">
        <v>8</v>
      </c>
    </row>
    <row r="10" spans="2:11" x14ac:dyDescent="0.25">
      <c r="B10" s="143"/>
      <c r="C10" s="143"/>
      <c r="D10" s="143"/>
      <c r="E10" s="143"/>
      <c r="F10" s="143"/>
      <c r="G10" s="143"/>
      <c r="H10" s="143"/>
      <c r="J10" s="99" t="s">
        <v>150</v>
      </c>
      <c r="K10" s="145">
        <v>10</v>
      </c>
    </row>
    <row r="11" spans="2:11" x14ac:dyDescent="0.25">
      <c r="B11" s="170" t="s">
        <v>210</v>
      </c>
      <c r="C11" s="170"/>
      <c r="D11" s="170"/>
      <c r="E11" s="103"/>
      <c r="F11" s="103"/>
      <c r="G11" s="150"/>
      <c r="H11" s="150"/>
      <c r="J11" s="151" t="s">
        <v>151</v>
      </c>
      <c r="K11" s="135">
        <f>'FECHAMENTO EM ALVENARIA'!N39</f>
        <v>0</v>
      </c>
    </row>
    <row r="12" spans="2:11" x14ac:dyDescent="0.25">
      <c r="B12" s="171" t="s">
        <v>211</v>
      </c>
      <c r="C12" s="172">
        <f>E8/10*0.7/2</f>
        <v>0.31359999999999993</v>
      </c>
      <c r="D12" s="171" t="s">
        <v>212</v>
      </c>
      <c r="E12" s="152"/>
      <c r="F12" s="150"/>
      <c r="G12" s="150"/>
      <c r="H12" s="150"/>
    </row>
    <row r="13" spans="2:11" x14ac:dyDescent="0.25">
      <c r="B13" s="171" t="s">
        <v>213</v>
      </c>
      <c r="C13" s="172">
        <f>C4/1.15</f>
        <v>43.478260869565219</v>
      </c>
      <c r="D13" s="171" t="s">
        <v>212</v>
      </c>
      <c r="E13" s="150"/>
      <c r="F13" s="150"/>
      <c r="G13" s="150"/>
      <c r="H13" s="150"/>
    </row>
    <row r="14" spans="2:11" x14ac:dyDescent="0.25">
      <c r="B14" s="171" t="s">
        <v>214</v>
      </c>
      <c r="C14" s="172">
        <f>1.4*C9*100</f>
        <v>3297.8026481399993</v>
      </c>
      <c r="D14" s="171" t="s">
        <v>215</v>
      </c>
      <c r="E14" s="150"/>
      <c r="F14" s="150"/>
      <c r="G14" s="150"/>
      <c r="H14" s="150"/>
    </row>
    <row r="15" spans="2:11" x14ac:dyDescent="0.25">
      <c r="B15" s="103" t="s">
        <v>216</v>
      </c>
      <c r="C15" s="103"/>
      <c r="D15" s="103"/>
      <c r="E15" s="103"/>
      <c r="F15" s="103"/>
      <c r="G15" s="150"/>
      <c r="H15" s="150"/>
    </row>
    <row r="16" spans="2:11" x14ac:dyDescent="0.25">
      <c r="B16" s="150" t="s">
        <v>217</v>
      </c>
      <c r="C16" s="172">
        <f>C13/21000</f>
        <v>2.070393374741201E-3</v>
      </c>
      <c r="D16" s="150"/>
      <c r="E16" s="150"/>
      <c r="F16" s="150"/>
      <c r="G16" s="150"/>
      <c r="H16" s="150"/>
    </row>
    <row r="17" spans="2:9" x14ac:dyDescent="0.25">
      <c r="B17" s="103" t="s">
        <v>218</v>
      </c>
      <c r="C17" s="103"/>
      <c r="D17" s="103"/>
      <c r="E17" s="103"/>
      <c r="F17" s="103"/>
      <c r="G17" s="150"/>
      <c r="H17" s="150"/>
    </row>
    <row r="18" spans="2:9" x14ac:dyDescent="0.25">
      <c r="B18" s="153" t="s">
        <v>219</v>
      </c>
      <c r="C18" s="154">
        <f>0.23*C2</f>
        <v>2.0700000000000003</v>
      </c>
      <c r="D18" s="153" t="s">
        <v>17</v>
      </c>
      <c r="E18" s="155"/>
      <c r="F18" s="155"/>
      <c r="G18" s="155"/>
      <c r="H18" s="155"/>
      <c r="I18" s="156"/>
    </row>
    <row r="19" spans="2:9" x14ac:dyDescent="0.25">
      <c r="B19" s="153" t="s">
        <v>220</v>
      </c>
      <c r="C19" s="154">
        <f>(0.003/(0.003+C16))*C2</f>
        <v>5.3250306247447945</v>
      </c>
      <c r="D19" s="153" t="s">
        <v>17</v>
      </c>
      <c r="E19" s="155"/>
      <c r="F19" s="155"/>
      <c r="G19" s="155"/>
      <c r="H19" s="155"/>
      <c r="I19" s="156"/>
    </row>
    <row r="20" spans="2:9" ht="19.5" x14ac:dyDescent="0.35">
      <c r="B20" s="213" t="s">
        <v>221</v>
      </c>
      <c r="C20" s="213"/>
      <c r="D20" s="213"/>
      <c r="E20" s="213"/>
      <c r="F20" s="213"/>
      <c r="G20" s="150"/>
      <c r="H20" s="150"/>
    </row>
    <row r="21" spans="2:9" x14ac:dyDescent="0.25">
      <c r="B21" s="172">
        <v>1</v>
      </c>
      <c r="C21" s="172" t="s">
        <v>222</v>
      </c>
      <c r="D21" s="172">
        <f>2.5*C2</f>
        <v>22.5</v>
      </c>
      <c r="E21" s="172" t="s">
        <v>223</v>
      </c>
      <c r="F21" s="172">
        <f>C14/(0.32*C3*C12)</f>
        <v>328.62351005859375</v>
      </c>
      <c r="G21" s="172" t="s">
        <v>224</v>
      </c>
      <c r="H21" s="150"/>
    </row>
    <row r="22" spans="2:9" x14ac:dyDescent="0.25">
      <c r="B22" s="150" t="s">
        <v>225</v>
      </c>
      <c r="C22" s="173">
        <f>D21^2-4*B21*F21</f>
        <v>-808.24404023437501</v>
      </c>
      <c r="D22" s="150"/>
      <c r="E22" s="155" t="str">
        <f>IF(C22&lt;0,"**IMPOSSÍVEL DIMENSIONAR!**","")</f>
        <v>**IMPOSSÍVEL DIMENSIONAR!**</v>
      </c>
      <c r="F22" s="150"/>
      <c r="G22" s="150"/>
      <c r="H22" s="150"/>
    </row>
    <row r="23" spans="2:9" x14ac:dyDescent="0.25">
      <c r="B23" s="150" t="s">
        <v>226</v>
      </c>
      <c r="C23" s="174" t="e">
        <f>(D21-SQRT(C22))/2</f>
        <v>#NUM!</v>
      </c>
      <c r="D23" s="150" t="s">
        <v>17</v>
      </c>
      <c r="E23" s="150"/>
      <c r="F23" s="150"/>
      <c r="G23" s="150"/>
      <c r="H23" s="150"/>
    </row>
    <row r="24" spans="2:9" x14ac:dyDescent="0.25">
      <c r="B24" s="151" t="s">
        <v>227</v>
      </c>
      <c r="C24" s="106" t="e">
        <f>C23/C2</f>
        <v>#NUM!</v>
      </c>
      <c r="D24" s="155" t="e">
        <f>IF(C24&gt;0.45,"**REDIMENSIONAR!","")</f>
        <v>#NUM!</v>
      </c>
      <c r="E24" s="150"/>
      <c r="F24" s="150"/>
      <c r="G24" s="150"/>
      <c r="H24" s="150"/>
    </row>
    <row r="25" spans="2:9" ht="19.5" x14ac:dyDescent="0.35">
      <c r="B25" s="213" t="s">
        <v>228</v>
      </c>
      <c r="C25" s="213"/>
      <c r="D25" s="213"/>
      <c r="E25" s="213"/>
      <c r="F25" s="213"/>
      <c r="G25" s="213"/>
      <c r="H25" s="150"/>
    </row>
    <row r="26" spans="2:9" x14ac:dyDescent="0.25">
      <c r="B26" s="158" t="e">
        <f>IF(C23&lt;C18,"DOMÍNIO2","")</f>
        <v>#NUM!</v>
      </c>
      <c r="C26" s="158"/>
      <c r="D26" s="150"/>
      <c r="E26" s="150"/>
      <c r="F26" s="150"/>
      <c r="G26" s="150"/>
      <c r="H26" s="150"/>
    </row>
    <row r="27" spans="2:9" x14ac:dyDescent="0.25">
      <c r="B27" s="158" t="e">
        <f>IF(AND((C23&gt;C18),(C23&lt;C19)),"DOMÍNIO3","")</f>
        <v>#NUM!</v>
      </c>
      <c r="C27" s="158"/>
      <c r="D27" s="150"/>
      <c r="E27" s="150"/>
      <c r="F27" s="150"/>
      <c r="G27" s="150"/>
      <c r="H27" s="150"/>
    </row>
    <row r="28" spans="2:9" x14ac:dyDescent="0.25">
      <c r="B28" s="158" t="e">
        <f>IF(C23&gt;C19,"DOMÍNIO4","")</f>
        <v>#NUM!</v>
      </c>
      <c r="C28" s="158"/>
      <c r="D28" s="150"/>
      <c r="E28" s="150"/>
      <c r="F28" s="150"/>
      <c r="G28" s="150"/>
      <c r="H28" s="150"/>
    </row>
    <row r="29" spans="2:9" x14ac:dyDescent="0.25">
      <c r="B29" s="217"/>
      <c r="C29" s="217"/>
      <c r="D29" s="217"/>
      <c r="E29" s="217"/>
      <c r="F29" s="217"/>
      <c r="G29" s="217"/>
      <c r="H29" s="150"/>
    </row>
    <row r="30" spans="2:9" x14ac:dyDescent="0.25">
      <c r="B30" s="218" t="s">
        <v>229</v>
      </c>
      <c r="C30" s="218"/>
      <c r="D30" s="218"/>
      <c r="E30" s="218"/>
      <c r="F30" s="218"/>
      <c r="G30" s="218"/>
      <c r="H30" s="150"/>
    </row>
    <row r="31" spans="2:9" x14ac:dyDescent="0.25">
      <c r="B31" s="150" t="s">
        <v>230</v>
      </c>
      <c r="C31" s="150" t="e">
        <f>IF(OR(B26="DOMÍNIO2",B27="DOMÍNIO3"),"fyd","Es*EpsS")</f>
        <v>#NUM!</v>
      </c>
      <c r="D31" s="150" t="e">
        <f>IF(C31="fyd","=","")</f>
        <v>#NUM!</v>
      </c>
      <c r="E31" s="159" t="e">
        <f>IF(C31="fyd",C13,"")</f>
        <v>#NUM!</v>
      </c>
      <c r="F31" s="150"/>
      <c r="G31" s="150"/>
      <c r="H31" s="150"/>
    </row>
    <row r="32" spans="2:9" x14ac:dyDescent="0.25">
      <c r="B32" s="160" t="e">
        <f>IF(C31="Es*EpsS","Cálculo da deformação no aço pois é Domínio 4!","")</f>
        <v>#NUM!</v>
      </c>
      <c r="C32" s="150"/>
      <c r="D32" s="150"/>
      <c r="E32" s="150"/>
      <c r="F32" s="150"/>
      <c r="G32" s="150"/>
      <c r="H32" s="150"/>
    </row>
    <row r="33" spans="2:8" x14ac:dyDescent="0.25">
      <c r="B33" s="150"/>
      <c r="C33" s="150"/>
      <c r="D33" s="150"/>
      <c r="E33" s="150"/>
      <c r="F33" s="150"/>
      <c r="G33" s="150"/>
      <c r="H33" s="150"/>
    </row>
    <row r="34" spans="2:8" x14ac:dyDescent="0.25">
      <c r="B34" s="150" t="e">
        <f>IF(C31="Es*EpsS","EpsS =","")</f>
        <v>#NUM!</v>
      </c>
      <c r="C34" s="140" t="e">
        <f>IF(C31="Es*EpsS",0.003*(C2-C23)/C23,"")</f>
        <v>#NUM!</v>
      </c>
      <c r="D34" s="150"/>
      <c r="E34" s="150"/>
      <c r="F34" s="150"/>
      <c r="G34" s="150"/>
      <c r="H34" s="150"/>
    </row>
    <row r="35" spans="2:8" x14ac:dyDescent="0.25">
      <c r="B35" s="150"/>
      <c r="C35" s="150"/>
      <c r="D35" s="150"/>
      <c r="E35" s="150"/>
      <c r="F35" s="150"/>
      <c r="G35" s="150"/>
      <c r="H35" s="150"/>
    </row>
    <row r="36" spans="2:8" x14ac:dyDescent="0.25">
      <c r="B36" s="157" t="s">
        <v>231</v>
      </c>
      <c r="C36" s="161" t="e">
        <f>IF(C31="Es*EpsS",C34*21000,E31)</f>
        <v>#NUM!</v>
      </c>
      <c r="D36" s="157" t="s">
        <v>212</v>
      </c>
      <c r="E36" s="150"/>
      <c r="F36" s="150"/>
      <c r="G36" s="150"/>
      <c r="H36" s="150"/>
    </row>
    <row r="37" spans="2:8" x14ac:dyDescent="0.25">
      <c r="B37" s="150"/>
      <c r="C37" s="150"/>
      <c r="D37" s="150"/>
      <c r="E37" s="150"/>
      <c r="F37" s="150"/>
      <c r="G37" s="150"/>
      <c r="H37" s="150"/>
    </row>
    <row r="38" spans="2:8" x14ac:dyDescent="0.25">
      <c r="B38" s="150" t="e">
        <f>IF(C31="Es*EpsS","Obs: εs =EpsS","")</f>
        <v>#NUM!</v>
      </c>
      <c r="C38" s="150"/>
      <c r="D38" s="150"/>
      <c r="E38" s="150"/>
      <c r="F38" s="150"/>
      <c r="G38" s="150"/>
      <c r="H38" s="150"/>
    </row>
    <row r="39" spans="2:8" x14ac:dyDescent="0.25">
      <c r="B39" s="150"/>
      <c r="C39" s="150"/>
      <c r="D39" s="150"/>
      <c r="E39" s="150"/>
      <c r="F39" s="150"/>
      <c r="G39" s="155"/>
      <c r="H39" s="150"/>
    </row>
    <row r="40" spans="2:8" ht="19.5" x14ac:dyDescent="0.35">
      <c r="B40" s="213" t="s">
        <v>232</v>
      </c>
      <c r="C40" s="213"/>
      <c r="D40" s="213"/>
      <c r="E40" s="213"/>
      <c r="F40" s="213"/>
      <c r="G40" s="213"/>
      <c r="H40" s="213"/>
    </row>
    <row r="41" spans="2:8" x14ac:dyDescent="0.25">
      <c r="B41" s="150" t="s">
        <v>233</v>
      </c>
      <c r="C41" s="159" t="e">
        <f>0.8*C3*C12*C23</f>
        <v>#NUM!</v>
      </c>
      <c r="D41" s="150" t="s">
        <v>234</v>
      </c>
      <c r="E41" s="150"/>
      <c r="F41" s="150"/>
      <c r="G41" s="150"/>
      <c r="H41" s="150"/>
    </row>
    <row r="42" spans="2:8" x14ac:dyDescent="0.25">
      <c r="B42" s="150"/>
      <c r="C42" s="150"/>
      <c r="D42" s="150"/>
      <c r="E42" s="150"/>
      <c r="F42" s="150"/>
      <c r="G42" s="150"/>
      <c r="H42" s="150"/>
    </row>
    <row r="43" spans="2:8" ht="19.5" x14ac:dyDescent="0.35">
      <c r="B43" s="213" t="s">
        <v>235</v>
      </c>
      <c r="C43" s="213"/>
      <c r="D43" s="213"/>
      <c r="E43" s="213"/>
      <c r="F43" s="213"/>
      <c r="G43" s="213"/>
      <c r="H43" s="213"/>
    </row>
    <row r="44" spans="2:8" x14ac:dyDescent="0.25">
      <c r="B44" s="150" t="s">
        <v>236</v>
      </c>
      <c r="C44" s="159" t="e">
        <f>C41/C36</f>
        <v>#NUM!</v>
      </c>
      <c r="D44" s="150" t="s">
        <v>19</v>
      </c>
      <c r="E44" s="162" t="e">
        <f>MAX(C44:C45)</f>
        <v>#NUM!</v>
      </c>
      <c r="F44" s="163" t="s">
        <v>19</v>
      </c>
      <c r="G44" s="150"/>
      <c r="H44" s="150"/>
    </row>
    <row r="45" spans="2:8" x14ac:dyDescent="0.25">
      <c r="B45" s="150" t="s">
        <v>237</v>
      </c>
      <c r="C45" s="150">
        <f>0.1/100*C3*(C2+4)</f>
        <v>1.3</v>
      </c>
      <c r="D45" s="150" t="s">
        <v>19</v>
      </c>
      <c r="E45" s="150"/>
      <c r="F45" s="150"/>
      <c r="G45" s="150"/>
      <c r="H45" s="150"/>
    </row>
    <row r="48" spans="2:8" ht="18.75" x14ac:dyDescent="0.3">
      <c r="B48" s="164" t="s">
        <v>238</v>
      </c>
      <c r="C48" s="165">
        <f>'MURO DE ARRIMO'!B19</f>
        <v>8</v>
      </c>
      <c r="D48" s="166" t="s">
        <v>239</v>
      </c>
      <c r="E48" s="167" t="e">
        <f>(0.1*C48)^2*PI()/4*100/E44</f>
        <v>#NUM!</v>
      </c>
      <c r="F48" s="214" t="s">
        <v>240</v>
      </c>
      <c r="G48" s="214"/>
      <c r="H48" s="214"/>
    </row>
    <row r="49" spans="2:8" ht="18.75" x14ac:dyDescent="0.3">
      <c r="B49" s="168" t="s">
        <v>241</v>
      </c>
      <c r="C49" s="144" t="e">
        <f>ROUNDUP((E44/(PI()*(0.1*E49)^2/4)),0)</f>
        <v>#NUM!</v>
      </c>
      <c r="D49" s="164" t="s">
        <v>238</v>
      </c>
      <c r="E49" s="169">
        <v>10</v>
      </c>
      <c r="F49" s="214" t="s">
        <v>242</v>
      </c>
      <c r="G49" s="214"/>
      <c r="H49" s="214"/>
    </row>
  </sheetData>
  <mergeCells count="10">
    <mergeCell ref="B1:G1"/>
    <mergeCell ref="J2:K2"/>
    <mergeCell ref="B29:G29"/>
    <mergeCell ref="B30:G30"/>
    <mergeCell ref="B40:H40"/>
    <mergeCell ref="B43:H43"/>
    <mergeCell ref="F48:H48"/>
    <mergeCell ref="F49:H49"/>
    <mergeCell ref="B20:F20"/>
    <mergeCell ref="B25:G25"/>
  </mergeCells>
  <pageMargins left="0.511811024" right="0.511811024" top="0.78740157499999996" bottom="0.78740157499999996" header="0.31496062000000002" footer="0.31496062000000002"/>
  <pageSetup paperSize="9"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65503-D1E0-48CE-952E-1E0A15BD4D65}">
  <dimension ref="A1:F8"/>
  <sheetViews>
    <sheetView workbookViewId="0">
      <selection activeCell="B8" sqref="B8"/>
    </sheetView>
  </sheetViews>
  <sheetFormatPr defaultRowHeight="15" x14ac:dyDescent="0.25"/>
  <cols>
    <col min="1" max="1" width="20.42578125" bestFit="1" customWidth="1"/>
    <col min="5" max="5" width="9.5703125" bestFit="1" customWidth="1"/>
  </cols>
  <sheetData>
    <row r="1" spans="1:6" x14ac:dyDescent="0.25">
      <c r="A1" t="s">
        <v>252</v>
      </c>
      <c r="B1">
        <f>'MURO DE ARRIMO'!B5</f>
        <v>3.85</v>
      </c>
    </row>
    <row r="2" spans="1:6" x14ac:dyDescent="0.25">
      <c r="A2" t="s">
        <v>253</v>
      </c>
      <c r="B2">
        <f>'MURO DE ARRIMO'!B6</f>
        <v>4.25</v>
      </c>
    </row>
    <row r="3" spans="1:6" x14ac:dyDescent="0.25">
      <c r="A3" t="s">
        <v>119</v>
      </c>
      <c r="B3" s="10">
        <f>B1/B2</f>
        <v>0.90588235294117647</v>
      </c>
    </row>
    <row r="4" spans="1:6" x14ac:dyDescent="0.25">
      <c r="A4" t="s">
        <v>255</v>
      </c>
      <c r="B4" s="98">
        <v>2.06</v>
      </c>
      <c r="D4" t="s">
        <v>259</v>
      </c>
      <c r="E4" s="10">
        <f>($B$7*$B$8^2/100)*B4</f>
        <v>7.617709638</v>
      </c>
      <c r="F4" t="s">
        <v>262</v>
      </c>
    </row>
    <row r="5" spans="1:6" x14ac:dyDescent="0.25">
      <c r="A5" t="s">
        <v>254</v>
      </c>
      <c r="B5" s="98">
        <v>6.37</v>
      </c>
      <c r="D5" t="s">
        <v>260</v>
      </c>
      <c r="E5" s="10">
        <f t="shared" ref="E5" si="0">($B$7*$B$8^2/100)*B5</f>
        <v>23.555733200999999</v>
      </c>
      <c r="F5" t="s">
        <v>262</v>
      </c>
    </row>
    <row r="6" spans="1:6" x14ac:dyDescent="0.25">
      <c r="A6" t="s">
        <v>256</v>
      </c>
      <c r="B6" s="98">
        <v>2.4</v>
      </c>
      <c r="D6" t="s">
        <v>261</v>
      </c>
      <c r="E6" s="10">
        <f>($B$7*$B$8^2/100)*B6</f>
        <v>8.8750015199999996</v>
      </c>
      <c r="F6" t="s">
        <v>262</v>
      </c>
    </row>
    <row r="7" spans="1:6" x14ac:dyDescent="0.25">
      <c r="A7" t="s">
        <v>257</v>
      </c>
      <c r="B7" s="10">
        <f>'MURO DE ARRIMO'!B35</f>
        <v>24.947999999999997</v>
      </c>
    </row>
    <row r="8" spans="1:6" x14ac:dyDescent="0.25">
      <c r="A8" t="s">
        <v>258</v>
      </c>
      <c r="B8">
        <f>MIN(B1:B2)</f>
        <v>3.85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K1:T259"/>
  <sheetViews>
    <sheetView showGridLines="0" tabSelected="1" view="pageBreakPreview" topLeftCell="J1" zoomScaleNormal="100" zoomScaleSheetLayoutView="100" workbookViewId="0">
      <pane ySplit="4" topLeftCell="J5" activePane="bottomLeft" state="frozen"/>
      <selection pane="bottomLeft" activeCell="L29" sqref="L29"/>
    </sheetView>
  </sheetViews>
  <sheetFormatPr defaultRowHeight="15"/>
  <cols>
    <col min="10" max="10" width="2.7109375" customWidth="1"/>
    <col min="11" max="11" width="13.7109375" customWidth="1"/>
    <col min="12" max="12" width="12.7109375" customWidth="1"/>
    <col min="13" max="13" width="9.7109375" customWidth="1"/>
    <col min="14" max="14" width="27.7109375" customWidth="1"/>
    <col min="15" max="15" width="13.42578125" customWidth="1"/>
  </cols>
  <sheetData>
    <row r="1">
      <c r="K1" s="219" t="inlineStr">
        <is>
          <t xml:space="preserve">EMPUXO EM CONTENÇÃO – CARGAS NO PILAR E NA LAJE ALVEOLAR</t>
        </is>
      </c>
      <c r="L1" s="219"/>
      <c r="M1" s="219"/>
      <c r="N1" s="219"/>
      <c r="O1" s="219"/>
      <c r="P1" s="219"/>
      <c r="Q1" s="219"/>
      <c r="R1" s="219"/>
      <c r="S1" s="219"/>
      <c r="T1" s="219"/>
    </row>
    <row r="2" ht="32" customHeight="1">
      <c r="K2" s="239" t="inlineStr">
        <is>
          <t xml:space="preserve">PILAR – CARGA TRAPEZOIDAL</t>
        </is>
      </c>
      <c r="L2" s="239"/>
      <c r="M2" s="240">
        <f>"p,topo = "&amp;FIXED($L$59,2)&amp;" kN/m"</f>
      </c>
      <c r="N2" s="240"/>
      <c r="O2" s="240">
        <f>"p,base = "&amp;FIXED($L$60,2)&amp;" kN/m"</f>
      </c>
      <c r="P2" s="240"/>
      <c r="Q2" s="240"/>
      <c r="R2" s="240">
        <f>"E = "&amp;FIXED($L$63,2)&amp;" kN a "&amp;FIXED($L$65,2)&amp;" m da base"</f>
      </c>
      <c r="S2" s="240"/>
      <c r="T2" s="240"/>
    </row>
    <row r="3" ht="32" customHeight="1">
      <c r="K3" s="239" t="inlineStr">
        <is>
          <t xml:space="preserve">PILAR – MOMENTOS</t>
        </is>
      </c>
      <c r="L3" s="239"/>
      <c r="M3" s="240">
        <f>"M,base = "&amp;FIXED($L$80,2)&amp;" kN·m ("&amp;$L$39&amp;")"</f>
      </c>
      <c r="N3" s="240"/>
      <c r="O3" s="240">
        <f>"M,vão = "&amp;IF($L$39="Balanço","-",FIXED($L$81,2)&amp;" kN·m a "&amp;FIXED($L$82,2)&amp;" m")</f>
      </c>
      <c r="P3" s="240"/>
      <c r="Q3" s="240"/>
      <c r="R3" s="240">
        <f>"R,topo = "&amp;FIXED($L$78,2)&amp;" kN → laje"</f>
      </c>
      <c r="S3" s="240"/>
      <c r="T3" s="240"/>
    </row>
    <row r="4" ht="32" customHeight="1">
      <c r="K4" s="239" t="inlineStr">
        <is>
          <t xml:space="preserve">LAJE – PAINEL MAIS CARREGADO (P1)</t>
        </is>
      </c>
      <c r="L4" s="239"/>
      <c r="M4" s="240">
        <f>"g = "&amp;FIXED($L$93,2)&amp;" | q = "&amp;FIXED($L$94,2)&amp;" kN/m"</f>
      </c>
      <c r="N4" s="240"/>
      <c r="O4" s="240">
        <f>"p,total = "&amp;FIXED($L$92,2)&amp;" kN/m²"</f>
      </c>
      <c r="P4" s="240"/>
      <c r="Q4" s="240"/>
      <c r="R4" s="240">
        <f>"Mk = "&amp;FIXED($L$95,2)&amp;" kN·m | Vk = "&amp;FIXED($L$96,2)&amp;" kN"</f>
      </c>
      <c r="S4" s="240"/>
      <c r="T4" s="240"/>
    </row>
    <row r="6" ht="60" customHeight="1">
      <c r="K6" s="220" t="inlineStr">
        <is>
          <t xml:space="preserve">Como usar: células CINZA são entradas (preencha/edite). As demais são calculadas. Empuxo de Rankine, solo sem coesão (a favor da segurança); valores característicos (sem γf); 1 tf = 10 kN. A coluna Status fica verde quando está Ok. O RESUMO abaixo traz o que lançar no modelo (Eberick/TQS) e na tabela do fabricante da laje alveolar.</t>
        </is>
      </c>
      <c r="L6" s="220"/>
      <c r="M6" s="220"/>
      <c r="N6" s="220"/>
      <c r="O6" s="220"/>
      <c r="P6" s="220"/>
      <c r="Q6" s="220"/>
      <c r="R6" s="220"/>
      <c r="S6" s="220"/>
      <c r="T6" s="220"/>
    </row>
    <row r="8">
      <c r="K8" s="221" t="inlineStr">
        <is>
          <t xml:space="preserve">RESUMO – VALORES PARA LANÇAR</t>
        </is>
      </c>
      <c r="L8" s="221"/>
      <c r="M8" s="221"/>
      <c r="N8" s="221"/>
      <c r="O8" s="221"/>
      <c r="P8" s="221"/>
      <c r="Q8" s="221"/>
      <c r="R8" s="221"/>
      <c r="S8" s="221"/>
      <c r="T8" s="221"/>
    </row>
    <row r="10">
      <c r="K10" s="235" t="inlineStr">
        <is>
          <t xml:space="preserve">Item</t>
        </is>
      </c>
      <c r="L10" s="235" t="inlineStr">
        <is>
          <t xml:space="preserve">Resultado</t>
        </is>
      </c>
      <c r="M10" s="235"/>
      <c r="N10" s="235" t="inlineStr">
        <is>
          <t xml:space="preserve">Status</t>
        </is>
      </c>
      <c r="O10" s="235" t="inlineStr">
        <is>
          <t xml:space="preserve">O que é</t>
        </is>
      </c>
      <c r="P10" s="235"/>
      <c r="Q10" s="235"/>
      <c r="R10" s="235"/>
      <c r="S10" s="235"/>
      <c r="T10" s="235"/>
    </row>
    <row r="11">
      <c r="K11" s="223" t="inlineStr">
        <is>
          <t xml:space="preserve">Empuxo</t>
        </is>
      </c>
      <c r="L11" s="236">
        <f>$L$38&amp;" – K = "&amp;FIXED($L$48,3)</f>
      </c>
      <c r="M11" s="236"/>
      <c r="N11" s="232">
        <f>"Ok"</f>
      </c>
      <c r="O11" s="233" t="inlineStr">
        <is>
          <t xml:space="preserve">Coeficiente adotado – item 2.1</t>
        </is>
      </c>
    </row>
    <row r="12" ht="32" customHeight="1">
      <c r="K12" s="223" t="inlineStr">
        <is>
          <t xml:space="preserve">Aviso</t>
        </is>
      </c>
      <c r="L12" s="234">
        <f>IF(AND($L$39&lt;&gt;"Balanço",$L$38="Ativo"),"⚠ Topo do pilar travado pela laje com empuxo ATIVO: se a estrutura for rígida (sem deslocamento), use REPOUSO – K0 = "&amp;FIXED($L$47,2)&amp;" contra Ka = "&amp;FIXED($L$46,2)&amp;" (+"&amp;FIXED(($L$47/$L$46-1)*100,0)&amp;"% de carga).",IF(AND($L$39="Balanço",$L$38="Repouso"),"⚠ Balanço com empuxo em REPOUSO: pilar livre no topo se desloca – ATIVO costuma bastar.","Sem avisos."))</f>
      </c>
      <c r="M12" s="234"/>
      <c r="N12" s="234"/>
      <c r="O12" s="234"/>
      <c r="P12" s="234"/>
      <c r="Q12" s="234"/>
      <c r="R12" s="234"/>
      <c r="S12" s="234"/>
      <c r="T12" s="234"/>
    </row>
    <row r="13">
      <c r="K13" s="223" t="inlineStr">
        <is>
          <t xml:space="preserve">Pilar p,topo</t>
        </is>
      </c>
      <c r="L13" s="236">
        <f>FIXED($L$59,2)&amp;" kN/m"</f>
      </c>
      <c r="M13" s="236"/>
      <c r="N13" s="232"/>
      <c r="O13" s="233" t="inlineStr">
        <is>
          <t xml:space="preserve">Carga trapezoidal no pilar: valor no topo – item 3.1</t>
        </is>
      </c>
    </row>
    <row r="14">
      <c r="K14" s="223" t="inlineStr">
        <is>
          <t xml:space="preserve">Pilar p,base</t>
        </is>
      </c>
      <c r="L14" s="236">
        <f>FIXED($L$60,2)&amp;" kN/m"</f>
      </c>
      <c r="M14" s="236"/>
      <c r="N14" s="232"/>
      <c r="O14" s="233" t="inlineStr">
        <is>
          <t xml:space="preserve">Carga trapezoidal no pilar: valor na base – item 3.1</t>
        </is>
      </c>
    </row>
    <row r="15">
      <c r="K15" s="223" t="inlineStr">
        <is>
          <t xml:space="preserve">Resultante</t>
        </is>
      </c>
      <c r="L15" s="236">
        <f>FIXED($L$63,2)&amp;" kN ("&amp;FIXED($L$64,2)&amp;" tf)"</f>
      </c>
      <c r="M15" s="236"/>
      <c r="N15" s="232"/>
      <c r="O15" s="233" t="inlineStr">
        <is>
          <t xml:space="preserve">Solo + Sc, aplicada a y,E da base – item 3.2</t>
        </is>
      </c>
    </row>
    <row r="16">
      <c r="K16" s="223" t="inlineStr">
        <is>
          <t xml:space="preserve">Modelo pilar</t>
        </is>
      </c>
      <c r="L16" s="236">
        <f>$L$39</f>
      </c>
      <c r="M16" s="236"/>
      <c r="N16" s="232">
        <f>IF(ISNA(MATCH($L$39,$K$74:$K$76,0)),"Rever: modelo inválido","Ok")</f>
      </c>
      <c r="O16" s="233" t="inlineStr">
        <is>
          <t xml:space="preserve">Modelo estrutural do pilar – item 4.1</t>
        </is>
      </c>
    </row>
    <row r="17">
      <c r="K17" s="223" t="inlineStr">
        <is>
          <t xml:space="preserve">R,topo</t>
        </is>
      </c>
      <c r="L17" s="236">
        <f>FIXED($L$78,2)&amp;" kN"</f>
      </c>
      <c r="M17" s="236"/>
      <c r="N17" s="232"/>
      <c r="O17" s="233" t="inlineStr">
        <is>
          <t xml:space="preserve">Força que o pilar entrega à laje/viga do topo – item 4.2</t>
        </is>
      </c>
    </row>
    <row r="18">
      <c r="K18" s="223" t="inlineStr">
        <is>
          <t xml:space="preserve">M,base</t>
        </is>
      </c>
      <c r="L18" s="236">
        <f>FIXED($L$80,2)&amp;" kN·m"</f>
      </c>
      <c r="M18" s="236"/>
      <c r="N18" s="232"/>
      <c r="O18" s="233" t="inlineStr">
        <is>
          <t xml:space="preserve">Momento na base do pilar – item 4.2</t>
        </is>
      </c>
    </row>
    <row r="19">
      <c r="K19" s="223" t="inlineStr">
        <is>
          <t xml:space="preserve">M,vão</t>
        </is>
      </c>
      <c r="L19" s="236">
        <f>IF($L$39="Balanço","-",FIXED($L$81,2)&amp;" kN·m a "&amp;FIXED($L$82,2)&amp;" m")</f>
      </c>
      <c r="M19" s="236"/>
      <c r="N19" s="232"/>
      <c r="O19" s="233" t="inlineStr">
        <is>
          <t xml:space="preserve">Maior momento positivo e altura a partir da base – item 4.2</t>
        </is>
      </c>
    </row>
    <row r="20">
      <c r="K20" s="223" t="inlineStr">
        <is>
          <t xml:space="preserve">M(x)</t>
        </is>
      </c>
      <c r="L20" s="236">
        <f>FIXED($L$83,2)&amp;" kN·m"</f>
      </c>
      <c r="M20" s="236"/>
      <c r="N20" s="232">
        <f>IF($L$40&gt;$L$33,"Rever: x maior que H",IF($L$40&lt;0,"Rever: x negativo","Ok"))</f>
      </c>
      <c r="O20" s="233" t="inlineStr">
        <is>
          <t xml:space="preserve">Momento na cota x – item 4.2</t>
        </is>
      </c>
    </row>
    <row r="21">
      <c r="K21" s="223" t="inlineStr">
        <is>
          <t xml:space="preserve">Laje p,total</t>
        </is>
      </c>
      <c r="L21" s="236">
        <f>FIXED($L$92,2)&amp;" kN/m²"</f>
      </c>
      <c r="M21" s="236"/>
      <c r="N21" s="232">
        <f>IF($L$89&gt;10,"Rever: mais de 10 painéis","Ok")</f>
      </c>
      <c r="O21" s="233" t="inlineStr">
        <is>
          <t xml:space="preserve">Painel inferior: comparar com a tabela do fabricante – item 5.1</t>
        </is>
      </c>
    </row>
    <row r="22">
      <c r="K22" s="223" t="inlineStr">
        <is>
          <t xml:space="preserve">Laje g / q</t>
        </is>
      </c>
      <c r="L22" s="236">
        <f>FIXED($L$93,2)&amp;" / "&amp;FIXED($L$94,2)&amp;" kN/m"</f>
      </c>
      <c r="M22" s="236"/>
      <c r="N22" s="232"/>
      <c r="O22" s="233" t="inlineStr">
        <is>
          <t xml:space="preserve">Cargas lineares no painel inferior – item 5.1</t>
        </is>
      </c>
    </row>
    <row r="23">
      <c r="K23" s="223" t="inlineStr">
        <is>
          <t xml:space="preserve">Laje Mk / Vk</t>
        </is>
      </c>
      <c r="L23" s="236">
        <f>FIXED($L$95,2)&amp;" kN·m / "&amp;FIXED($L$96,2)&amp;" kN"</f>
      </c>
      <c r="M23" s="236"/>
      <c r="N23" s="232"/>
      <c r="O23" s="233" t="inlineStr">
        <is>
          <t xml:space="preserve">Esforços no painel inferior, vão L – item 5.1</t>
        </is>
      </c>
    </row>
    <row r="26">
      <c r="K26" s="221" t="inlineStr">
        <is>
          <t xml:space="preserve">1 . DADOS DE ENTRADA</t>
        </is>
      </c>
      <c r="L26" s="221"/>
      <c r="M26" s="221"/>
      <c r="N26" s="221"/>
      <c r="O26" s="221"/>
      <c r="P26" s="221"/>
      <c r="Q26" s="221"/>
      <c r="R26" s="221"/>
      <c r="S26" s="221"/>
      <c r="T26" s="221"/>
    </row>
    <row r="28">
      <c r="K28" s="222" t="inlineStr">
        <is>
          <t xml:space="preserve">1.1 Solo</t>
        </is>
      </c>
    </row>
    <row r="29">
      <c r="K29" s="223" t="inlineStr">
        <is>
          <t xml:space="preserve">γ</t>
        </is>
      </c>
      <c r="L29" s="224">
        <v>18</v>
      </c>
      <c r="M29" s="231" t="inlineStr">
        <is>
          <t xml:space="preserve">kN/m³</t>
        </is>
      </c>
      <c r="O29" s="233" t="inlineStr">
        <is>
          <t xml:space="preserve">Peso específico do solo.</t>
        </is>
      </c>
    </row>
    <row r="30">
      <c r="K30" s="223" t="inlineStr">
        <is>
          <t xml:space="preserve">φ</t>
        </is>
      </c>
      <c r="L30" s="224">
        <v>18</v>
      </c>
      <c r="M30" s="231" t="inlineStr">
        <is>
          <t xml:space="preserve">°</t>
        </is>
      </c>
      <c r="O30" s="233" t="inlineStr">
        <is>
          <t xml:space="preserve">Ângulo de atrito do solo (ver aba DADOS DO SOLO, col. G).</t>
        </is>
      </c>
    </row>
    <row r="31">
      <c r="K31" s="223" t="inlineStr">
        <is>
          <t xml:space="preserve">Sc</t>
        </is>
      </c>
      <c r="L31" s="224">
        <v>5</v>
      </c>
      <c r="M31" s="231" t="inlineStr">
        <is>
          <t xml:space="preserve">kN/m²</t>
        </is>
      </c>
      <c r="O31" s="233" t="inlineStr">
        <is>
          <t xml:space="preserve">Sobrecarga no terreno (veículos leves ≈ 5 a 10; só pedestres ≈ 2,5 a 5).</t>
        </is>
      </c>
    </row>
    <row r="32">
      <c r="K32" s="222" t="inlineStr">
        <is>
          <t xml:space="preserve">1.2 Geometria</t>
        </is>
      </c>
    </row>
    <row r="33">
      <c r="K33" s="223" t="inlineStr">
        <is>
          <t xml:space="preserve">H</t>
        </is>
      </c>
      <c r="L33" s="224">
        <v>4</v>
      </c>
      <c r="M33" s="231" t="inlineStr">
        <is>
          <t xml:space="preserve">m</t>
        </is>
      </c>
      <c r="O33" s="233" t="inlineStr">
        <is>
          <t xml:space="preserve">Altura da contenção: da base até o topo do terreno contido.</t>
        </is>
      </c>
    </row>
    <row r="34">
      <c r="K34" s="223" t="inlineStr">
        <is>
          <t xml:space="preserve">D</t>
        </is>
      </c>
      <c r="L34" s="226">
        <f>9.22/2</f>
      </c>
      <c r="M34" s="231" t="inlineStr">
        <is>
          <t xml:space="preserve">m</t>
        </is>
      </c>
      <c r="O34" s="233" t="inlineStr">
        <is>
          <t xml:space="preserve">Largura de influência no pilar: intermediário = (vão esq. + vão dir.)/2; extremidade = vão/2.</t>
        </is>
      </c>
    </row>
    <row r="35">
      <c r="K35" s="223" t="inlineStr">
        <is>
          <t xml:space="preserve">bw</t>
        </is>
      </c>
      <c r="L35" s="224">
        <v>1.25</v>
      </c>
      <c r="M35" s="231" t="inlineStr">
        <is>
          <t xml:space="preserve">m</t>
        </is>
      </c>
      <c r="O35" s="233" t="inlineStr">
        <is>
          <t xml:space="preserve">Largura da placa de laje alveolar = altura de cada painel deitado na contenção.</t>
        </is>
      </c>
    </row>
    <row r="36">
      <c r="K36" s="223" t="inlineStr">
        <is>
          <t xml:space="preserve">L</t>
        </is>
      </c>
      <c r="L36" s="226">
        <f>L34</f>
      </c>
      <c r="M36" s="231" t="inlineStr">
        <is>
          <t xml:space="preserve">m</t>
        </is>
      </c>
      <c r="O36" s="233" t="inlineStr">
        <is>
          <t xml:space="preserve">Vão que a placa vence entre pilares (padrão = D; altere se for diferente).</t>
        </is>
      </c>
    </row>
    <row r="37">
      <c r="K37" s="222" t="inlineStr">
        <is>
          <t xml:space="preserve">1.3 Modelo</t>
        </is>
      </c>
    </row>
    <row r="38">
      <c r="K38" s="223" t="inlineStr">
        <is>
          <t xml:space="preserve">Empuxo</t>
        </is>
      </c>
      <c r="L38" s="224" t="inlineStr">
        <is>
          <t xml:space="preserve">Ativo</t>
        </is>
      </c>
      <c r="M38" s="231" t="inlineStr">
        <is>
          <t xml:space="preserve">-</t>
        </is>
      </c>
      <c r="O38" s="233" t="inlineStr">
        <is>
          <t xml:space="preserve">Ativo (Ka): parede pode se deslocar. Repouso (K0): topo travado, estrutura rígida.</t>
        </is>
      </c>
    </row>
    <row r="39">
      <c r="K39" s="223" t="inlineStr">
        <is>
          <t xml:space="preserve">Pilar</t>
        </is>
      </c>
      <c r="L39" s="224" t="inlineStr">
        <is>
          <t xml:space="preserve">Engaste-apoio</t>
        </is>
      </c>
      <c r="M39" s="231" t="inlineStr">
        <is>
          <t xml:space="preserve">-</t>
        </is>
      </c>
      <c r="O39" s="233" t="inlineStr">
        <is>
          <t xml:space="preserve">Modelo do pilar: escolha na tabela do item 4.1 (define o resumo).</t>
        </is>
      </c>
    </row>
    <row r="40">
      <c r="K40" s="223" t="inlineStr">
        <is>
          <t xml:space="preserve">x</t>
        </is>
      </c>
      <c r="L40" s="224">
        <v>0</v>
      </c>
      <c r="M40" s="231" t="inlineStr">
        <is>
          <t xml:space="preserve">m</t>
        </is>
      </c>
      <c r="O40" s="233" t="inlineStr">
        <is>
          <t xml:space="preserve">Cota de verificação do momento, medida a partir da base (x = 0 → base).</t>
        </is>
      </c>
    </row>
    <row r="42">
      <c r="K42" s="221" t="inlineStr">
        <is>
          <t xml:space="preserve">2 . COEFICIENTE DE EMPUXO E PRESSÕES</t>
        </is>
      </c>
      <c r="L42" s="221"/>
      <c r="M42" s="221"/>
      <c r="N42" s="221"/>
      <c r="O42" s="221"/>
      <c r="P42" s="221"/>
      <c r="Q42" s="221"/>
      <c r="R42" s="221"/>
      <c r="S42" s="221"/>
      <c r="T42" s="221"/>
    </row>
    <row r="44" ht="32" customHeight="1">
      <c r="K44" s="220" t="inlineStr">
        <is>
          <t xml:space="preserve">Rankine, parede vertical e terreno horizontal. A sobrecarga Sc vira uma pressão constante K·Sc em toda a altura; o solo dá uma pressão triangular K·γ·z (zero no topo, máxima na base).</t>
        </is>
      </c>
      <c r="L44" s="220"/>
      <c r="M44" s="220"/>
      <c r="N44" s="220"/>
      <c r="O44" s="220"/>
      <c r="P44" s="220"/>
      <c r="Q44" s="220"/>
      <c r="R44" s="220"/>
      <c r="S44" s="220"/>
      <c r="T44" s="220"/>
    </row>
    <row r="45">
      <c r="K45" s="222" t="inlineStr">
        <is>
          <t xml:space="preserve">2.1 Coeficiente</t>
        </is>
      </c>
    </row>
    <row r="46">
      <c r="K46" s="223" t="inlineStr">
        <is>
          <t xml:space="preserve">Ka</t>
        </is>
      </c>
      <c r="L46" s="228">
        <f>TAN(RADIANS(45-$L$30/2))^2</f>
      </c>
      <c r="M46" s="231" t="inlineStr">
        <is>
          <t xml:space="preserve">-</t>
        </is>
      </c>
      <c r="O46" s="233" t="inlineStr">
        <is>
          <t xml:space="preserve">Empuxo ativo: tan²(45° − φ/2).</t>
        </is>
      </c>
    </row>
    <row r="47">
      <c r="K47" s="223" t="inlineStr">
        <is>
          <t xml:space="preserve">K0</t>
        </is>
      </c>
      <c r="L47" s="228">
        <f>1-SIN(RADIANS($L$30))</f>
      </c>
      <c r="M47" s="231" t="inlineStr">
        <is>
          <t xml:space="preserve">-</t>
        </is>
      </c>
      <c r="O47" s="233" t="inlineStr">
        <is>
          <t xml:space="preserve">Empuxo em repouso: 1 − sen φ.</t>
        </is>
      </c>
    </row>
    <row r="48">
      <c r="K48" s="223" t="inlineStr">
        <is>
          <t xml:space="preserve">K</t>
        </is>
      </c>
      <c r="L48" s="228">
        <f>IF($L$38="Repouso",$L$47,$L$46)</f>
      </c>
      <c r="M48" s="231" t="inlineStr">
        <is>
          <t xml:space="preserve">-</t>
        </is>
      </c>
      <c r="O48" s="233" t="inlineStr">
        <is>
          <t xml:space="preserve">Coeficiente adotado (item 1.3).</t>
        </is>
      </c>
    </row>
    <row r="49">
      <c r="K49" s="222" t="inlineStr">
        <is>
          <t xml:space="preserve">2.2 Pressões</t>
        </is>
      </c>
    </row>
    <row r="50">
      <c r="K50" s="223" t="inlineStr">
        <is>
          <t xml:space="preserve">h,eq</t>
        </is>
      </c>
      <c r="L50" s="228">
        <f>IF($L$29=0,0,$L$31/$L$29)</f>
      </c>
      <c r="M50" s="231" t="inlineStr">
        <is>
          <t xml:space="preserve">m</t>
        </is>
      </c>
      <c r="O50" s="233" t="inlineStr">
        <is>
          <t xml:space="preserve">Altura de solo equivalente à sobrecarga (Sc/γ).</t>
        </is>
      </c>
    </row>
    <row r="51">
      <c r="K51" s="223" t="inlineStr">
        <is>
          <t xml:space="preserve">σ,topo</t>
        </is>
      </c>
      <c r="L51" s="227">
        <f>$L$48*$L$31</f>
      </c>
      <c r="M51" s="231" t="inlineStr">
        <is>
          <t xml:space="preserve">kN/m²</t>
        </is>
      </c>
      <c r="O51" s="233" t="inlineStr">
        <is>
          <t xml:space="preserve">Pressão no topo: K·Sc.</t>
        </is>
      </c>
    </row>
    <row r="52">
      <c r="K52" s="223" t="inlineStr">
        <is>
          <t xml:space="preserve">σ,base</t>
        </is>
      </c>
      <c r="L52" s="227">
        <f>$L$48*($L$31+$L$29*$L$33)</f>
      </c>
      <c r="M52" s="231" t="inlineStr">
        <is>
          <t xml:space="preserve">kN/m²</t>
        </is>
      </c>
      <c r="O52" s="233" t="inlineStr">
        <is>
          <t xml:space="preserve">Pressão na base: K·(Sc + γ·H).</t>
        </is>
      </c>
    </row>
    <row r="53">
      <c r="K53" s="223" t="inlineStr">
        <is>
          <t xml:space="preserve">σ,solo</t>
        </is>
      </c>
      <c r="L53" s="227">
        <f>$L$48*$L$29*$L$33</f>
      </c>
      <c r="M53" s="231" t="inlineStr">
        <is>
          <t xml:space="preserve">kN/m²</t>
        </is>
      </c>
      <c r="O53" s="233" t="inlineStr">
        <is>
          <t xml:space="preserve">Pressão na base só do solo: K·γ·H (sem Sc).</t>
        </is>
      </c>
    </row>
    <row r="55">
      <c r="K55" s="221" t="inlineStr">
        <is>
          <t xml:space="preserve">3 . PILAR – CARGA PARA LANÇAR NO MODELO</t>
        </is>
      </c>
      <c r="L55" s="221"/>
      <c r="M55" s="221"/>
      <c r="N55" s="221"/>
      <c r="O55" s="221"/>
      <c r="P55" s="221"/>
      <c r="Q55" s="221"/>
      <c r="R55" s="221"/>
      <c r="S55" s="221"/>
      <c r="T55" s="221"/>
    </row>
    <row r="57" ht="32" customHeight="1">
      <c r="K57" s="220" t="inlineStr">
        <is>
          <t xml:space="preserve">Lançar no pilar como carga horizontal TRAPEZOIDAL: p,topo no topo e p,base na base (pressão × largura de influência D). Se preferir carga concentrada, use a resultante E no ponto de aplicação y,E.</t>
        </is>
      </c>
      <c r="L57" s="220"/>
      <c r="M57" s="220"/>
      <c r="N57" s="220"/>
      <c r="O57" s="220"/>
      <c r="P57" s="220"/>
      <c r="Q57" s="220"/>
      <c r="R57" s="220"/>
      <c r="S57" s="220"/>
      <c r="T57" s="220"/>
    </row>
    <row r="58">
      <c r="K58" s="222" t="inlineStr">
        <is>
          <t xml:space="preserve">3.1 Carga distribuída</t>
        </is>
      </c>
    </row>
    <row r="59">
      <c r="K59" s="223" t="inlineStr">
        <is>
          <t xml:space="preserve">p,topo</t>
        </is>
      </c>
      <c r="L59" s="227">
        <f>$L$51*$L$34</f>
      </c>
      <c r="M59" s="231" t="inlineStr">
        <is>
          <t xml:space="preserve">kN/m</t>
        </is>
      </c>
      <c r="O59" s="233" t="inlineStr">
        <is>
          <t xml:space="preserve">Carga no topo do pilar: σ,topo·D.</t>
        </is>
      </c>
    </row>
    <row r="60">
      <c r="K60" s="223" t="inlineStr">
        <is>
          <t xml:space="preserve">p,base</t>
        </is>
      </c>
      <c r="L60" s="227">
        <f>$L$52*$L$34</f>
      </c>
      <c r="M60" s="231" t="inlineStr">
        <is>
          <t xml:space="preserve">kN/m</t>
        </is>
      </c>
      <c r="O60" s="233" t="inlineStr">
        <is>
          <t xml:space="preserve">Carga na base do pilar: σ,base·D.</t>
        </is>
      </c>
    </row>
    <row r="61">
      <c r="K61" s="223" t="inlineStr">
        <is>
          <t xml:space="preserve">Δp</t>
        </is>
      </c>
      <c r="L61" s="227">
        <f>$L$60-$L$59</f>
      </c>
      <c r="M61" s="231" t="inlineStr">
        <is>
          <t xml:space="preserve">kN/m</t>
        </is>
      </c>
      <c r="O61" s="233" t="inlineStr">
        <is>
          <t xml:space="preserve">Parcela triangular (p,base − p,topo).</t>
        </is>
      </c>
    </row>
    <row r="62">
      <c r="K62" s="222" t="inlineStr">
        <is>
          <t xml:space="preserve">3.2 Resultante</t>
        </is>
      </c>
    </row>
    <row r="63">
      <c r="K63" s="223" t="inlineStr">
        <is>
          <t xml:space="preserve">E</t>
        </is>
      </c>
      <c r="L63" s="227">
        <f>($L$59+$L$60)*$L$33/2</f>
      </c>
      <c r="M63" s="231" t="inlineStr">
        <is>
          <t xml:space="preserve">kN</t>
        </is>
      </c>
      <c r="O63" s="233" t="inlineStr">
        <is>
          <t xml:space="preserve">Resultante total (solo + Sc).</t>
        </is>
      </c>
    </row>
    <row r="64">
      <c r="K64" s="223" t="inlineStr">
        <is>
          <t xml:space="preserve">E</t>
        </is>
      </c>
      <c r="L64" s="227">
        <f>$L$63/10</f>
      </c>
      <c r="M64" s="231" t="inlineStr">
        <is>
          <t xml:space="preserve">tf</t>
        </is>
      </c>
      <c r="O64" s="233" t="inlineStr">
        <is>
          <t xml:space="preserve">Resultante total em tf.</t>
        </is>
      </c>
    </row>
    <row r="65">
      <c r="K65" s="223" t="inlineStr">
        <is>
          <t xml:space="preserve">y,E</t>
        </is>
      </c>
      <c r="L65" s="228">
        <f>IF($L$63=0,0,($L$59*$L$33^2/2+$L$61*$L$33^2/6)/$L$63)</f>
      </c>
      <c r="M65" s="231" t="inlineStr">
        <is>
          <t xml:space="preserve">m</t>
        </is>
      </c>
      <c r="O65" s="233" t="inlineStr">
        <is>
          <t xml:space="preserve">Ponto de aplicação de E, medido a partir da base.</t>
        </is>
      </c>
    </row>
    <row r="66">
      <c r="K66" s="223" t="inlineStr">
        <is>
          <t xml:space="preserve">E,solo</t>
        </is>
      </c>
      <c r="L66" s="227">
        <f>$L$48*$L$29*$L$33^2/2*$L$34</f>
      </c>
      <c r="M66" s="231" t="inlineStr">
        <is>
          <t xml:space="preserve">kN</t>
        </is>
      </c>
      <c r="O66" s="233" t="inlineStr">
        <is>
          <t xml:space="preserve">Resultante só do solo, a H/3 da base (= M23 da aba MURO DE ARRIMO).</t>
        </is>
      </c>
    </row>
    <row r="67">
      <c r="K67" s="223" t="inlineStr">
        <is>
          <t xml:space="preserve">E,solo</t>
        </is>
      </c>
      <c r="L67" s="227">
        <f>$L$66/10</f>
      </c>
      <c r="M67" s="231" t="inlineStr">
        <is>
          <t xml:space="preserve">tf</t>
        </is>
      </c>
      <c r="O67" s="233" t="inlineStr">
        <is>
          <t xml:space="preserve">Idem em tf (= M24 da aba MURO DE ARRIMO).</t>
        </is>
      </c>
    </row>
    <row r="69">
      <c r="K69" s="221" t="inlineStr">
        <is>
          <t xml:space="preserve">4 . PILAR – ESFORÇOS (característicos)</t>
        </is>
      </c>
      <c r="L69" s="221"/>
      <c r="M69" s="221"/>
      <c r="N69" s="221"/>
      <c r="O69" s="221"/>
      <c r="P69" s="221"/>
      <c r="Q69" s="221"/>
      <c r="R69" s="221"/>
      <c r="S69" s="221"/>
      <c r="T69" s="221"/>
    </row>
    <row r="71" ht="45" customHeight="1">
      <c r="K71" s="220" t="inlineStr">
        <is>
          <t xml:space="preserve">Sinal: M negativo = tração na face do pilar em contato com o solo; M positivo = tração na face externa. R,topo é a força horizontal que o pilar entrega à laje/viga do topo. Com laje ou viga travando o topo use Engaste-apoio; Balanço só se nada travar o topo.</t>
        </is>
      </c>
      <c r="L71" s="220"/>
      <c r="M71" s="220"/>
      <c r="N71" s="220"/>
      <c r="O71" s="220"/>
      <c r="P71" s="220"/>
      <c r="Q71" s="220"/>
      <c r="R71" s="220"/>
      <c r="S71" s="220"/>
      <c r="T71" s="220"/>
    </row>
    <row r="72">
      <c r="K72" s="222" t="inlineStr">
        <is>
          <t xml:space="preserve">4.1 Comparação dos modelos</t>
        </is>
      </c>
    </row>
    <row r="73" ht="30" customHeight="1">
      <c r="K73" s="235" t="inlineStr">
        <is>
          <t xml:space="preserve">Modelo</t>
        </is>
      </c>
      <c r="L73" s="235" t="inlineStr">
        <is>
          <t xml:space="preserve">R,topo (kN)</t>
        </is>
      </c>
      <c r="M73" s="235" t="inlineStr">
        <is>
          <t xml:space="preserve">R,base (kN)</t>
        </is>
      </c>
      <c r="N73" s="235" t="inlineStr">
        <is>
          <t xml:space="preserve">M,base (kN·m)</t>
        </is>
      </c>
      <c r="O73" s="235" t="inlineStr">
        <is>
          <t xml:space="preserve">M,vão (kN·m)</t>
        </is>
      </c>
      <c r="P73" s="235" t="inlineStr">
        <is>
          <t xml:space="preserve">y,M (m)</t>
        </is>
      </c>
      <c r="Q73" s="235" t="inlineStr">
        <is>
          <t xml:space="preserve">M(x) (kN·m)</t>
        </is>
      </c>
    </row>
    <row r="74">
      <c r="K74" s="237" t="inlineStr">
        <is>
          <t xml:space="preserve">Balanço</t>
        </is>
      </c>
      <c r="L74" s="227">
        <f>0</f>
      </c>
      <c r="M74" s="227">
        <f>$L$63-L74</f>
      </c>
      <c r="N74" s="227">
        <f>-($L$59*$L$33^2/2+$L$61*$L$33^2/6)</f>
      </c>
      <c r="O74" s="227">
        <v>0</v>
      </c>
      <c r="P74" s="237" t="inlineStr">
        <is>
          <t xml:space="preserve">-</t>
        </is>
      </c>
      <c r="Q74" s="227">
        <f>L74*($L$33-$L$40)-$L$59*($L$33-$L$40)^2/2-$L$61*($L$33-$L$40)^3/(6*$L$33)</f>
      </c>
    </row>
    <row r="75">
      <c r="K75" s="237" t="inlineStr">
        <is>
          <t xml:space="preserve">Engaste-apoio</t>
        </is>
      </c>
      <c r="L75" s="227">
        <f>3*$L$59*$L$33/8+$L$61*$L$33/10</f>
      </c>
      <c r="M75" s="227">
        <f>$L$63-L75</f>
      </c>
      <c r="N75" s="227">
        <f>-($L$59*$L$33^2/8+$L$61*$L$33^2/15)</f>
      </c>
      <c r="O75" s="227">
        <f>L75*($L$33-P75)-$L$59*($L$33-P75)^2/2-$L$61*($L$33-P75)^3/(6*$L$33)</f>
      </c>
      <c r="P75" s="227">
        <f>$L$33-IFERROR(IF($L$61=0,L75/$L$59,(-$L$59+SQRT($L$59^2+2*$L$61*L75/$L$33))/($L$61/$L$33)),0)</f>
      </c>
      <c r="Q75" s="227">
        <f>L75*($L$33-$L$40)-$L$59*($L$33-$L$40)^2/2-$L$61*($L$33-$L$40)^3/(6*$L$33)</f>
      </c>
    </row>
    <row r="76">
      <c r="K76" s="237" t="inlineStr">
        <is>
          <t xml:space="preserve">Biapoiado</t>
        </is>
      </c>
      <c r="L76" s="227">
        <f>$L$59*$L$33/2+$L$61*$L$33/6</f>
      </c>
      <c r="M76" s="227">
        <f>$L$63-L76</f>
      </c>
      <c r="N76" s="227">
        <f>0</f>
      </c>
      <c r="O76" s="227">
        <f>L76*($L$33-P76)-$L$59*($L$33-P76)^2/2-$L$61*($L$33-P76)^3/(6*$L$33)</f>
      </c>
      <c r="P76" s="227">
        <f>$L$33-IFERROR(IF($L$61=0,L76/$L$59,(-$L$59+SQRT($L$59^2+2*$L$61*L76/$L$33))/($L$61/$L$33)),0)</f>
      </c>
      <c r="Q76" s="227">
        <f>L76*($L$33-$L$40)-$L$59*($L$33-$L$40)^2/2-$L$61*($L$33-$L$40)^3/(6*$L$33)</f>
      </c>
    </row>
    <row r="77">
      <c r="K77" s="222" t="inlineStr">
        <is>
          <t xml:space="preserve">4.2 Modelo adotado (item 1.3)</t>
        </is>
      </c>
    </row>
    <row r="78">
      <c r="K78" s="223" t="inlineStr">
        <is>
          <t xml:space="preserve">R,topo</t>
        </is>
      </c>
      <c r="L78" s="227">
        <f>IFERROR(INDEX($L$74:$L$76,MATCH($L$39,$K$74:$K$76,0)),0)</f>
      </c>
      <c r="M78" s="231" t="inlineStr">
        <is>
          <t xml:space="preserve">kN</t>
        </is>
      </c>
      <c r="O78" s="233" t="inlineStr">
        <is>
          <t xml:space="preserve">Força horizontal que vai para a laje/viga do topo.</t>
        </is>
      </c>
    </row>
    <row r="79">
      <c r="K79" s="223" t="inlineStr">
        <is>
          <t xml:space="preserve">R,base</t>
        </is>
      </c>
      <c r="L79" s="227">
        <f>IFERROR(INDEX($M$74:$M$76,MATCH($L$39,$K$74:$K$76,0)),0)</f>
      </c>
      <c r="M79" s="231" t="inlineStr">
        <is>
          <t xml:space="preserve">kN</t>
        </is>
      </c>
      <c r="O79" s="233" t="inlineStr">
        <is>
          <t xml:space="preserve">Força horizontal que vai para a fundação.</t>
        </is>
      </c>
    </row>
    <row r="80">
      <c r="K80" s="223" t="inlineStr">
        <is>
          <t xml:space="preserve">M,base</t>
        </is>
      </c>
      <c r="L80" s="227">
        <f>IFERROR(INDEX($N$74:$N$76,MATCH($L$39,$K$74:$K$76,0)),0)</f>
      </c>
      <c r="M80" s="231" t="inlineStr">
        <is>
          <t xml:space="preserve">kN·m</t>
        </is>
      </c>
      <c r="O80" s="233" t="inlineStr">
        <is>
          <t xml:space="preserve">Momento na base do pilar.</t>
        </is>
      </c>
    </row>
    <row r="81">
      <c r="K81" s="223" t="inlineStr">
        <is>
          <t xml:space="preserve">M,vão</t>
        </is>
      </c>
      <c r="L81" s="227">
        <f>IFERROR(INDEX($O$74:$O$76,MATCH($L$39,$K$74:$K$76,0)),0)</f>
      </c>
      <c r="M81" s="231" t="inlineStr">
        <is>
          <t xml:space="preserve">kN·m</t>
        </is>
      </c>
      <c r="O81" s="233" t="inlineStr">
        <is>
          <t xml:space="preserve">Maior momento positivo ao longo do pilar (0 no balanço).</t>
        </is>
      </c>
    </row>
    <row r="82">
      <c r="K82" s="223" t="inlineStr">
        <is>
          <t xml:space="preserve">y,M</t>
        </is>
      </c>
      <c r="L82" s="227">
        <f>IF($L$39="Balanço","-",IFERROR(INDEX($P$74:$P$76,MATCH($L$39,$K$74:$K$76,0)),0))</f>
      </c>
      <c r="M82" s="231" t="inlineStr">
        <is>
          <t xml:space="preserve">m</t>
        </is>
      </c>
      <c r="O82" s="233" t="inlineStr">
        <is>
          <t xml:space="preserve">Altura do M,vão a partir da base.</t>
        </is>
      </c>
    </row>
    <row r="83">
      <c r="K83" s="223" t="inlineStr">
        <is>
          <t xml:space="preserve">M(x)</t>
        </is>
      </c>
      <c r="L83" s="227">
        <f>IFERROR(INDEX($Q$74:$Q$76,MATCH($L$39,$K$74:$K$76,0)),0)</f>
      </c>
      <c r="M83" s="231" t="inlineStr">
        <is>
          <t xml:space="preserve">kN·m</t>
        </is>
      </c>
      <c r="N83" s="232">
        <f>IF($L$40&gt;$L$33,"Rever: x maior que H",IF($L$40&lt;0,"Rever: x negativo","Ok"))</f>
      </c>
      <c r="O83" s="233" t="inlineStr">
        <is>
          <t xml:space="preserve">Momento na cota x (item 1.3).</t>
        </is>
      </c>
    </row>
    <row r="85">
      <c r="K85" s="221" t="inlineStr">
        <is>
          <t xml:space="preserve">5 . LAJE ALVEOLAR – CARGA EM CADA PAINEL</t>
        </is>
      </c>
      <c r="L85" s="221"/>
      <c r="M85" s="221"/>
      <c r="N85" s="221"/>
      <c r="O85" s="221"/>
      <c r="P85" s="221"/>
      <c r="Q85" s="221"/>
      <c r="R85" s="221"/>
      <c r="S85" s="221"/>
      <c r="T85" s="221"/>
    </row>
    <row r="87" ht="45" customHeight="1">
      <c r="K87" s="220" t="inlineStr">
        <is>
          <t xml:space="preserve">Placas deitadas, uma sobre a outra, vencendo o vão L entre pilares. Painel 1 = inferior (mais carregado). Cada painel usa a pressão da sua borda inferior (a favor da segurança). g = solo (permanente); q = sobrecarga (variável). p,total é o valor a comparar com a sobrecarga da tabela do fabricante.</t>
        </is>
      </c>
      <c r="L87" s="220"/>
      <c r="M87" s="220"/>
      <c r="N87" s="220"/>
      <c r="O87" s="220"/>
      <c r="P87" s="220"/>
      <c r="Q87" s="220"/>
      <c r="R87" s="220"/>
      <c r="S87" s="220"/>
      <c r="T87" s="220"/>
    </row>
    <row r="88">
      <c r="K88" s="222" t="inlineStr">
        <is>
          <t xml:space="preserve">5.1 Painel inferior (o mais carregado)</t>
        </is>
      </c>
    </row>
    <row r="89">
      <c r="K89" s="223" t="inlineStr">
        <is>
          <t xml:space="preserve">n</t>
        </is>
      </c>
      <c r="L89" s="229">
        <f>IF($L$35=0,0,ROUNDUP($L$33/$L$35,0))</f>
      </c>
      <c r="M89" s="231" t="inlineStr">
        <is>
          <t xml:space="preserve">un</t>
        </is>
      </c>
      <c r="N89" s="232">
        <f>IF($L$89&gt;10,"Rever: mais de 10 painéis",IF($L$89&lt;1,"Rever: H ou bw","Ok"))</f>
      </c>
      <c r="O89" s="233" t="inlineStr">
        <is>
          <t xml:space="preserve">Número de painéis na altura H.</t>
        </is>
      </c>
    </row>
    <row r="90">
      <c r="K90" s="223" t="inlineStr">
        <is>
          <t xml:space="preserve">σg</t>
        </is>
      </c>
      <c r="L90" s="227">
        <f>$L$48*$L$29*$L$33</f>
      </c>
      <c r="M90" s="231" t="inlineStr">
        <is>
          <t xml:space="preserve">kN/m²</t>
        </is>
      </c>
      <c r="O90" s="233" t="inlineStr">
        <is>
          <t xml:space="preserve">Pressão do solo na borda inferior do painel 1.</t>
        </is>
      </c>
    </row>
    <row r="91">
      <c r="K91" s="223" t="inlineStr">
        <is>
          <t xml:space="preserve">σq</t>
        </is>
      </c>
      <c r="L91" s="227">
        <f>$L$48*$L$31</f>
      </c>
      <c r="M91" s="231" t="inlineStr">
        <is>
          <t xml:space="preserve">kN/m²</t>
        </is>
      </c>
      <c r="O91" s="233" t="inlineStr">
        <is>
          <t xml:space="preserve">Pressão da sobrecarga (constante na altura).</t>
        </is>
      </c>
    </row>
    <row r="92">
      <c r="K92" s="223" t="inlineStr">
        <is>
          <t xml:space="preserve">p,total</t>
        </is>
      </c>
      <c r="L92" s="227">
        <f>$L$90+$L$91</f>
      </c>
      <c r="M92" s="231" t="inlineStr">
        <is>
          <t xml:space="preserve">kN/m²</t>
        </is>
      </c>
      <c r="O92" s="233" t="inlineStr">
        <is>
          <t xml:space="preserve">Pressão total no painel 1 → comparar com a tabela do fabricante.</t>
        </is>
      </c>
    </row>
    <row r="93">
      <c r="K93" s="223" t="inlineStr">
        <is>
          <t xml:space="preserve">g</t>
        </is>
      </c>
      <c r="L93" s="227">
        <f>$L$90*MIN($L$35,$L$33)</f>
      </c>
      <c r="M93" s="231" t="inlineStr">
        <is>
          <t xml:space="preserve">kN/m</t>
        </is>
      </c>
      <c r="O93" s="233" t="inlineStr">
        <is>
          <t xml:space="preserve">Carga permanente linear no painel 1 (σg × largura).</t>
        </is>
      </c>
    </row>
    <row r="94">
      <c r="K94" s="223" t="inlineStr">
        <is>
          <t xml:space="preserve">q</t>
        </is>
      </c>
      <c r="L94" s="227">
        <f>$L$91*MIN($L$35,$L$33)</f>
      </c>
      <c r="M94" s="231" t="inlineStr">
        <is>
          <t xml:space="preserve">kN/m</t>
        </is>
      </c>
      <c r="O94" s="233" t="inlineStr">
        <is>
          <t xml:space="preserve">Carga variável linear no painel 1 (σq × largura).</t>
        </is>
      </c>
    </row>
    <row r="95">
      <c r="K95" s="223" t="inlineStr">
        <is>
          <t xml:space="preserve">Mk</t>
        </is>
      </c>
      <c r="L95" s="227">
        <f>($L$93+$L$94)*$L$36^2/8</f>
      </c>
      <c r="M95" s="231" t="inlineStr">
        <is>
          <t xml:space="preserve">kN·m</t>
        </is>
      </c>
      <c r="O95" s="233" t="inlineStr">
        <is>
          <t xml:space="preserve">Momento no painel 1, biapoiado nos pilares: (g+q)·L²/8.</t>
        </is>
      </c>
    </row>
    <row r="96">
      <c r="K96" s="223" t="inlineStr">
        <is>
          <t xml:space="preserve">Vk</t>
        </is>
      </c>
      <c r="L96" s="227">
        <f>($L$93+$L$94)*$L$36/2</f>
      </c>
      <c r="M96" s="231" t="inlineStr">
        <is>
          <t xml:space="preserve">kN</t>
        </is>
      </c>
      <c r="O96" s="233" t="inlineStr">
        <is>
          <t xml:space="preserve">Cortante / reação de cada lado no pilar: (g+q)·L/2.</t>
        </is>
      </c>
    </row>
    <row r="97">
      <c r="K97" s="222" t="inlineStr">
        <is>
          <t xml:space="preserve">5.2 Todos os painéis</t>
        </is>
      </c>
    </row>
    <row r="98" ht="30" customHeight="1">
      <c r="K98" s="235" t="inlineStr">
        <is>
          <t xml:space="preserve">Painel</t>
        </is>
      </c>
      <c r="L98" s="235" t="inlineStr">
        <is>
          <t xml:space="preserve">z,topo (m)</t>
        </is>
      </c>
      <c r="M98" s="235" t="inlineStr">
        <is>
          <t xml:space="preserve">z,base (m)</t>
        </is>
      </c>
      <c r="N98" s="235" t="inlineStr">
        <is>
          <t xml:space="preserve">σg (kN/m²)</t>
        </is>
      </c>
      <c r="O98" s="235" t="inlineStr">
        <is>
          <t xml:space="preserve">σq (kN/m²)</t>
        </is>
      </c>
      <c r="P98" s="235" t="inlineStr">
        <is>
          <t xml:space="preserve">p,total (kN/m²)</t>
        </is>
      </c>
      <c r="Q98" s="235" t="inlineStr">
        <is>
          <t xml:space="preserve">g (kN/m)</t>
        </is>
      </c>
      <c r="R98" s="235" t="inlineStr">
        <is>
          <t xml:space="preserve">q (kN/m)</t>
        </is>
      </c>
      <c r="S98" s="235" t="inlineStr">
        <is>
          <t xml:space="preserve">Mk (kN·m)</t>
        </is>
      </c>
      <c r="T98" s="235" t="inlineStr">
        <is>
          <t xml:space="preserve">Vk (kN)</t>
        </is>
      </c>
    </row>
    <row r="99">
      <c r="K99" s="237">
        <v>1</v>
      </c>
      <c r="L99" s="227">
        <f>IF((K99-1)*$L$35&gt;=$L$33,"",MAX($L$33-K99*$L$35,0))</f>
      </c>
      <c r="M99" s="227">
        <f>IF(L99="","",$L$33-(K99-1)*$L$35)</f>
      </c>
      <c r="N99" s="227">
        <f>IF(L99="","",$L$48*$L$29*M99)</f>
      </c>
      <c r="O99" s="227">
        <f>IF(L99="","",$L$48*$L$31)</f>
      </c>
      <c r="P99" s="227">
        <f>IF(L99="","",N99+O99)</f>
      </c>
      <c r="Q99" s="227">
        <f>IF(L99="","",N99*(M99-L99))</f>
      </c>
      <c r="R99" s="227">
        <f>IF(L99="","",O99*(M99-L99))</f>
      </c>
      <c r="S99" s="227">
        <f>IF(L99="","",(Q99+R99)*$L$36^2/8)</f>
      </c>
      <c r="T99" s="227">
        <f>IF(L99="","",(Q99+R99)*$L$36/2)</f>
      </c>
    </row>
    <row r="100">
      <c r="K100" s="237">
        <v>2</v>
      </c>
      <c r="L100" s="227">
        <f>IF((K100-1)*$L$35&gt;=$L$33,"",MAX($L$33-K100*$L$35,0))</f>
      </c>
      <c r="M100" s="227">
        <f>IF(L100="","",$L$33-(K100-1)*$L$35)</f>
      </c>
      <c r="N100" s="227">
        <f>IF(L100="","",$L$48*$L$29*M100)</f>
      </c>
      <c r="O100" s="227">
        <f>IF(L100="","",$L$48*$L$31)</f>
      </c>
      <c r="P100" s="227">
        <f>IF(L100="","",N100+O100)</f>
      </c>
      <c r="Q100" s="227">
        <f>IF(L100="","",N100*(M100-L100))</f>
      </c>
      <c r="R100" s="227">
        <f>IF(L100="","",O100*(M100-L100))</f>
      </c>
      <c r="S100" s="227">
        <f>IF(L100="","",(Q100+R100)*$L$36^2/8)</f>
      </c>
      <c r="T100" s="227">
        <f>IF(L100="","",(Q100+R100)*$L$36/2)</f>
      </c>
    </row>
    <row r="101">
      <c r="K101" s="237">
        <v>3</v>
      </c>
      <c r="L101" s="227">
        <f>IF((K101-1)*$L$35&gt;=$L$33,"",MAX($L$33-K101*$L$35,0))</f>
      </c>
      <c r="M101" s="227">
        <f>IF(L101="","",$L$33-(K101-1)*$L$35)</f>
      </c>
      <c r="N101" s="227">
        <f>IF(L101="","",$L$48*$L$29*M101)</f>
      </c>
      <c r="O101" s="227">
        <f>IF(L101="","",$L$48*$L$31)</f>
      </c>
      <c r="P101" s="227">
        <f>IF(L101="","",N101+O101)</f>
      </c>
      <c r="Q101" s="227">
        <f>IF(L101="","",N101*(M101-L101))</f>
      </c>
      <c r="R101" s="227">
        <f>IF(L101="","",O101*(M101-L101))</f>
      </c>
      <c r="S101" s="227">
        <f>IF(L101="","",(Q101+R101)*$L$36^2/8)</f>
      </c>
      <c r="T101" s="227">
        <f>IF(L101="","",(Q101+R101)*$L$36/2)</f>
      </c>
    </row>
    <row r="102">
      <c r="K102" s="237">
        <v>4</v>
      </c>
      <c r="L102" s="227">
        <f>IF((K102-1)*$L$35&gt;=$L$33,"",MAX($L$33-K102*$L$35,0))</f>
      </c>
      <c r="M102" s="227">
        <f>IF(L102="","",$L$33-(K102-1)*$L$35)</f>
      </c>
      <c r="N102" s="227">
        <f>IF(L102="","",$L$48*$L$29*M102)</f>
      </c>
      <c r="O102" s="227">
        <f>IF(L102="","",$L$48*$L$31)</f>
      </c>
      <c r="P102" s="227">
        <f>IF(L102="","",N102+O102)</f>
      </c>
      <c r="Q102" s="227">
        <f>IF(L102="","",N102*(M102-L102))</f>
      </c>
      <c r="R102" s="227">
        <f>IF(L102="","",O102*(M102-L102))</f>
      </c>
      <c r="S102" s="227">
        <f>IF(L102="","",(Q102+R102)*$L$36^2/8)</f>
      </c>
      <c r="T102" s="227">
        <f>IF(L102="","",(Q102+R102)*$L$36/2)</f>
      </c>
    </row>
    <row r="103">
      <c r="K103" s="237">
        <v>5</v>
      </c>
      <c r="L103" s="227">
        <f>IF((K103-1)*$L$35&gt;=$L$33,"",MAX($L$33-K103*$L$35,0))</f>
      </c>
      <c r="M103" s="227">
        <f>IF(L103="","",$L$33-(K103-1)*$L$35)</f>
      </c>
      <c r="N103" s="227">
        <f>IF(L103="","",$L$48*$L$29*M103)</f>
      </c>
      <c r="O103" s="227">
        <f>IF(L103="","",$L$48*$L$31)</f>
      </c>
      <c r="P103" s="227">
        <f>IF(L103="","",N103+O103)</f>
      </c>
      <c r="Q103" s="227">
        <f>IF(L103="","",N103*(M103-L103))</f>
      </c>
      <c r="R103" s="227">
        <f>IF(L103="","",O103*(M103-L103))</f>
      </c>
      <c r="S103" s="227">
        <f>IF(L103="","",(Q103+R103)*$L$36^2/8)</f>
      </c>
      <c r="T103" s="227">
        <f>IF(L103="","",(Q103+R103)*$L$36/2)</f>
      </c>
    </row>
    <row r="104">
      <c r="K104" s="237">
        <v>6</v>
      </c>
      <c r="L104" s="227">
        <f>IF((K104-1)*$L$35&gt;=$L$33,"",MAX($L$33-K104*$L$35,0))</f>
      </c>
      <c r="M104" s="227">
        <f>IF(L104="","",$L$33-(K104-1)*$L$35)</f>
      </c>
      <c r="N104" s="227">
        <f>IF(L104="","",$L$48*$L$29*M104)</f>
      </c>
      <c r="O104" s="227">
        <f>IF(L104="","",$L$48*$L$31)</f>
      </c>
      <c r="P104" s="227">
        <f>IF(L104="","",N104+O104)</f>
      </c>
      <c r="Q104" s="227">
        <f>IF(L104="","",N104*(M104-L104))</f>
      </c>
      <c r="R104" s="227">
        <f>IF(L104="","",O104*(M104-L104))</f>
      </c>
      <c r="S104" s="227">
        <f>IF(L104="","",(Q104+R104)*$L$36^2/8)</f>
      </c>
      <c r="T104" s="227">
        <f>IF(L104="","",(Q104+R104)*$L$36/2)</f>
      </c>
    </row>
    <row r="105">
      <c r="K105" s="237">
        <v>7</v>
      </c>
      <c r="L105" s="227">
        <f>IF((K105-1)*$L$35&gt;=$L$33,"",MAX($L$33-K105*$L$35,0))</f>
      </c>
      <c r="M105" s="227">
        <f>IF(L105="","",$L$33-(K105-1)*$L$35)</f>
      </c>
      <c r="N105" s="227">
        <f>IF(L105="","",$L$48*$L$29*M105)</f>
      </c>
      <c r="O105" s="227">
        <f>IF(L105="","",$L$48*$L$31)</f>
      </c>
      <c r="P105" s="227">
        <f>IF(L105="","",N105+O105)</f>
      </c>
      <c r="Q105" s="227">
        <f>IF(L105="","",N105*(M105-L105))</f>
      </c>
      <c r="R105" s="227">
        <f>IF(L105="","",O105*(M105-L105))</f>
      </c>
      <c r="S105" s="227">
        <f>IF(L105="","",(Q105+R105)*$L$36^2/8)</f>
      </c>
      <c r="T105" s="227">
        <f>IF(L105="","",(Q105+R105)*$L$36/2)</f>
      </c>
    </row>
    <row r="106">
      <c r="K106" s="237">
        <v>8</v>
      </c>
      <c r="L106" s="227">
        <f>IF((K106-1)*$L$35&gt;=$L$33,"",MAX($L$33-K106*$L$35,0))</f>
      </c>
      <c r="M106" s="227">
        <f>IF(L106="","",$L$33-(K106-1)*$L$35)</f>
      </c>
      <c r="N106" s="227">
        <f>IF(L106="","",$L$48*$L$29*M106)</f>
      </c>
      <c r="O106" s="227">
        <f>IF(L106="","",$L$48*$L$31)</f>
      </c>
      <c r="P106" s="227">
        <f>IF(L106="","",N106+O106)</f>
      </c>
      <c r="Q106" s="227">
        <f>IF(L106="","",N106*(M106-L106))</f>
      </c>
      <c r="R106" s="227">
        <f>IF(L106="","",O106*(M106-L106))</f>
      </c>
      <c r="S106" s="227">
        <f>IF(L106="","",(Q106+R106)*$L$36^2/8)</f>
      </c>
      <c r="T106" s="227">
        <f>IF(L106="","",(Q106+R106)*$L$36/2)</f>
      </c>
    </row>
    <row r="107">
      <c r="K107" s="237">
        <v>9</v>
      </c>
      <c r="L107" s="227">
        <f>IF((K107-1)*$L$35&gt;=$L$33,"",MAX($L$33-K107*$L$35,0))</f>
      </c>
      <c r="M107" s="227">
        <f>IF(L107="","",$L$33-(K107-1)*$L$35)</f>
      </c>
      <c r="N107" s="227">
        <f>IF(L107="","",$L$48*$L$29*M107)</f>
      </c>
      <c r="O107" s="227">
        <f>IF(L107="","",$L$48*$L$31)</f>
      </c>
      <c r="P107" s="227">
        <f>IF(L107="","",N107+O107)</f>
      </c>
      <c r="Q107" s="227">
        <f>IF(L107="","",N107*(M107-L107))</f>
      </c>
      <c r="R107" s="227">
        <f>IF(L107="","",O107*(M107-L107))</f>
      </c>
      <c r="S107" s="227">
        <f>IF(L107="","",(Q107+R107)*$L$36^2/8)</f>
      </c>
      <c r="T107" s="227">
        <f>IF(L107="","",(Q107+R107)*$L$36/2)</f>
      </c>
    </row>
    <row r="108">
      <c r="K108" s="237">
        <v>10</v>
      </c>
      <c r="L108" s="227">
        <f>IF((K108-1)*$L$35&gt;=$L$33,"",MAX($L$33-K108*$L$35,0))</f>
      </c>
      <c r="M108" s="227">
        <f>IF(L108="","",$L$33-(K108-1)*$L$35)</f>
      </c>
      <c r="N108" s="227">
        <f>IF(L108="","",$L$48*$L$29*M108)</f>
      </c>
      <c r="O108" s="227">
        <f>IF(L108="","",$L$48*$L$31)</f>
      </c>
      <c r="P108" s="227">
        <f>IF(L108="","",N108+O108)</f>
      </c>
      <c r="Q108" s="227">
        <f>IF(L108="","",N108*(M108-L108))</f>
      </c>
      <c r="R108" s="227">
        <f>IF(L108="","",O108*(M108-L108))</f>
      </c>
      <c r="S108" s="227">
        <f>IF(L108="","",(Q108+R108)*$L$36^2/8)</f>
      </c>
      <c r="T108" s="227">
        <f>IF(L108="","",(Q108+R108)*$L$36/2)</f>
      </c>
    </row>
    <row r="110">
      <c r="K110" s="221" t="inlineStr">
        <is>
          <t xml:space="preserve">6 . DIAGRAMAS DE CARGA (atualizam automaticamente)</t>
        </is>
      </c>
      <c r="L110" s="221"/>
      <c r="M110" s="221"/>
      <c r="N110" s="221"/>
      <c r="O110" s="221"/>
      <c r="P110" s="221"/>
      <c r="Q110" s="221"/>
      <c r="R110" s="221"/>
      <c r="S110" s="221"/>
      <c r="T110" s="221"/>
    </row>
    <row r="112" ht="75" customHeight="1">
      <c r="K112" s="220" t="inlineStr">
        <is>
          <t xml:space="preserve">Gráficos de dispersão desenhados a partir da tabela de coordenadas do item 6.1. À esquerda: pilar com a carga trapezoidal (kN/m), a resultante E e as reações. À direita: parede de placas alveolares com a pressão real (vermelho) e a pressão adotada em cada painel (azul, constante = valor da borda inferior). O eixo está em PRESSÃO (kN/m²); os rótulos P1, P2… trazem a CARGA NA PLACA (kN/m) = pressão × bw, a mesma da tabela 5.2 (ex.: 23,75 × 1,25 = 29,69 kN/m de solo e 2,64 × 1,25 = 3,30 kN/m de sobrecarga).</t>
        </is>
      </c>
      <c r="L112" s="220"/>
      <c r="M112" s="220"/>
      <c r="N112" s="220"/>
      <c r="O112" s="220"/>
      <c r="P112" s="220"/>
      <c r="Q112" s="220"/>
      <c r="R112" s="220"/>
      <c r="S112" s="220"/>
      <c r="T112" s="220"/>
    </row>
    <row r="143">
      <c r="K143" s="222" t="inlineStr">
        <is>
          <t xml:space="preserve">6.1 Coordenadas do desenho (não editar)</t>
        </is>
      </c>
    </row>
    <row r="144">
      <c r="K144" s="235" t="inlineStr">
        <is>
          <t xml:space="preserve">Série</t>
        </is>
      </c>
      <c r="L144" s="235" t="inlineStr">
        <is>
          <t xml:space="preserve">x</t>
        </is>
      </c>
      <c r="M144" s="235" t="inlineStr">
        <is>
          <t xml:space="preserve">y (m)</t>
        </is>
      </c>
    </row>
    <row r="145">
      <c r="K145" s="237" t="inlineStr">
        <is>
          <t xml:space="preserve">Pilar</t>
        </is>
      </c>
      <c r="L145" s="227">
        <v>0</v>
      </c>
      <c r="M145" s="227">
        <v>0</v>
      </c>
    </row>
    <row r="146">
      <c r="K146" s="237"/>
      <c r="L146" s="227">
        <v>0</v>
      </c>
      <c r="M146" s="227">
        <f>$L$33</f>
      </c>
    </row>
    <row r="147">
      <c r="K147" s="237" t="inlineStr">
        <is>
          <t xml:space="preserve">Carga (kN/m)</t>
        </is>
      </c>
      <c r="L147" s="227">
        <v>0</v>
      </c>
      <c r="M147" s="227">
        <f>$L$33</f>
      </c>
    </row>
    <row r="148">
      <c r="K148" s="237"/>
      <c r="L148" s="227">
        <f>$L$59</f>
      </c>
      <c r="M148" s="227">
        <f>$L$33</f>
      </c>
    </row>
    <row r="149">
      <c r="K149" s="237"/>
      <c r="L149" s="227">
        <f>$L$60</f>
      </c>
      <c r="M149" s="227">
        <v>0</v>
      </c>
    </row>
    <row r="150">
      <c r="K150" s="237"/>
      <c r="L150" s="227">
        <v>0</v>
      </c>
      <c r="M150" s="227">
        <v>0</v>
      </c>
    </row>
    <row r="151">
      <c r="K151" s="237" t="inlineStr">
        <is>
          <t xml:space="preserve">Sc | solo</t>
        </is>
      </c>
      <c r="L151" s="227">
        <f>$L$59</f>
      </c>
      <c r="M151" s="227">
        <f>$L$33</f>
      </c>
    </row>
    <row r="152">
      <c r="K152" s="237"/>
      <c r="L152" s="227">
        <f>$L$59</f>
      </c>
      <c r="M152" s="227">
        <v>0</v>
      </c>
    </row>
    <row r="153">
      <c r="K153" s="237" t="inlineStr">
        <is>
          <t xml:space="preserve">seta</t>
        </is>
      </c>
      <c r="L153" s="227">
        <f>$L$60-$L$61*1/6</f>
      </c>
      <c r="M153" s="227">
        <f>$L$33*1/6</f>
      </c>
    </row>
    <row r="154">
      <c r="K154" s="237"/>
      <c r="L154" s="227">
        <v>0</v>
      </c>
      <c r="M154" s="227">
        <f>$L$33*1/6</f>
      </c>
    </row>
    <row r="155">
      <c r="K155" s="237" t="inlineStr">
        <is>
          <t xml:space="preserve">seta</t>
        </is>
      </c>
      <c r="L155" s="227">
        <f>$L$60-$L$61*2/6</f>
      </c>
      <c r="M155" s="227">
        <f>$L$33*2/6</f>
      </c>
    </row>
    <row r="156">
      <c r="K156" s="237"/>
      <c r="L156" s="227">
        <v>0</v>
      </c>
      <c r="M156" s="227">
        <f>$L$33*2/6</f>
      </c>
    </row>
    <row r="157">
      <c r="K157" s="237" t="inlineStr">
        <is>
          <t xml:space="preserve">seta</t>
        </is>
      </c>
      <c r="L157" s="227">
        <f>$L$60-$L$61*3/6</f>
      </c>
      <c r="M157" s="227">
        <f>$L$33*3/6</f>
      </c>
    </row>
    <row r="158">
      <c r="K158" s="237"/>
      <c r="L158" s="227">
        <v>0</v>
      </c>
      <c r="M158" s="227">
        <f>$L$33*3/6</f>
      </c>
    </row>
    <row r="159">
      <c r="K159" s="237" t="inlineStr">
        <is>
          <t xml:space="preserve">seta</t>
        </is>
      </c>
      <c r="L159" s="227">
        <f>$L$60-$L$61*4/6</f>
      </c>
      <c r="M159" s="227">
        <f>$L$33*4/6</f>
      </c>
    </row>
    <row r="160">
      <c r="K160" s="237"/>
      <c r="L160" s="227">
        <v>0</v>
      </c>
      <c r="M160" s="227">
        <f>$L$33*4/6</f>
      </c>
    </row>
    <row r="161">
      <c r="K161" s="237" t="inlineStr">
        <is>
          <t xml:space="preserve">seta</t>
        </is>
      </c>
      <c r="L161" s="227">
        <f>$L$60-$L$61*5/6</f>
      </c>
      <c r="M161" s="227">
        <f>$L$33*5/6</f>
      </c>
    </row>
    <row r="162">
      <c r="K162" s="237"/>
      <c r="L162" s="227">
        <v>0</v>
      </c>
      <c r="M162" s="227">
        <f>$L$33*5/6</f>
      </c>
    </row>
    <row r="163">
      <c r="K163" s="237" t="inlineStr">
        <is>
          <t xml:space="preserve">E</t>
        </is>
      </c>
      <c r="L163" s="227">
        <f>MAX($L$59,$L$60)*1.15</f>
      </c>
      <c r="M163" s="227">
        <f>$L$65</f>
      </c>
    </row>
    <row r="164">
      <c r="K164" s="237"/>
      <c r="L164" s="227">
        <v>0</v>
      </c>
      <c r="M164" s="227">
        <f>$L$65</f>
      </c>
    </row>
    <row r="165">
      <c r="K165" s="237" t="inlineStr">
        <is>
          <t xml:space="preserve">R,topo</t>
        </is>
      </c>
      <c r="L165" s="227">
        <f>IF($L$39="Balanço",NA(),0)</f>
      </c>
      <c r="M165" s="227">
        <f>$L$33</f>
      </c>
    </row>
    <row r="166">
      <c r="K166" s="237"/>
      <c r="L166" s="227">
        <f>IF($L$39="Balanço",NA(),-0.35*$L$60)</f>
      </c>
      <c r="M166" s="227">
        <f>$L$33</f>
      </c>
    </row>
    <row r="167">
      <c r="K167" s="237" t="inlineStr">
        <is>
          <t xml:space="preserve">R,base</t>
        </is>
      </c>
      <c r="L167" s="227">
        <v>0</v>
      </c>
      <c r="M167" s="227">
        <v>0</v>
      </c>
    </row>
    <row r="168">
      <c r="K168" s="237"/>
      <c r="L168" s="227">
        <f>-0.35*$L$60</f>
      </c>
      <c r="M168" s="227">
        <v>0</v>
      </c>
    </row>
    <row r="169">
      <c r="K169" s="237">
        <f>"p,topo = "&amp;FIXED($L$59,2)&amp;" kN/m"</f>
      </c>
      <c r="L169" s="227">
        <f>$L$59</f>
      </c>
      <c r="M169" s="227">
        <f>$L$33</f>
      </c>
    </row>
    <row r="170">
      <c r="K170" s="237">
        <f>"p,base = "&amp;FIXED($L$60,2)&amp;" kN/m"</f>
      </c>
      <c r="L170" s="227">
        <f>$L$60</f>
      </c>
      <c r="M170" s="227">
        <v>0</v>
      </c>
    </row>
    <row r="171">
      <c r="K171" s="237">
        <f>"E = "&amp;FIXED($L$63,1)&amp;" kN (y = "&amp;FIXED($L$65,2)&amp;" m)"</f>
      </c>
      <c r="L171" s="227">
        <f>MAX($L$59,$L$60)*1.15</f>
      </c>
      <c r="M171" s="227">
        <f>$L$65</f>
      </c>
    </row>
    <row r="172">
      <c r="K172" s="237">
        <f>"R,topo = "&amp;FIXED($L$78,1)&amp;" kN → laje"</f>
      </c>
      <c r="L172" s="227">
        <f>IF($L$39="Balanço",NA(),-0.35*$L$60)</f>
      </c>
      <c r="M172" s="227">
        <f>$L$33</f>
      </c>
    </row>
    <row r="173">
      <c r="K173" s="237">
        <f>"R,base = "&amp;FIXED($L$79,1)&amp;" kN"</f>
      </c>
      <c r="L173" s="227">
        <f>-0.35*$L$60</f>
      </c>
      <c r="M173" s="227">
        <v>0</v>
      </c>
    </row>
    <row r="174">
      <c r="K174" s="237" t="inlineStr">
        <is>
          <t xml:space="preserve">Placas</t>
        </is>
      </c>
      <c r="L174" s="227">
        <v>0</v>
      </c>
      <c r="M174" s="227">
        <v>0</v>
      </c>
    </row>
    <row r="175">
      <c r="K175" s="237"/>
      <c r="L175" s="227">
        <v>0</v>
      </c>
      <c r="M175" s="227">
        <f>$L$33</f>
      </c>
    </row>
    <row r="176">
      <c r="K176" s="237" t="inlineStr">
        <is>
          <t xml:space="preserve">Pressão real</t>
        </is>
      </c>
      <c r="L176" s="227">
        <v>0</v>
      </c>
      <c r="M176" s="227">
        <f>$L$33</f>
      </c>
    </row>
    <row r="177">
      <c r="K177" s="237"/>
      <c r="L177" s="227">
        <f>$L$51</f>
      </c>
      <c r="M177" s="227">
        <f>$L$33</f>
      </c>
    </row>
    <row r="178">
      <c r="K178" s="237"/>
      <c r="L178" s="227">
        <f>$L$52</f>
      </c>
      <c r="M178" s="227">
        <v>0</v>
      </c>
    </row>
    <row r="179">
      <c r="K179" s="237"/>
      <c r="L179" s="227">
        <v>0</v>
      </c>
      <c r="M179" s="227">
        <v>0</v>
      </c>
    </row>
    <row r="180">
      <c r="K180" s="237" t="inlineStr">
        <is>
          <t xml:space="preserve">Sc | solo</t>
        </is>
      </c>
      <c r="L180" s="227">
        <f>$L$51</f>
      </c>
      <c r="M180" s="227">
        <f>$L$33</f>
      </c>
    </row>
    <row r="181">
      <c r="K181" s="237"/>
      <c r="L181" s="227">
        <f>$L$51</f>
      </c>
      <c r="M181" s="227">
        <v>0</v>
      </c>
    </row>
    <row r="182">
      <c r="K182" s="237" t="inlineStr">
        <is>
          <t xml:space="preserve">seta</t>
        </is>
      </c>
      <c r="L182" s="227">
        <f>$L$52-($L$52-$L$51)*1/4</f>
      </c>
      <c r="M182" s="227">
        <f>$L$33*1/4</f>
      </c>
    </row>
    <row r="183">
      <c r="K183" s="237"/>
      <c r="L183" s="227">
        <v>0</v>
      </c>
      <c r="M183" s="227">
        <f>$L$33*1/4</f>
      </c>
    </row>
    <row r="184">
      <c r="K184" s="237" t="inlineStr">
        <is>
          <t xml:space="preserve">seta</t>
        </is>
      </c>
      <c r="L184" s="227">
        <f>$L$52-($L$52-$L$51)*2/4</f>
      </c>
      <c r="M184" s="227">
        <f>$L$33*2/4</f>
      </c>
    </row>
    <row r="185">
      <c r="K185" s="237"/>
      <c r="L185" s="227">
        <v>0</v>
      </c>
      <c r="M185" s="227">
        <f>$L$33*2/4</f>
      </c>
    </row>
    <row r="186">
      <c r="K186" s="237" t="inlineStr">
        <is>
          <t xml:space="preserve">seta</t>
        </is>
      </c>
      <c r="L186" s="227">
        <f>$L$52-($L$52-$L$51)*3/4</f>
      </c>
      <c r="M186" s="227">
        <f>$L$33*3/4</f>
      </c>
    </row>
    <row r="187">
      <c r="K187" s="237"/>
      <c r="L187" s="227">
        <v>0</v>
      </c>
      <c r="M187" s="227">
        <f>$L$33*3/4</f>
      </c>
    </row>
    <row r="188">
      <c r="K188" s="237" t="inlineStr">
        <is>
          <t xml:space="preserve">Pressão adotada por painel</t>
        </is>
      </c>
      <c r="L188" s="227">
        <f>P99</f>
      </c>
      <c r="M188" s="227">
        <f>$L$33-M99</f>
      </c>
    </row>
    <row r="189">
      <c r="K189" s="237"/>
      <c r="L189" s="227">
        <f>P99</f>
      </c>
      <c r="M189" s="227">
        <f>$L$33-L99</f>
      </c>
    </row>
    <row r="190">
      <c r="K190" s="237"/>
      <c r="L190" s="227">
        <f>IF(L100="",L189,P100)</f>
      </c>
      <c r="M190" s="227">
        <f>IF(L100="",M189,$L$33-M100)</f>
      </c>
    </row>
    <row r="191">
      <c r="K191" s="237"/>
      <c r="L191" s="227">
        <f>IF(L100="",L190,P100)</f>
      </c>
      <c r="M191" s="227">
        <f>IF(L100="",M190,$L$33-L100)</f>
      </c>
    </row>
    <row r="192">
      <c r="K192" s="237"/>
      <c r="L192" s="227">
        <f>IF(L101="",L191,P101)</f>
      </c>
      <c r="M192" s="227">
        <f>IF(L101="",M191,$L$33-M101)</f>
      </c>
    </row>
    <row r="193">
      <c r="K193" s="237"/>
      <c r="L193" s="227">
        <f>IF(L101="",L192,P101)</f>
      </c>
      <c r="M193" s="227">
        <f>IF(L101="",M192,$L$33-L101)</f>
      </c>
    </row>
    <row r="194">
      <c r="K194" s="237"/>
      <c r="L194" s="227">
        <f>IF(L102="",L193,P102)</f>
      </c>
      <c r="M194" s="227">
        <f>IF(L102="",M193,$L$33-M102)</f>
      </c>
    </row>
    <row r="195">
      <c r="K195" s="237"/>
      <c r="L195" s="227">
        <f>IF(L102="",L194,P102)</f>
      </c>
      <c r="M195" s="227">
        <f>IF(L102="",M194,$L$33-L102)</f>
      </c>
    </row>
    <row r="196">
      <c r="K196" s="237"/>
      <c r="L196" s="227">
        <f>IF(L103="",L195,P103)</f>
      </c>
      <c r="M196" s="227">
        <f>IF(L103="",M195,$L$33-M103)</f>
      </c>
    </row>
    <row r="197">
      <c r="K197" s="237"/>
      <c r="L197" s="227">
        <f>IF(L103="",L196,P103)</f>
      </c>
      <c r="M197" s="227">
        <f>IF(L103="",M196,$L$33-L103)</f>
      </c>
    </row>
    <row r="198">
      <c r="K198" s="237"/>
      <c r="L198" s="227">
        <f>IF(L104="",L197,P104)</f>
      </c>
      <c r="M198" s="227">
        <f>IF(L104="",M197,$L$33-M104)</f>
      </c>
    </row>
    <row r="199">
      <c r="K199" s="237"/>
      <c r="L199" s="227">
        <f>IF(L104="",L198,P104)</f>
      </c>
      <c r="M199" s="227">
        <f>IF(L104="",M198,$L$33-L104)</f>
      </c>
    </row>
    <row r="200">
      <c r="K200" s="237"/>
      <c r="L200" s="227">
        <f>IF(L105="",L199,P105)</f>
      </c>
      <c r="M200" s="227">
        <f>IF(L105="",M199,$L$33-M105)</f>
      </c>
    </row>
    <row r="201">
      <c r="K201" s="237"/>
      <c r="L201" s="227">
        <f>IF(L105="",L200,P105)</f>
      </c>
      <c r="M201" s="227">
        <f>IF(L105="",M200,$L$33-L105)</f>
      </c>
    </row>
    <row r="202">
      <c r="K202" s="237"/>
      <c r="L202" s="227">
        <f>IF(L106="",L201,P106)</f>
      </c>
      <c r="M202" s="227">
        <f>IF(L106="",M201,$L$33-M106)</f>
      </c>
    </row>
    <row r="203">
      <c r="K203" s="237"/>
      <c r="L203" s="227">
        <f>IF(L106="",L202,P106)</f>
      </c>
      <c r="M203" s="227">
        <f>IF(L106="",M202,$L$33-L106)</f>
      </c>
    </row>
    <row r="204">
      <c r="K204" s="237"/>
      <c r="L204" s="227">
        <f>IF(L107="",L203,P107)</f>
      </c>
      <c r="M204" s="227">
        <f>IF(L107="",M203,$L$33-M107)</f>
      </c>
    </row>
    <row r="205">
      <c r="K205" s="237"/>
      <c r="L205" s="227">
        <f>IF(L107="",L204,P107)</f>
      </c>
      <c r="M205" s="227">
        <f>IF(L107="",M204,$L$33-L107)</f>
      </c>
    </row>
    <row r="206">
      <c r="K206" s="237"/>
      <c r="L206" s="227">
        <f>IF(L108="",L205,P108)</f>
      </c>
      <c r="M206" s="227">
        <f>IF(L108="",M205,$L$33-M108)</f>
      </c>
    </row>
    <row r="207">
      <c r="K207" s="237"/>
      <c r="L207" s="227">
        <f>IF(L108="",L206,P108)</f>
      </c>
      <c r="M207" s="227">
        <f>IF(L108="",M206,$L$33-L108)</f>
      </c>
    </row>
    <row r="208">
      <c r="K208" s="237" t="inlineStr">
        <is>
          <t xml:space="preserve">junta 1</t>
        </is>
      </c>
      <c r="L208" s="227">
        <f>IF($L$35*1&lt;$L$33,0,NA())</f>
      </c>
      <c r="M208" s="227">
        <f>$L$35*1</f>
      </c>
    </row>
    <row r="209">
      <c r="K209" s="237"/>
      <c r="L209" s="227">
        <f>IF($L$35*1&lt;$L$33,$L$52*1.05,NA())</f>
      </c>
      <c r="M209" s="227">
        <f>$L$35*1</f>
      </c>
    </row>
    <row r="210">
      <c r="K210" s="237" t="inlineStr">
        <is>
          <t xml:space="preserve">junta 2</t>
        </is>
      </c>
      <c r="L210" s="227">
        <f>IF($L$35*2&lt;$L$33,0,NA())</f>
      </c>
      <c r="M210" s="227">
        <f>$L$35*2</f>
      </c>
    </row>
    <row r="211">
      <c r="K211" s="237"/>
      <c r="L211" s="227">
        <f>IF($L$35*2&lt;$L$33,$L$52*1.05,NA())</f>
      </c>
      <c r="M211" s="227">
        <f>$L$35*2</f>
      </c>
    </row>
    <row r="212">
      <c r="K212" s="237" t="inlineStr">
        <is>
          <t xml:space="preserve">junta 3</t>
        </is>
      </c>
      <c r="L212" s="227">
        <f>IF($L$35*3&lt;$L$33,0,NA())</f>
      </c>
      <c r="M212" s="227">
        <f>$L$35*3</f>
      </c>
    </row>
    <row r="213">
      <c r="K213" s="237"/>
      <c r="L213" s="227">
        <f>IF($L$35*3&lt;$L$33,$L$52*1.05,NA())</f>
      </c>
      <c r="M213" s="227">
        <f>$L$35*3</f>
      </c>
    </row>
    <row r="214">
      <c r="K214" s="237" t="inlineStr">
        <is>
          <t xml:space="preserve">junta 4</t>
        </is>
      </c>
      <c r="L214" s="227">
        <f>IF($L$35*4&lt;$L$33,0,NA())</f>
      </c>
      <c r="M214" s="227">
        <f>$L$35*4</f>
      </c>
    </row>
    <row r="215">
      <c r="K215" s="237"/>
      <c r="L215" s="227">
        <f>IF($L$35*4&lt;$L$33,$L$52*1.05,NA())</f>
      </c>
      <c r="M215" s="227">
        <f>$L$35*4</f>
      </c>
    </row>
    <row r="216">
      <c r="K216" s="237" t="inlineStr">
        <is>
          <t xml:space="preserve">junta 5</t>
        </is>
      </c>
      <c r="L216" s="227">
        <f>IF($L$35*5&lt;$L$33,0,NA())</f>
      </c>
      <c r="M216" s="227">
        <f>$L$35*5</f>
      </c>
    </row>
    <row r="217">
      <c r="K217" s="237"/>
      <c r="L217" s="227">
        <f>IF($L$35*5&lt;$L$33,$L$52*1.05,NA())</f>
      </c>
      <c r="M217" s="227">
        <f>$L$35*5</f>
      </c>
    </row>
    <row r="218">
      <c r="K218" s="237" t="inlineStr">
        <is>
          <t xml:space="preserve">junta 6</t>
        </is>
      </c>
      <c r="L218" s="227">
        <f>IF($L$35*6&lt;$L$33,0,NA())</f>
      </c>
      <c r="M218" s="227">
        <f>$L$35*6</f>
      </c>
    </row>
    <row r="219">
      <c r="K219" s="237"/>
      <c r="L219" s="227">
        <f>IF($L$35*6&lt;$L$33,$L$52*1.05,NA())</f>
      </c>
      <c r="M219" s="227">
        <f>$L$35*6</f>
      </c>
    </row>
    <row r="220">
      <c r="K220" s="237" t="inlineStr">
        <is>
          <t xml:space="preserve">junta 7</t>
        </is>
      </c>
      <c r="L220" s="227">
        <f>IF($L$35*7&lt;$L$33,0,NA())</f>
      </c>
      <c r="M220" s="227">
        <f>$L$35*7</f>
      </c>
    </row>
    <row r="221">
      <c r="K221" s="237"/>
      <c r="L221" s="227">
        <f>IF($L$35*7&lt;$L$33,$L$52*1.05,NA())</f>
      </c>
      <c r="M221" s="227">
        <f>$L$35*7</f>
      </c>
    </row>
    <row r="222">
      <c r="K222" s="237" t="inlineStr">
        <is>
          <t xml:space="preserve">junta 8</t>
        </is>
      </c>
      <c r="L222" s="227">
        <f>IF($L$35*8&lt;$L$33,0,NA())</f>
      </c>
      <c r="M222" s="227">
        <f>$L$35*8</f>
      </c>
    </row>
    <row r="223">
      <c r="K223" s="237"/>
      <c r="L223" s="227">
        <f>IF($L$35*8&lt;$L$33,$L$52*1.05,NA())</f>
      </c>
      <c r="M223" s="227">
        <f>$L$35*8</f>
      </c>
    </row>
    <row r="224">
      <c r="K224" s="237" t="inlineStr">
        <is>
          <t xml:space="preserve">junta 9</t>
        </is>
      </c>
      <c r="L224" s="227">
        <f>IF($L$35*9&lt;$L$33,0,NA())</f>
      </c>
      <c r="M224" s="227">
        <f>$L$35*9</f>
      </c>
    </row>
    <row r="225">
      <c r="K225" s="237"/>
      <c r="L225" s="227">
        <f>IF($L$35*9&lt;$L$33,$L$52*1.05,NA())</f>
      </c>
      <c r="M225" s="227">
        <f>$L$35*9</f>
      </c>
    </row>
    <row r="226">
      <c r="K226" s="237">
        <f>"σq = "&amp;FIXED($L$51,2)&amp;" kN/m² (Sc)"</f>
      </c>
      <c r="L226" s="227">
        <f>$L$51</f>
      </c>
      <c r="M226" s="227">
        <f>$L$33</f>
      </c>
    </row>
    <row r="227">
      <c r="K227" s="237">
        <f>"σ,base = "&amp;FIXED($L$52,2)&amp;" kN/m² = solo "&amp;FIXED($L$53,2)&amp;" + Sc "&amp;FIXED($L$51,2)</f>
      </c>
      <c r="L227" s="227">
        <f>$L$52</f>
      </c>
      <c r="M227" s="227">
        <v>0</v>
      </c>
    </row>
    <row r="228">
      <c r="K228" s="237">
        <f>IF(L99="","","P1: g = "&amp;FIXED(Q99,2)&amp;" | q = "&amp;FIXED(R99,2)&amp;" kN/m")</f>
      </c>
      <c r="L228" s="227">
        <f>IF(L99="",NA(),P99)</f>
      </c>
      <c r="M228" s="227">
        <f>IF(L99="",NA(),$L$33-(L99+M99)/2)</f>
      </c>
    </row>
    <row r="229">
      <c r="K229" s="237">
        <f>IF(L100="","","P2: g = "&amp;FIXED(Q100,2)&amp;" | q = "&amp;FIXED(R100,2)&amp;" kN/m")</f>
      </c>
      <c r="L229" s="227">
        <f>IF(L100="",NA(),P100)</f>
      </c>
      <c r="M229" s="227">
        <f>IF(L100="",NA(),$L$33-(L100+M100)/2)</f>
      </c>
    </row>
    <row r="230">
      <c r="K230" s="237">
        <f>IF(L101="","","P3: g = "&amp;FIXED(Q101,2)&amp;" | q = "&amp;FIXED(R101,2)&amp;" kN/m")</f>
      </c>
      <c r="L230" s="227">
        <f>IF(L101="",NA(),P101)</f>
      </c>
      <c r="M230" s="227">
        <f>IF(L101="",NA(),$L$33-(L101+M101)/2)</f>
      </c>
    </row>
    <row r="231">
      <c r="K231" s="237">
        <f>IF(L102="","","P4: g = "&amp;FIXED(Q102,2)&amp;" | q = "&amp;FIXED(R102,2)&amp;" kN/m")</f>
      </c>
      <c r="L231" s="227">
        <f>IF(L102="",NA(),P102)</f>
      </c>
      <c r="M231" s="227">
        <f>IF(L102="",NA(),$L$33-(L102+M102)/2)</f>
      </c>
    </row>
    <row r="232">
      <c r="K232" s="237">
        <f>IF(L103="","","P5: g = "&amp;FIXED(Q103,2)&amp;" | q = "&amp;FIXED(R103,2)&amp;" kN/m")</f>
      </c>
      <c r="L232" s="227">
        <f>IF(L103="",NA(),P103)</f>
      </c>
      <c r="M232" s="227">
        <f>IF(L103="",NA(),$L$33-(L103+M103)/2)</f>
      </c>
    </row>
    <row r="233">
      <c r="K233" s="237">
        <f>IF(L104="","","P6: g = "&amp;FIXED(Q104,2)&amp;" | q = "&amp;FIXED(R104,2)&amp;" kN/m")</f>
      </c>
      <c r="L233" s="227">
        <f>IF(L104="",NA(),P104)</f>
      </c>
      <c r="M233" s="227">
        <f>IF(L104="",NA(),$L$33-(L104+M104)/2)</f>
      </c>
    </row>
    <row r="234">
      <c r="K234" s="237">
        <f>IF(L105="","","P7: g = "&amp;FIXED(Q105,2)&amp;" | q = "&amp;FIXED(R105,2)&amp;" kN/m")</f>
      </c>
      <c r="L234" s="227">
        <f>IF(L105="",NA(),P105)</f>
      </c>
      <c r="M234" s="227">
        <f>IF(L105="",NA(),$L$33-(L105+M105)/2)</f>
      </c>
    </row>
    <row r="235">
      <c r="K235" s="237">
        <f>IF(L106="","","P8: g = "&amp;FIXED(Q106,2)&amp;" | q = "&amp;FIXED(R106,2)&amp;" kN/m")</f>
      </c>
      <c r="L235" s="227">
        <f>IF(L106="",NA(),P106)</f>
      </c>
      <c r="M235" s="227">
        <f>IF(L106="",NA(),$L$33-(L106+M106)/2)</f>
      </c>
    </row>
    <row r="236">
      <c r="K236" s="237">
        <f>IF(L107="","","P9: g = "&amp;FIXED(Q107,2)&amp;" | q = "&amp;FIXED(R107,2)&amp;" kN/m")</f>
      </c>
      <c r="L236" s="227">
        <f>IF(L107="",NA(),P107)</f>
      </c>
      <c r="M236" s="227">
        <f>IF(L107="",NA(),$L$33-(L107+M107)/2)</f>
      </c>
    </row>
    <row r="237">
      <c r="K237" s="237">
        <f>IF(L108="","","P10: g = "&amp;FIXED(Q108,2)&amp;" | q = "&amp;FIXED(R108,2)&amp;" kN/m")</f>
      </c>
      <c r="L237" s="227">
        <f>IF(L108="",NA(),P108)</f>
      </c>
      <c r="M237" s="227">
        <f>IF(L108="",NA(),$L$33-(L108+M108)/2)</f>
      </c>
    </row>
    <row r="239">
      <c r="K239" s="221" t="inlineStr">
        <is>
          <t xml:space="preserve">7 . CONFERÊNCIA DA ABA MURO DE ARRIMO</t>
        </is>
      </c>
      <c r="L239" s="221"/>
      <c r="M239" s="221"/>
      <c r="N239" s="221"/>
      <c r="O239" s="221"/>
      <c r="P239" s="221"/>
      <c r="Q239" s="221"/>
      <c r="R239" s="221"/>
      <c r="S239" s="221"/>
      <c r="T239" s="221"/>
    </row>
    <row r="241" ht="18" customHeight="1">
      <c r="K241" s="220" t="inlineStr">
        <is>
          <t xml:space="preserve">Pontos encontrados na aba original (nada foi alterado nela). Esta aba já calcula tudo corrigido.</t>
        </is>
      </c>
      <c r="L241" s="220"/>
      <c r="M241" s="220"/>
      <c r="N241" s="220"/>
      <c r="O241" s="220"/>
      <c r="P241" s="220"/>
      <c r="Q241" s="220"/>
      <c r="R241" s="220"/>
      <c r="S241" s="220"/>
      <c r="T241" s="220"/>
    </row>
    <row r="242">
      <c r="K242" s="222" t="inlineStr">
        <is>
          <t xml:space="preserve">7.1 Região L2:X40 (a que você usa)</t>
        </is>
      </c>
    </row>
    <row r="243" ht="17" customHeight="1">
      <c r="K243" s="238" t="inlineStr">
        <is>
          <t xml:space="preserve">M11:M12</t>
        </is>
      </c>
      <c r="L243" s="243" t="inlineStr">
        <is>
          <t xml:space="preserve">#REF! – referência apagada. São cópias antigas de M22/M23 (corretas). Podem ser apagadas.</t>
        </is>
      </c>
      <c r="M243" s="243"/>
      <c r="N243" s="243"/>
      <c r="O243" s="243"/>
      <c r="P243" s="243"/>
      <c r="Q243" s="243"/>
      <c r="R243" s="243"/>
      <c r="S243" s="243"/>
      <c r="T243" s="243"/>
    </row>
    <row r="244" ht="32" customHeight="1">
      <c r="K244" s="238" t="inlineStr">
        <is>
          <t xml:space="preserve">M22:M26</t>
        </is>
      </c>
      <c r="L244" s="243" t="inlineStr">
        <is>
          <t xml:space="preserve">Carga no pilar só com o solo, sem a sobrecarga Sc (M30/M31 já incluem). Aqui: E (com Sc) e E,solo (sem Sc) – item 3.2.</t>
        </is>
      </c>
      <c r="M244" s="243"/>
      <c r="N244" s="243"/>
      <c r="O244" s="243"/>
      <c r="P244" s="243"/>
      <c r="Q244" s="243"/>
      <c r="R244" s="243"/>
      <c r="S244" s="243"/>
      <c r="T244" s="243"/>
    </row>
    <row r="245" ht="17" customHeight="1">
      <c r="K245" s="238" t="inlineStr">
        <is>
          <t xml:space="preserve">M26</t>
        </is>
      </c>
      <c r="L245" s="243" t="inlineStr">
        <is>
          <t xml:space="preserve">Momento sem unidade: o resultado é em tf·m (base do pilar em balanço, sem Sc).</t>
        </is>
      </c>
      <c r="M245" s="243"/>
      <c r="N245" s="243"/>
      <c r="O245" s="243"/>
      <c r="P245" s="243"/>
      <c r="Q245" s="243"/>
      <c r="R245" s="243"/>
      <c r="S245" s="243"/>
      <c r="T245" s="243"/>
    </row>
    <row r="246" ht="17" customHeight="1">
      <c r="K246" s="238" t="inlineStr">
        <is>
          <t xml:space="preserve">M28</t>
        </is>
      </c>
      <c r="L246" s="243" t="inlineStr">
        <is>
          <t xml:space="preserve">M25·M24/M27 com M27 = M25 → sempre igual a M24 (redundante, não é erro).</t>
        </is>
      </c>
      <c r="M246" s="243"/>
      <c r="N246" s="243"/>
      <c r="O246" s="243"/>
      <c r="P246" s="243"/>
      <c r="Q246" s="243"/>
      <c r="R246" s="243"/>
      <c r="S246" s="243"/>
      <c r="T246" s="243"/>
    </row>
    <row r="247" ht="17" customHeight="1">
      <c r="K247" s="238" t="inlineStr">
        <is>
          <t xml:space="preserve">M34</t>
        </is>
      </c>
      <c r="L247" s="243" t="inlineStr">
        <is>
          <t xml:space="preserve">Só vale na cota 0 (usa H² na parcela uniforme). M36 é a fórmula certa para qualquer cota.</t>
        </is>
      </c>
      <c r="M247" s="243"/>
      <c r="N247" s="243"/>
      <c r="O247" s="243"/>
      <c r="P247" s="243"/>
      <c r="Q247" s="243"/>
      <c r="R247" s="243"/>
      <c r="S247" s="243"/>
      <c r="T247" s="243"/>
    </row>
    <row r="248" ht="32" customHeight="1">
      <c r="K248" s="238" t="inlineStr">
        <is>
          <t xml:space="preserve">M40</t>
        </is>
      </c>
      <c r="L248" s="243" t="inlineStr">
        <is>
          <t xml:space="preserve">'Biapoiado' é na verdade engastado na base e apoiado no topo. Certo na cota 0 (−78,15 kN·m); para cota ≠ 0 os termos em x estão com sinal trocado e x²·Δp/2 aparece duplicado. Corrigido no item 4.1.</t>
        </is>
      </c>
      <c r="M248" s="243"/>
      <c r="N248" s="243"/>
      <c r="O248" s="243"/>
      <c r="P248" s="243"/>
      <c r="Q248" s="243"/>
      <c r="R248" s="243"/>
      <c r="S248" s="243"/>
      <c r="T248" s="243"/>
    </row>
    <row r="249" ht="17" customHeight="1">
      <c r="K249" s="238" t="inlineStr">
        <is>
          <t xml:space="preserve">P22:R27</t>
        </is>
      </c>
      <c r="L249" s="243" t="inlineStr">
        <is>
          <t xml:space="preserve">Laje alveolar correta para o painel inferior (pressão na base × bw). O item 5 detalha todos os painéis.</t>
        </is>
      </c>
      <c r="M249" s="243"/>
      <c r="N249" s="243"/>
      <c r="O249" s="243"/>
      <c r="P249" s="243"/>
      <c r="Q249" s="243"/>
      <c r="R249" s="243"/>
      <c r="S249" s="243"/>
      <c r="T249" s="243"/>
    </row>
    <row r="250" ht="17" customHeight="1">
      <c r="K250" s="238" t="inlineStr">
        <is>
          <t xml:space="preserve">M24</t>
        </is>
      </c>
      <c r="L250" s="243" t="inlineStr">
        <is>
          <t xml:space="preserve">kN → tf por ×0,1 (1 tf = 9,81 kN) fica ~2% abaixo do exato; mantido por ser a convenção usual.</t>
        </is>
      </c>
      <c r="M250" s="243"/>
      <c r="N250" s="243"/>
      <c r="O250" s="243"/>
      <c r="P250" s="243"/>
      <c r="Q250" s="243"/>
      <c r="R250" s="243"/>
      <c r="S250" s="243"/>
      <c r="T250" s="243"/>
    </row>
    <row r="251" ht="32" customHeight="1">
      <c r="K251" s="238" t="inlineStr">
        <is>
          <t xml:space="preserve">M8</t>
        </is>
      </c>
      <c r="L251" s="243" t="inlineStr">
        <is>
          <t xml:space="preserve">Pilar travado no topo quase não se desloca: empuxo em repouso (K0) é mais realista que o ativo. Para φ = 18°: Ka = 0,53 e K0 = 0,69 (+31%). Use a entrada Empuxo (item 1.3).</t>
        </is>
      </c>
      <c r="M251" s="243"/>
      <c r="N251" s="243"/>
      <c r="O251" s="243"/>
      <c r="P251" s="243"/>
      <c r="Q251" s="243"/>
      <c r="R251" s="243"/>
      <c r="S251" s="243"/>
      <c r="T251" s="243"/>
    </row>
    <row r="252">
      <c r="K252" s="222" t="inlineStr">
        <is>
          <t xml:space="preserve">7.2 Restante da aba (colunas A–C)</t>
        </is>
      </c>
    </row>
    <row r="253" ht="32" customHeight="1">
      <c r="K253" s="238" t="inlineStr">
        <is>
          <t xml:space="preserve">B20 / B28</t>
        </is>
      </c>
      <c r="L253" s="243" t="inlineStr">
        <is>
          <t xml:space="preserve">#NUM! e #DIV/0!: a alvenaria pede 3,43 cm²/m e Ø8 em todo furo dá só 2,51 cm²/m → espaçamento '0 furos' e divisão por zero. Na prática: Ø8 não basta, usar Ø10 em todo furo (3,93 cm²/m).</t>
        </is>
      </c>
      <c r="M253" s="243"/>
      <c r="N253" s="243"/>
      <c r="O253" s="243"/>
      <c r="P253" s="243"/>
      <c r="Q253" s="243"/>
      <c r="R253" s="243"/>
      <c r="S253" s="243"/>
      <c r="T253" s="243"/>
    </row>
    <row r="254" ht="17" customHeight="1">
      <c r="K254" s="238" t="inlineStr">
        <is>
          <t xml:space="preserve">B8 / B9</t>
        </is>
      </c>
      <c r="L254" s="243" t="inlineStr">
        <is>
          <t xml:space="preserve">Coesão e φ dão 0: NSPT (B4) = 0 não existe na tabela DADOS DO SOLO. Sem efeito, pois o Ka de B33 é digitado.</t>
        </is>
      </c>
      <c r="M254" s="243"/>
      <c r="N254" s="243"/>
      <c r="O254" s="243"/>
      <c r="P254" s="243"/>
      <c r="Q254" s="243"/>
      <c r="R254" s="243"/>
      <c r="S254" s="243"/>
      <c r="T254" s="243"/>
    </row>
    <row r="255" ht="32" customHeight="1">
      <c r="K255" s="238" t="inlineStr">
        <is>
          <t xml:space="preserve">B33</t>
        </is>
      </c>
      <c r="L255" s="243" t="inlineStr">
        <is>
          <t xml:space="preserve">Ka = 0,36 digitado, sem ligação com φ. A aba usa 3 valores diferentes: 0,36 (B33), 0,528 (M8) e 0,75 (CÁLCULO FECHAMENTO).</t>
        </is>
      </c>
      <c r="M255" s="243"/>
      <c r="N255" s="243"/>
      <c r="O255" s="243"/>
      <c r="P255" s="243"/>
      <c r="Q255" s="243"/>
      <c r="R255" s="243"/>
      <c r="S255" s="243"/>
      <c r="T255" s="243"/>
    </row>
    <row r="256" ht="32" customHeight="1">
      <c r="K256" s="238" t="inlineStr">
        <is>
          <t xml:space="preserve">B24</t>
        </is>
      </c>
      <c r="L256" s="243" t="inlineStr">
        <is>
          <t xml:space="preserve">Esbeltez do pilar usa a altura da alvenaria (1,75 m) em vez da do pilar (3,85 m). Com 3,85 m dá ≈ 25,7 &lt; 30 → segue 'Sim', por acaso.</t>
        </is>
      </c>
      <c r="M256" s="243"/>
      <c r="N256" s="243"/>
      <c r="O256" s="243"/>
      <c r="P256" s="243"/>
      <c r="Q256" s="243"/>
      <c r="R256" s="243"/>
      <c r="S256" s="243"/>
      <c r="T256" s="243"/>
    </row>
    <row r="257" ht="32" customHeight="1">
      <c r="K257" s="238" t="inlineStr">
        <is>
          <t xml:space="preserve">B52:B66</t>
        </is>
      </c>
      <c r="L257" s="243" t="inlineStr">
        <is>
          <t xml:space="preserve">Pilar 20×30 não passa: Kc = 0,25 fora de tabela, Ks = 0,028 digitado não corresponde, As = 58 cm² (48 barras). Momento com (H/3 + 0,6) sem origem clara e sem Sc.</t>
        </is>
      </c>
      <c r="M257" s="243"/>
      <c r="N257" s="243"/>
      <c r="O257" s="243"/>
      <c r="P257" s="243"/>
      <c r="Q257" s="243"/>
      <c r="R257" s="243"/>
      <c r="S257" s="243"/>
      <c r="T257" s="243"/>
    </row>
    <row r="258" ht="17" customHeight="1">
      <c r="K258" s="238" t="inlineStr">
        <is>
          <t xml:space="preserve">B15</t>
        </is>
      </c>
      <c r="L258" s="243" t="inlineStr">
        <is>
          <t xml:space="preserve">TABELAS LÍBANO com μ digitados para La/Lb = 0,91: se mudar H ou D, os coeficientes não se atualizam.</t>
        </is>
      </c>
      <c r="M258" s="243"/>
      <c r="N258" s="243"/>
      <c r="O258" s="243"/>
      <c r="P258" s="243"/>
      <c r="Q258" s="243"/>
      <c r="R258" s="243"/>
      <c r="S258" s="243"/>
      <c r="T258" s="243"/>
    </row>
    <row r="259" ht="17" customHeight="1">
      <c r="K259" s="238" t="inlineStr">
        <is>
          <t xml:space="preserve">B90</t>
        </is>
      </c>
      <c r="L259" s="243" t="inlineStr">
        <is>
          <t xml:space="preserve">Peso da sapata fixo (1,2 × 1,0 × 0,5 m).</t>
        </is>
      </c>
      <c r="M259" s="243"/>
      <c r="N259" s="243"/>
      <c r="O259" s="243"/>
      <c r="P259" s="243"/>
      <c r="Q259" s="243"/>
      <c r="R259" s="243"/>
      <c r="S259" s="243"/>
      <c r="T259" s="243"/>
    </row>
  </sheetData>
  <mergeCells count="59">
    <mergeCell ref="K1:T1"/>
    <mergeCell ref="K6:T6"/>
    <mergeCell ref="K8:T8"/>
    <mergeCell ref="K26:T26"/>
    <mergeCell ref="K42:T42"/>
    <mergeCell ref="K44:T44"/>
    <mergeCell ref="K55:T55"/>
    <mergeCell ref="K57:T57"/>
    <mergeCell ref="K69:T69"/>
    <mergeCell ref="K71:T71"/>
    <mergeCell ref="K85:T85"/>
    <mergeCell ref="K87:T87"/>
    <mergeCell ref="K110:T110"/>
    <mergeCell ref="K112:T112"/>
    <mergeCell ref="K239:T239"/>
    <mergeCell ref="K241:T241"/>
    <mergeCell ref="L243:T243"/>
    <mergeCell ref="L244:T244"/>
    <mergeCell ref="L245:T245"/>
    <mergeCell ref="L246:T246"/>
    <mergeCell ref="L247:T247"/>
    <mergeCell ref="L248:T248"/>
    <mergeCell ref="L249:T249"/>
    <mergeCell ref="L250:T250"/>
    <mergeCell ref="L251:T251"/>
    <mergeCell ref="L253:T253"/>
    <mergeCell ref="L254:T254"/>
    <mergeCell ref="L255:T255"/>
    <mergeCell ref="L256:T256"/>
    <mergeCell ref="L257:T257"/>
    <mergeCell ref="L258:T258"/>
    <mergeCell ref="L259:T259"/>
    <mergeCell ref="L10:M10"/>
    <mergeCell ref="O10:T10"/>
    <mergeCell ref="L11:M11"/>
    <mergeCell ref="L12:T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K2:L2"/>
    <mergeCell ref="M2:N2"/>
    <mergeCell ref="O2:Q2"/>
    <mergeCell ref="R2:T2"/>
    <mergeCell ref="K3:L3"/>
    <mergeCell ref="M3:N3"/>
    <mergeCell ref="O3:Q3"/>
    <mergeCell ref="R3:T3"/>
    <mergeCell ref="K4:L4"/>
    <mergeCell ref="M4:N4"/>
    <mergeCell ref="O4:Q4"/>
    <mergeCell ref="R4:T4"/>
  </mergeCells>
  <conditionalFormatting sqref="N83 N89 N11 N13 N14 N15 N16 N17 N18 N19 N20 N21 N22 N23">
    <cfRule type="beginsWith" dxfId="6" priority="1" operator="beginsWith" text="Ok">
      <formula>LEFT(N83,2)="Ok"</formula>
    </cfRule>
  </conditionalFormatting>
  <conditionalFormatting sqref="N83 N89 N11 N13 N14 N15 N16 N17 N18 N19 N20 N21 N22 N23">
    <cfRule type="beginsWith" dxfId="5" priority="2" operator="beginsWith" text="Não se aplica">
      <formula>LEFT(N83,13)="Não se aplica"</formula>
    </cfRule>
  </conditionalFormatting>
  <dataValidations count="2">
    <dataValidation type="list" allowBlank="1" showErrorMessage="1" sqref="L38">
      <formula1>"Ativo,Repouso"</formula1>
    </dataValidation>
    <dataValidation type="list" allowBlank="1" showErrorMessage="1" sqref="L39">
      <formula1>$K$74:$K$76</formula1>
    </dataValidation>
  </dataValidations>
  <pageMargins left="0.511811024" right="0.511811024" top="0.787401575" bottom="0.787401575" header="0.31496062" footer="0.31496062"/>
  <pageSetup paperSize="9" fitToHeight="0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K1:T639"/>
  <sheetViews>
    <sheetView showGridLines="0" view="pageBreakPreview" topLeftCell="J1" zoomScaleNormal="100" zoomScaleSheetLayoutView="100" workbookViewId="0">
      <pane ySplit="5" topLeftCell="J6" activePane="bottomLeft" state="frozen"/>
      <selection pane="bottomLeft" activeCell="O2" sqref="O2"/>
    </sheetView>
  </sheetViews>
  <sheetFormatPr defaultRowHeight="15"/>
  <cols>
    <col min="10" max="10" width="2.7109375" customWidth="1"/>
    <col min="11" max="11" width="13.7109375" customWidth="1"/>
    <col min="12" max="12" width="12.7109375" customWidth="1"/>
    <col min="13" max="13" width="9.7109375" customWidth="1"/>
    <col min="14" max="14" width="27.7109375" customWidth="1"/>
    <col min="15" max="15" width="13.42578125" customWidth="1"/>
  </cols>
  <sheetData>
    <row r="1">
      <c r="K1" s="219" t="inlineStr">
        <is>
          <t xml:space="preserve">DIMENSIONAMENTO DO PILAR COMO VIGA BIAPOIADA – FLEXÃO SIMPLES E ESTRIBOS (NBR 6118)</t>
        </is>
      </c>
      <c r="L1" s="219"/>
      <c r="M1" s="219"/>
      <c r="N1" s="219"/>
      <c r="O1" s="219"/>
      <c r="P1" s="219"/>
      <c r="Q1" s="219"/>
      <c r="R1" s="219"/>
      <c r="S1" s="219"/>
      <c r="T1" s="219"/>
    </row>
    <row r="2" ht="32" customHeight="1">
      <c r="K2" s="239" t="inlineStr">
        <is>
          <t xml:space="preserve">ARMADURA LONGITUDINAL</t>
        </is>
      </c>
      <c r="L2" s="239"/>
      <c r="M2" s="240">
        <f>"As,nec = "&amp;FIXED($L$109,2)&amp;" cm²/face"</f>
      </c>
      <c r="N2" s="240"/>
      <c r="O2" s="241">
        <v>20</v>
      </c>
      <c r="P2" s="240">
        <f>$L$111&amp;" Ø por face: "&amp;$L$182&amp;" N1 corridas + "&amp;$L$183&amp;" adicionais ("&amp;FIXED($L$112,2)&amp;" cm²) | livre "&amp;FIXED($L$117,2)&amp;" cm"</f>
      </c>
      <c r="Q2" s="240"/>
      <c r="R2" s="240"/>
      <c r="S2" s="242">
        <f>IF($L$117&lt;$L$115,"NÃO OK – "&amp;"Espaço livre "&amp;FIXED($L$117,2)&amp;" &lt; "&amp;FIXED($L$115,2)&amp;" cm ("&amp;$L$116&amp;")",IF($L$114&gt;4,"NÃO OK – taxa &gt; 4%",IF($L$42&lt;10,"NÃO OK – Ø &lt; 10 mm",IF($L$42&gt;$L$39*10/8,"NÃO OK – Ø &gt; b/8","OK"))))</f>
      </c>
      <c r="T2" s="242"/>
    </row>
    <row r="3" ht="32" customHeight="1">
      <c r="K3" s="239" t="inlineStr">
        <is>
          <t xml:space="preserve">ARMADURA TRANSVERSAL</t>
        </is>
      </c>
      <c r="L3" s="239"/>
      <c r="M3" s="240">
        <f>"Asw,nec = "&amp;FIXED($L$133,2)&amp;" cm²/m (máx.)"</f>
      </c>
      <c r="N3" s="240"/>
      <c r="O3" s="241">
        <v>6.3</v>
      </c>
      <c r="P3" s="240">
        <f>("Ø"&amp;$L$41&amp;": "&amp;IF(N148&lt;=0,"","c/"&amp;S148&amp;" ("&amp;FIXED(L148,1)&amp;"–"&amp;FIXED(M148,1)&amp;" m)")&amp;IF(N149&lt;=0,""," | "&amp;"c/"&amp;S149&amp;" ("&amp;FIXED(L149,1)&amp;"–"&amp;FIXED(M149,1)&amp;" m)")&amp;IF(N150&lt;=0,""," | "&amp;"c/"&amp;S150&amp;" ("&amp;FIXED(L150,1)&amp;"–"&amp;FIXED(M150,1)&amp;" m)")&amp;IF(N151&lt;=0,""," | "&amp;"c/"&amp;S151&amp;" ("&amp;FIXED(L151,1)&amp;"–"&amp;FIXED(M151,1)&amp;" m)")&amp;IF(N152&lt;=0,""," | "&amp;"c/"&amp;S152&amp;" ("&amp;FIXED(L152,1)&amp;"–"&amp;FIXED(M152,1)&amp;" m)")&amp;IF(N153&lt;=0,""," | "&amp;"c/"&amp;S153&amp;" ("&amp;FIXED(L153,1)&amp;"–"&amp;FIXED(M153,1)&amp;" m)"))</f>
      </c>
      <c r="Q3" s="240"/>
      <c r="R3" s="240"/>
      <c r="S3" s="242">
        <f>IF($L$123&gt;$L$124,"NÃO OK – biela: aumentar seção",IF($L$41&lt;$L$139,"NÃO OK – Ø,t &lt; Ø,l/4",(IF(ABS($L$155-$L$142)&gt;0.01,"NÃO OK – soma das zonas ≠ H",IF($L$156&lt;5,"NÃO OK – s &lt; 5 cm: aumentar Ø","OK")))))</f>
      </c>
      <c r="T3" s="242"/>
    </row>
    <row r="4" ht="32" customHeight="1">
      <c r="K4" s="239" t="inlineStr">
        <is>
          <t xml:space="preserve">FLEXÃO / ESFORÇOS</t>
        </is>
      </c>
      <c r="L4" s="239"/>
      <c r="M4" s="240">
        <f>"Md+ = "&amp;FIXED($L$83,1)&amp;" | Md− = "&amp;FIXED($L$94,1)&amp;" kN·m"</f>
      </c>
      <c r="N4" s="240"/>
      <c r="O4" s="240">
        <f>"Md,lim = "&amp;FIXED($L$78,1)&amp;" kN·m | Vsd = "&amp;FIXED($L$123,1)&amp;" kN ("&amp;$L$45&amp;")"</f>
      </c>
      <c r="P4" s="240"/>
      <c r="Q4" s="240"/>
      <c r="R4" s="240"/>
      <c r="S4" s="242">
        <f>IF(MAX($L$83,$L$94)&gt;$L$78,"NÃO OK – arm. dupla: h ≥ "&amp;ROUNDUP($L$79+$L$75,0)&amp;" cm","OK – arm. simples")</f>
      </c>
      <c r="T4" s="242"/>
    </row>
    <row r="5" ht="32" customHeight="1">
      <c r="K5" s="239" t="inlineStr">
        <is>
          <t xml:space="preserve">TAXA DE AÇO</t>
        </is>
      </c>
      <c r="L5" s="239"/>
      <c r="M5" s="240">
        <f>"ρ,long = "&amp;FIXED($L$114,2)&amp;" % (0,4% a 4%)"</f>
      </c>
      <c r="N5" s="240"/>
      <c r="O5" s="240">
        <f>"Longit. "&amp;FIXED($L$323,1)&amp;" + estribos "&amp;FIXED($L$324,1)&amp;" = "&amp;FIXED($L$325,1)&amp;" kg/m³"</f>
      </c>
      <c r="P5" s="240"/>
      <c r="Q5" s="240"/>
      <c r="R5" s="240"/>
      <c r="S5" s="242">
        <f>IF($L$114&gt;4,"NÃO OK – ρ &gt; 4%",IF($L$114&lt;0.4,"NÃO OK – ρ &lt; 0,4%","OK"))</f>
      </c>
      <c r="T5" s="242"/>
    </row>
    <row r="6" ht="60" customHeight="1">
      <c r="K6" s="220" t="inlineStr">
        <is>
          <t xml:space="preserve">Como usar: células CINZA são entradas; os esforços vêm da aba CONTENÇÃO RÁPIDA (pode sobrescrever). Pilar tratado como viga (flexão simples, sem a força normal). Armadura longitudinal SIMÉTRICA: as duas faces recebem a mesma armadura, dimensionada pela pior situação entre a seção do vão (M+) e a da base (M−). Estribos pelo Modelo I (θ = 45°, α = 90°).</t>
        </is>
      </c>
      <c r="L6" s="220"/>
      <c r="M6" s="220"/>
      <c r="N6" s="220"/>
      <c r="O6" s="220"/>
      <c r="P6" s="220"/>
      <c r="Q6" s="220"/>
      <c r="R6" s="220"/>
      <c r="S6" s="220"/>
      <c r="T6" s="220"/>
    </row>
    <row r="8">
      <c r="K8" s="221" t="inlineStr">
        <is>
          <t xml:space="preserve">RESUMO DAS VERIFICAÇÕES E ARMADURAS</t>
        </is>
      </c>
      <c r="L8" s="221"/>
      <c r="M8" s="221"/>
      <c r="N8" s="221"/>
      <c r="O8" s="221"/>
      <c r="P8" s="221"/>
      <c r="Q8" s="221"/>
      <c r="R8" s="221"/>
      <c r="S8" s="221"/>
      <c r="T8" s="221"/>
    </row>
    <row r="10">
      <c r="K10" s="235" t="inlineStr">
        <is>
          <t xml:space="preserve">Item</t>
        </is>
      </c>
      <c r="L10" s="235" t="inlineStr">
        <is>
          <t xml:space="preserve">Resultado</t>
        </is>
      </c>
      <c r="M10" s="235"/>
      <c r="N10" s="235" t="inlineStr">
        <is>
          <t xml:space="preserve">Status</t>
        </is>
      </c>
      <c r="O10" s="235" t="inlineStr">
        <is>
          <t xml:space="preserve">O que é</t>
        </is>
      </c>
      <c r="P10" s="235"/>
      <c r="Q10" s="235"/>
      <c r="R10" s="235"/>
      <c r="S10" s="235"/>
      <c r="T10" s="235"/>
    </row>
    <row r="11">
      <c r="K11" s="223" t="inlineStr">
        <is>
          <t xml:space="preserve">Esforços</t>
        </is>
      </c>
      <c r="L11" s="236">
        <f>"Md+ = "&amp;FIXED($L$83,1)&amp;" | Md− = "&amp;FIXED($L$94,1)</f>
      </c>
      <c r="M11" s="236"/>
      <c r="N11" s="232">
        <f>IF(ISNA(MATCH($L$45,'CONTENÇÃO RÁPIDA'!$K$74:$K$76,0)),"Rever: modelo inválido","Ok")</f>
      </c>
      <c r="O11" s="233" t="inlineStr">
        <is>
          <t xml:space="preserve">Momentos de cálculo (kN·m) do modelo escolhido – item 1.4</t>
        </is>
      </c>
    </row>
    <row r="12" ht="32" customHeight="1">
      <c r="K12" s="223" t="inlineStr">
        <is>
          <t xml:space="preserve">Aviso</t>
        </is>
      </c>
      <c r="L12" s="234">
        <f>IF(MAX($L$83,$L$94)&gt;$L$78,"⚠ Armadura dupla: a seção "&amp;$L$39&amp;"×"&amp;$L$38&amp;" é pequena para Md = "&amp;FIXED(MAX($L$83,$L$94),1)&amp;" kN·m. Para armadura simples use h ≥ "&amp;ROUNDUP($L$79+$L$75,0)&amp;" cm.","Flexão simples (sem a força normal): se o pilar tiver compressão relevante, confira a flexo-compressão no programa.")</f>
      </c>
      <c r="M12" s="234"/>
      <c r="N12" s="234"/>
      <c r="O12" s="234"/>
      <c r="P12" s="234"/>
      <c r="Q12" s="234"/>
      <c r="R12" s="234"/>
      <c r="S12" s="234"/>
      <c r="T12" s="234"/>
    </row>
    <row r="13">
      <c r="K13" s="223" t="inlineStr">
        <is>
          <t xml:space="preserve">Seção do vão</t>
        </is>
      </c>
      <c r="L13" s="236">
        <f>$L$84</f>
      </c>
      <c r="M13" s="236"/>
      <c r="N13" s="232">
        <f>IF($L$83=0,"Não se aplica (M = 0)",IF($L$83&lt;=$L$78,"Ok","Arm. dupla – ver d,mín"))</f>
      </c>
      <c r="O13" s="233" t="inlineStr">
        <is>
          <t xml:space="preserve">Flexão com M+ – item 3</t>
        </is>
      </c>
    </row>
    <row r="14">
      <c r="K14" s="223" t="inlineStr">
        <is>
          <t xml:space="preserve">Seção da base</t>
        </is>
      </c>
      <c r="L14" s="236">
        <f>$L$95</f>
      </c>
      <c r="M14" s="236"/>
      <c r="N14" s="232">
        <f>IF($L$94=0,"Não se aplica (M = 0)",IF($L$94&lt;=$L$78,"Ok","Arm. dupla – ver d,mín"))</f>
      </c>
      <c r="O14" s="233" t="inlineStr">
        <is>
          <t xml:space="preserve">Flexão com M− – item 4</t>
        </is>
      </c>
    </row>
    <row r="15">
      <c r="K15" s="223" t="inlineStr">
        <is>
          <t xml:space="preserve">Arm. por face</t>
        </is>
      </c>
      <c r="L15" s="236">
        <f>$L$111&amp;" Ø"&amp;$L$42&amp;" ("&amp;FIXED($L$112,2)&amp;" cm²)"</f>
      </c>
      <c r="M15" s="236"/>
      <c r="N15" s="232">
        <f>IF($L$117&lt;$L$115,"Espaço livre "&amp;FIXED($L$117,2)&amp;" &lt; "&amp;FIXED($L$115,2)&amp;" cm ("&amp;$L$116&amp;")","Ok")</f>
      </c>
      <c r="O15" s="233" t="inlineStr">
        <is>
          <t xml:space="preserve">Mesma armadura nas duas faces (simétrica) – item 5</t>
        </is>
      </c>
    </row>
    <row r="16">
      <c r="K16" s="223" t="inlineStr">
        <is>
          <t xml:space="preserve">Taxa total</t>
        </is>
      </c>
      <c r="L16" s="236">
        <f>FIXED($L$114,2)&amp;" %"</f>
      </c>
      <c r="M16" s="236"/>
      <c r="N16" s="232">
        <f>IF($L$114&gt;4,"Rever: taxa &gt; 4%",IF($L$114&lt;0.4,"Rever: taxa &lt; 0,4%","Ok"))</f>
      </c>
      <c r="O16" s="233" t="inlineStr">
        <is>
          <t xml:space="preserve">Armadura total / Ac – item 5</t>
        </is>
      </c>
    </row>
    <row r="17">
      <c r="K17" s="223" t="inlineStr">
        <is>
          <t xml:space="preserve">Biela</t>
        </is>
      </c>
      <c r="L17" s="236">
        <f>FIXED($L$123,1)&amp;" ≤ "&amp;FIXED($L$124,1)&amp;" kN"</f>
      </c>
      <c r="M17" s="236"/>
      <c r="N17" s="232">
        <f>IF($L$123&lt;=$L$124,"Ok","Aumentar seção ou fck")</f>
      </c>
      <c r="O17" s="233" t="inlineStr">
        <is>
          <t xml:space="preserve">Vsd ≤ VRd2 – item 6.1</t>
        </is>
      </c>
    </row>
    <row r="18">
      <c r="K18" s="223" t="inlineStr">
        <is>
          <t xml:space="preserve">Estribos</t>
        </is>
      </c>
      <c r="L18" s="236">
        <f>"Ø"&amp;$L$41&amp;" – "&amp;$L$154&amp;" estribos"</f>
      </c>
      <c r="M18" s="236"/>
      <c r="N18" s="232">
        <f>(IF(ABS($L$155-$L$142)&gt;0.01,"NÃO OK – soma das zonas ≠ H",IF($L$156&lt;5,"NÃO OK – s &lt; 5 cm: aumentar Ø","OK")))</f>
      </c>
      <c r="O18" s="233" t="inlineStr">
        <is>
          <t xml:space="preserve">Estribos em toda a altura do pilar – item 6.2</t>
        </is>
      </c>
    </row>
    <row r="26">
      <c r="K26" s="221" t="inlineStr">
        <is>
          <t xml:space="preserve">1 . DADOS DE ENTRADA</t>
        </is>
      </c>
      <c r="L26" s="221"/>
      <c r="M26" s="221"/>
      <c r="N26" s="221"/>
      <c r="O26" s="221"/>
      <c r="P26" s="221"/>
      <c r="Q26" s="221"/>
      <c r="R26" s="221"/>
      <c r="S26" s="221"/>
      <c r="T26" s="221"/>
    </row>
    <row r="28">
      <c r="K28" s="222" t="inlineStr">
        <is>
          <t xml:space="preserve">1.1 Coeficientes</t>
        </is>
      </c>
    </row>
    <row r="29">
      <c r="K29" s="223" t="inlineStr">
        <is>
          <t xml:space="preserve">γf</t>
        </is>
      </c>
      <c r="L29" s="224">
        <v>1.4</v>
      </c>
      <c r="M29" s="231" t="inlineStr">
        <is>
          <t xml:space="preserve">-</t>
        </is>
      </c>
      <c r="O29" s="233" t="inlineStr">
        <is>
          <t xml:space="preserve">Coeficiente de majoração das cargas.</t>
        </is>
      </c>
    </row>
    <row r="30">
      <c r="K30" s="223" t="inlineStr">
        <is>
          <t xml:space="preserve">γc</t>
        </is>
      </c>
      <c r="L30" s="224">
        <v>1.3</v>
      </c>
      <c r="M30" s="231" t="inlineStr">
        <is>
          <t xml:space="preserve">-</t>
        </is>
      </c>
      <c r="O30" s="233" t="inlineStr">
        <is>
          <t xml:space="preserve">Coeficiente de minoração do concreto.</t>
        </is>
      </c>
    </row>
    <row r="31">
      <c r="K31" s="223" t="inlineStr">
        <is>
          <t xml:space="preserve">γs</t>
        </is>
      </c>
      <c r="L31" s="224">
        <v>1.1</v>
      </c>
      <c r="M31" s="231" t="inlineStr">
        <is>
          <t xml:space="preserve">-</t>
        </is>
      </c>
      <c r="O31" s="233" t="inlineStr">
        <is>
          <t xml:space="preserve">Coeficiente de minoração do aço.</t>
        </is>
      </c>
    </row>
    <row r="32">
      <c r="K32" s="222" t="inlineStr">
        <is>
          <t xml:space="preserve">1.2 Materiais</t>
        </is>
      </c>
    </row>
    <row r="33">
      <c r="K33" s="223" t="inlineStr">
        <is>
          <t xml:space="preserve">fck</t>
        </is>
      </c>
      <c r="L33" s="224">
        <v>40</v>
      </c>
      <c r="M33" s="231" t="inlineStr">
        <is>
          <t xml:space="preserve">MPa</t>
        </is>
      </c>
      <c r="N33" s="232">
        <f>IF(OR($L$33&lt;20,$L$33&gt;50),"Rever: fck entre 20 e 50 MPa","Ok")</f>
      </c>
      <c r="O33" s="233" t="inlineStr">
        <is>
          <t xml:space="preserve">Resistência característica do concreto (até 50 MPa).</t>
        </is>
      </c>
    </row>
    <row r="34">
      <c r="K34" s="223" t="inlineStr">
        <is>
          <t xml:space="preserve">fyk</t>
        </is>
      </c>
      <c r="L34" s="224">
        <v>500</v>
      </c>
      <c r="M34" s="231" t="inlineStr">
        <is>
          <t xml:space="preserve">MPa</t>
        </is>
      </c>
      <c r="O34" s="233" t="inlineStr">
        <is>
          <t xml:space="preserve">Aço da armadura longitudinal (CA-50).</t>
        </is>
      </c>
    </row>
    <row r="35">
      <c r="K35" s="223" t="inlineStr">
        <is>
          <t xml:space="preserve">fywk</t>
        </is>
      </c>
      <c r="L35" s="224">
        <v>500</v>
      </c>
      <c r="M35" s="231" t="inlineStr">
        <is>
          <t xml:space="preserve">MPa</t>
        </is>
      </c>
      <c r="O35" s="233" t="inlineStr">
        <is>
          <t xml:space="preserve">Aço dos estribos (CA-50 = 500; CA-60 = 600).</t>
        </is>
      </c>
    </row>
    <row r="36">
      <c r="K36" s="223" t="inlineStr">
        <is>
          <t xml:space="preserve">d,máx</t>
        </is>
      </c>
      <c r="L36" s="224">
        <v>19</v>
      </c>
      <c r="M36" s="231" t="inlineStr">
        <is>
          <t xml:space="preserve">mm</t>
        </is>
      </c>
      <c r="O36" s="233" t="inlineStr">
        <is>
          <t xml:space="preserve">Diâmetro máximo do agregado (brita 1 = 19 mm).</t>
        </is>
      </c>
    </row>
    <row r="37">
      <c r="K37" s="222" t="inlineStr">
        <is>
          <t xml:space="preserve">1.3 Seção do pilar</t>
        </is>
      </c>
    </row>
    <row r="38">
      <c r="K38" s="223" t="inlineStr">
        <is>
          <t xml:space="preserve">h</t>
        </is>
      </c>
      <c r="L38" s="224">
        <v>50</v>
      </c>
      <c r="M38" s="231" t="inlineStr">
        <is>
          <t xml:space="preserve">cm</t>
        </is>
      </c>
      <c r="O38" s="233" t="inlineStr">
        <is>
          <t xml:space="preserve">Dimensão na direção do empuxo (altura da seção que resiste à flexão).</t>
        </is>
      </c>
    </row>
    <row r="39">
      <c r="K39" s="223" t="inlineStr">
        <is>
          <t xml:space="preserve">b</t>
        </is>
      </c>
      <c r="L39" s="224">
        <v>30</v>
      </c>
      <c r="M39" s="231" t="inlineStr">
        <is>
          <t xml:space="preserve">cm</t>
        </is>
      </c>
      <c r="O39" s="233" t="inlineStr">
        <is>
          <t xml:space="preserve">Dimensão da face onde ficam as barras (largura da 'viga').</t>
        </is>
      </c>
    </row>
    <row r="40">
      <c r="K40" s="223" t="inlineStr">
        <is>
          <t xml:space="preserve">c</t>
        </is>
      </c>
      <c r="L40" s="224">
        <v>3</v>
      </c>
      <c r="M40" s="231" t="inlineStr">
        <is>
          <t xml:space="preserve">cm</t>
        </is>
      </c>
      <c r="O40" s="233" t="inlineStr">
        <is>
          <t xml:space="preserve">Cobrimento (CAA II: pilar 3,0 cm).</t>
        </is>
      </c>
    </row>
    <row r="41">
      <c r="K41" s="223" t="inlineStr">
        <is>
          <t xml:space="preserve">Ø,t</t>
        </is>
      </c>
      <c r="L41" s="227">
        <f>$O$3</f>
      </c>
      <c r="M41" s="231" t="inlineStr">
        <is>
          <t xml:space="preserve">mm</t>
        </is>
      </c>
      <c r="O41" s="233" t="inlineStr">
        <is>
          <t xml:space="preserve">Bitola do estribo – escolha no painel do topo (linha 3).</t>
        </is>
      </c>
    </row>
    <row r="42">
      <c r="K42" s="223" t="inlineStr">
        <is>
          <t xml:space="preserve">Ø,l</t>
        </is>
      </c>
      <c r="L42" s="227">
        <f>$O$2</f>
      </c>
      <c r="M42" s="231" t="inlineStr">
        <is>
          <t xml:space="preserve">mm</t>
        </is>
      </c>
      <c r="N42" s="232">
        <f>IF($L$42&lt;10,"Rever: pilar pede Ø ≥ 10 mm",IF($L$42&gt;$L$39*10/8,"Rever: Ø &gt; b/8","Ok"))</f>
      </c>
      <c r="O42" s="233" t="inlineStr">
        <is>
          <t xml:space="preserve">Bitola longitudinal – escolha no painel do topo (linha 2).</t>
        </is>
      </c>
    </row>
    <row r="43">
      <c r="K43" s="223" t="inlineStr">
        <is>
          <t xml:space="preserve">ramos</t>
        </is>
      </c>
      <c r="L43" s="224">
        <v>2</v>
      </c>
      <c r="M43" s="231" t="inlineStr">
        <is>
          <t xml:space="preserve">-</t>
        </is>
      </c>
      <c r="O43" s="233" t="inlineStr">
        <is>
          <t xml:space="preserve">Ramos de cada estribo (estribo fechado = 2).</t>
        </is>
      </c>
    </row>
    <row r="44">
      <c r="K44" s="222" t="inlineStr">
        <is>
          <t xml:space="preserve">1.4 Esforços característicos (da aba CONTENÇÃO RÁPIDA)</t>
        </is>
      </c>
    </row>
    <row r="45">
      <c r="K45" s="223" t="inlineStr">
        <is>
          <t xml:space="preserve">Modelo</t>
        </is>
      </c>
      <c r="L45" s="224" t="inlineStr">
        <is>
          <t xml:space="preserve">Biapoiado</t>
        </is>
      </c>
      <c r="M45" s="231" t="inlineStr">
        <is>
          <t xml:space="preserve">-</t>
        </is>
      </c>
      <c r="N45" s="232">
        <f>IF(ISNA(MATCH($L$45,'CONTENÇÃO RÁPIDA'!$K$74:$K$76,0)),"Rever: modelo inválido","Ok")</f>
      </c>
      <c r="O45" s="233" t="inlineStr">
        <is>
          <t xml:space="preserve">Modelo do pilar: Biapoiado (padrão), Engaste-apoio ou Balanço.</t>
        </is>
      </c>
    </row>
    <row r="46">
      <c r="K46" s="223" t="inlineStr">
        <is>
          <t xml:space="preserve">Mk+</t>
        </is>
      </c>
      <c r="L46" s="225">
        <f>MAX(0,IFERROR(INDEX('CONTENÇÃO RÁPIDA'!$O$74:$O$76,MATCH($L$45,'CONTENÇÃO RÁPIDA'!$K$74:$K$76,0)),0))</f>
      </c>
      <c r="M46" s="231" t="inlineStr">
        <is>
          <t xml:space="preserve">kN·m</t>
        </is>
      </c>
      <c r="O46" s="233" t="inlineStr">
        <is>
          <t xml:space="preserve">Momento positivo máximo (vão) – tração na face externa.</t>
        </is>
      </c>
    </row>
    <row r="47">
      <c r="K47" s="223" t="inlineStr">
        <is>
          <t xml:space="preserve">Mk−</t>
        </is>
      </c>
      <c r="L47" s="225">
        <f>ABS(MIN(0,IFERROR(INDEX('CONTENÇÃO RÁPIDA'!$N$74:$N$76,MATCH($L$45,'CONTENÇÃO RÁPIDA'!$K$74:$K$76,0)),0)))</f>
      </c>
      <c r="M47" s="231" t="inlineStr">
        <is>
          <t xml:space="preserve">kN·m</t>
        </is>
      </c>
      <c r="O47" s="233" t="inlineStr">
        <is>
          <t xml:space="preserve">Momento negativo na base (em módulo) – tração na face do solo.</t>
        </is>
      </c>
    </row>
    <row r="48">
      <c r="K48" s="223" t="inlineStr">
        <is>
          <t xml:space="preserve">Vk</t>
        </is>
      </c>
      <c r="L48" s="225">
        <f>MAX(IFERROR(INDEX('CONTENÇÃO RÁPIDA'!$L$74:$L$76,MATCH($L$45,'CONTENÇÃO RÁPIDA'!$K$74:$K$76,0)),0),IFERROR(INDEX('CONTENÇÃO RÁPIDA'!$M$74:$M$76,MATCH($L$45,'CONTENÇÃO RÁPIDA'!$K$74:$K$76,0)),0))</f>
      </c>
      <c r="M48" s="231" t="inlineStr">
        <is>
          <t xml:space="preserve">kN</t>
        </is>
      </c>
      <c r="O48" s="233" t="inlineStr">
        <is>
          <t xml:space="preserve">Maior cortante = maior reação (R,topo ou R,base).</t>
        </is>
      </c>
    </row>
    <row r="49">
      <c r="K49" s="223" t="inlineStr">
        <is>
          <t xml:space="preserve">Nk</t>
        </is>
      </c>
      <c r="L49" s="224">
        <v>0</v>
      </c>
      <c r="M49" s="231" t="inlineStr">
        <is>
          <t xml:space="preserve">kN</t>
        </is>
      </c>
      <c r="O49" s="233" t="inlineStr">
        <is>
          <t xml:space="preserve">Força normal no pilar (compressão). Usada só na armadura mínima de pilar.</t>
        </is>
      </c>
    </row>
    <row r="50">
      <c r="K50" s="222" t="inlineStr">
        <is>
          <t xml:space="preserve">1.6 Bitolas disponíveis (lista do painel do topo)</t>
        </is>
      </c>
    </row>
    <row r="51">
      <c r="K51" s="235" t="inlineStr">
        <is>
          <t xml:space="preserve">Ø (mm)</t>
        </is>
      </c>
      <c r="L51" s="235" t="inlineStr">
        <is>
          <t xml:space="preserve">Área (cm²)</t>
        </is>
      </c>
    </row>
    <row r="52">
      <c r="K52" s="224">
        <v>5</v>
      </c>
      <c r="L52" s="228">
        <f>PI()*(K52/10)^2/4</f>
      </c>
    </row>
    <row r="53">
      <c r="K53" s="224">
        <v>6.3</v>
      </c>
      <c r="L53" s="228">
        <f>PI()*(K53/10)^2/4</f>
      </c>
    </row>
    <row r="54">
      <c r="K54" s="224">
        <v>8</v>
      </c>
      <c r="L54" s="228">
        <f>PI()*(K54/10)^2/4</f>
      </c>
    </row>
    <row r="55">
      <c r="K55" s="224">
        <v>10</v>
      </c>
      <c r="L55" s="228">
        <f>PI()*(K55/10)^2/4</f>
      </c>
    </row>
    <row r="56">
      <c r="K56" s="224">
        <v>12.5</v>
      </c>
      <c r="L56" s="228">
        <f>PI()*(K56/10)^2/4</f>
      </c>
    </row>
    <row r="57">
      <c r="K57" s="224">
        <v>16</v>
      </c>
      <c r="L57" s="228">
        <f>PI()*(K57/10)^2/4</f>
      </c>
    </row>
    <row r="58">
      <c r="K58" s="224">
        <v>20</v>
      </c>
      <c r="L58" s="228">
        <f>PI()*(K58/10)^2/4</f>
      </c>
    </row>
    <row r="59">
      <c r="K59" s="224">
        <v>25</v>
      </c>
      <c r="L59" s="228">
        <f>PI()*(K59/10)^2/4</f>
      </c>
    </row>
    <row r="60">
      <c r="K60" s="224">
        <v>32</v>
      </c>
      <c r="L60" s="228">
        <f>PI()*(K60/10)^2/4</f>
      </c>
    </row>
    <row r="61">
      <c r="K61" s="222" t="inlineStr">
        <is>
          <t xml:space="preserve">1.5 Tabela ρ,mín (NBR 6118, tab. 17.3)</t>
        </is>
      </c>
    </row>
    <row r="62">
      <c r="K62" s="235" t="inlineStr">
        <is>
          <t xml:space="preserve">fck (MPa)</t>
        </is>
      </c>
      <c r="L62" s="235" t="inlineStr">
        <is>
          <t xml:space="preserve">ρ,mín (%)</t>
        </is>
      </c>
    </row>
    <row r="63">
      <c r="K63" s="237">
        <v>20</v>
      </c>
      <c r="L63" s="226">
        <v>0.15</v>
      </c>
    </row>
    <row r="64">
      <c r="K64" s="237">
        <v>25</v>
      </c>
      <c r="L64" s="226">
        <v>0.15</v>
      </c>
    </row>
    <row r="65">
      <c r="K65" s="237">
        <v>30</v>
      </c>
      <c r="L65" s="226">
        <v>0.15</v>
      </c>
    </row>
    <row r="66">
      <c r="K66" s="237">
        <v>35</v>
      </c>
      <c r="L66" s="226">
        <v>0.164</v>
      </c>
    </row>
    <row r="67">
      <c r="K67" s="237">
        <v>40</v>
      </c>
      <c r="L67" s="226">
        <v>0.179</v>
      </c>
    </row>
    <row r="68">
      <c r="K68" s="237">
        <v>45</v>
      </c>
      <c r="L68" s="226">
        <v>0.194</v>
      </c>
    </row>
    <row r="69">
      <c r="K69" s="237">
        <v>50</v>
      </c>
      <c r="L69" s="226">
        <v>0.208</v>
      </c>
    </row>
    <row r="71">
      <c r="K71" s="221" t="inlineStr">
        <is>
          <t xml:space="preserve">2 . PARÂMETROS DE CÁLCULO</t>
        </is>
      </c>
      <c r="L71" s="221"/>
      <c r="M71" s="221"/>
      <c r="N71" s="221"/>
      <c r="O71" s="221"/>
      <c r="P71" s="221"/>
      <c r="Q71" s="221"/>
      <c r="R71" s="221"/>
      <c r="S71" s="221"/>
      <c r="T71" s="221"/>
    </row>
    <row r="73">
      <c r="K73" s="223" t="inlineStr">
        <is>
          <t xml:space="preserve">fcd</t>
        </is>
      </c>
      <c r="L73" s="227">
        <f>$L$33/$L$30</f>
      </c>
      <c r="M73" s="231" t="inlineStr">
        <is>
          <t xml:space="preserve">MPa</t>
        </is>
      </c>
      <c r="O73" s="233" t="inlineStr">
        <is>
          <t xml:space="preserve">Resistência de cálculo do concreto.</t>
        </is>
      </c>
    </row>
    <row r="74">
      <c r="K74" s="223" t="inlineStr">
        <is>
          <t xml:space="preserve">fyd</t>
        </is>
      </c>
      <c r="L74" s="227">
        <f>$L$34/$L$31</f>
      </c>
      <c r="M74" s="231" t="inlineStr">
        <is>
          <t xml:space="preserve">MPa</t>
        </is>
      </c>
      <c r="O74" s="233" t="inlineStr">
        <is>
          <t xml:space="preserve">Resistência de cálculo do aço.</t>
        </is>
      </c>
    </row>
    <row r="75">
      <c r="K75" s="223" t="inlineStr">
        <is>
          <t xml:space="preserve">d'</t>
        </is>
      </c>
      <c r="L75" s="227">
        <f>$L$40+$L$41/10+$L$42/20</f>
      </c>
      <c r="M75" s="231" t="inlineStr">
        <is>
          <t xml:space="preserve">cm</t>
        </is>
      </c>
      <c r="O75" s="233" t="inlineStr">
        <is>
          <t xml:space="preserve">Distância da face ao eixo das barras (c + Ø,t + Ø,l/2).</t>
        </is>
      </c>
    </row>
    <row r="76">
      <c r="K76" s="223" t="inlineStr">
        <is>
          <t xml:space="preserve">d</t>
        </is>
      </c>
      <c r="L76" s="227">
        <f>$L$38-$L$75</f>
      </c>
      <c r="M76" s="231" t="inlineStr">
        <is>
          <t xml:space="preserve">cm</t>
        </is>
      </c>
      <c r="O76" s="233" t="inlineStr">
        <is>
          <t xml:space="preserve">Altura útil (h − d').</t>
        </is>
      </c>
    </row>
    <row r="77">
      <c r="K77" s="223" t="inlineStr">
        <is>
          <t xml:space="preserve">(x/d)lim</t>
        </is>
      </c>
      <c r="L77" s="227">
        <v>0.45</v>
      </c>
      <c r="M77" s="231" t="inlineStr">
        <is>
          <t xml:space="preserve">-</t>
        </is>
      </c>
      <c r="O77" s="233" t="inlineStr">
        <is>
          <t xml:space="preserve">Limite da linha neutra para fck ≤ 50 MPa (ductilidade).</t>
        </is>
      </c>
    </row>
    <row r="78">
      <c r="K78" s="223" t="inlineStr">
        <is>
          <t xml:space="preserve">Md,lim</t>
        </is>
      </c>
      <c r="L78" s="227">
        <f>0.68*$L$39*$L$76^2*$L$73/10*$L$77*(1-0.4*$L$77)/100</f>
      </c>
      <c r="M78" s="231" t="inlineStr">
        <is>
          <t xml:space="preserve">kN·m</t>
        </is>
      </c>
      <c r="O78" s="233" t="inlineStr">
        <is>
          <t xml:space="preserve">Maior momento de cálculo só com armadura simples.</t>
        </is>
      </c>
    </row>
    <row r="79">
      <c r="K79" s="223" t="inlineStr">
        <is>
          <t xml:space="preserve">d,mín</t>
        </is>
      </c>
      <c r="L79" s="227">
        <f>SQRT(MAX($L$46,$L$47)*$L$29*100/(0.68*$L$39*$L$73/10*$L$77*(1-0.4*$L$77)))</f>
      </c>
      <c r="M79" s="231" t="inlineStr">
        <is>
          <t xml:space="preserve">cm</t>
        </is>
      </c>
      <c r="N79" s="232">
        <f>IF($L$76&gt;=$L$79,"Ok","Aumentar h para "&amp;ROUNDUP($L$79+$L$75,0)&amp;" cm (arm. simples)")</f>
      </c>
      <c r="O79" s="233" t="inlineStr">
        <is>
          <t xml:space="preserve">Altura útil mínima para armadura simples com o maior momento.</t>
        </is>
      </c>
    </row>
    <row r="81">
      <c r="K81" s="221" t="inlineStr">
        <is>
          <t xml:space="preserve">3 . FLEXÃO – SEÇÃO DO VÃO (M+)</t>
        </is>
      </c>
      <c r="L81" s="221"/>
      <c r="M81" s="221"/>
      <c r="N81" s="221"/>
      <c r="O81" s="221"/>
      <c r="P81" s="221"/>
      <c r="Q81" s="221"/>
      <c r="R81" s="221"/>
      <c r="S81" s="221"/>
      <c r="T81" s="221"/>
    </row>
    <row r="83">
      <c r="K83" s="223" t="inlineStr">
        <is>
          <t xml:space="preserve">Md</t>
        </is>
      </c>
      <c r="L83" s="227">
        <f>$L$46*$L$29</f>
      </c>
      <c r="M83" s="231" t="inlineStr">
        <is>
          <t xml:space="preserve">kN·m</t>
        </is>
      </c>
      <c r="O83" s="233" t="inlineStr">
        <is>
          <t xml:space="preserve">Momento de cálculo (γf·Mk).</t>
        </is>
      </c>
    </row>
    <row r="84">
      <c r="K84" s="223" t="inlineStr">
        <is>
          <t xml:space="preserve">Tipo</t>
        </is>
      </c>
      <c r="L84" s="230">
        <f>IF($L$83=0,"Não se aplica (M = 0)",IF($L$83&lt;=$L$78,"Armadura simples","Armadura dupla"))</f>
      </c>
      <c r="M84" s="231" t="inlineStr">
        <is>
          <t xml:space="preserve">-</t>
        </is>
      </c>
      <c r="N84" s="232">
        <f>IF($L$83=0,"Não se aplica (M = 0)",IF($L$83&lt;=$L$78,"Ok","Arm. dupla – ver d,mín (item 2)"))</f>
      </c>
      <c r="O84" s="233" t="inlineStr">
        <is>
          <t xml:space="preserve">Simples se Md ≤ Md,lim; dupla se maior.</t>
        </is>
      </c>
    </row>
    <row r="85">
      <c r="K85" s="223" t="inlineStr">
        <is>
          <t xml:space="preserve">x</t>
        </is>
      </c>
      <c r="L85" s="227">
        <f>IF($L$83&lt;=$L$78,1.25*$L$76*(1-SQRT(MAX(0,1-$L$83*100/(0.425*$L$39*$L$76^2*$L$73/10)))),$L$77*$L$76)</f>
      </c>
      <c r="M85" s="231" t="inlineStr">
        <is>
          <t xml:space="preserve">cm</t>
        </is>
      </c>
      <c r="O85" s="233" t="inlineStr">
        <is>
          <t xml:space="preserve">Profundidade da linha neutra.</t>
        </is>
      </c>
    </row>
    <row r="86">
      <c r="K86" s="223" t="inlineStr">
        <is>
          <t xml:space="preserve">x/d</t>
        </is>
      </c>
      <c r="L86" s="228">
        <f>IF($L$76=0,0,$L$85/$L$76)</f>
      </c>
      <c r="M86" s="231" t="inlineStr">
        <is>
          <t xml:space="preserve">-</t>
        </is>
      </c>
      <c r="O86" s="233" t="inlineStr">
        <is>
          <t xml:space="preserve">Posição relativa da linha neutra.</t>
        </is>
      </c>
    </row>
    <row r="87">
      <c r="K87" s="223" t="inlineStr">
        <is>
          <t xml:space="preserve">Domínio</t>
        </is>
      </c>
      <c r="L87" s="230">
        <f>IF($L$83=0,"-",IF($L$86&lt;=0.259,"2","3"))</f>
      </c>
      <c r="M87" s="231" t="inlineStr">
        <is>
          <t xml:space="preserve">-</t>
        </is>
      </c>
      <c r="O87" s="233" t="inlineStr">
        <is>
          <t xml:space="preserve">Domínio de deformação.</t>
        </is>
      </c>
    </row>
    <row r="88">
      <c r="K88" s="223" t="inlineStr">
        <is>
          <t xml:space="preserve">σsc</t>
        </is>
      </c>
      <c r="L88" s="227">
        <f>MIN($L$74,210000*0.0035*MAX(0,$L$85-$L$75)/MAX($L$85,0.001))</f>
      </c>
      <c r="M88" s="231" t="inlineStr">
        <is>
          <t xml:space="preserve">MPa</t>
        </is>
      </c>
      <c r="O88" s="233" t="inlineStr">
        <is>
          <t xml:space="preserve">Tensão na armadura comprimida (Es = 210 GPa, εc = 3,5‰), só na armadura dupla.</t>
        </is>
      </c>
    </row>
    <row r="89">
      <c r="K89" s="223" t="inlineStr">
        <is>
          <t xml:space="preserve">As,t</t>
        </is>
      </c>
      <c r="L89" s="227">
        <f>IF($L$83&lt;=$L$78,$L$83*100/($L$74/10*($L$76-0.4*$L$85)),$L$78*100/($L$74/10*($L$76-0.4*$L$85))+($L$83-$L$78)*100/($L$74/10*($L$76-$L$75)))</f>
      </c>
      <c r="M89" s="231" t="inlineStr">
        <is>
          <t xml:space="preserve">cm²</t>
        </is>
      </c>
      <c r="O89" s="233" t="inlineStr">
        <is>
          <t xml:space="preserve">Armadura tracionada – face externa.</t>
        </is>
      </c>
    </row>
    <row r="90">
      <c r="K90" s="223" t="inlineStr">
        <is>
          <t xml:space="preserve">As,c</t>
        </is>
      </c>
      <c r="L90" s="227">
        <f>IF($L$83&lt;=$L$78,0,($L$83-$L$78)*100/($L$88/10*($L$76-$L$75)))</f>
      </c>
      <c r="M90" s="231" t="inlineStr">
        <is>
          <t xml:space="preserve">cm²</t>
        </is>
      </c>
      <c r="O90" s="233" t="inlineStr">
        <is>
          <t xml:space="preserve">Armadura comprimida – face do solo (0 na armadura simples).</t>
        </is>
      </c>
    </row>
    <row r="92">
      <c r="K92" s="221" t="inlineStr">
        <is>
          <t xml:space="preserve">4 . FLEXÃO – SEÇÃO DA BASE (M−)</t>
        </is>
      </c>
      <c r="L92" s="221"/>
      <c r="M92" s="221"/>
      <c r="N92" s="221"/>
      <c r="O92" s="221"/>
      <c r="P92" s="221"/>
      <c r="Q92" s="221"/>
      <c r="R92" s="221"/>
      <c r="S92" s="221"/>
      <c r="T92" s="221"/>
    </row>
    <row r="94">
      <c r="K94" s="223" t="inlineStr">
        <is>
          <t xml:space="preserve">Md</t>
        </is>
      </c>
      <c r="L94" s="227">
        <f>$L$47*$L$29</f>
      </c>
      <c r="M94" s="231" t="inlineStr">
        <is>
          <t xml:space="preserve">kN·m</t>
        </is>
      </c>
      <c r="O94" s="233" t="inlineStr">
        <is>
          <t xml:space="preserve">Momento de cálculo (γf·Mk).</t>
        </is>
      </c>
    </row>
    <row r="95">
      <c r="K95" s="223" t="inlineStr">
        <is>
          <t xml:space="preserve">Tipo</t>
        </is>
      </c>
      <c r="L95" s="230">
        <f>IF($L$94=0,"Não se aplica (M = 0)",IF($L$94&lt;=$L$78,"Armadura simples","Armadura dupla"))</f>
      </c>
      <c r="M95" s="231" t="inlineStr">
        <is>
          <t xml:space="preserve">-</t>
        </is>
      </c>
      <c r="N95" s="232">
        <f>IF($L$94=0,"Não se aplica (M = 0)",IF($L$94&lt;=$L$78,"Ok","Arm. dupla – ver d,mín (item 2)"))</f>
      </c>
      <c r="O95" s="233" t="inlineStr">
        <is>
          <t xml:space="preserve">Simples se Md ≤ Md,lim; dupla se maior.</t>
        </is>
      </c>
    </row>
    <row r="96">
      <c r="K96" s="223" t="inlineStr">
        <is>
          <t xml:space="preserve">x</t>
        </is>
      </c>
      <c r="L96" s="227">
        <f>IF($L$94&lt;=$L$78,1.25*$L$76*(1-SQRT(MAX(0,1-$L$94*100/(0.425*$L$39*$L$76^2*$L$73/10)))),$L$77*$L$76)</f>
      </c>
      <c r="M96" s="231" t="inlineStr">
        <is>
          <t xml:space="preserve">cm</t>
        </is>
      </c>
      <c r="O96" s="233" t="inlineStr">
        <is>
          <t xml:space="preserve">Profundidade da linha neutra.</t>
        </is>
      </c>
    </row>
    <row r="97">
      <c r="K97" s="223" t="inlineStr">
        <is>
          <t xml:space="preserve">x/d</t>
        </is>
      </c>
      <c r="L97" s="228">
        <f>IF($L$76=0,0,$L$96/$L$76)</f>
      </c>
      <c r="M97" s="231" t="inlineStr">
        <is>
          <t xml:space="preserve">-</t>
        </is>
      </c>
      <c r="O97" s="233" t="inlineStr">
        <is>
          <t xml:space="preserve">Posição relativa da linha neutra.</t>
        </is>
      </c>
    </row>
    <row r="98">
      <c r="K98" s="223" t="inlineStr">
        <is>
          <t xml:space="preserve">Domínio</t>
        </is>
      </c>
      <c r="L98" s="230">
        <f>IF($L$94=0,"-",IF($L$97&lt;=0.259,"2","3"))</f>
      </c>
      <c r="M98" s="231" t="inlineStr">
        <is>
          <t xml:space="preserve">-</t>
        </is>
      </c>
      <c r="O98" s="233" t="inlineStr">
        <is>
          <t xml:space="preserve">Domínio de deformação.</t>
        </is>
      </c>
    </row>
    <row r="99">
      <c r="K99" s="223" t="inlineStr">
        <is>
          <t xml:space="preserve">σsc</t>
        </is>
      </c>
      <c r="L99" s="227">
        <f>MIN($L$74,210000*0.0035*MAX(0,$L$96-$L$75)/MAX($L$96,0.001))</f>
      </c>
      <c r="M99" s="231" t="inlineStr">
        <is>
          <t xml:space="preserve">MPa</t>
        </is>
      </c>
      <c r="O99" s="233" t="inlineStr">
        <is>
          <t xml:space="preserve">Tensão na armadura comprimida (Es = 210 GPa, εc = 3,5‰), só na armadura dupla.</t>
        </is>
      </c>
    </row>
    <row r="100">
      <c r="K100" s="223" t="inlineStr">
        <is>
          <t xml:space="preserve">As,t</t>
        </is>
      </c>
      <c r="L100" s="227">
        <f>IF($L$94&lt;=$L$78,$L$94*100/($L$74/10*($L$76-0.4*$L$96)),$L$78*100/($L$74/10*($L$76-0.4*$L$96))+($L$94-$L$78)*100/($L$74/10*($L$76-$L$75)))</f>
      </c>
      <c r="M100" s="231" t="inlineStr">
        <is>
          <t xml:space="preserve">cm²</t>
        </is>
      </c>
      <c r="O100" s="233" t="inlineStr">
        <is>
          <t xml:space="preserve">Armadura tracionada – face do solo.</t>
        </is>
      </c>
    </row>
    <row r="101">
      <c r="K101" s="223" t="inlineStr">
        <is>
          <t xml:space="preserve">As,c</t>
        </is>
      </c>
      <c r="L101" s="227">
        <f>IF($L$94&lt;=$L$78,0,($L$94-$L$78)*100/($L$99/10*($L$76-$L$75)))</f>
      </c>
      <c r="M101" s="231" t="inlineStr">
        <is>
          <t xml:space="preserve">cm²</t>
        </is>
      </c>
      <c r="O101" s="233" t="inlineStr">
        <is>
          <t xml:space="preserve">Armadura comprimida – face externa (0 na armadura simples).</t>
        </is>
      </c>
    </row>
    <row r="103">
      <c r="K103" s="221" t="inlineStr">
        <is>
          <t xml:space="preserve">5 . ARMADURA LONGITUDINAL SIMÉTRICA (mesma nas duas faces)</t>
        </is>
      </c>
      <c r="L103" s="221"/>
      <c r="M103" s="221"/>
      <c r="N103" s="221"/>
      <c r="O103" s="221"/>
      <c r="P103" s="221"/>
      <c r="Q103" s="221"/>
      <c r="R103" s="221"/>
      <c r="S103" s="221"/>
      <c r="T103" s="221"/>
    </row>
    <row r="105" ht="32" customHeight="1">
      <c r="K105" s="220" t="inlineStr">
        <is>
          <t xml:space="preserve">Cada face recebe a maior entre: tração do vão, tração da base, compressão da armadura dupla, mínima de viga (por face) e metade da mínima de pilar (0,4% Ac no total). As mesmas barras seguem por toda a altura, cobrindo as duas seções.</t>
        </is>
      </c>
      <c r="L105" s="220"/>
      <c r="M105" s="220"/>
      <c r="N105" s="220"/>
      <c r="O105" s="220"/>
      <c r="P105" s="220"/>
      <c r="Q105" s="220"/>
      <c r="R105" s="220"/>
      <c r="S105" s="220"/>
      <c r="T105" s="220"/>
    </row>
    <row r="106">
      <c r="K106" s="223" t="inlineStr">
        <is>
          <t xml:space="preserve">ρ,mín</t>
        </is>
      </c>
      <c r="L106" s="228">
        <f>VLOOKUP($L$33,$K$63:$L$69,2,TRUE)</f>
      </c>
      <c r="M106" s="231" t="inlineStr">
        <is>
          <t xml:space="preserve">%</t>
        </is>
      </c>
      <c r="O106" s="233" t="inlineStr">
        <is>
          <t xml:space="preserve">Taxa mínima de flexão (tabela 1.5).</t>
        </is>
      </c>
    </row>
    <row r="107">
      <c r="K107" s="223" t="inlineStr">
        <is>
          <t xml:space="preserve">As,mín,v</t>
        </is>
      </c>
      <c r="L107" s="227">
        <f>$L$106/100*$L$39*$L$38</f>
      </c>
      <c r="M107" s="231" t="inlineStr">
        <is>
          <t xml:space="preserve">cm²</t>
        </is>
      </c>
      <c r="O107" s="233" t="inlineStr">
        <is>
          <t xml:space="preserve">Mínima de viga, por face tracionada: ρ,mín·b·h.</t>
        </is>
      </c>
    </row>
    <row r="108">
      <c r="K108" s="223" t="inlineStr">
        <is>
          <t xml:space="preserve">As,mín,p</t>
        </is>
      </c>
      <c r="L108" s="227">
        <f>MAX(0.15*$L$49*$L$29/($L$74/10),0.004*$L$39*$L$38)</f>
      </c>
      <c r="M108" s="231" t="inlineStr">
        <is>
          <t xml:space="preserve">cm²</t>
        </is>
      </c>
      <c r="O108" s="233" t="inlineStr">
        <is>
          <t xml:space="preserve">Mínima de pilar, total: máx(0,15·Nd/fyd; 0,4%·Ac).</t>
        </is>
      </c>
    </row>
    <row r="109">
      <c r="K109" s="223" t="inlineStr">
        <is>
          <t xml:space="preserve">As,face</t>
        </is>
      </c>
      <c r="L109" s="227">
        <f>MAX($L$89,$L$90,$L$100,$L$101,$L$107,$L$108/2)</f>
      </c>
      <c r="M109" s="231" t="inlineStr">
        <is>
          <t xml:space="preserve">cm²</t>
        </is>
      </c>
      <c r="O109" s="233" t="inlineStr">
        <is>
          <t xml:space="preserve">Armadura necessária em cada face.</t>
        </is>
      </c>
    </row>
    <row r="110">
      <c r="K110" s="223" t="inlineStr">
        <is>
          <t xml:space="preserve">A,barra</t>
        </is>
      </c>
      <c r="L110" s="228">
        <f>PI()*($L$42/10)^2/4</f>
      </c>
      <c r="M110" s="231" t="inlineStr">
        <is>
          <t xml:space="preserve">cm²</t>
        </is>
      </c>
      <c r="O110" s="233" t="inlineStr">
        <is>
          <t xml:space="preserve">Área de uma barra Ø,l.</t>
        </is>
      </c>
    </row>
    <row r="111">
      <c r="K111" s="223" t="inlineStr">
        <is>
          <t xml:space="preserve">n</t>
        </is>
      </c>
      <c r="L111" s="229">
        <f>MAX(2,ROUNDUP($L$109/$L$110,0))</f>
      </c>
      <c r="M111" s="231" t="inlineStr">
        <is>
          <t xml:space="preserve">un</t>
        </is>
      </c>
      <c r="O111" s="233" t="inlineStr">
        <is>
          <t xml:space="preserve">Barras em cada face (mínimo 2).</t>
        </is>
      </c>
    </row>
    <row r="112">
      <c r="K112" s="223" t="inlineStr">
        <is>
          <t xml:space="preserve">As,ef</t>
        </is>
      </c>
      <c r="L112" s="227">
        <f>$L$111*$L$110</f>
      </c>
      <c r="M112" s="231" t="inlineStr">
        <is>
          <t xml:space="preserve">cm²</t>
        </is>
      </c>
      <c r="O112" s="233" t="inlineStr">
        <is>
          <t xml:space="preserve">Armadura efetiva em cada face.</t>
        </is>
      </c>
    </row>
    <row r="113">
      <c r="K113" s="223" t="inlineStr">
        <is>
          <t xml:space="preserve">As,total</t>
        </is>
      </c>
      <c r="L113" s="227">
        <f>2*$L$112</f>
      </c>
      <c r="M113" s="231" t="inlineStr">
        <is>
          <t xml:space="preserve">cm²</t>
        </is>
      </c>
      <c r="O113" s="233" t="inlineStr">
        <is>
          <t xml:space="preserve">Armadura total na seção (duas faces).</t>
        </is>
      </c>
    </row>
    <row r="114">
      <c r="K114" s="223" t="inlineStr">
        <is>
          <t xml:space="preserve">ρ,total</t>
        </is>
      </c>
      <c r="L114" s="227">
        <f>$L$113/($L$39*$L$38)*100</f>
      </c>
      <c r="M114" s="231" t="inlineStr">
        <is>
          <t xml:space="preserve">%</t>
        </is>
      </c>
      <c r="N114" s="232">
        <f>IF($L$114&gt;4,"Rever: taxa &gt; 4% – aumentar seção",IF($L$114&lt;0.4,"Rever: taxa &lt; 0,4%","Ok"))</f>
      </c>
      <c r="O114" s="233" t="inlineStr">
        <is>
          <t xml:space="preserve">Taxa total (pilar: 0,4% a 4%; 8% na emenda).</t>
        </is>
      </c>
    </row>
    <row r="115">
      <c r="K115" s="223" t="inlineStr">
        <is>
          <t xml:space="preserve">a,h,mín</t>
        </is>
      </c>
      <c r="L115" s="227">
        <f>MAX(2,$L$42/10,1.2*$L$36/10)</f>
      </c>
      <c r="M115" s="231" t="inlineStr">
        <is>
          <t xml:space="preserve">cm</t>
        </is>
      </c>
      <c r="O115" s="233" t="inlineStr">
        <is>
          <t xml:space="preserve">NBR 6118, 18.4.2.2: maior entre 2 cm, Ø,l e 1,2·d,máx.</t>
        </is>
      </c>
    </row>
    <row r="116">
      <c r="K116" s="223" t="inlineStr">
        <is>
          <t xml:space="preserve">governa</t>
        </is>
      </c>
      <c r="L116" s="230">
        <f>IF($L$115=$L$42/10,"≥ Ø da barra",IF($L$115=2,"≥ 2 cm","≥ 1,2·d,máx"))</f>
      </c>
      <c r="M116" s="231" t="inlineStr">
        <is>
          <t xml:space="preserve">-</t>
        </is>
      </c>
      <c r="O116" s="233" t="inlineStr">
        <is>
          <t xml:space="preserve">Critério que define o espaço mínimo (brita 0: d,máx = 9,5 mm; brita 1: 19 mm).</t>
        </is>
      </c>
    </row>
    <row r="117">
      <c r="K117" s="223" t="inlineStr">
        <is>
          <t xml:space="preserve">a,h</t>
        </is>
      </c>
      <c r="L117" s="227">
        <f>IF($L$111&lt;=1,0,($L$39-2*$L$40-2*$L$41/10-$L$111*$L$42/10)/($L$111-1))</f>
      </c>
      <c r="M117" s="231" t="inlineStr">
        <is>
          <t xml:space="preserve">cm</t>
        </is>
      </c>
      <c r="N117" s="232">
        <f>IF($L$117&lt;$L$115,"Espaço livre "&amp;FIXED($L$117,2)&amp;" &lt; "&amp;FIXED($L$115,2)&amp;" cm ("&amp;$L$116&amp;")",IF($L$117&gt;40,"Rever: espaço &gt; 40 cm","Ok"))</f>
      </c>
      <c r="O117" s="233" t="inlineStr">
        <is>
          <t xml:space="preserve">Espaço livre entre barras da mesma face.</t>
        </is>
      </c>
    </row>
    <row r="119">
      <c r="K119" s="221" t="inlineStr">
        <is>
          <t xml:space="preserve">6 . ESTRIBOS – FORÇA CORTANTE (Modelo I, NBR 6118)</t>
        </is>
      </c>
      <c r="L119" s="221"/>
      <c r="M119" s="221"/>
      <c r="N119" s="221"/>
      <c r="O119" s="221"/>
      <c r="P119" s="221"/>
      <c r="Q119" s="221"/>
      <c r="R119" s="221"/>
      <c r="S119" s="221"/>
      <c r="T119" s="221"/>
    </row>
    <row r="121" ht="32" customHeight="1">
      <c r="K121" s="220" t="inlineStr">
        <is>
          <t xml:space="preserve">Vsd ≤ VRd2 (biela) e Vsd ≤ Vc0 + Vsw. O espaçamento adotado é o menor entre o calculado, o máximo de viga (0,6·d ≤ 30 cm ou 0,3·d ≤ 20 cm) e o máximo de pilar (20 cm, b, 12·Ø,l).</t>
        </is>
      </c>
      <c r="L121" s="220"/>
      <c r="M121" s="220"/>
      <c r="N121" s="220"/>
      <c r="O121" s="220"/>
      <c r="P121" s="220"/>
      <c r="Q121" s="220"/>
      <c r="R121" s="220"/>
      <c r="S121" s="220"/>
      <c r="T121" s="220"/>
    </row>
    <row r="122">
      <c r="K122" s="222" t="inlineStr">
        <is>
          <t xml:space="preserve">6.1 Biela e parcela do concreto</t>
        </is>
      </c>
    </row>
    <row r="123">
      <c r="K123" s="223" t="inlineStr">
        <is>
          <t xml:space="preserve">Vsd</t>
        </is>
      </c>
      <c r="L123" s="227">
        <f>$L$48*$L$29</f>
      </c>
      <c r="M123" s="231" t="inlineStr">
        <is>
          <t xml:space="preserve">kN</t>
        </is>
      </c>
      <c r="O123" s="233" t="inlineStr">
        <is>
          <t xml:space="preserve">Cortante de cálculo (γf·Vk).</t>
        </is>
      </c>
    </row>
    <row r="124">
      <c r="K124" s="223" t="inlineStr">
        <is>
          <t xml:space="preserve">VRd2</t>
        </is>
      </c>
      <c r="L124" s="227">
        <f>0.27*(1-$L$33/250)*$L$73/10*$L$39*$L$76</f>
      </c>
      <c r="M124" s="231" t="inlineStr">
        <is>
          <t xml:space="preserve">kN</t>
        </is>
      </c>
      <c r="N124" s="232">
        <f>IF($L$123&lt;=$L$124,"Ok","Aumentar seção ou fck")</f>
      </c>
      <c r="O124" s="233" t="inlineStr">
        <is>
          <t xml:space="preserve">Resistência da biela comprimida.</t>
        </is>
      </c>
    </row>
    <row r="125">
      <c r="K125" s="223" t="inlineStr">
        <is>
          <t xml:space="preserve">fctm</t>
        </is>
      </c>
      <c r="L125" s="227">
        <f>0.3*$L$33^(2/3)</f>
      </c>
      <c r="M125" s="231" t="inlineStr">
        <is>
          <t xml:space="preserve">MPa</t>
        </is>
      </c>
      <c r="O125" s="233" t="inlineStr">
        <is>
          <t xml:space="preserve">Resistência média à tração.</t>
        </is>
      </c>
    </row>
    <row r="126">
      <c r="K126" s="223" t="inlineStr">
        <is>
          <t xml:space="preserve">fctd</t>
        </is>
      </c>
      <c r="L126" s="227">
        <f>0.7*$L$125/$L$30</f>
      </c>
      <c r="M126" s="231" t="inlineStr">
        <is>
          <t xml:space="preserve">MPa</t>
        </is>
      </c>
      <c r="O126" s="233" t="inlineStr">
        <is>
          <t xml:space="preserve">Resistência de cálculo à tração (fctk,inf/γc).</t>
        </is>
      </c>
    </row>
    <row r="127">
      <c r="K127" s="223" t="inlineStr">
        <is>
          <t xml:space="preserve">Vc0</t>
        </is>
      </c>
      <c r="L127" s="227">
        <f>0.6*$L$126/10*$L$39*$L$76</f>
      </c>
      <c r="M127" s="231" t="inlineStr">
        <is>
          <t xml:space="preserve">kN</t>
        </is>
      </c>
      <c r="O127" s="233" t="inlineStr">
        <is>
          <t xml:space="preserve">Parcela resistida pelo concreto.</t>
        </is>
      </c>
    </row>
    <row r="128">
      <c r="K128" s="222" t="inlineStr">
        <is>
          <t xml:space="preserve">6.2 Armadura transversal</t>
        </is>
      </c>
    </row>
    <row r="129">
      <c r="K129" s="223" t="inlineStr">
        <is>
          <t xml:space="preserve">fywd</t>
        </is>
      </c>
      <c r="L129" s="227">
        <f>MIN($L$35/$L$31,435)</f>
      </c>
      <c r="M129" s="231" t="inlineStr">
        <is>
          <t xml:space="preserve">MPa</t>
        </is>
      </c>
      <c r="O129" s="233" t="inlineStr">
        <is>
          <t xml:space="preserve">Resistência de cálculo do estribo (≤ 435 MPa).</t>
        </is>
      </c>
    </row>
    <row r="130">
      <c r="K130" s="223" t="inlineStr">
        <is>
          <t xml:space="preserve">Vsw</t>
        </is>
      </c>
      <c r="L130" s="227">
        <f>MAX(0,$L$123-$L$127)</f>
      </c>
      <c r="M130" s="231" t="inlineStr">
        <is>
          <t xml:space="preserve">kN</t>
        </is>
      </c>
      <c r="O130" s="233" t="inlineStr">
        <is>
          <t xml:space="preserve">Parcela a ser resistida pelos estribos.</t>
        </is>
      </c>
    </row>
    <row r="131">
      <c r="K131" s="223" t="inlineStr">
        <is>
          <t xml:space="preserve">Asw,calc</t>
        </is>
      </c>
      <c r="L131" s="227">
        <f>$L$130/(0.9*$L$76*$L$129/10)*100</f>
      </c>
      <c r="M131" s="231" t="inlineStr">
        <is>
          <t xml:space="preserve">cm²/m</t>
        </is>
      </c>
      <c r="O131" s="233" t="inlineStr">
        <is>
          <t xml:space="preserve">Asw/s = Vsw/(0,9·d·fywd).</t>
        </is>
      </c>
    </row>
    <row r="132">
      <c r="K132" s="223" t="inlineStr">
        <is>
          <t xml:space="preserve">Asw,mín</t>
        </is>
      </c>
      <c r="L132" s="227">
        <f>0.2*$L$125/$L$35*$L$39*100</f>
      </c>
      <c r="M132" s="231" t="inlineStr">
        <is>
          <t xml:space="preserve">cm²/m</t>
        </is>
      </c>
      <c r="O132" s="233" t="inlineStr">
        <is>
          <t xml:space="preserve">Mínima: ρsw = 0,2·fctm/fywk.</t>
        </is>
      </c>
    </row>
    <row r="133">
      <c r="K133" s="223" t="inlineStr">
        <is>
          <t xml:space="preserve">Asw</t>
        </is>
      </c>
      <c r="L133" s="227">
        <f>MAX($L$131,$L$132)</f>
      </c>
      <c r="M133" s="231" t="inlineStr">
        <is>
          <t xml:space="preserve">cm²/m</t>
        </is>
      </c>
      <c r="O133" s="233" t="inlineStr">
        <is>
          <t xml:space="preserve">Armadura transversal adotada (todos os ramos).</t>
        </is>
      </c>
    </row>
    <row r="134">
      <c r="K134" s="223" t="inlineStr">
        <is>
          <t xml:space="preserve">s,calc</t>
        </is>
      </c>
      <c r="L134" s="227">
        <f>IF($L$133=0,999,$L$43*PI()*($L$41/10)^2/4/$L$133*100)</f>
      </c>
      <c r="M134" s="231" t="inlineStr">
        <is>
          <t xml:space="preserve">cm</t>
        </is>
      </c>
      <c r="O134" s="233" t="inlineStr">
        <is>
          <t xml:space="preserve">Espaçamento pela armadura calculada.</t>
        </is>
      </c>
    </row>
    <row r="135">
      <c r="K135" s="223" t="inlineStr">
        <is>
          <t xml:space="preserve">s,máx,v</t>
        </is>
      </c>
      <c r="L135" s="227">
        <f>IF($L$123&lt;=0.67*$L$124,MIN(0.6*$L$76,30),MIN(0.3*$L$76,20))</f>
      </c>
      <c r="M135" s="231" t="inlineStr">
        <is>
          <t xml:space="preserve">cm</t>
        </is>
      </c>
      <c r="O135" s="233" t="inlineStr">
        <is>
          <t xml:space="preserve">Máximo de viga (NBR 6118, 18.3.3.2).</t>
        </is>
      </c>
    </row>
    <row r="136">
      <c r="K136" s="223" t="inlineStr">
        <is>
          <t xml:space="preserve">s,máx,p</t>
        </is>
      </c>
      <c r="L136" s="227">
        <f>MIN(20,$L$39,$L$38,IF($L$34&gt;=500,12,25)*$L$42/10)</f>
      </c>
      <c r="M136" s="231" t="inlineStr">
        <is>
          <t xml:space="preserve">cm</t>
        </is>
      </c>
      <c r="O136" s="233" t="inlineStr">
        <is>
          <t xml:space="preserve">Máximo de pilar: 20 cm, menor dimensão, 12·Ø,l (CA-50).</t>
        </is>
      </c>
    </row>
    <row r="137">
      <c r="K137" s="223" t="inlineStr">
        <is>
          <t xml:space="preserve">s,unif</t>
        </is>
      </c>
      <c r="L137" s="229">
        <f>ROUNDDOWN(MIN($L$134,$L$135,$L$136),0)</f>
      </c>
      <c r="M137" s="231" t="inlineStr">
        <is>
          <t xml:space="preserve">cm</t>
        </is>
      </c>
      <c r="N137" s="232">
        <f>IF($L$137&lt;5,"s &lt; 5 cm – aumentar Ø,t ou ramos","Ok")</f>
      </c>
      <c r="O137" s="233" t="inlineStr">
        <is>
          <t xml:space="preserve">Espaçamento se usar o Vsd máximo em toda a altura (sem escalonamento).</t>
        </is>
      </c>
    </row>
    <row r="138">
      <c r="K138" s="223" t="inlineStr">
        <is>
          <t xml:space="preserve">Asw,ef</t>
        </is>
      </c>
      <c r="L138" s="227">
        <f>$L$43*PI()*($L$41/10)^2/4*100/$L$137</f>
      </c>
      <c r="M138" s="231" t="inlineStr">
        <is>
          <t xml:space="preserve">cm²/m</t>
        </is>
      </c>
      <c r="N138" s="232">
        <f>IF($L$138&gt;=$L$133,"Ok","Rever")</f>
      </c>
      <c r="O138" s="233" t="inlineStr">
        <is>
          <t xml:space="preserve">Armadura efetiva com o espaçamento adotado.</t>
        </is>
      </c>
    </row>
    <row r="139">
      <c r="K139" s="223" t="inlineStr">
        <is>
          <t xml:space="preserve">Ø,t,mín</t>
        </is>
      </c>
      <c r="L139" s="227">
        <f>MAX(5,$L$42/4)</f>
      </c>
      <c r="M139" s="231" t="inlineStr">
        <is>
          <t xml:space="preserve">mm</t>
        </is>
      </c>
      <c r="N139" s="232">
        <f>IF($L$41&gt;=$L$139,"Ok","Aumentar Ø,t")</f>
      </c>
      <c r="O139" s="233" t="inlineStr">
        <is>
          <t xml:space="preserve">Pilar: Ø,t ≥ 5 mm e ≥ Ø,l/4.</t>
        </is>
      </c>
    </row>
    <row r="140">
      <c r="K140" s="222" t="inlineStr">
        <is>
          <t xml:space="preserve">6.3 Estribos por zonas (escalonamento ao longo da altura)</t>
        </is>
      </c>
    </row>
    <row r="141" ht="32" customHeight="1">
      <c r="K141" s="220" t="inlineStr">
        <is>
          <t xml:space="preserve">O cortante cai da base para o topo, então cada zona usa o maior |V| do seu trecho (e não o Vsd máximo em toda a altura). V(z) = R,base − p,base·z + Δp·z²/(2H), com z medido da base. Os comprimentos das zonas são cinza: pode editar.</t>
        </is>
      </c>
      <c r="L141" s="220"/>
      <c r="M141" s="220"/>
      <c r="N141" s="220"/>
      <c r="O141" s="220"/>
      <c r="P141" s="220"/>
      <c r="Q141" s="220"/>
      <c r="R141" s="220"/>
      <c r="S141" s="220"/>
      <c r="T141" s="220"/>
    </row>
    <row r="142">
      <c r="K142" s="223" t="inlineStr">
        <is>
          <t xml:space="preserve">H</t>
        </is>
      </c>
      <c r="L142" s="227">
        <f>'CONTENÇÃO RÁPIDA'!$L$33</f>
      </c>
      <c r="M142" s="231" t="inlineStr">
        <is>
          <t xml:space="preserve">m</t>
        </is>
      </c>
      <c r="O142" s="233" t="inlineStr">
        <is>
          <t xml:space="preserve">Altura do pilar carregada (aba CONTENÇÃO RÁPIDA).</t>
        </is>
      </c>
    </row>
    <row r="143">
      <c r="K143" s="223" t="inlineStr">
        <is>
          <t xml:space="preserve">p,base</t>
        </is>
      </c>
      <c r="L143" s="227">
        <f>'CONTENÇÃO RÁPIDA'!$L$60</f>
      </c>
      <c r="M143" s="231" t="inlineStr">
        <is>
          <t xml:space="preserve">kN/m</t>
        </is>
      </c>
      <c r="O143" s="233" t="inlineStr">
        <is>
          <t xml:space="preserve">Carga na base (aba CONTENÇÃO RÁPIDA).</t>
        </is>
      </c>
    </row>
    <row r="144">
      <c r="K144" s="223" t="inlineStr">
        <is>
          <t xml:space="preserve">Δp</t>
        </is>
      </c>
      <c r="L144" s="227">
        <f>'CONTENÇÃO RÁPIDA'!$L$61</f>
      </c>
      <c r="M144" s="231" t="inlineStr">
        <is>
          <t xml:space="preserve">kN/m</t>
        </is>
      </c>
      <c r="O144" s="233" t="inlineStr">
        <is>
          <t xml:space="preserve">Parcela triangular (aba CONTENÇÃO RÁPIDA).</t>
        </is>
      </c>
    </row>
    <row r="145">
      <c r="K145" s="223" t="inlineStr">
        <is>
          <t xml:space="preserve">R,base</t>
        </is>
      </c>
      <c r="L145" s="227">
        <f>IFERROR(INDEX('CONTENÇÃO RÁPIDA'!$M$74:$M$76,MATCH($L$45,'CONTENÇÃO RÁPIDA'!$K$74:$K$76,0)),0)</f>
      </c>
      <c r="M145" s="231" t="inlineStr">
        <is>
          <t xml:space="preserve">kN</t>
        </is>
      </c>
      <c r="O145" s="233" t="inlineStr">
        <is>
          <t xml:space="preserve">Reação na base do modelo escolhido.</t>
        </is>
      </c>
    </row>
    <row r="146">
      <c r="K146" s="223" t="inlineStr">
        <is>
          <t xml:space="preserve">zonas</t>
        </is>
      </c>
      <c r="L146" s="224">
        <v>3</v>
      </c>
      <c r="M146" s="231" t="inlineStr">
        <is>
          <t xml:space="preserve">un</t>
        </is>
      </c>
      <c r="N146" s="232">
        <f>IF(OR($L$146&lt;1,$L$146&gt;6),"Rever: 1 a 6 zonas","Ok")</f>
      </c>
      <c r="O146" s="233" t="inlineStr">
        <is>
          <t xml:space="preserve">Número de zonas de mesmo comprimento (1 a 6).</t>
        </is>
      </c>
    </row>
    <row r="147" ht="30" customHeight="1">
      <c r="K147" s="235" t="inlineStr">
        <is>
          <t xml:space="preserve">Zona</t>
        </is>
      </c>
      <c r="L147" s="235" t="inlineStr">
        <is>
          <t xml:space="preserve">z,início (m)</t>
        </is>
      </c>
      <c r="M147" s="235" t="inlineStr">
        <is>
          <t xml:space="preserve">z,fim (m)</t>
        </is>
      </c>
      <c r="N147" s="235" t="inlineStr">
        <is>
          <t xml:space="preserve">Compr. (m)</t>
        </is>
      </c>
      <c r="O147" s="235" t="inlineStr">
        <is>
          <t xml:space="preserve">Vk,máx (kN)</t>
        </is>
      </c>
      <c r="P147" s="235" t="inlineStr">
        <is>
          <t xml:space="preserve">Vsd (kN)</t>
        </is>
      </c>
      <c r="Q147" s="235" t="inlineStr">
        <is>
          <t xml:space="preserve">Asw (cm²/m)</t>
        </is>
      </c>
      <c r="R147" s="235" t="inlineStr">
        <is>
          <t xml:space="preserve">s,calc (cm)</t>
        </is>
      </c>
      <c r="S147" s="235" t="inlineStr">
        <is>
          <t xml:space="preserve">s (cm)</t>
        </is>
      </c>
      <c r="T147" s="235" t="inlineStr">
        <is>
          <t xml:space="preserve">nº estribos</t>
        </is>
      </c>
    </row>
    <row r="148">
      <c r="K148" s="237">
        <v>1</v>
      </c>
      <c r="L148" s="227">
        <v>0</v>
      </c>
      <c r="M148" s="227">
        <f>L148+N148</f>
      </c>
      <c r="N148" s="225">
        <f>IF(1&lt;=$L$146,$L$142/$L$146,0)</f>
      </c>
      <c r="O148" s="227">
        <f>IF(N148&lt;=0,"",MAX(ABS(($L$145-$L$143*L148+$L$144*L148^2/(2*$L$142))),ABS(($L$145-$L$143*M148+$L$144*M148^2/(2*$L$142)))))</f>
      </c>
      <c r="P148" s="227">
        <f>IF(N148&lt;=0,"",O148*$L$29)</f>
      </c>
      <c r="Q148" s="227">
        <f>IF(N148&lt;=0,"",MAX(MAX(0,P148-$L$127)/(0.9*$L$76*$L$129/10)*100,$L$132))</f>
      </c>
      <c r="R148" s="227">
        <f>IF(N148&lt;=0,"",$L$43*PI()*($L$41/10)^2/4/Q148*100)</f>
      </c>
      <c r="S148" s="229">
        <f>IF(N148&lt;=0,"",ROUNDDOWN(MIN(R148,IF(P148&lt;=0.67*$L$124,MIN(0.6*$L$76,30),MIN(0.3*$L$76,20)),$L$136),0))</f>
      </c>
      <c r="T148" s="229">
        <f>IF(N148&lt;=0,"",ROUNDUP(N148*100/S148,0))</f>
      </c>
    </row>
    <row r="149">
      <c r="K149" s="237">
        <v>2</v>
      </c>
      <c r="L149" s="227">
        <f>M148</f>
      </c>
      <c r="M149" s="227">
        <f>L149+N149</f>
      </c>
      <c r="N149" s="225">
        <f>IF(2&lt;=$L$146,$L$142/$L$146,0)</f>
      </c>
      <c r="O149" s="227">
        <f>IF(N149&lt;=0,"",MAX(ABS(($L$145-$L$143*L149+$L$144*L149^2/(2*$L$142))),ABS(($L$145-$L$143*M149+$L$144*M149^2/(2*$L$142)))))</f>
      </c>
      <c r="P149" s="227">
        <f>IF(N149&lt;=0,"",O149*$L$29)</f>
      </c>
      <c r="Q149" s="227">
        <f>IF(N149&lt;=0,"",MAX(MAX(0,P149-$L$127)/(0.9*$L$76*$L$129/10)*100,$L$132))</f>
      </c>
      <c r="R149" s="227">
        <f>IF(N149&lt;=0,"",$L$43*PI()*($L$41/10)^2/4/Q149*100)</f>
      </c>
      <c r="S149" s="229">
        <f>IF(N149&lt;=0,"",ROUNDDOWN(MIN(R149,IF(P149&lt;=0.67*$L$124,MIN(0.6*$L$76,30),MIN(0.3*$L$76,20)),$L$136),0))</f>
      </c>
      <c r="T149" s="229">
        <f>IF(N149&lt;=0,"",ROUNDUP(N149*100/S149,0))</f>
      </c>
    </row>
    <row r="150">
      <c r="K150" s="237">
        <v>3</v>
      </c>
      <c r="L150" s="227">
        <f>M149</f>
      </c>
      <c r="M150" s="227">
        <f>L150+N150</f>
      </c>
      <c r="N150" s="225">
        <f>IF(3&lt;=$L$146,$L$142/$L$146,0)</f>
      </c>
      <c r="O150" s="227">
        <f>IF(N150&lt;=0,"",MAX(ABS(($L$145-$L$143*L150+$L$144*L150^2/(2*$L$142))),ABS(($L$145-$L$143*M150+$L$144*M150^2/(2*$L$142)))))</f>
      </c>
      <c r="P150" s="227">
        <f>IF(N150&lt;=0,"",O150*$L$29)</f>
      </c>
      <c r="Q150" s="227">
        <f>IF(N150&lt;=0,"",MAX(MAX(0,P150-$L$127)/(0.9*$L$76*$L$129/10)*100,$L$132))</f>
      </c>
      <c r="R150" s="227">
        <f>IF(N150&lt;=0,"",$L$43*PI()*($L$41/10)^2/4/Q150*100)</f>
      </c>
      <c r="S150" s="229">
        <f>IF(N150&lt;=0,"",ROUNDDOWN(MIN(R150,IF(P150&lt;=0.67*$L$124,MIN(0.6*$L$76,30),MIN(0.3*$L$76,20)),$L$136),0))</f>
      </c>
      <c r="T150" s="229">
        <f>IF(N150&lt;=0,"",ROUNDUP(N150*100/S150,0))</f>
      </c>
    </row>
    <row r="151">
      <c r="K151" s="237">
        <v>4</v>
      </c>
      <c r="L151" s="227">
        <f>M150</f>
      </c>
      <c r="M151" s="227">
        <f>L151+N151</f>
      </c>
      <c r="N151" s="225">
        <f>IF(4&lt;=$L$146,$L$142/$L$146,0)</f>
      </c>
      <c r="O151" s="227">
        <f>IF(N151&lt;=0,"",MAX(ABS(($L$145-$L$143*L151+$L$144*L151^2/(2*$L$142))),ABS(($L$145-$L$143*M151+$L$144*M151^2/(2*$L$142)))))</f>
      </c>
      <c r="P151" s="227">
        <f>IF(N151&lt;=0,"",O151*$L$29)</f>
      </c>
      <c r="Q151" s="227">
        <f>IF(N151&lt;=0,"",MAX(MAX(0,P151-$L$127)/(0.9*$L$76*$L$129/10)*100,$L$132))</f>
      </c>
      <c r="R151" s="227">
        <f>IF(N151&lt;=0,"",$L$43*PI()*($L$41/10)^2/4/Q151*100)</f>
      </c>
      <c r="S151" s="229">
        <f>IF(N151&lt;=0,"",ROUNDDOWN(MIN(R151,IF(P151&lt;=0.67*$L$124,MIN(0.6*$L$76,30),MIN(0.3*$L$76,20)),$L$136),0))</f>
      </c>
      <c r="T151" s="229">
        <f>IF(N151&lt;=0,"",ROUNDUP(N151*100/S151,0))</f>
      </c>
    </row>
    <row r="152">
      <c r="K152" s="237">
        <v>5</v>
      </c>
      <c r="L152" s="227">
        <f>M151</f>
      </c>
      <c r="M152" s="227">
        <f>L152+N152</f>
      </c>
      <c r="N152" s="225">
        <f>IF(5&lt;=$L$146,$L$142/$L$146,0)</f>
      </c>
      <c r="O152" s="227">
        <f>IF(N152&lt;=0,"",MAX(ABS(($L$145-$L$143*L152+$L$144*L152^2/(2*$L$142))),ABS(($L$145-$L$143*M152+$L$144*M152^2/(2*$L$142)))))</f>
      </c>
      <c r="P152" s="227">
        <f>IF(N152&lt;=0,"",O152*$L$29)</f>
      </c>
      <c r="Q152" s="227">
        <f>IF(N152&lt;=0,"",MAX(MAX(0,P152-$L$127)/(0.9*$L$76*$L$129/10)*100,$L$132))</f>
      </c>
      <c r="R152" s="227">
        <f>IF(N152&lt;=0,"",$L$43*PI()*($L$41/10)^2/4/Q152*100)</f>
      </c>
      <c r="S152" s="229">
        <f>IF(N152&lt;=0,"",ROUNDDOWN(MIN(R152,IF(P152&lt;=0.67*$L$124,MIN(0.6*$L$76,30),MIN(0.3*$L$76,20)),$L$136),0))</f>
      </c>
      <c r="T152" s="229">
        <f>IF(N152&lt;=0,"",ROUNDUP(N152*100/S152,0))</f>
      </c>
    </row>
    <row r="153">
      <c r="K153" s="237">
        <v>6</v>
      </c>
      <c r="L153" s="227">
        <f>M152</f>
      </c>
      <c r="M153" s="227">
        <f>L153+N153</f>
      </c>
      <c r="N153" s="225">
        <f>IF(6&lt;=$L$146,$L$142/$L$146,0)</f>
      </c>
      <c r="O153" s="227">
        <f>IF(N153&lt;=0,"",MAX(ABS(($L$145-$L$143*L153+$L$144*L153^2/(2*$L$142))),ABS(($L$145-$L$143*M153+$L$144*M153^2/(2*$L$142)))))</f>
      </c>
      <c r="P153" s="227">
        <f>IF(N153&lt;=0,"",O153*$L$29)</f>
      </c>
      <c r="Q153" s="227">
        <f>IF(N153&lt;=0,"",MAX(MAX(0,P153-$L$127)/(0.9*$L$76*$L$129/10)*100,$L$132))</f>
      </c>
      <c r="R153" s="227">
        <f>IF(N153&lt;=0,"",$L$43*PI()*($L$41/10)^2/4/Q153*100)</f>
      </c>
      <c r="S153" s="229">
        <f>IF(N153&lt;=0,"",ROUNDDOWN(MIN(R153,IF(P153&lt;=0.67*$L$124,MIN(0.6*$L$76,30),MIN(0.3*$L$76,20)),$L$136),0))</f>
      </c>
      <c r="T153" s="229">
        <f>IF(N153&lt;=0,"",ROUNDUP(N153*100/S153,0))</f>
      </c>
    </row>
    <row r="154">
      <c r="K154" s="223" t="inlineStr">
        <is>
          <t xml:space="preserve">Total</t>
        </is>
      </c>
      <c r="L154" s="229">
        <f>SUM(T148:T153)</f>
      </c>
      <c r="M154" s="231" t="inlineStr">
        <is>
          <t xml:space="preserve">estr.</t>
        </is>
      </c>
      <c r="O154" s="233" t="inlineStr">
        <is>
          <t xml:space="preserve">Número total de estribos no pilar (escalonados).</t>
        </is>
      </c>
    </row>
    <row r="155">
      <c r="K155" s="223" t="inlineStr">
        <is>
          <t xml:space="preserve">ΣL</t>
        </is>
      </c>
      <c r="L155" s="227">
        <f>SUM(N148:N153)</f>
      </c>
      <c r="M155" s="231" t="inlineStr">
        <is>
          <t xml:space="preserve">m</t>
        </is>
      </c>
      <c r="N155" s="232">
        <f>IF(ABS($L$155-$L$142)&gt;0.01,"Rever: soma ≠ H","Ok")</f>
      </c>
      <c r="O155" s="233" t="inlineStr">
        <is>
          <t xml:space="preserve">Soma dos comprimentos das zonas (deve ser igual a H).</t>
        </is>
      </c>
    </row>
    <row r="156">
      <c r="K156" s="223" t="inlineStr">
        <is>
          <t xml:space="preserve">s,mín</t>
        </is>
      </c>
      <c r="L156" s="229">
        <f>MIN(S148:S153)</f>
      </c>
      <c r="M156" s="231" t="inlineStr">
        <is>
          <t xml:space="preserve">cm</t>
        </is>
      </c>
      <c r="O156" s="233" t="inlineStr">
        <is>
          <t xml:space="preserve">Menor espaçamento entre as zonas.</t>
        </is>
      </c>
    </row>
    <row r="158">
      <c r="K158" s="221" t="inlineStr">
        <is>
          <t xml:space="preserve">7 . ESCALONAMENTO DA ARMADURA LONGITUDINAL (NBR 6118, 18.3.2.3)</t>
        </is>
      </c>
      <c r="L158" s="221"/>
      <c r="M158" s="221"/>
      <c r="N158" s="221"/>
      <c r="O158" s="221"/>
      <c r="P158" s="221"/>
      <c r="Q158" s="221"/>
      <c r="R158" s="221"/>
      <c r="S158" s="221"/>
      <c r="T158" s="221"/>
    </row>
    <row r="160" ht="60" customHeight="1">
      <c r="K160" s="220" t="inlineStr">
        <is>
          <t xml:space="preserve">Barras CORRIDAS vão em toda a altura (mínimas de pilar e viga, compressão e ≥ 1/3 das barras chegando aos apoios). As ADICIONAIS seguem o diagrama |Md| decalado de aℓ: cada barra começa a ser necessária no ponto A e deixa de ser no ponto B; ela se estende lb,nec além de A e pelo menos 10Ø além de B (comprimento de transferência da força da barra ao concreto). Armadura simétrica: as duas faces recebem o mesmo arranjo, pelo envelope |Md|.</t>
        </is>
      </c>
      <c r="L160" s="220"/>
      <c r="M160" s="220"/>
      <c r="N160" s="220"/>
      <c r="O160" s="220"/>
      <c r="P160" s="220"/>
      <c r="Q160" s="220"/>
      <c r="R160" s="220"/>
      <c r="S160" s="220"/>
      <c r="T160" s="220"/>
    </row>
    <row r="161">
      <c r="K161" s="222" t="inlineStr">
        <is>
          <t xml:space="preserve">7.1 Ancoragem (comprimento de transferência)</t>
        </is>
      </c>
    </row>
    <row r="162">
      <c r="K162" s="223" t="inlineStr">
        <is>
          <t xml:space="preserve">η1</t>
        </is>
      </c>
      <c r="L162" s="224">
        <v>2.25</v>
      </c>
      <c r="M162" s="231" t="inlineStr">
        <is>
          <t xml:space="preserve">-</t>
        </is>
      </c>
      <c r="O162" s="233" t="inlineStr">
        <is>
          <t xml:space="preserve">Barra nervurada (CA-50) = 2,25.</t>
        </is>
      </c>
    </row>
    <row r="163">
      <c r="K163" s="223" t="inlineStr">
        <is>
          <t xml:space="preserve">η2</t>
        </is>
      </c>
      <c r="L163" s="224">
        <v>1</v>
      </c>
      <c r="M163" s="231" t="inlineStr">
        <is>
          <t xml:space="preserve">-</t>
        </is>
      </c>
      <c r="O163" s="233" t="inlineStr">
        <is>
          <t xml:space="preserve">Boa aderência = 1,0 (barras verticais de pilar); má aderência = 0,7.</t>
        </is>
      </c>
    </row>
    <row r="164">
      <c r="K164" s="223" t="inlineStr">
        <is>
          <t xml:space="preserve">η3</t>
        </is>
      </c>
      <c r="L164" s="227">
        <f>IF($L$42&lt;32,1,(132-$L$42)/100)</f>
      </c>
      <c r="M164" s="231" t="inlineStr">
        <is>
          <t xml:space="preserve">-</t>
        </is>
      </c>
      <c r="O164" s="233" t="inlineStr">
        <is>
          <t xml:space="preserve">Ø &lt; 32 mm = 1,0; Ø ≥ 32 mm = (132 − Ø)/100.</t>
        </is>
      </c>
    </row>
    <row r="165">
      <c r="K165" s="223" t="inlineStr">
        <is>
          <t xml:space="preserve">fbd</t>
        </is>
      </c>
      <c r="L165" s="227">
        <f>$L$162*$L$163*$L$164*$L$126</f>
      </c>
      <c r="M165" s="231" t="inlineStr">
        <is>
          <t xml:space="preserve">MPa</t>
        </is>
      </c>
      <c r="O165" s="233" t="inlineStr">
        <is>
          <t xml:space="preserve">Resistência de aderência de cálculo (η1·η2·η3·fctd).</t>
        </is>
      </c>
    </row>
    <row r="166">
      <c r="K166" s="223" t="inlineStr">
        <is>
          <t xml:space="preserve">lb</t>
        </is>
      </c>
      <c r="L166" s="227">
        <f>MAX($L$42/10/4*$L$74/$L$165,25*$L$42/10)</f>
      </c>
      <c r="M166" s="231" t="inlineStr">
        <is>
          <t xml:space="preserve">cm</t>
        </is>
      </c>
      <c r="O166" s="233" t="inlineStr">
        <is>
          <t xml:space="preserve">Ancoragem básica: Ø/4·fyd/fbd ≥ 25Ø.</t>
        </is>
      </c>
    </row>
    <row r="167">
      <c r="K167" s="223" t="inlineStr">
        <is>
          <t xml:space="preserve">α1</t>
        </is>
      </c>
      <c r="L167" s="224">
        <v>1</v>
      </c>
      <c r="M167" s="231" t="inlineStr">
        <is>
          <t xml:space="preserve">-</t>
        </is>
      </c>
      <c r="O167" s="233" t="inlineStr">
        <is>
          <t xml:space="preserve">Barra reta = 1,0; com gancho = 0,7 (cobrimento no plano do gancho ≥ 3Ø).</t>
        </is>
      </c>
    </row>
    <row r="168">
      <c r="K168" s="223" t="inlineStr">
        <is>
          <t xml:space="preserve">lb,mín</t>
        </is>
      </c>
      <c r="L168" s="227">
        <f>MAX(0.3*$L$166,10*$L$42/10,10)</f>
      </c>
      <c r="M168" s="231" t="inlineStr">
        <is>
          <t xml:space="preserve">cm</t>
        </is>
      </c>
      <c r="O168" s="233" t="inlineStr">
        <is>
          <t xml:space="preserve">Mínimo: 0,3·lb, 10Ø e 10 cm.</t>
        </is>
      </c>
    </row>
    <row r="169">
      <c r="K169" s="223" t="inlineStr">
        <is>
          <t xml:space="preserve">lb,nec</t>
        </is>
      </c>
      <c r="L169" s="227">
        <f>ROUNDUP(MAX($L$167*$L$166*$L$109/$L$112,$L$168),0)</f>
      </c>
      <c r="M169" s="231" t="inlineStr">
        <is>
          <t xml:space="preserve">cm</t>
        </is>
      </c>
      <c r="O169" s="233" t="inlineStr">
        <is>
          <t xml:space="preserve">lb,nec = α1·lb·As,calc/As,ef ≥ lb,mín.</t>
        </is>
      </c>
    </row>
    <row r="170">
      <c r="K170" s="223" t="inlineStr">
        <is>
          <t xml:space="preserve">α0t</t>
        </is>
      </c>
      <c r="L170" s="224">
        <v>2</v>
      </c>
      <c r="M170" s="231" t="inlineStr">
        <is>
          <t xml:space="preserve">-</t>
        </is>
      </c>
      <c r="O170" s="233" t="inlineStr">
        <is>
          <t xml:space="preserve">Emenda por traspasse (se houver): 100% emendadas = 2,0; 50% = 1,8; 33% = 1,6; 25% = 1,4; ≤ 20% = 1,2.</t>
        </is>
      </c>
    </row>
    <row r="171">
      <c r="K171" s="223" t="inlineStr">
        <is>
          <t xml:space="preserve">l0t</t>
        </is>
      </c>
      <c r="L171" s="227">
        <f>ROUNDUP(MAX($L$170*$L$169,0.3*$L$170*$L$166,15*$L$42/10,20),0)</f>
      </c>
      <c r="M171" s="231" t="inlineStr">
        <is>
          <t xml:space="preserve">cm</t>
        </is>
      </c>
      <c r="O171" s="233" t="inlineStr">
        <is>
          <t xml:space="preserve">Comprimento de traspasse de barras tracionadas (informativo).</t>
        </is>
      </c>
    </row>
    <row r="172">
      <c r="K172" s="222" t="inlineStr">
        <is>
          <t xml:space="preserve">7.2 Decalagem do diagrama</t>
        </is>
      </c>
    </row>
    <row r="173">
      <c r="K173" s="223" t="inlineStr">
        <is>
          <t xml:space="preserve">aℓ</t>
        </is>
      </c>
      <c r="L173" s="228">
        <f>IF($L$123&lt;=$L$127,$L$76,MIN($L$76,MAX(0.5*$L$76,$L$76*$L$123/(2*($L$123-$L$127)))))/100</f>
      </c>
      <c r="M173" s="231" t="inlineStr">
        <is>
          <t xml:space="preserve">m</t>
        </is>
      </c>
      <c r="O173" s="233" t="inlineStr">
        <is>
          <t xml:space="preserve">aℓ = d·Vsd/[2(Vsd − Vc)], entre 0,5d e d (Modelo I, estribos a 90°).</t>
        </is>
      </c>
    </row>
    <row r="174">
      <c r="K174" s="222" t="inlineStr">
        <is>
          <t xml:space="preserve">7.3 Comprimento do pilar</t>
        </is>
      </c>
    </row>
    <row r="175">
      <c r="K175" s="223" t="inlineStr">
        <is>
          <t xml:space="preserve">L,pil</t>
        </is>
      </c>
      <c r="L175" s="225">
        <f>$L$142</f>
      </c>
      <c r="M175" s="231" t="inlineStr">
        <is>
          <t xml:space="preserve">m</t>
        </is>
      </c>
      <c r="O175" s="233" t="inlineStr">
        <is>
          <t xml:space="preserve">Comprimento do pilar (padrão = H da contenção; aumente se o pilar passa do terreno).</t>
        </is>
      </c>
    </row>
    <row r="176">
      <c r="K176" s="223" t="inlineStr">
        <is>
          <t xml:space="preserve">ext,base</t>
        </is>
      </c>
      <c r="L176" s="224">
        <v>0</v>
      </c>
      <c r="M176" s="231" t="inlineStr">
        <is>
          <t xml:space="preserve">cm</t>
        </is>
      </c>
      <c r="O176" s="233" t="inlineStr">
        <is>
          <t xml:space="preserve">Prolongamento das barras abaixo do pilar (arranque/ancoragem na fundação).</t>
        </is>
      </c>
    </row>
    <row r="177">
      <c r="K177" s="223" t="inlineStr">
        <is>
          <t xml:space="preserve">ext,topo</t>
        </is>
      </c>
      <c r="L177" s="224">
        <v>0</v>
      </c>
      <c r="M177" s="231" t="inlineStr">
        <is>
          <t xml:space="preserve">cm</t>
        </is>
      </c>
      <c r="O177" s="233" t="inlineStr">
        <is>
          <t xml:space="preserve">Prolongamento das barras acima do pilar (ancoragem na laje/viga).</t>
        </is>
      </c>
    </row>
    <row r="178">
      <c r="K178" s="223" t="inlineStr">
        <is>
          <t xml:space="preserve">l,N1</t>
        </is>
      </c>
      <c r="L178" s="229">
        <f>$L$175*100-2*$L$40+$L$176+$L$177</f>
      </c>
      <c r="M178" s="231" t="inlineStr">
        <is>
          <t xml:space="preserve">cm</t>
        </is>
      </c>
      <c r="O178" s="233" t="inlineStr">
        <is>
          <t xml:space="preserve">Comprimento das barras corridas (N1).</t>
        </is>
      </c>
    </row>
    <row r="179">
      <c r="K179" s="222" t="inlineStr">
        <is>
          <t xml:space="preserve">7.4 Barras corridas e resistência por barra</t>
        </is>
      </c>
    </row>
    <row r="180">
      <c r="K180" s="223" t="inlineStr">
        <is>
          <t xml:space="preserve">z</t>
        </is>
      </c>
      <c r="L180" s="227">
        <f>$L$76-0.4*IF($L$83&gt;=$L$94,$L$85,$L$96)</f>
      </c>
      <c r="M180" s="231" t="inlineStr">
        <is>
          <t xml:space="preserve">cm</t>
        </is>
      </c>
      <c r="O180" s="233" t="inlineStr">
        <is>
          <t xml:space="preserve">Braço de alavanca na seção mais solicitada (d − 0,4x).</t>
        </is>
      </c>
    </row>
    <row r="181">
      <c r="K181" s="223" t="inlineStr">
        <is>
          <t xml:space="preserve">M,R/barra</t>
        </is>
      </c>
      <c r="L181" s="227">
        <f>$L$110*$L$74/10*$L$180/100</f>
      </c>
      <c r="M181" s="231" t="inlineStr">
        <is>
          <t xml:space="preserve">kN·m</t>
        </is>
      </c>
      <c r="O181" s="233" t="inlineStr">
        <is>
          <t xml:space="preserve">Momento resistido por uma barra (A,barra·fyd·z).</t>
        </is>
      </c>
    </row>
    <row r="182">
      <c r="K182" s="223" t="inlineStr">
        <is>
          <t xml:space="preserve">n,corr</t>
        </is>
      </c>
      <c r="L182" s="229">
        <f>MIN($L$111,MAX(2,ROUNDUP(MAX($L$107,$L$108/2,$L$90,$L$101)/$L$110,0),ROUNDUP($L$111/3,0)))</f>
      </c>
      <c r="M182" s="231" t="inlineStr">
        <is>
          <t xml:space="preserve">un</t>
        </is>
      </c>
      <c r="O182" s="233" t="inlineStr">
        <is>
          <t xml:space="preserve">Corridas por face: máx(2; mínimas; compressão; n/3 chegando aos apoios).</t>
        </is>
      </c>
    </row>
    <row r="183">
      <c r="K183" s="223" t="inlineStr">
        <is>
          <t xml:space="preserve">n,adic</t>
        </is>
      </c>
      <c r="L183" s="229">
        <f>$L$111-$L$182</f>
      </c>
      <c r="M183" s="231" t="inlineStr">
        <is>
          <t xml:space="preserve">un</t>
        </is>
      </c>
      <c r="O183" s="233" t="inlineStr">
        <is>
          <t xml:space="preserve">Adicionais por face (cortadas conforme o diagrama).</t>
        </is>
      </c>
    </row>
    <row r="184">
      <c r="K184" s="222" t="inlineStr">
        <is>
          <t xml:space="preserve">7.5 Diagrama de momentos ao longo da altura (z da base)</t>
        </is>
      </c>
    </row>
    <row r="185">
      <c r="K185" s="223" t="inlineStr">
        <is>
          <t xml:space="preserve">R,topo</t>
        </is>
      </c>
      <c r="L185" s="227">
        <f>IFERROR(INDEX('CONTENÇÃO RÁPIDA'!$L$74:$L$76,MATCH($L$45,'CONTENÇÃO RÁPIDA'!$K$74:$K$76,0)),0)</f>
      </c>
      <c r="M185" s="231" t="inlineStr">
        <is>
          <t xml:space="preserve">kN</t>
        </is>
      </c>
      <c r="O185" s="233" t="inlineStr">
        <is>
          <t xml:space="preserve">Reação no topo do modelo escolhido.</t>
        </is>
      </c>
    </row>
    <row r="186">
      <c r="K186" s="223" t="inlineStr">
        <is>
          <t xml:space="preserve">p,topo</t>
        </is>
      </c>
      <c r="L186" s="227">
        <f>'CONTENÇÃO RÁPIDA'!$L$59</f>
      </c>
      <c r="M186" s="231" t="inlineStr">
        <is>
          <t xml:space="preserve">kN/m</t>
        </is>
      </c>
      <c r="O186" s="233" t="inlineStr">
        <is>
          <t xml:space="preserve">Carga no topo (aba CONTENÇÃO RÁPIDA).</t>
        </is>
      </c>
    </row>
    <row r="187">
      <c r="K187" s="223" t="inlineStr">
        <is>
          <t xml:space="preserve">M,vão</t>
        </is>
      </c>
      <c r="L187" s="227">
        <f>IFERROR(INDEX('CONTENÇÃO RÁPIDA'!$O$74:$O$76,MATCH($L$45,'CONTENÇÃO RÁPIDA'!$K$74:$K$76,0)),0)</f>
      </c>
      <c r="M187" s="231" t="inlineStr">
        <is>
          <t xml:space="preserve">kN·m</t>
        </is>
      </c>
      <c r="O187" s="233" t="inlineStr">
        <is>
          <t xml:space="preserve">Momento máximo no vão (característico) do modelo.</t>
        </is>
      </c>
    </row>
    <row r="188">
      <c r="K188" s="223" t="inlineStr">
        <is>
          <t xml:space="preserve">z,M,vão</t>
        </is>
      </c>
      <c r="L188" s="227">
        <f>IFERROR(INDEX('CONTENÇÃO RÁPIDA'!$P$74:$P$76,MATCH($L$45,'CONTENÇÃO RÁPIDA'!$K$74:$K$76,0))+0,0)</f>
      </c>
      <c r="M188" s="231" t="inlineStr">
        <is>
          <t xml:space="preserve">m</t>
        </is>
      </c>
      <c r="O188" s="233" t="inlineStr">
        <is>
          <t xml:space="preserve">Posição do momento máximo no vão (da base).</t>
        </is>
      </c>
    </row>
    <row r="189" ht="30" customHeight="1">
      <c r="K189" s="235" t="inlineStr">
        <is>
          <t xml:space="preserve">Estação</t>
        </is>
      </c>
      <c r="L189" s="235" t="inlineStr">
        <is>
          <t xml:space="preserve">z (m)</t>
        </is>
      </c>
      <c r="M189" s="235" t="inlineStr">
        <is>
          <t xml:space="preserve">Mk (kN·m)</t>
        </is>
      </c>
      <c r="N189" s="235" t="inlineStr">
        <is>
          <t xml:space="preserve">Md (kN·m)</t>
        </is>
      </c>
      <c r="O189" s="235" t="inlineStr">
        <is>
          <t xml:space="preserve">|Md| (kN·m)</t>
        </is>
      </c>
      <c r="P189" s="235" t="inlineStr">
        <is>
          <t xml:space="preserve">|Md| decalado</t>
        </is>
      </c>
    </row>
    <row r="190">
      <c r="K190" s="237">
        <v>0</v>
      </c>
      <c r="L190" s="227">
        <f>$L$142*K190/80</f>
      </c>
      <c r="M190" s="227">
        <f>$L$185*($L$142-L190)-$L$186*($L$142-L190)^2/2-$L$144*($L$142-L190)^3/(6*$L$142)</f>
      </c>
      <c r="N190" s="227">
        <f>M190*$L$29</f>
      </c>
      <c r="O190" s="227">
        <f>ABS(N190)</f>
      </c>
      <c r="P190" s="227">
        <f>MAX($L$29*ABS($L$185*($L$142-MAX(0,L190-$L$173))-$L$186*($L$142-MAX(0,L190-$L$173))^2/2-$L$144*($L$142-MAX(0,L190-$L$173))^3/(6*$L$142)),$L$29*ABS($L$185*($L$142-MIN($L$142,L190+$L$173))-$L$186*($L$142-MIN($L$142,L190+$L$173))^2/2-$L$144*($L$142-MIN($L$142,L190+$L$173))^3/(6*$L$142)),IF(ABS(L190-$L$188)&lt;=$L$173,$L$29*ABS($L$187),0))</f>
      </c>
    </row>
    <row r="191">
      <c r="K191" s="237">
        <v>1</v>
      </c>
      <c r="L191" s="227">
        <f>$L$142*K191/80</f>
      </c>
      <c r="M191" s="227">
        <f>$L$185*($L$142-L191)-$L$186*($L$142-L191)^2/2-$L$144*($L$142-L191)^3/(6*$L$142)</f>
      </c>
      <c r="N191" s="227">
        <f>M191*$L$29</f>
      </c>
      <c r="O191" s="227">
        <f>ABS(N191)</f>
      </c>
      <c r="P191" s="227">
        <f>MAX($L$29*ABS($L$185*($L$142-MAX(0,L191-$L$173))-$L$186*($L$142-MAX(0,L191-$L$173))^2/2-$L$144*($L$142-MAX(0,L191-$L$173))^3/(6*$L$142)),$L$29*ABS($L$185*($L$142-MIN($L$142,L191+$L$173))-$L$186*($L$142-MIN($L$142,L191+$L$173))^2/2-$L$144*($L$142-MIN($L$142,L191+$L$173))^3/(6*$L$142)),IF(ABS(L191-$L$188)&lt;=$L$173,$L$29*ABS($L$187),0))</f>
      </c>
    </row>
    <row r="192">
      <c r="K192" s="237">
        <v>2</v>
      </c>
      <c r="L192" s="227">
        <f>$L$142*K192/80</f>
      </c>
      <c r="M192" s="227">
        <f>$L$185*($L$142-L192)-$L$186*($L$142-L192)^2/2-$L$144*($L$142-L192)^3/(6*$L$142)</f>
      </c>
      <c r="N192" s="227">
        <f>M192*$L$29</f>
      </c>
      <c r="O192" s="227">
        <f>ABS(N192)</f>
      </c>
      <c r="P192" s="227">
        <f>MAX($L$29*ABS($L$185*($L$142-MAX(0,L192-$L$173))-$L$186*($L$142-MAX(0,L192-$L$173))^2/2-$L$144*($L$142-MAX(0,L192-$L$173))^3/(6*$L$142)),$L$29*ABS($L$185*($L$142-MIN($L$142,L192+$L$173))-$L$186*($L$142-MIN($L$142,L192+$L$173))^2/2-$L$144*($L$142-MIN($L$142,L192+$L$173))^3/(6*$L$142)),IF(ABS(L192-$L$188)&lt;=$L$173,$L$29*ABS($L$187),0))</f>
      </c>
    </row>
    <row r="193">
      <c r="K193" s="237">
        <v>3</v>
      </c>
      <c r="L193" s="227">
        <f>$L$142*K193/80</f>
      </c>
      <c r="M193" s="227">
        <f>$L$185*($L$142-L193)-$L$186*($L$142-L193)^2/2-$L$144*($L$142-L193)^3/(6*$L$142)</f>
      </c>
      <c r="N193" s="227">
        <f>M193*$L$29</f>
      </c>
      <c r="O193" s="227">
        <f>ABS(N193)</f>
      </c>
      <c r="P193" s="227">
        <f>MAX($L$29*ABS($L$185*($L$142-MAX(0,L193-$L$173))-$L$186*($L$142-MAX(0,L193-$L$173))^2/2-$L$144*($L$142-MAX(0,L193-$L$173))^3/(6*$L$142)),$L$29*ABS($L$185*($L$142-MIN($L$142,L193+$L$173))-$L$186*($L$142-MIN($L$142,L193+$L$173))^2/2-$L$144*($L$142-MIN($L$142,L193+$L$173))^3/(6*$L$142)),IF(ABS(L193-$L$188)&lt;=$L$173,$L$29*ABS($L$187),0))</f>
      </c>
    </row>
    <row r="194">
      <c r="K194" s="237">
        <v>4</v>
      </c>
      <c r="L194" s="227">
        <f>$L$142*K194/80</f>
      </c>
      <c r="M194" s="227">
        <f>$L$185*($L$142-L194)-$L$186*($L$142-L194)^2/2-$L$144*($L$142-L194)^3/(6*$L$142)</f>
      </c>
      <c r="N194" s="227">
        <f>M194*$L$29</f>
      </c>
      <c r="O194" s="227">
        <f>ABS(N194)</f>
      </c>
      <c r="P194" s="227">
        <f>MAX($L$29*ABS($L$185*($L$142-MAX(0,L194-$L$173))-$L$186*($L$142-MAX(0,L194-$L$173))^2/2-$L$144*($L$142-MAX(0,L194-$L$173))^3/(6*$L$142)),$L$29*ABS($L$185*($L$142-MIN($L$142,L194+$L$173))-$L$186*($L$142-MIN($L$142,L194+$L$173))^2/2-$L$144*($L$142-MIN($L$142,L194+$L$173))^3/(6*$L$142)),IF(ABS(L194-$L$188)&lt;=$L$173,$L$29*ABS($L$187),0))</f>
      </c>
    </row>
    <row r="195">
      <c r="K195" s="237">
        <v>5</v>
      </c>
      <c r="L195" s="227">
        <f>$L$142*K195/80</f>
      </c>
      <c r="M195" s="227">
        <f>$L$185*($L$142-L195)-$L$186*($L$142-L195)^2/2-$L$144*($L$142-L195)^3/(6*$L$142)</f>
      </c>
      <c r="N195" s="227">
        <f>M195*$L$29</f>
      </c>
      <c r="O195" s="227">
        <f>ABS(N195)</f>
      </c>
      <c r="P195" s="227">
        <f>MAX($L$29*ABS($L$185*($L$142-MAX(0,L195-$L$173))-$L$186*($L$142-MAX(0,L195-$L$173))^2/2-$L$144*($L$142-MAX(0,L195-$L$173))^3/(6*$L$142)),$L$29*ABS($L$185*($L$142-MIN($L$142,L195+$L$173))-$L$186*($L$142-MIN($L$142,L195+$L$173))^2/2-$L$144*($L$142-MIN($L$142,L195+$L$173))^3/(6*$L$142)),IF(ABS(L195-$L$188)&lt;=$L$173,$L$29*ABS($L$187),0))</f>
      </c>
    </row>
    <row r="196">
      <c r="K196" s="237">
        <v>6</v>
      </c>
      <c r="L196" s="227">
        <f>$L$142*K196/80</f>
      </c>
      <c r="M196" s="227">
        <f>$L$185*($L$142-L196)-$L$186*($L$142-L196)^2/2-$L$144*($L$142-L196)^3/(6*$L$142)</f>
      </c>
      <c r="N196" s="227">
        <f>M196*$L$29</f>
      </c>
      <c r="O196" s="227">
        <f>ABS(N196)</f>
      </c>
      <c r="P196" s="227">
        <f>MAX($L$29*ABS($L$185*($L$142-MAX(0,L196-$L$173))-$L$186*($L$142-MAX(0,L196-$L$173))^2/2-$L$144*($L$142-MAX(0,L196-$L$173))^3/(6*$L$142)),$L$29*ABS($L$185*($L$142-MIN($L$142,L196+$L$173))-$L$186*($L$142-MIN($L$142,L196+$L$173))^2/2-$L$144*($L$142-MIN($L$142,L196+$L$173))^3/(6*$L$142)),IF(ABS(L196-$L$188)&lt;=$L$173,$L$29*ABS($L$187),0))</f>
      </c>
    </row>
    <row r="197">
      <c r="K197" s="237">
        <v>7</v>
      </c>
      <c r="L197" s="227">
        <f>$L$142*K197/80</f>
      </c>
      <c r="M197" s="227">
        <f>$L$185*($L$142-L197)-$L$186*($L$142-L197)^2/2-$L$144*($L$142-L197)^3/(6*$L$142)</f>
      </c>
      <c r="N197" s="227">
        <f>M197*$L$29</f>
      </c>
      <c r="O197" s="227">
        <f>ABS(N197)</f>
      </c>
      <c r="P197" s="227">
        <f>MAX($L$29*ABS($L$185*($L$142-MAX(0,L197-$L$173))-$L$186*($L$142-MAX(0,L197-$L$173))^2/2-$L$144*($L$142-MAX(0,L197-$L$173))^3/(6*$L$142)),$L$29*ABS($L$185*($L$142-MIN($L$142,L197+$L$173))-$L$186*($L$142-MIN($L$142,L197+$L$173))^2/2-$L$144*($L$142-MIN($L$142,L197+$L$173))^3/(6*$L$142)),IF(ABS(L197-$L$188)&lt;=$L$173,$L$29*ABS($L$187),0))</f>
      </c>
    </row>
    <row r="198">
      <c r="K198" s="237">
        <v>8</v>
      </c>
      <c r="L198" s="227">
        <f>$L$142*K198/80</f>
      </c>
      <c r="M198" s="227">
        <f>$L$185*($L$142-L198)-$L$186*($L$142-L198)^2/2-$L$144*($L$142-L198)^3/(6*$L$142)</f>
      </c>
      <c r="N198" s="227">
        <f>M198*$L$29</f>
      </c>
      <c r="O198" s="227">
        <f>ABS(N198)</f>
      </c>
      <c r="P198" s="227">
        <f>MAX($L$29*ABS($L$185*($L$142-MAX(0,L198-$L$173))-$L$186*($L$142-MAX(0,L198-$L$173))^2/2-$L$144*($L$142-MAX(0,L198-$L$173))^3/(6*$L$142)),$L$29*ABS($L$185*($L$142-MIN($L$142,L198+$L$173))-$L$186*($L$142-MIN($L$142,L198+$L$173))^2/2-$L$144*($L$142-MIN($L$142,L198+$L$173))^3/(6*$L$142)),IF(ABS(L198-$L$188)&lt;=$L$173,$L$29*ABS($L$187),0))</f>
      </c>
    </row>
    <row r="199">
      <c r="K199" s="237">
        <v>9</v>
      </c>
      <c r="L199" s="227">
        <f>$L$142*K199/80</f>
      </c>
      <c r="M199" s="227">
        <f>$L$185*($L$142-L199)-$L$186*($L$142-L199)^2/2-$L$144*($L$142-L199)^3/(6*$L$142)</f>
      </c>
      <c r="N199" s="227">
        <f>M199*$L$29</f>
      </c>
      <c r="O199" s="227">
        <f>ABS(N199)</f>
      </c>
      <c r="P199" s="227">
        <f>MAX($L$29*ABS($L$185*($L$142-MAX(0,L199-$L$173))-$L$186*($L$142-MAX(0,L199-$L$173))^2/2-$L$144*($L$142-MAX(0,L199-$L$173))^3/(6*$L$142)),$L$29*ABS($L$185*($L$142-MIN($L$142,L199+$L$173))-$L$186*($L$142-MIN($L$142,L199+$L$173))^2/2-$L$144*($L$142-MIN($L$142,L199+$L$173))^3/(6*$L$142)),IF(ABS(L199-$L$188)&lt;=$L$173,$L$29*ABS($L$187),0))</f>
      </c>
    </row>
    <row r="200">
      <c r="K200" s="237">
        <v>10</v>
      </c>
      <c r="L200" s="227">
        <f>$L$142*K200/80</f>
      </c>
      <c r="M200" s="227">
        <f>$L$185*($L$142-L200)-$L$186*($L$142-L200)^2/2-$L$144*($L$142-L200)^3/(6*$L$142)</f>
      </c>
      <c r="N200" s="227">
        <f>M200*$L$29</f>
      </c>
      <c r="O200" s="227">
        <f>ABS(N200)</f>
      </c>
      <c r="P200" s="227">
        <f>MAX($L$29*ABS($L$185*($L$142-MAX(0,L200-$L$173))-$L$186*($L$142-MAX(0,L200-$L$173))^2/2-$L$144*($L$142-MAX(0,L200-$L$173))^3/(6*$L$142)),$L$29*ABS($L$185*($L$142-MIN($L$142,L200+$L$173))-$L$186*($L$142-MIN($L$142,L200+$L$173))^2/2-$L$144*($L$142-MIN($L$142,L200+$L$173))^3/(6*$L$142)),IF(ABS(L200-$L$188)&lt;=$L$173,$L$29*ABS($L$187),0))</f>
      </c>
    </row>
    <row r="201">
      <c r="K201" s="237">
        <v>11</v>
      </c>
      <c r="L201" s="227">
        <f>$L$142*K201/80</f>
      </c>
      <c r="M201" s="227">
        <f>$L$185*($L$142-L201)-$L$186*($L$142-L201)^2/2-$L$144*($L$142-L201)^3/(6*$L$142)</f>
      </c>
      <c r="N201" s="227">
        <f>M201*$L$29</f>
      </c>
      <c r="O201" s="227">
        <f>ABS(N201)</f>
      </c>
      <c r="P201" s="227">
        <f>MAX($L$29*ABS($L$185*($L$142-MAX(0,L201-$L$173))-$L$186*($L$142-MAX(0,L201-$L$173))^2/2-$L$144*($L$142-MAX(0,L201-$L$173))^3/(6*$L$142)),$L$29*ABS($L$185*($L$142-MIN($L$142,L201+$L$173))-$L$186*($L$142-MIN($L$142,L201+$L$173))^2/2-$L$144*($L$142-MIN($L$142,L201+$L$173))^3/(6*$L$142)),IF(ABS(L201-$L$188)&lt;=$L$173,$L$29*ABS($L$187),0))</f>
      </c>
    </row>
    <row r="202">
      <c r="K202" s="237">
        <v>12</v>
      </c>
      <c r="L202" s="227">
        <f>$L$142*K202/80</f>
      </c>
      <c r="M202" s="227">
        <f>$L$185*($L$142-L202)-$L$186*($L$142-L202)^2/2-$L$144*($L$142-L202)^3/(6*$L$142)</f>
      </c>
      <c r="N202" s="227">
        <f>M202*$L$29</f>
      </c>
      <c r="O202" s="227">
        <f>ABS(N202)</f>
      </c>
      <c r="P202" s="227">
        <f>MAX($L$29*ABS($L$185*($L$142-MAX(0,L202-$L$173))-$L$186*($L$142-MAX(0,L202-$L$173))^2/2-$L$144*($L$142-MAX(0,L202-$L$173))^3/(6*$L$142)),$L$29*ABS($L$185*($L$142-MIN($L$142,L202+$L$173))-$L$186*($L$142-MIN($L$142,L202+$L$173))^2/2-$L$144*($L$142-MIN($L$142,L202+$L$173))^3/(6*$L$142)),IF(ABS(L202-$L$188)&lt;=$L$173,$L$29*ABS($L$187),0))</f>
      </c>
    </row>
    <row r="203">
      <c r="K203" s="237">
        <v>13</v>
      </c>
      <c r="L203" s="227">
        <f>$L$142*K203/80</f>
      </c>
      <c r="M203" s="227">
        <f>$L$185*($L$142-L203)-$L$186*($L$142-L203)^2/2-$L$144*($L$142-L203)^3/(6*$L$142)</f>
      </c>
      <c r="N203" s="227">
        <f>M203*$L$29</f>
      </c>
      <c r="O203" s="227">
        <f>ABS(N203)</f>
      </c>
      <c r="P203" s="227">
        <f>MAX($L$29*ABS($L$185*($L$142-MAX(0,L203-$L$173))-$L$186*($L$142-MAX(0,L203-$L$173))^2/2-$L$144*($L$142-MAX(0,L203-$L$173))^3/(6*$L$142)),$L$29*ABS($L$185*($L$142-MIN($L$142,L203+$L$173))-$L$186*($L$142-MIN($L$142,L203+$L$173))^2/2-$L$144*($L$142-MIN($L$142,L203+$L$173))^3/(6*$L$142)),IF(ABS(L203-$L$188)&lt;=$L$173,$L$29*ABS($L$187),0))</f>
      </c>
    </row>
    <row r="204">
      <c r="K204" s="237">
        <v>14</v>
      </c>
      <c r="L204" s="227">
        <f>$L$142*K204/80</f>
      </c>
      <c r="M204" s="227">
        <f>$L$185*($L$142-L204)-$L$186*($L$142-L204)^2/2-$L$144*($L$142-L204)^3/(6*$L$142)</f>
      </c>
      <c r="N204" s="227">
        <f>M204*$L$29</f>
      </c>
      <c r="O204" s="227">
        <f>ABS(N204)</f>
      </c>
      <c r="P204" s="227">
        <f>MAX($L$29*ABS($L$185*($L$142-MAX(0,L204-$L$173))-$L$186*($L$142-MAX(0,L204-$L$173))^2/2-$L$144*($L$142-MAX(0,L204-$L$173))^3/(6*$L$142)),$L$29*ABS($L$185*($L$142-MIN($L$142,L204+$L$173))-$L$186*($L$142-MIN($L$142,L204+$L$173))^2/2-$L$144*($L$142-MIN($L$142,L204+$L$173))^3/(6*$L$142)),IF(ABS(L204-$L$188)&lt;=$L$173,$L$29*ABS($L$187),0))</f>
      </c>
    </row>
    <row r="205">
      <c r="K205" s="237">
        <v>15</v>
      </c>
      <c r="L205" s="227">
        <f>$L$142*K205/80</f>
      </c>
      <c r="M205" s="227">
        <f>$L$185*($L$142-L205)-$L$186*($L$142-L205)^2/2-$L$144*($L$142-L205)^3/(6*$L$142)</f>
      </c>
      <c r="N205" s="227">
        <f>M205*$L$29</f>
      </c>
      <c r="O205" s="227">
        <f>ABS(N205)</f>
      </c>
      <c r="P205" s="227">
        <f>MAX($L$29*ABS($L$185*($L$142-MAX(0,L205-$L$173))-$L$186*($L$142-MAX(0,L205-$L$173))^2/2-$L$144*($L$142-MAX(0,L205-$L$173))^3/(6*$L$142)),$L$29*ABS($L$185*($L$142-MIN($L$142,L205+$L$173))-$L$186*($L$142-MIN($L$142,L205+$L$173))^2/2-$L$144*($L$142-MIN($L$142,L205+$L$173))^3/(6*$L$142)),IF(ABS(L205-$L$188)&lt;=$L$173,$L$29*ABS($L$187),0))</f>
      </c>
    </row>
    <row r="206">
      <c r="K206" s="237">
        <v>16</v>
      </c>
      <c r="L206" s="227">
        <f>$L$142*K206/80</f>
      </c>
      <c r="M206" s="227">
        <f>$L$185*($L$142-L206)-$L$186*($L$142-L206)^2/2-$L$144*($L$142-L206)^3/(6*$L$142)</f>
      </c>
      <c r="N206" s="227">
        <f>M206*$L$29</f>
      </c>
      <c r="O206" s="227">
        <f>ABS(N206)</f>
      </c>
      <c r="P206" s="227">
        <f>MAX($L$29*ABS($L$185*($L$142-MAX(0,L206-$L$173))-$L$186*($L$142-MAX(0,L206-$L$173))^2/2-$L$144*($L$142-MAX(0,L206-$L$173))^3/(6*$L$142)),$L$29*ABS($L$185*($L$142-MIN($L$142,L206+$L$173))-$L$186*($L$142-MIN($L$142,L206+$L$173))^2/2-$L$144*($L$142-MIN($L$142,L206+$L$173))^3/(6*$L$142)),IF(ABS(L206-$L$188)&lt;=$L$173,$L$29*ABS($L$187),0))</f>
      </c>
    </row>
    <row r="207">
      <c r="K207" s="237">
        <v>17</v>
      </c>
      <c r="L207" s="227">
        <f>$L$142*K207/80</f>
      </c>
      <c r="M207" s="227">
        <f>$L$185*($L$142-L207)-$L$186*($L$142-L207)^2/2-$L$144*($L$142-L207)^3/(6*$L$142)</f>
      </c>
      <c r="N207" s="227">
        <f>M207*$L$29</f>
      </c>
      <c r="O207" s="227">
        <f>ABS(N207)</f>
      </c>
      <c r="P207" s="227">
        <f>MAX($L$29*ABS($L$185*($L$142-MAX(0,L207-$L$173))-$L$186*($L$142-MAX(0,L207-$L$173))^2/2-$L$144*($L$142-MAX(0,L207-$L$173))^3/(6*$L$142)),$L$29*ABS($L$185*($L$142-MIN($L$142,L207+$L$173))-$L$186*($L$142-MIN($L$142,L207+$L$173))^2/2-$L$144*($L$142-MIN($L$142,L207+$L$173))^3/(6*$L$142)),IF(ABS(L207-$L$188)&lt;=$L$173,$L$29*ABS($L$187),0))</f>
      </c>
    </row>
    <row r="208">
      <c r="K208" s="237">
        <v>18</v>
      </c>
      <c r="L208" s="227">
        <f>$L$142*K208/80</f>
      </c>
      <c r="M208" s="227">
        <f>$L$185*($L$142-L208)-$L$186*($L$142-L208)^2/2-$L$144*($L$142-L208)^3/(6*$L$142)</f>
      </c>
      <c r="N208" s="227">
        <f>M208*$L$29</f>
      </c>
      <c r="O208" s="227">
        <f>ABS(N208)</f>
      </c>
      <c r="P208" s="227">
        <f>MAX($L$29*ABS($L$185*($L$142-MAX(0,L208-$L$173))-$L$186*($L$142-MAX(0,L208-$L$173))^2/2-$L$144*($L$142-MAX(0,L208-$L$173))^3/(6*$L$142)),$L$29*ABS($L$185*($L$142-MIN($L$142,L208+$L$173))-$L$186*($L$142-MIN($L$142,L208+$L$173))^2/2-$L$144*($L$142-MIN($L$142,L208+$L$173))^3/(6*$L$142)),IF(ABS(L208-$L$188)&lt;=$L$173,$L$29*ABS($L$187),0))</f>
      </c>
    </row>
    <row r="209">
      <c r="K209" s="237">
        <v>19</v>
      </c>
      <c r="L209" s="227">
        <f>$L$142*K209/80</f>
      </c>
      <c r="M209" s="227">
        <f>$L$185*($L$142-L209)-$L$186*($L$142-L209)^2/2-$L$144*($L$142-L209)^3/(6*$L$142)</f>
      </c>
      <c r="N209" s="227">
        <f>M209*$L$29</f>
      </c>
      <c r="O209" s="227">
        <f>ABS(N209)</f>
      </c>
      <c r="P209" s="227">
        <f>MAX($L$29*ABS($L$185*($L$142-MAX(0,L209-$L$173))-$L$186*($L$142-MAX(0,L209-$L$173))^2/2-$L$144*($L$142-MAX(0,L209-$L$173))^3/(6*$L$142)),$L$29*ABS($L$185*($L$142-MIN($L$142,L209+$L$173))-$L$186*($L$142-MIN($L$142,L209+$L$173))^2/2-$L$144*($L$142-MIN($L$142,L209+$L$173))^3/(6*$L$142)),IF(ABS(L209-$L$188)&lt;=$L$173,$L$29*ABS($L$187),0))</f>
      </c>
    </row>
    <row r="210">
      <c r="K210" s="237">
        <v>20</v>
      </c>
      <c r="L210" s="227">
        <f>$L$142*K210/80</f>
      </c>
      <c r="M210" s="227">
        <f>$L$185*($L$142-L210)-$L$186*($L$142-L210)^2/2-$L$144*($L$142-L210)^3/(6*$L$142)</f>
      </c>
      <c r="N210" s="227">
        <f>M210*$L$29</f>
      </c>
      <c r="O210" s="227">
        <f>ABS(N210)</f>
      </c>
      <c r="P210" s="227">
        <f>MAX($L$29*ABS($L$185*($L$142-MAX(0,L210-$L$173))-$L$186*($L$142-MAX(0,L210-$L$173))^2/2-$L$144*($L$142-MAX(0,L210-$L$173))^3/(6*$L$142)),$L$29*ABS($L$185*($L$142-MIN($L$142,L210+$L$173))-$L$186*($L$142-MIN($L$142,L210+$L$173))^2/2-$L$144*($L$142-MIN($L$142,L210+$L$173))^3/(6*$L$142)),IF(ABS(L210-$L$188)&lt;=$L$173,$L$29*ABS($L$187),0))</f>
      </c>
    </row>
    <row r="211">
      <c r="K211" s="237">
        <v>21</v>
      </c>
      <c r="L211" s="227">
        <f>$L$142*K211/80</f>
      </c>
      <c r="M211" s="227">
        <f>$L$185*($L$142-L211)-$L$186*($L$142-L211)^2/2-$L$144*($L$142-L211)^3/(6*$L$142)</f>
      </c>
      <c r="N211" s="227">
        <f>M211*$L$29</f>
      </c>
      <c r="O211" s="227">
        <f>ABS(N211)</f>
      </c>
      <c r="P211" s="227">
        <f>MAX($L$29*ABS($L$185*($L$142-MAX(0,L211-$L$173))-$L$186*($L$142-MAX(0,L211-$L$173))^2/2-$L$144*($L$142-MAX(0,L211-$L$173))^3/(6*$L$142)),$L$29*ABS($L$185*($L$142-MIN($L$142,L211+$L$173))-$L$186*($L$142-MIN($L$142,L211+$L$173))^2/2-$L$144*($L$142-MIN($L$142,L211+$L$173))^3/(6*$L$142)),IF(ABS(L211-$L$188)&lt;=$L$173,$L$29*ABS($L$187),0))</f>
      </c>
    </row>
    <row r="212">
      <c r="K212" s="237">
        <v>22</v>
      </c>
      <c r="L212" s="227">
        <f>$L$142*K212/80</f>
      </c>
      <c r="M212" s="227">
        <f>$L$185*($L$142-L212)-$L$186*($L$142-L212)^2/2-$L$144*($L$142-L212)^3/(6*$L$142)</f>
      </c>
      <c r="N212" s="227">
        <f>M212*$L$29</f>
      </c>
      <c r="O212" s="227">
        <f>ABS(N212)</f>
      </c>
      <c r="P212" s="227">
        <f>MAX($L$29*ABS($L$185*($L$142-MAX(0,L212-$L$173))-$L$186*($L$142-MAX(0,L212-$L$173))^2/2-$L$144*($L$142-MAX(0,L212-$L$173))^3/(6*$L$142)),$L$29*ABS($L$185*($L$142-MIN($L$142,L212+$L$173))-$L$186*($L$142-MIN($L$142,L212+$L$173))^2/2-$L$144*($L$142-MIN($L$142,L212+$L$173))^3/(6*$L$142)),IF(ABS(L212-$L$188)&lt;=$L$173,$L$29*ABS($L$187),0))</f>
      </c>
    </row>
    <row r="213">
      <c r="K213" s="237">
        <v>23</v>
      </c>
      <c r="L213" s="227">
        <f>$L$142*K213/80</f>
      </c>
      <c r="M213" s="227">
        <f>$L$185*($L$142-L213)-$L$186*($L$142-L213)^2/2-$L$144*($L$142-L213)^3/(6*$L$142)</f>
      </c>
      <c r="N213" s="227">
        <f>M213*$L$29</f>
      </c>
      <c r="O213" s="227">
        <f>ABS(N213)</f>
      </c>
      <c r="P213" s="227">
        <f>MAX($L$29*ABS($L$185*($L$142-MAX(0,L213-$L$173))-$L$186*($L$142-MAX(0,L213-$L$173))^2/2-$L$144*($L$142-MAX(0,L213-$L$173))^3/(6*$L$142)),$L$29*ABS($L$185*($L$142-MIN($L$142,L213+$L$173))-$L$186*($L$142-MIN($L$142,L213+$L$173))^2/2-$L$144*($L$142-MIN($L$142,L213+$L$173))^3/(6*$L$142)),IF(ABS(L213-$L$188)&lt;=$L$173,$L$29*ABS($L$187),0))</f>
      </c>
    </row>
    <row r="214">
      <c r="K214" s="237">
        <v>24</v>
      </c>
      <c r="L214" s="227">
        <f>$L$142*K214/80</f>
      </c>
      <c r="M214" s="227">
        <f>$L$185*($L$142-L214)-$L$186*($L$142-L214)^2/2-$L$144*($L$142-L214)^3/(6*$L$142)</f>
      </c>
      <c r="N214" s="227">
        <f>M214*$L$29</f>
      </c>
      <c r="O214" s="227">
        <f>ABS(N214)</f>
      </c>
      <c r="P214" s="227">
        <f>MAX($L$29*ABS($L$185*($L$142-MAX(0,L214-$L$173))-$L$186*($L$142-MAX(0,L214-$L$173))^2/2-$L$144*($L$142-MAX(0,L214-$L$173))^3/(6*$L$142)),$L$29*ABS($L$185*($L$142-MIN($L$142,L214+$L$173))-$L$186*($L$142-MIN($L$142,L214+$L$173))^2/2-$L$144*($L$142-MIN($L$142,L214+$L$173))^3/(6*$L$142)),IF(ABS(L214-$L$188)&lt;=$L$173,$L$29*ABS($L$187),0))</f>
      </c>
    </row>
    <row r="215">
      <c r="K215" s="237">
        <v>25</v>
      </c>
      <c r="L215" s="227">
        <f>$L$142*K215/80</f>
      </c>
      <c r="M215" s="227">
        <f>$L$185*($L$142-L215)-$L$186*($L$142-L215)^2/2-$L$144*($L$142-L215)^3/(6*$L$142)</f>
      </c>
      <c r="N215" s="227">
        <f>M215*$L$29</f>
      </c>
      <c r="O215" s="227">
        <f>ABS(N215)</f>
      </c>
      <c r="P215" s="227">
        <f>MAX($L$29*ABS($L$185*($L$142-MAX(0,L215-$L$173))-$L$186*($L$142-MAX(0,L215-$L$173))^2/2-$L$144*($L$142-MAX(0,L215-$L$173))^3/(6*$L$142)),$L$29*ABS($L$185*($L$142-MIN($L$142,L215+$L$173))-$L$186*($L$142-MIN($L$142,L215+$L$173))^2/2-$L$144*($L$142-MIN($L$142,L215+$L$173))^3/(6*$L$142)),IF(ABS(L215-$L$188)&lt;=$L$173,$L$29*ABS($L$187),0))</f>
      </c>
    </row>
    <row r="216">
      <c r="K216" s="237">
        <v>26</v>
      </c>
      <c r="L216" s="227">
        <f>$L$142*K216/80</f>
      </c>
      <c r="M216" s="227">
        <f>$L$185*($L$142-L216)-$L$186*($L$142-L216)^2/2-$L$144*($L$142-L216)^3/(6*$L$142)</f>
      </c>
      <c r="N216" s="227">
        <f>M216*$L$29</f>
      </c>
      <c r="O216" s="227">
        <f>ABS(N216)</f>
      </c>
      <c r="P216" s="227">
        <f>MAX($L$29*ABS($L$185*($L$142-MAX(0,L216-$L$173))-$L$186*($L$142-MAX(0,L216-$L$173))^2/2-$L$144*($L$142-MAX(0,L216-$L$173))^3/(6*$L$142)),$L$29*ABS($L$185*($L$142-MIN($L$142,L216+$L$173))-$L$186*($L$142-MIN($L$142,L216+$L$173))^2/2-$L$144*($L$142-MIN($L$142,L216+$L$173))^3/(6*$L$142)),IF(ABS(L216-$L$188)&lt;=$L$173,$L$29*ABS($L$187),0))</f>
      </c>
    </row>
    <row r="217">
      <c r="K217" s="237">
        <v>27</v>
      </c>
      <c r="L217" s="227">
        <f>$L$142*K217/80</f>
      </c>
      <c r="M217" s="227">
        <f>$L$185*($L$142-L217)-$L$186*($L$142-L217)^2/2-$L$144*($L$142-L217)^3/(6*$L$142)</f>
      </c>
      <c r="N217" s="227">
        <f>M217*$L$29</f>
      </c>
      <c r="O217" s="227">
        <f>ABS(N217)</f>
      </c>
      <c r="P217" s="227">
        <f>MAX($L$29*ABS($L$185*($L$142-MAX(0,L217-$L$173))-$L$186*($L$142-MAX(0,L217-$L$173))^2/2-$L$144*($L$142-MAX(0,L217-$L$173))^3/(6*$L$142)),$L$29*ABS($L$185*($L$142-MIN($L$142,L217+$L$173))-$L$186*($L$142-MIN($L$142,L217+$L$173))^2/2-$L$144*($L$142-MIN($L$142,L217+$L$173))^3/(6*$L$142)),IF(ABS(L217-$L$188)&lt;=$L$173,$L$29*ABS($L$187),0))</f>
      </c>
    </row>
    <row r="218">
      <c r="K218" s="237">
        <v>28</v>
      </c>
      <c r="L218" s="227">
        <f>$L$142*K218/80</f>
      </c>
      <c r="M218" s="227">
        <f>$L$185*($L$142-L218)-$L$186*($L$142-L218)^2/2-$L$144*($L$142-L218)^3/(6*$L$142)</f>
      </c>
      <c r="N218" s="227">
        <f>M218*$L$29</f>
      </c>
      <c r="O218" s="227">
        <f>ABS(N218)</f>
      </c>
      <c r="P218" s="227">
        <f>MAX($L$29*ABS($L$185*($L$142-MAX(0,L218-$L$173))-$L$186*($L$142-MAX(0,L218-$L$173))^2/2-$L$144*($L$142-MAX(0,L218-$L$173))^3/(6*$L$142)),$L$29*ABS($L$185*($L$142-MIN($L$142,L218+$L$173))-$L$186*($L$142-MIN($L$142,L218+$L$173))^2/2-$L$144*($L$142-MIN($L$142,L218+$L$173))^3/(6*$L$142)),IF(ABS(L218-$L$188)&lt;=$L$173,$L$29*ABS($L$187),0))</f>
      </c>
    </row>
    <row r="219">
      <c r="K219" s="237">
        <v>29</v>
      </c>
      <c r="L219" s="227">
        <f>$L$142*K219/80</f>
      </c>
      <c r="M219" s="227">
        <f>$L$185*($L$142-L219)-$L$186*($L$142-L219)^2/2-$L$144*($L$142-L219)^3/(6*$L$142)</f>
      </c>
      <c r="N219" s="227">
        <f>M219*$L$29</f>
      </c>
      <c r="O219" s="227">
        <f>ABS(N219)</f>
      </c>
      <c r="P219" s="227">
        <f>MAX($L$29*ABS($L$185*($L$142-MAX(0,L219-$L$173))-$L$186*($L$142-MAX(0,L219-$L$173))^2/2-$L$144*($L$142-MAX(0,L219-$L$173))^3/(6*$L$142)),$L$29*ABS($L$185*($L$142-MIN($L$142,L219+$L$173))-$L$186*($L$142-MIN($L$142,L219+$L$173))^2/2-$L$144*($L$142-MIN($L$142,L219+$L$173))^3/(6*$L$142)),IF(ABS(L219-$L$188)&lt;=$L$173,$L$29*ABS($L$187),0))</f>
      </c>
    </row>
    <row r="220">
      <c r="K220" s="237">
        <v>30</v>
      </c>
      <c r="L220" s="227">
        <f>$L$142*K220/80</f>
      </c>
      <c r="M220" s="227">
        <f>$L$185*($L$142-L220)-$L$186*($L$142-L220)^2/2-$L$144*($L$142-L220)^3/(6*$L$142)</f>
      </c>
      <c r="N220" s="227">
        <f>M220*$L$29</f>
      </c>
      <c r="O220" s="227">
        <f>ABS(N220)</f>
      </c>
      <c r="P220" s="227">
        <f>MAX($L$29*ABS($L$185*($L$142-MAX(0,L220-$L$173))-$L$186*($L$142-MAX(0,L220-$L$173))^2/2-$L$144*($L$142-MAX(0,L220-$L$173))^3/(6*$L$142)),$L$29*ABS($L$185*($L$142-MIN($L$142,L220+$L$173))-$L$186*($L$142-MIN($L$142,L220+$L$173))^2/2-$L$144*($L$142-MIN($L$142,L220+$L$173))^3/(6*$L$142)),IF(ABS(L220-$L$188)&lt;=$L$173,$L$29*ABS($L$187),0))</f>
      </c>
    </row>
    <row r="221">
      <c r="K221" s="237">
        <v>31</v>
      </c>
      <c r="L221" s="227">
        <f>$L$142*K221/80</f>
      </c>
      <c r="M221" s="227">
        <f>$L$185*($L$142-L221)-$L$186*($L$142-L221)^2/2-$L$144*($L$142-L221)^3/(6*$L$142)</f>
      </c>
      <c r="N221" s="227">
        <f>M221*$L$29</f>
      </c>
      <c r="O221" s="227">
        <f>ABS(N221)</f>
      </c>
      <c r="P221" s="227">
        <f>MAX($L$29*ABS($L$185*($L$142-MAX(0,L221-$L$173))-$L$186*($L$142-MAX(0,L221-$L$173))^2/2-$L$144*($L$142-MAX(0,L221-$L$173))^3/(6*$L$142)),$L$29*ABS($L$185*($L$142-MIN($L$142,L221+$L$173))-$L$186*($L$142-MIN($L$142,L221+$L$173))^2/2-$L$144*($L$142-MIN($L$142,L221+$L$173))^3/(6*$L$142)),IF(ABS(L221-$L$188)&lt;=$L$173,$L$29*ABS($L$187),0))</f>
      </c>
    </row>
    <row r="222">
      <c r="K222" s="237">
        <v>32</v>
      </c>
      <c r="L222" s="227">
        <f>$L$142*K222/80</f>
      </c>
      <c r="M222" s="227">
        <f>$L$185*($L$142-L222)-$L$186*($L$142-L222)^2/2-$L$144*($L$142-L222)^3/(6*$L$142)</f>
      </c>
      <c r="N222" s="227">
        <f>M222*$L$29</f>
      </c>
      <c r="O222" s="227">
        <f>ABS(N222)</f>
      </c>
      <c r="P222" s="227">
        <f>MAX($L$29*ABS($L$185*($L$142-MAX(0,L222-$L$173))-$L$186*($L$142-MAX(0,L222-$L$173))^2/2-$L$144*($L$142-MAX(0,L222-$L$173))^3/(6*$L$142)),$L$29*ABS($L$185*($L$142-MIN($L$142,L222+$L$173))-$L$186*($L$142-MIN($L$142,L222+$L$173))^2/2-$L$144*($L$142-MIN($L$142,L222+$L$173))^3/(6*$L$142)),IF(ABS(L222-$L$188)&lt;=$L$173,$L$29*ABS($L$187),0))</f>
      </c>
    </row>
    <row r="223">
      <c r="K223" s="237">
        <v>33</v>
      </c>
      <c r="L223" s="227">
        <f>$L$142*K223/80</f>
      </c>
      <c r="M223" s="227">
        <f>$L$185*($L$142-L223)-$L$186*($L$142-L223)^2/2-$L$144*($L$142-L223)^3/(6*$L$142)</f>
      </c>
      <c r="N223" s="227">
        <f>M223*$L$29</f>
      </c>
      <c r="O223" s="227">
        <f>ABS(N223)</f>
      </c>
      <c r="P223" s="227">
        <f>MAX($L$29*ABS($L$185*($L$142-MAX(0,L223-$L$173))-$L$186*($L$142-MAX(0,L223-$L$173))^2/2-$L$144*($L$142-MAX(0,L223-$L$173))^3/(6*$L$142)),$L$29*ABS($L$185*($L$142-MIN($L$142,L223+$L$173))-$L$186*($L$142-MIN($L$142,L223+$L$173))^2/2-$L$144*($L$142-MIN($L$142,L223+$L$173))^3/(6*$L$142)),IF(ABS(L223-$L$188)&lt;=$L$173,$L$29*ABS($L$187),0))</f>
      </c>
    </row>
    <row r="224">
      <c r="K224" s="237">
        <v>34</v>
      </c>
      <c r="L224" s="227">
        <f>$L$142*K224/80</f>
      </c>
      <c r="M224" s="227">
        <f>$L$185*($L$142-L224)-$L$186*($L$142-L224)^2/2-$L$144*($L$142-L224)^3/(6*$L$142)</f>
      </c>
      <c r="N224" s="227">
        <f>M224*$L$29</f>
      </c>
      <c r="O224" s="227">
        <f>ABS(N224)</f>
      </c>
      <c r="P224" s="227">
        <f>MAX($L$29*ABS($L$185*($L$142-MAX(0,L224-$L$173))-$L$186*($L$142-MAX(0,L224-$L$173))^2/2-$L$144*($L$142-MAX(0,L224-$L$173))^3/(6*$L$142)),$L$29*ABS($L$185*($L$142-MIN($L$142,L224+$L$173))-$L$186*($L$142-MIN($L$142,L224+$L$173))^2/2-$L$144*($L$142-MIN($L$142,L224+$L$173))^3/(6*$L$142)),IF(ABS(L224-$L$188)&lt;=$L$173,$L$29*ABS($L$187),0))</f>
      </c>
    </row>
    <row r="225">
      <c r="K225" s="237">
        <v>35</v>
      </c>
      <c r="L225" s="227">
        <f>$L$142*K225/80</f>
      </c>
      <c r="M225" s="227">
        <f>$L$185*($L$142-L225)-$L$186*($L$142-L225)^2/2-$L$144*($L$142-L225)^3/(6*$L$142)</f>
      </c>
      <c r="N225" s="227">
        <f>M225*$L$29</f>
      </c>
      <c r="O225" s="227">
        <f>ABS(N225)</f>
      </c>
      <c r="P225" s="227">
        <f>MAX($L$29*ABS($L$185*($L$142-MAX(0,L225-$L$173))-$L$186*($L$142-MAX(0,L225-$L$173))^2/2-$L$144*($L$142-MAX(0,L225-$L$173))^3/(6*$L$142)),$L$29*ABS($L$185*($L$142-MIN($L$142,L225+$L$173))-$L$186*($L$142-MIN($L$142,L225+$L$173))^2/2-$L$144*($L$142-MIN($L$142,L225+$L$173))^3/(6*$L$142)),IF(ABS(L225-$L$188)&lt;=$L$173,$L$29*ABS($L$187),0))</f>
      </c>
    </row>
    <row r="226">
      <c r="K226" s="237">
        <v>36</v>
      </c>
      <c r="L226" s="227">
        <f>$L$142*K226/80</f>
      </c>
      <c r="M226" s="227">
        <f>$L$185*($L$142-L226)-$L$186*($L$142-L226)^2/2-$L$144*($L$142-L226)^3/(6*$L$142)</f>
      </c>
      <c r="N226" s="227">
        <f>M226*$L$29</f>
      </c>
      <c r="O226" s="227">
        <f>ABS(N226)</f>
      </c>
      <c r="P226" s="227">
        <f>MAX($L$29*ABS($L$185*($L$142-MAX(0,L226-$L$173))-$L$186*($L$142-MAX(0,L226-$L$173))^2/2-$L$144*($L$142-MAX(0,L226-$L$173))^3/(6*$L$142)),$L$29*ABS($L$185*($L$142-MIN($L$142,L226+$L$173))-$L$186*($L$142-MIN($L$142,L226+$L$173))^2/2-$L$144*($L$142-MIN($L$142,L226+$L$173))^3/(6*$L$142)),IF(ABS(L226-$L$188)&lt;=$L$173,$L$29*ABS($L$187),0))</f>
      </c>
    </row>
    <row r="227">
      <c r="K227" s="237">
        <v>37</v>
      </c>
      <c r="L227" s="227">
        <f>$L$142*K227/80</f>
      </c>
      <c r="M227" s="227">
        <f>$L$185*($L$142-L227)-$L$186*($L$142-L227)^2/2-$L$144*($L$142-L227)^3/(6*$L$142)</f>
      </c>
      <c r="N227" s="227">
        <f>M227*$L$29</f>
      </c>
      <c r="O227" s="227">
        <f>ABS(N227)</f>
      </c>
      <c r="P227" s="227">
        <f>MAX($L$29*ABS($L$185*($L$142-MAX(0,L227-$L$173))-$L$186*($L$142-MAX(0,L227-$L$173))^2/2-$L$144*($L$142-MAX(0,L227-$L$173))^3/(6*$L$142)),$L$29*ABS($L$185*($L$142-MIN($L$142,L227+$L$173))-$L$186*($L$142-MIN($L$142,L227+$L$173))^2/2-$L$144*($L$142-MIN($L$142,L227+$L$173))^3/(6*$L$142)),IF(ABS(L227-$L$188)&lt;=$L$173,$L$29*ABS($L$187),0))</f>
      </c>
    </row>
    <row r="228">
      <c r="K228" s="237">
        <v>38</v>
      </c>
      <c r="L228" s="227">
        <f>$L$142*K228/80</f>
      </c>
      <c r="M228" s="227">
        <f>$L$185*($L$142-L228)-$L$186*($L$142-L228)^2/2-$L$144*($L$142-L228)^3/(6*$L$142)</f>
      </c>
      <c r="N228" s="227">
        <f>M228*$L$29</f>
      </c>
      <c r="O228" s="227">
        <f>ABS(N228)</f>
      </c>
      <c r="P228" s="227">
        <f>MAX($L$29*ABS($L$185*($L$142-MAX(0,L228-$L$173))-$L$186*($L$142-MAX(0,L228-$L$173))^2/2-$L$144*($L$142-MAX(0,L228-$L$173))^3/(6*$L$142)),$L$29*ABS($L$185*($L$142-MIN($L$142,L228+$L$173))-$L$186*($L$142-MIN($L$142,L228+$L$173))^2/2-$L$144*($L$142-MIN($L$142,L228+$L$173))^3/(6*$L$142)),IF(ABS(L228-$L$188)&lt;=$L$173,$L$29*ABS($L$187),0))</f>
      </c>
    </row>
    <row r="229">
      <c r="K229" s="237">
        <v>39</v>
      </c>
      <c r="L229" s="227">
        <f>$L$142*K229/80</f>
      </c>
      <c r="M229" s="227">
        <f>$L$185*($L$142-L229)-$L$186*($L$142-L229)^2/2-$L$144*($L$142-L229)^3/(6*$L$142)</f>
      </c>
      <c r="N229" s="227">
        <f>M229*$L$29</f>
      </c>
      <c r="O229" s="227">
        <f>ABS(N229)</f>
      </c>
      <c r="P229" s="227">
        <f>MAX($L$29*ABS($L$185*($L$142-MAX(0,L229-$L$173))-$L$186*($L$142-MAX(0,L229-$L$173))^2/2-$L$144*($L$142-MAX(0,L229-$L$173))^3/(6*$L$142)),$L$29*ABS($L$185*($L$142-MIN($L$142,L229+$L$173))-$L$186*($L$142-MIN($L$142,L229+$L$173))^2/2-$L$144*($L$142-MIN($L$142,L229+$L$173))^3/(6*$L$142)),IF(ABS(L229-$L$188)&lt;=$L$173,$L$29*ABS($L$187),0))</f>
      </c>
    </row>
    <row r="230">
      <c r="K230" s="237">
        <v>40</v>
      </c>
      <c r="L230" s="227">
        <f>$L$142*K230/80</f>
      </c>
      <c r="M230" s="227">
        <f>$L$185*($L$142-L230)-$L$186*($L$142-L230)^2/2-$L$144*($L$142-L230)^3/(6*$L$142)</f>
      </c>
      <c r="N230" s="227">
        <f>M230*$L$29</f>
      </c>
      <c r="O230" s="227">
        <f>ABS(N230)</f>
      </c>
      <c r="P230" s="227">
        <f>MAX($L$29*ABS($L$185*($L$142-MAX(0,L230-$L$173))-$L$186*($L$142-MAX(0,L230-$L$173))^2/2-$L$144*($L$142-MAX(0,L230-$L$173))^3/(6*$L$142)),$L$29*ABS($L$185*($L$142-MIN($L$142,L230+$L$173))-$L$186*($L$142-MIN($L$142,L230+$L$173))^2/2-$L$144*($L$142-MIN($L$142,L230+$L$173))^3/(6*$L$142)),IF(ABS(L230-$L$188)&lt;=$L$173,$L$29*ABS($L$187),0))</f>
      </c>
    </row>
    <row r="231">
      <c r="K231" s="237">
        <v>41</v>
      </c>
      <c r="L231" s="227">
        <f>$L$142*K231/80</f>
      </c>
      <c r="M231" s="227">
        <f>$L$185*($L$142-L231)-$L$186*($L$142-L231)^2/2-$L$144*($L$142-L231)^3/(6*$L$142)</f>
      </c>
      <c r="N231" s="227">
        <f>M231*$L$29</f>
      </c>
      <c r="O231" s="227">
        <f>ABS(N231)</f>
      </c>
      <c r="P231" s="227">
        <f>MAX($L$29*ABS($L$185*($L$142-MAX(0,L231-$L$173))-$L$186*($L$142-MAX(0,L231-$L$173))^2/2-$L$144*($L$142-MAX(0,L231-$L$173))^3/(6*$L$142)),$L$29*ABS($L$185*($L$142-MIN($L$142,L231+$L$173))-$L$186*($L$142-MIN($L$142,L231+$L$173))^2/2-$L$144*($L$142-MIN($L$142,L231+$L$173))^3/(6*$L$142)),IF(ABS(L231-$L$188)&lt;=$L$173,$L$29*ABS($L$187),0))</f>
      </c>
    </row>
    <row r="232">
      <c r="K232" s="237">
        <v>42</v>
      </c>
      <c r="L232" s="227">
        <f>$L$142*K232/80</f>
      </c>
      <c r="M232" s="227">
        <f>$L$185*($L$142-L232)-$L$186*($L$142-L232)^2/2-$L$144*($L$142-L232)^3/(6*$L$142)</f>
      </c>
      <c r="N232" s="227">
        <f>M232*$L$29</f>
      </c>
      <c r="O232" s="227">
        <f>ABS(N232)</f>
      </c>
      <c r="P232" s="227">
        <f>MAX($L$29*ABS($L$185*($L$142-MAX(0,L232-$L$173))-$L$186*($L$142-MAX(0,L232-$L$173))^2/2-$L$144*($L$142-MAX(0,L232-$L$173))^3/(6*$L$142)),$L$29*ABS($L$185*($L$142-MIN($L$142,L232+$L$173))-$L$186*($L$142-MIN($L$142,L232+$L$173))^2/2-$L$144*($L$142-MIN($L$142,L232+$L$173))^3/(6*$L$142)),IF(ABS(L232-$L$188)&lt;=$L$173,$L$29*ABS($L$187),0))</f>
      </c>
    </row>
    <row r="233">
      <c r="K233" s="237">
        <v>43</v>
      </c>
      <c r="L233" s="227">
        <f>$L$142*K233/80</f>
      </c>
      <c r="M233" s="227">
        <f>$L$185*($L$142-L233)-$L$186*($L$142-L233)^2/2-$L$144*($L$142-L233)^3/(6*$L$142)</f>
      </c>
      <c r="N233" s="227">
        <f>M233*$L$29</f>
      </c>
      <c r="O233" s="227">
        <f>ABS(N233)</f>
      </c>
      <c r="P233" s="227">
        <f>MAX($L$29*ABS($L$185*($L$142-MAX(0,L233-$L$173))-$L$186*($L$142-MAX(0,L233-$L$173))^2/2-$L$144*($L$142-MAX(0,L233-$L$173))^3/(6*$L$142)),$L$29*ABS($L$185*($L$142-MIN($L$142,L233+$L$173))-$L$186*($L$142-MIN($L$142,L233+$L$173))^2/2-$L$144*($L$142-MIN($L$142,L233+$L$173))^3/(6*$L$142)),IF(ABS(L233-$L$188)&lt;=$L$173,$L$29*ABS($L$187),0))</f>
      </c>
    </row>
    <row r="234">
      <c r="K234" s="237">
        <v>44</v>
      </c>
      <c r="L234" s="227">
        <f>$L$142*K234/80</f>
      </c>
      <c r="M234" s="227">
        <f>$L$185*($L$142-L234)-$L$186*($L$142-L234)^2/2-$L$144*($L$142-L234)^3/(6*$L$142)</f>
      </c>
      <c r="N234" s="227">
        <f>M234*$L$29</f>
      </c>
      <c r="O234" s="227">
        <f>ABS(N234)</f>
      </c>
      <c r="P234" s="227">
        <f>MAX($L$29*ABS($L$185*($L$142-MAX(0,L234-$L$173))-$L$186*($L$142-MAX(0,L234-$L$173))^2/2-$L$144*($L$142-MAX(0,L234-$L$173))^3/(6*$L$142)),$L$29*ABS($L$185*($L$142-MIN($L$142,L234+$L$173))-$L$186*($L$142-MIN($L$142,L234+$L$173))^2/2-$L$144*($L$142-MIN($L$142,L234+$L$173))^3/(6*$L$142)),IF(ABS(L234-$L$188)&lt;=$L$173,$L$29*ABS($L$187),0))</f>
      </c>
    </row>
    <row r="235">
      <c r="K235" s="237">
        <v>45</v>
      </c>
      <c r="L235" s="227">
        <f>$L$142*K235/80</f>
      </c>
      <c r="M235" s="227">
        <f>$L$185*($L$142-L235)-$L$186*($L$142-L235)^2/2-$L$144*($L$142-L235)^3/(6*$L$142)</f>
      </c>
      <c r="N235" s="227">
        <f>M235*$L$29</f>
      </c>
      <c r="O235" s="227">
        <f>ABS(N235)</f>
      </c>
      <c r="P235" s="227">
        <f>MAX($L$29*ABS($L$185*($L$142-MAX(0,L235-$L$173))-$L$186*($L$142-MAX(0,L235-$L$173))^2/2-$L$144*($L$142-MAX(0,L235-$L$173))^3/(6*$L$142)),$L$29*ABS($L$185*($L$142-MIN($L$142,L235+$L$173))-$L$186*($L$142-MIN($L$142,L235+$L$173))^2/2-$L$144*($L$142-MIN($L$142,L235+$L$173))^3/(6*$L$142)),IF(ABS(L235-$L$188)&lt;=$L$173,$L$29*ABS($L$187),0))</f>
      </c>
    </row>
    <row r="236">
      <c r="K236" s="237">
        <v>46</v>
      </c>
      <c r="L236" s="227">
        <f>$L$142*K236/80</f>
      </c>
      <c r="M236" s="227">
        <f>$L$185*($L$142-L236)-$L$186*($L$142-L236)^2/2-$L$144*($L$142-L236)^3/(6*$L$142)</f>
      </c>
      <c r="N236" s="227">
        <f>M236*$L$29</f>
      </c>
      <c r="O236" s="227">
        <f>ABS(N236)</f>
      </c>
      <c r="P236" s="227">
        <f>MAX($L$29*ABS($L$185*($L$142-MAX(0,L236-$L$173))-$L$186*($L$142-MAX(0,L236-$L$173))^2/2-$L$144*($L$142-MAX(0,L236-$L$173))^3/(6*$L$142)),$L$29*ABS($L$185*($L$142-MIN($L$142,L236+$L$173))-$L$186*($L$142-MIN($L$142,L236+$L$173))^2/2-$L$144*($L$142-MIN($L$142,L236+$L$173))^3/(6*$L$142)),IF(ABS(L236-$L$188)&lt;=$L$173,$L$29*ABS($L$187),0))</f>
      </c>
    </row>
    <row r="237">
      <c r="K237" s="237">
        <v>47</v>
      </c>
      <c r="L237" s="227">
        <f>$L$142*K237/80</f>
      </c>
      <c r="M237" s="227">
        <f>$L$185*($L$142-L237)-$L$186*($L$142-L237)^2/2-$L$144*($L$142-L237)^3/(6*$L$142)</f>
      </c>
      <c r="N237" s="227">
        <f>M237*$L$29</f>
      </c>
      <c r="O237" s="227">
        <f>ABS(N237)</f>
      </c>
      <c r="P237" s="227">
        <f>MAX($L$29*ABS($L$185*($L$142-MAX(0,L237-$L$173))-$L$186*($L$142-MAX(0,L237-$L$173))^2/2-$L$144*($L$142-MAX(0,L237-$L$173))^3/(6*$L$142)),$L$29*ABS($L$185*($L$142-MIN($L$142,L237+$L$173))-$L$186*($L$142-MIN($L$142,L237+$L$173))^2/2-$L$144*($L$142-MIN($L$142,L237+$L$173))^3/(6*$L$142)),IF(ABS(L237-$L$188)&lt;=$L$173,$L$29*ABS($L$187),0))</f>
      </c>
    </row>
    <row r="238">
      <c r="K238" s="237">
        <v>48</v>
      </c>
      <c r="L238" s="227">
        <f>$L$142*K238/80</f>
      </c>
      <c r="M238" s="227">
        <f>$L$185*($L$142-L238)-$L$186*($L$142-L238)^2/2-$L$144*($L$142-L238)^3/(6*$L$142)</f>
      </c>
      <c r="N238" s="227">
        <f>M238*$L$29</f>
      </c>
      <c r="O238" s="227">
        <f>ABS(N238)</f>
      </c>
      <c r="P238" s="227">
        <f>MAX($L$29*ABS($L$185*($L$142-MAX(0,L238-$L$173))-$L$186*($L$142-MAX(0,L238-$L$173))^2/2-$L$144*($L$142-MAX(0,L238-$L$173))^3/(6*$L$142)),$L$29*ABS($L$185*($L$142-MIN($L$142,L238+$L$173))-$L$186*($L$142-MIN($L$142,L238+$L$173))^2/2-$L$144*($L$142-MIN($L$142,L238+$L$173))^3/(6*$L$142)),IF(ABS(L238-$L$188)&lt;=$L$173,$L$29*ABS($L$187),0))</f>
      </c>
    </row>
    <row r="239">
      <c r="K239" s="237">
        <v>49</v>
      </c>
      <c r="L239" s="227">
        <f>$L$142*K239/80</f>
      </c>
      <c r="M239" s="227">
        <f>$L$185*($L$142-L239)-$L$186*($L$142-L239)^2/2-$L$144*($L$142-L239)^3/(6*$L$142)</f>
      </c>
      <c r="N239" s="227">
        <f>M239*$L$29</f>
      </c>
      <c r="O239" s="227">
        <f>ABS(N239)</f>
      </c>
      <c r="P239" s="227">
        <f>MAX($L$29*ABS($L$185*($L$142-MAX(0,L239-$L$173))-$L$186*($L$142-MAX(0,L239-$L$173))^2/2-$L$144*($L$142-MAX(0,L239-$L$173))^3/(6*$L$142)),$L$29*ABS($L$185*($L$142-MIN($L$142,L239+$L$173))-$L$186*($L$142-MIN($L$142,L239+$L$173))^2/2-$L$144*($L$142-MIN($L$142,L239+$L$173))^3/(6*$L$142)),IF(ABS(L239-$L$188)&lt;=$L$173,$L$29*ABS($L$187),0))</f>
      </c>
    </row>
    <row r="240">
      <c r="K240" s="237">
        <v>50</v>
      </c>
      <c r="L240" s="227">
        <f>$L$142*K240/80</f>
      </c>
      <c r="M240" s="227">
        <f>$L$185*($L$142-L240)-$L$186*($L$142-L240)^2/2-$L$144*($L$142-L240)^3/(6*$L$142)</f>
      </c>
      <c r="N240" s="227">
        <f>M240*$L$29</f>
      </c>
      <c r="O240" s="227">
        <f>ABS(N240)</f>
      </c>
      <c r="P240" s="227">
        <f>MAX($L$29*ABS($L$185*($L$142-MAX(0,L240-$L$173))-$L$186*($L$142-MAX(0,L240-$L$173))^2/2-$L$144*($L$142-MAX(0,L240-$L$173))^3/(6*$L$142)),$L$29*ABS($L$185*($L$142-MIN($L$142,L240+$L$173))-$L$186*($L$142-MIN($L$142,L240+$L$173))^2/2-$L$144*($L$142-MIN($L$142,L240+$L$173))^3/(6*$L$142)),IF(ABS(L240-$L$188)&lt;=$L$173,$L$29*ABS($L$187),0))</f>
      </c>
    </row>
    <row r="241">
      <c r="K241" s="237">
        <v>51</v>
      </c>
      <c r="L241" s="227">
        <f>$L$142*K241/80</f>
      </c>
      <c r="M241" s="227">
        <f>$L$185*($L$142-L241)-$L$186*($L$142-L241)^2/2-$L$144*($L$142-L241)^3/(6*$L$142)</f>
      </c>
      <c r="N241" s="227">
        <f>M241*$L$29</f>
      </c>
      <c r="O241" s="227">
        <f>ABS(N241)</f>
      </c>
      <c r="P241" s="227">
        <f>MAX($L$29*ABS($L$185*($L$142-MAX(0,L241-$L$173))-$L$186*($L$142-MAX(0,L241-$L$173))^2/2-$L$144*($L$142-MAX(0,L241-$L$173))^3/(6*$L$142)),$L$29*ABS($L$185*($L$142-MIN($L$142,L241+$L$173))-$L$186*($L$142-MIN($L$142,L241+$L$173))^2/2-$L$144*($L$142-MIN($L$142,L241+$L$173))^3/(6*$L$142)),IF(ABS(L241-$L$188)&lt;=$L$173,$L$29*ABS($L$187),0))</f>
      </c>
    </row>
    <row r="242">
      <c r="K242" s="237">
        <v>52</v>
      </c>
      <c r="L242" s="227">
        <f>$L$142*K242/80</f>
      </c>
      <c r="M242" s="227">
        <f>$L$185*($L$142-L242)-$L$186*($L$142-L242)^2/2-$L$144*($L$142-L242)^3/(6*$L$142)</f>
      </c>
      <c r="N242" s="227">
        <f>M242*$L$29</f>
      </c>
      <c r="O242" s="227">
        <f>ABS(N242)</f>
      </c>
      <c r="P242" s="227">
        <f>MAX($L$29*ABS($L$185*($L$142-MAX(0,L242-$L$173))-$L$186*($L$142-MAX(0,L242-$L$173))^2/2-$L$144*($L$142-MAX(0,L242-$L$173))^3/(6*$L$142)),$L$29*ABS($L$185*($L$142-MIN($L$142,L242+$L$173))-$L$186*($L$142-MIN($L$142,L242+$L$173))^2/2-$L$144*($L$142-MIN($L$142,L242+$L$173))^3/(6*$L$142)),IF(ABS(L242-$L$188)&lt;=$L$173,$L$29*ABS($L$187),0))</f>
      </c>
    </row>
    <row r="243">
      <c r="K243" s="237">
        <v>53</v>
      </c>
      <c r="L243" s="227">
        <f>$L$142*K243/80</f>
      </c>
      <c r="M243" s="227">
        <f>$L$185*($L$142-L243)-$L$186*($L$142-L243)^2/2-$L$144*($L$142-L243)^3/(6*$L$142)</f>
      </c>
      <c r="N243" s="227">
        <f>M243*$L$29</f>
      </c>
      <c r="O243" s="227">
        <f>ABS(N243)</f>
      </c>
      <c r="P243" s="227">
        <f>MAX($L$29*ABS($L$185*($L$142-MAX(0,L243-$L$173))-$L$186*($L$142-MAX(0,L243-$L$173))^2/2-$L$144*($L$142-MAX(0,L243-$L$173))^3/(6*$L$142)),$L$29*ABS($L$185*($L$142-MIN($L$142,L243+$L$173))-$L$186*($L$142-MIN($L$142,L243+$L$173))^2/2-$L$144*($L$142-MIN($L$142,L243+$L$173))^3/(6*$L$142)),IF(ABS(L243-$L$188)&lt;=$L$173,$L$29*ABS($L$187),0))</f>
      </c>
    </row>
    <row r="244">
      <c r="K244" s="237">
        <v>54</v>
      </c>
      <c r="L244" s="227">
        <f>$L$142*K244/80</f>
      </c>
      <c r="M244" s="227">
        <f>$L$185*($L$142-L244)-$L$186*($L$142-L244)^2/2-$L$144*($L$142-L244)^3/(6*$L$142)</f>
      </c>
      <c r="N244" s="227">
        <f>M244*$L$29</f>
      </c>
      <c r="O244" s="227">
        <f>ABS(N244)</f>
      </c>
      <c r="P244" s="227">
        <f>MAX($L$29*ABS($L$185*($L$142-MAX(0,L244-$L$173))-$L$186*($L$142-MAX(0,L244-$L$173))^2/2-$L$144*($L$142-MAX(0,L244-$L$173))^3/(6*$L$142)),$L$29*ABS($L$185*($L$142-MIN($L$142,L244+$L$173))-$L$186*($L$142-MIN($L$142,L244+$L$173))^2/2-$L$144*($L$142-MIN($L$142,L244+$L$173))^3/(6*$L$142)),IF(ABS(L244-$L$188)&lt;=$L$173,$L$29*ABS($L$187),0))</f>
      </c>
    </row>
    <row r="245">
      <c r="K245" s="237">
        <v>55</v>
      </c>
      <c r="L245" s="227">
        <f>$L$142*K245/80</f>
      </c>
      <c r="M245" s="227">
        <f>$L$185*($L$142-L245)-$L$186*($L$142-L245)^2/2-$L$144*($L$142-L245)^3/(6*$L$142)</f>
      </c>
      <c r="N245" s="227">
        <f>M245*$L$29</f>
      </c>
      <c r="O245" s="227">
        <f>ABS(N245)</f>
      </c>
      <c r="P245" s="227">
        <f>MAX($L$29*ABS($L$185*($L$142-MAX(0,L245-$L$173))-$L$186*($L$142-MAX(0,L245-$L$173))^2/2-$L$144*($L$142-MAX(0,L245-$L$173))^3/(6*$L$142)),$L$29*ABS($L$185*($L$142-MIN($L$142,L245+$L$173))-$L$186*($L$142-MIN($L$142,L245+$L$173))^2/2-$L$144*($L$142-MIN($L$142,L245+$L$173))^3/(6*$L$142)),IF(ABS(L245-$L$188)&lt;=$L$173,$L$29*ABS($L$187),0))</f>
      </c>
    </row>
    <row r="246">
      <c r="K246" s="237">
        <v>56</v>
      </c>
      <c r="L246" s="227">
        <f>$L$142*K246/80</f>
      </c>
      <c r="M246" s="227">
        <f>$L$185*($L$142-L246)-$L$186*($L$142-L246)^2/2-$L$144*($L$142-L246)^3/(6*$L$142)</f>
      </c>
      <c r="N246" s="227">
        <f>M246*$L$29</f>
      </c>
      <c r="O246" s="227">
        <f>ABS(N246)</f>
      </c>
      <c r="P246" s="227">
        <f>MAX($L$29*ABS($L$185*($L$142-MAX(0,L246-$L$173))-$L$186*($L$142-MAX(0,L246-$L$173))^2/2-$L$144*($L$142-MAX(0,L246-$L$173))^3/(6*$L$142)),$L$29*ABS($L$185*($L$142-MIN($L$142,L246+$L$173))-$L$186*($L$142-MIN($L$142,L246+$L$173))^2/2-$L$144*($L$142-MIN($L$142,L246+$L$173))^3/(6*$L$142)),IF(ABS(L246-$L$188)&lt;=$L$173,$L$29*ABS($L$187),0))</f>
      </c>
    </row>
    <row r="247">
      <c r="K247" s="237">
        <v>57</v>
      </c>
      <c r="L247" s="227">
        <f>$L$142*K247/80</f>
      </c>
      <c r="M247" s="227">
        <f>$L$185*($L$142-L247)-$L$186*($L$142-L247)^2/2-$L$144*($L$142-L247)^3/(6*$L$142)</f>
      </c>
      <c r="N247" s="227">
        <f>M247*$L$29</f>
      </c>
      <c r="O247" s="227">
        <f>ABS(N247)</f>
      </c>
      <c r="P247" s="227">
        <f>MAX($L$29*ABS($L$185*($L$142-MAX(0,L247-$L$173))-$L$186*($L$142-MAX(0,L247-$L$173))^2/2-$L$144*($L$142-MAX(0,L247-$L$173))^3/(6*$L$142)),$L$29*ABS($L$185*($L$142-MIN($L$142,L247+$L$173))-$L$186*($L$142-MIN($L$142,L247+$L$173))^2/2-$L$144*($L$142-MIN($L$142,L247+$L$173))^3/(6*$L$142)),IF(ABS(L247-$L$188)&lt;=$L$173,$L$29*ABS($L$187),0))</f>
      </c>
    </row>
    <row r="248">
      <c r="K248" s="237">
        <v>58</v>
      </c>
      <c r="L248" s="227">
        <f>$L$142*K248/80</f>
      </c>
      <c r="M248" s="227">
        <f>$L$185*($L$142-L248)-$L$186*($L$142-L248)^2/2-$L$144*($L$142-L248)^3/(6*$L$142)</f>
      </c>
      <c r="N248" s="227">
        <f>M248*$L$29</f>
      </c>
      <c r="O248" s="227">
        <f>ABS(N248)</f>
      </c>
      <c r="P248" s="227">
        <f>MAX($L$29*ABS($L$185*($L$142-MAX(0,L248-$L$173))-$L$186*($L$142-MAX(0,L248-$L$173))^2/2-$L$144*($L$142-MAX(0,L248-$L$173))^3/(6*$L$142)),$L$29*ABS($L$185*($L$142-MIN($L$142,L248+$L$173))-$L$186*($L$142-MIN($L$142,L248+$L$173))^2/2-$L$144*($L$142-MIN($L$142,L248+$L$173))^3/(6*$L$142)),IF(ABS(L248-$L$188)&lt;=$L$173,$L$29*ABS($L$187),0))</f>
      </c>
    </row>
    <row r="249">
      <c r="K249" s="237">
        <v>59</v>
      </c>
      <c r="L249" s="227">
        <f>$L$142*K249/80</f>
      </c>
      <c r="M249" s="227">
        <f>$L$185*($L$142-L249)-$L$186*($L$142-L249)^2/2-$L$144*($L$142-L249)^3/(6*$L$142)</f>
      </c>
      <c r="N249" s="227">
        <f>M249*$L$29</f>
      </c>
      <c r="O249" s="227">
        <f>ABS(N249)</f>
      </c>
      <c r="P249" s="227">
        <f>MAX($L$29*ABS($L$185*($L$142-MAX(0,L249-$L$173))-$L$186*($L$142-MAX(0,L249-$L$173))^2/2-$L$144*($L$142-MAX(0,L249-$L$173))^3/(6*$L$142)),$L$29*ABS($L$185*($L$142-MIN($L$142,L249+$L$173))-$L$186*($L$142-MIN($L$142,L249+$L$173))^2/2-$L$144*($L$142-MIN($L$142,L249+$L$173))^3/(6*$L$142)),IF(ABS(L249-$L$188)&lt;=$L$173,$L$29*ABS($L$187),0))</f>
      </c>
    </row>
    <row r="250">
      <c r="K250" s="237">
        <v>60</v>
      </c>
      <c r="L250" s="227">
        <f>$L$142*K250/80</f>
      </c>
      <c r="M250" s="227">
        <f>$L$185*($L$142-L250)-$L$186*($L$142-L250)^2/2-$L$144*($L$142-L250)^3/(6*$L$142)</f>
      </c>
      <c r="N250" s="227">
        <f>M250*$L$29</f>
      </c>
      <c r="O250" s="227">
        <f>ABS(N250)</f>
      </c>
      <c r="P250" s="227">
        <f>MAX($L$29*ABS($L$185*($L$142-MAX(0,L250-$L$173))-$L$186*($L$142-MAX(0,L250-$L$173))^2/2-$L$144*($L$142-MAX(0,L250-$L$173))^3/(6*$L$142)),$L$29*ABS($L$185*($L$142-MIN($L$142,L250+$L$173))-$L$186*($L$142-MIN($L$142,L250+$L$173))^2/2-$L$144*($L$142-MIN($L$142,L250+$L$173))^3/(6*$L$142)),IF(ABS(L250-$L$188)&lt;=$L$173,$L$29*ABS($L$187),0))</f>
      </c>
    </row>
    <row r="251">
      <c r="K251" s="237">
        <v>61</v>
      </c>
      <c r="L251" s="227">
        <f>$L$142*K251/80</f>
      </c>
      <c r="M251" s="227">
        <f>$L$185*($L$142-L251)-$L$186*($L$142-L251)^2/2-$L$144*($L$142-L251)^3/(6*$L$142)</f>
      </c>
      <c r="N251" s="227">
        <f>M251*$L$29</f>
      </c>
      <c r="O251" s="227">
        <f>ABS(N251)</f>
      </c>
      <c r="P251" s="227">
        <f>MAX($L$29*ABS($L$185*($L$142-MAX(0,L251-$L$173))-$L$186*($L$142-MAX(0,L251-$L$173))^2/2-$L$144*($L$142-MAX(0,L251-$L$173))^3/(6*$L$142)),$L$29*ABS($L$185*($L$142-MIN($L$142,L251+$L$173))-$L$186*($L$142-MIN($L$142,L251+$L$173))^2/2-$L$144*($L$142-MIN($L$142,L251+$L$173))^3/(6*$L$142)),IF(ABS(L251-$L$188)&lt;=$L$173,$L$29*ABS($L$187),0))</f>
      </c>
    </row>
    <row r="252">
      <c r="K252" s="237">
        <v>62</v>
      </c>
      <c r="L252" s="227">
        <f>$L$142*K252/80</f>
      </c>
      <c r="M252" s="227">
        <f>$L$185*($L$142-L252)-$L$186*($L$142-L252)^2/2-$L$144*($L$142-L252)^3/(6*$L$142)</f>
      </c>
      <c r="N252" s="227">
        <f>M252*$L$29</f>
      </c>
      <c r="O252" s="227">
        <f>ABS(N252)</f>
      </c>
      <c r="P252" s="227">
        <f>MAX($L$29*ABS($L$185*($L$142-MAX(0,L252-$L$173))-$L$186*($L$142-MAX(0,L252-$L$173))^2/2-$L$144*($L$142-MAX(0,L252-$L$173))^3/(6*$L$142)),$L$29*ABS($L$185*($L$142-MIN($L$142,L252+$L$173))-$L$186*($L$142-MIN($L$142,L252+$L$173))^2/2-$L$144*($L$142-MIN($L$142,L252+$L$173))^3/(6*$L$142)),IF(ABS(L252-$L$188)&lt;=$L$173,$L$29*ABS($L$187),0))</f>
      </c>
    </row>
    <row r="253">
      <c r="K253" s="237">
        <v>63</v>
      </c>
      <c r="L253" s="227">
        <f>$L$142*K253/80</f>
      </c>
      <c r="M253" s="227">
        <f>$L$185*($L$142-L253)-$L$186*($L$142-L253)^2/2-$L$144*($L$142-L253)^3/(6*$L$142)</f>
      </c>
      <c r="N253" s="227">
        <f>M253*$L$29</f>
      </c>
      <c r="O253" s="227">
        <f>ABS(N253)</f>
      </c>
      <c r="P253" s="227">
        <f>MAX($L$29*ABS($L$185*($L$142-MAX(0,L253-$L$173))-$L$186*($L$142-MAX(0,L253-$L$173))^2/2-$L$144*($L$142-MAX(0,L253-$L$173))^3/(6*$L$142)),$L$29*ABS($L$185*($L$142-MIN($L$142,L253+$L$173))-$L$186*($L$142-MIN($L$142,L253+$L$173))^2/2-$L$144*($L$142-MIN($L$142,L253+$L$173))^3/(6*$L$142)),IF(ABS(L253-$L$188)&lt;=$L$173,$L$29*ABS($L$187),0))</f>
      </c>
    </row>
    <row r="254">
      <c r="K254" s="237">
        <v>64</v>
      </c>
      <c r="L254" s="227">
        <f>$L$142*K254/80</f>
      </c>
      <c r="M254" s="227">
        <f>$L$185*($L$142-L254)-$L$186*($L$142-L254)^2/2-$L$144*($L$142-L254)^3/(6*$L$142)</f>
      </c>
      <c r="N254" s="227">
        <f>M254*$L$29</f>
      </c>
      <c r="O254" s="227">
        <f>ABS(N254)</f>
      </c>
      <c r="P254" s="227">
        <f>MAX($L$29*ABS($L$185*($L$142-MAX(0,L254-$L$173))-$L$186*($L$142-MAX(0,L254-$L$173))^2/2-$L$144*($L$142-MAX(0,L254-$L$173))^3/(6*$L$142)),$L$29*ABS($L$185*($L$142-MIN($L$142,L254+$L$173))-$L$186*($L$142-MIN($L$142,L254+$L$173))^2/2-$L$144*($L$142-MIN($L$142,L254+$L$173))^3/(6*$L$142)),IF(ABS(L254-$L$188)&lt;=$L$173,$L$29*ABS($L$187),0))</f>
      </c>
    </row>
    <row r="255">
      <c r="K255" s="237">
        <v>65</v>
      </c>
      <c r="L255" s="227">
        <f>$L$142*K255/80</f>
      </c>
      <c r="M255" s="227">
        <f>$L$185*($L$142-L255)-$L$186*($L$142-L255)^2/2-$L$144*($L$142-L255)^3/(6*$L$142)</f>
      </c>
      <c r="N255" s="227">
        <f>M255*$L$29</f>
      </c>
      <c r="O255" s="227">
        <f>ABS(N255)</f>
      </c>
      <c r="P255" s="227">
        <f>MAX($L$29*ABS($L$185*($L$142-MAX(0,L255-$L$173))-$L$186*($L$142-MAX(0,L255-$L$173))^2/2-$L$144*($L$142-MAX(0,L255-$L$173))^3/(6*$L$142)),$L$29*ABS($L$185*($L$142-MIN($L$142,L255+$L$173))-$L$186*($L$142-MIN($L$142,L255+$L$173))^2/2-$L$144*($L$142-MIN($L$142,L255+$L$173))^3/(6*$L$142)),IF(ABS(L255-$L$188)&lt;=$L$173,$L$29*ABS($L$187),0))</f>
      </c>
    </row>
    <row r="256">
      <c r="K256" s="237">
        <v>66</v>
      </c>
      <c r="L256" s="227">
        <f>$L$142*K256/80</f>
      </c>
      <c r="M256" s="227">
        <f>$L$185*($L$142-L256)-$L$186*($L$142-L256)^2/2-$L$144*($L$142-L256)^3/(6*$L$142)</f>
      </c>
      <c r="N256" s="227">
        <f>M256*$L$29</f>
      </c>
      <c r="O256" s="227">
        <f>ABS(N256)</f>
      </c>
      <c r="P256" s="227">
        <f>MAX($L$29*ABS($L$185*($L$142-MAX(0,L256-$L$173))-$L$186*($L$142-MAX(0,L256-$L$173))^2/2-$L$144*($L$142-MAX(0,L256-$L$173))^3/(6*$L$142)),$L$29*ABS($L$185*($L$142-MIN($L$142,L256+$L$173))-$L$186*($L$142-MIN($L$142,L256+$L$173))^2/2-$L$144*($L$142-MIN($L$142,L256+$L$173))^3/(6*$L$142)),IF(ABS(L256-$L$188)&lt;=$L$173,$L$29*ABS($L$187),0))</f>
      </c>
    </row>
    <row r="257">
      <c r="K257" s="237">
        <v>67</v>
      </c>
      <c r="L257" s="227">
        <f>$L$142*K257/80</f>
      </c>
      <c r="M257" s="227">
        <f>$L$185*($L$142-L257)-$L$186*($L$142-L257)^2/2-$L$144*($L$142-L257)^3/(6*$L$142)</f>
      </c>
      <c r="N257" s="227">
        <f>M257*$L$29</f>
      </c>
      <c r="O257" s="227">
        <f>ABS(N257)</f>
      </c>
      <c r="P257" s="227">
        <f>MAX($L$29*ABS($L$185*($L$142-MAX(0,L257-$L$173))-$L$186*($L$142-MAX(0,L257-$L$173))^2/2-$L$144*($L$142-MAX(0,L257-$L$173))^3/(6*$L$142)),$L$29*ABS($L$185*($L$142-MIN($L$142,L257+$L$173))-$L$186*($L$142-MIN($L$142,L257+$L$173))^2/2-$L$144*($L$142-MIN($L$142,L257+$L$173))^3/(6*$L$142)),IF(ABS(L257-$L$188)&lt;=$L$173,$L$29*ABS($L$187),0))</f>
      </c>
    </row>
    <row r="258">
      <c r="K258" s="237">
        <v>68</v>
      </c>
      <c r="L258" s="227">
        <f>$L$142*K258/80</f>
      </c>
      <c r="M258" s="227">
        <f>$L$185*($L$142-L258)-$L$186*($L$142-L258)^2/2-$L$144*($L$142-L258)^3/(6*$L$142)</f>
      </c>
      <c r="N258" s="227">
        <f>M258*$L$29</f>
      </c>
      <c r="O258" s="227">
        <f>ABS(N258)</f>
      </c>
      <c r="P258" s="227">
        <f>MAX($L$29*ABS($L$185*($L$142-MAX(0,L258-$L$173))-$L$186*($L$142-MAX(0,L258-$L$173))^2/2-$L$144*($L$142-MAX(0,L258-$L$173))^3/(6*$L$142)),$L$29*ABS($L$185*($L$142-MIN($L$142,L258+$L$173))-$L$186*($L$142-MIN($L$142,L258+$L$173))^2/2-$L$144*($L$142-MIN($L$142,L258+$L$173))^3/(6*$L$142)),IF(ABS(L258-$L$188)&lt;=$L$173,$L$29*ABS($L$187),0))</f>
      </c>
    </row>
    <row r="259">
      <c r="K259" s="237">
        <v>69</v>
      </c>
      <c r="L259" s="227">
        <f>$L$142*K259/80</f>
      </c>
      <c r="M259" s="227">
        <f>$L$185*($L$142-L259)-$L$186*($L$142-L259)^2/2-$L$144*($L$142-L259)^3/(6*$L$142)</f>
      </c>
      <c r="N259" s="227">
        <f>M259*$L$29</f>
      </c>
      <c r="O259" s="227">
        <f>ABS(N259)</f>
      </c>
      <c r="P259" s="227">
        <f>MAX($L$29*ABS($L$185*($L$142-MAX(0,L259-$L$173))-$L$186*($L$142-MAX(0,L259-$L$173))^2/2-$L$144*($L$142-MAX(0,L259-$L$173))^3/(6*$L$142)),$L$29*ABS($L$185*($L$142-MIN($L$142,L259+$L$173))-$L$186*($L$142-MIN($L$142,L259+$L$173))^2/2-$L$144*($L$142-MIN($L$142,L259+$L$173))^3/(6*$L$142)),IF(ABS(L259-$L$188)&lt;=$L$173,$L$29*ABS($L$187),0))</f>
      </c>
    </row>
    <row r="260">
      <c r="K260" s="237">
        <v>70</v>
      </c>
      <c r="L260" s="227">
        <f>$L$142*K260/80</f>
      </c>
      <c r="M260" s="227">
        <f>$L$185*($L$142-L260)-$L$186*($L$142-L260)^2/2-$L$144*($L$142-L260)^3/(6*$L$142)</f>
      </c>
      <c r="N260" s="227">
        <f>M260*$L$29</f>
      </c>
      <c r="O260" s="227">
        <f>ABS(N260)</f>
      </c>
      <c r="P260" s="227">
        <f>MAX($L$29*ABS($L$185*($L$142-MAX(0,L260-$L$173))-$L$186*($L$142-MAX(0,L260-$L$173))^2/2-$L$144*($L$142-MAX(0,L260-$L$173))^3/(6*$L$142)),$L$29*ABS($L$185*($L$142-MIN($L$142,L260+$L$173))-$L$186*($L$142-MIN($L$142,L260+$L$173))^2/2-$L$144*($L$142-MIN($L$142,L260+$L$173))^3/(6*$L$142)),IF(ABS(L260-$L$188)&lt;=$L$173,$L$29*ABS($L$187),0))</f>
      </c>
    </row>
    <row r="261">
      <c r="K261" s="237">
        <v>71</v>
      </c>
      <c r="L261" s="227">
        <f>$L$142*K261/80</f>
      </c>
      <c r="M261" s="227">
        <f>$L$185*($L$142-L261)-$L$186*($L$142-L261)^2/2-$L$144*($L$142-L261)^3/(6*$L$142)</f>
      </c>
      <c r="N261" s="227">
        <f>M261*$L$29</f>
      </c>
      <c r="O261" s="227">
        <f>ABS(N261)</f>
      </c>
      <c r="P261" s="227">
        <f>MAX($L$29*ABS($L$185*($L$142-MAX(0,L261-$L$173))-$L$186*($L$142-MAX(0,L261-$L$173))^2/2-$L$144*($L$142-MAX(0,L261-$L$173))^3/(6*$L$142)),$L$29*ABS($L$185*($L$142-MIN($L$142,L261+$L$173))-$L$186*($L$142-MIN($L$142,L261+$L$173))^2/2-$L$144*($L$142-MIN($L$142,L261+$L$173))^3/(6*$L$142)),IF(ABS(L261-$L$188)&lt;=$L$173,$L$29*ABS($L$187),0))</f>
      </c>
    </row>
    <row r="262">
      <c r="K262" s="237">
        <v>72</v>
      </c>
      <c r="L262" s="227">
        <f>$L$142*K262/80</f>
      </c>
      <c r="M262" s="227">
        <f>$L$185*($L$142-L262)-$L$186*($L$142-L262)^2/2-$L$144*($L$142-L262)^3/(6*$L$142)</f>
      </c>
      <c r="N262" s="227">
        <f>M262*$L$29</f>
      </c>
      <c r="O262" s="227">
        <f>ABS(N262)</f>
      </c>
      <c r="P262" s="227">
        <f>MAX($L$29*ABS($L$185*($L$142-MAX(0,L262-$L$173))-$L$186*($L$142-MAX(0,L262-$L$173))^2/2-$L$144*($L$142-MAX(0,L262-$L$173))^3/(6*$L$142)),$L$29*ABS($L$185*($L$142-MIN($L$142,L262+$L$173))-$L$186*($L$142-MIN($L$142,L262+$L$173))^2/2-$L$144*($L$142-MIN($L$142,L262+$L$173))^3/(6*$L$142)),IF(ABS(L262-$L$188)&lt;=$L$173,$L$29*ABS($L$187),0))</f>
      </c>
    </row>
    <row r="263">
      <c r="K263" s="237">
        <v>73</v>
      </c>
      <c r="L263" s="227">
        <f>$L$142*K263/80</f>
      </c>
      <c r="M263" s="227">
        <f>$L$185*($L$142-L263)-$L$186*($L$142-L263)^2/2-$L$144*($L$142-L263)^3/(6*$L$142)</f>
      </c>
      <c r="N263" s="227">
        <f>M263*$L$29</f>
      </c>
      <c r="O263" s="227">
        <f>ABS(N263)</f>
      </c>
      <c r="P263" s="227">
        <f>MAX($L$29*ABS($L$185*($L$142-MAX(0,L263-$L$173))-$L$186*($L$142-MAX(0,L263-$L$173))^2/2-$L$144*($L$142-MAX(0,L263-$L$173))^3/(6*$L$142)),$L$29*ABS($L$185*($L$142-MIN($L$142,L263+$L$173))-$L$186*($L$142-MIN($L$142,L263+$L$173))^2/2-$L$144*($L$142-MIN($L$142,L263+$L$173))^3/(6*$L$142)),IF(ABS(L263-$L$188)&lt;=$L$173,$L$29*ABS($L$187),0))</f>
      </c>
    </row>
    <row r="264">
      <c r="K264" s="237">
        <v>74</v>
      </c>
      <c r="L264" s="227">
        <f>$L$142*K264/80</f>
      </c>
      <c r="M264" s="227">
        <f>$L$185*($L$142-L264)-$L$186*($L$142-L264)^2/2-$L$144*($L$142-L264)^3/(6*$L$142)</f>
      </c>
      <c r="N264" s="227">
        <f>M264*$L$29</f>
      </c>
      <c r="O264" s="227">
        <f>ABS(N264)</f>
      </c>
      <c r="P264" s="227">
        <f>MAX($L$29*ABS($L$185*($L$142-MAX(0,L264-$L$173))-$L$186*($L$142-MAX(0,L264-$L$173))^2/2-$L$144*($L$142-MAX(0,L264-$L$173))^3/(6*$L$142)),$L$29*ABS($L$185*($L$142-MIN($L$142,L264+$L$173))-$L$186*($L$142-MIN($L$142,L264+$L$173))^2/2-$L$144*($L$142-MIN($L$142,L264+$L$173))^3/(6*$L$142)),IF(ABS(L264-$L$188)&lt;=$L$173,$L$29*ABS($L$187),0))</f>
      </c>
    </row>
    <row r="265">
      <c r="K265" s="237">
        <v>75</v>
      </c>
      <c r="L265" s="227">
        <f>$L$142*K265/80</f>
      </c>
      <c r="M265" s="227">
        <f>$L$185*($L$142-L265)-$L$186*($L$142-L265)^2/2-$L$144*($L$142-L265)^3/(6*$L$142)</f>
      </c>
      <c r="N265" s="227">
        <f>M265*$L$29</f>
      </c>
      <c r="O265" s="227">
        <f>ABS(N265)</f>
      </c>
      <c r="P265" s="227">
        <f>MAX($L$29*ABS($L$185*($L$142-MAX(0,L265-$L$173))-$L$186*($L$142-MAX(0,L265-$L$173))^2/2-$L$144*($L$142-MAX(0,L265-$L$173))^3/(6*$L$142)),$L$29*ABS($L$185*($L$142-MIN($L$142,L265+$L$173))-$L$186*($L$142-MIN($L$142,L265+$L$173))^2/2-$L$144*($L$142-MIN($L$142,L265+$L$173))^3/(6*$L$142)),IF(ABS(L265-$L$188)&lt;=$L$173,$L$29*ABS($L$187),0))</f>
      </c>
    </row>
    <row r="266">
      <c r="K266" s="237">
        <v>76</v>
      </c>
      <c r="L266" s="227">
        <f>$L$142*K266/80</f>
      </c>
      <c r="M266" s="227">
        <f>$L$185*($L$142-L266)-$L$186*($L$142-L266)^2/2-$L$144*($L$142-L266)^3/(6*$L$142)</f>
      </c>
      <c r="N266" s="227">
        <f>M266*$L$29</f>
      </c>
      <c r="O266" s="227">
        <f>ABS(N266)</f>
      </c>
      <c r="P266" s="227">
        <f>MAX($L$29*ABS($L$185*($L$142-MAX(0,L266-$L$173))-$L$186*($L$142-MAX(0,L266-$L$173))^2/2-$L$144*($L$142-MAX(0,L266-$L$173))^3/(6*$L$142)),$L$29*ABS($L$185*($L$142-MIN($L$142,L266+$L$173))-$L$186*($L$142-MIN($L$142,L266+$L$173))^2/2-$L$144*($L$142-MIN($L$142,L266+$L$173))^3/(6*$L$142)),IF(ABS(L266-$L$188)&lt;=$L$173,$L$29*ABS($L$187),0))</f>
      </c>
    </row>
    <row r="267">
      <c r="K267" s="237">
        <v>77</v>
      </c>
      <c r="L267" s="227">
        <f>$L$142*K267/80</f>
      </c>
      <c r="M267" s="227">
        <f>$L$185*($L$142-L267)-$L$186*($L$142-L267)^2/2-$L$144*($L$142-L267)^3/(6*$L$142)</f>
      </c>
      <c r="N267" s="227">
        <f>M267*$L$29</f>
      </c>
      <c r="O267" s="227">
        <f>ABS(N267)</f>
      </c>
      <c r="P267" s="227">
        <f>MAX($L$29*ABS($L$185*($L$142-MAX(0,L267-$L$173))-$L$186*($L$142-MAX(0,L267-$L$173))^2/2-$L$144*($L$142-MAX(0,L267-$L$173))^3/(6*$L$142)),$L$29*ABS($L$185*($L$142-MIN($L$142,L267+$L$173))-$L$186*($L$142-MIN($L$142,L267+$L$173))^2/2-$L$144*($L$142-MIN($L$142,L267+$L$173))^3/(6*$L$142)),IF(ABS(L267-$L$188)&lt;=$L$173,$L$29*ABS($L$187),0))</f>
      </c>
    </row>
    <row r="268">
      <c r="K268" s="237">
        <v>78</v>
      </c>
      <c r="L268" s="227">
        <f>$L$142*K268/80</f>
      </c>
      <c r="M268" s="227">
        <f>$L$185*($L$142-L268)-$L$186*($L$142-L268)^2/2-$L$144*($L$142-L268)^3/(6*$L$142)</f>
      </c>
      <c r="N268" s="227">
        <f>M268*$L$29</f>
      </c>
      <c r="O268" s="227">
        <f>ABS(N268)</f>
      </c>
      <c r="P268" s="227">
        <f>MAX($L$29*ABS($L$185*($L$142-MAX(0,L268-$L$173))-$L$186*($L$142-MAX(0,L268-$L$173))^2/2-$L$144*($L$142-MAX(0,L268-$L$173))^3/(6*$L$142)),$L$29*ABS($L$185*($L$142-MIN($L$142,L268+$L$173))-$L$186*($L$142-MIN($L$142,L268+$L$173))^2/2-$L$144*($L$142-MIN($L$142,L268+$L$173))^3/(6*$L$142)),IF(ABS(L268-$L$188)&lt;=$L$173,$L$29*ABS($L$187),0))</f>
      </c>
    </row>
    <row r="269">
      <c r="K269" s="237">
        <v>79</v>
      </c>
      <c r="L269" s="227">
        <f>$L$142*K269/80</f>
      </c>
      <c r="M269" s="227">
        <f>$L$185*($L$142-L269)-$L$186*($L$142-L269)^2/2-$L$144*($L$142-L269)^3/(6*$L$142)</f>
      </c>
      <c r="N269" s="227">
        <f>M269*$L$29</f>
      </c>
      <c r="O269" s="227">
        <f>ABS(N269)</f>
      </c>
      <c r="P269" s="227">
        <f>MAX($L$29*ABS($L$185*($L$142-MAX(0,L269-$L$173))-$L$186*($L$142-MAX(0,L269-$L$173))^2/2-$L$144*($L$142-MAX(0,L269-$L$173))^3/(6*$L$142)),$L$29*ABS($L$185*($L$142-MIN($L$142,L269+$L$173))-$L$186*($L$142-MIN($L$142,L269+$L$173))^2/2-$L$144*($L$142-MIN($L$142,L269+$L$173))^3/(6*$L$142)),IF(ABS(L269-$L$188)&lt;=$L$173,$L$29*ABS($L$187),0))</f>
      </c>
    </row>
    <row r="270">
      <c r="K270" s="237">
        <v>80</v>
      </c>
      <c r="L270" s="227">
        <f>$L$142*K270/80</f>
      </c>
      <c r="M270" s="227">
        <f>$L$185*($L$142-L270)-$L$186*($L$142-L270)^2/2-$L$144*($L$142-L270)^3/(6*$L$142)</f>
      </c>
      <c r="N270" s="227">
        <f>M270*$L$29</f>
      </c>
      <c r="O270" s="227">
        <f>ABS(N270)</f>
      </c>
      <c r="P270" s="227">
        <f>MAX($L$29*ABS($L$185*($L$142-MAX(0,L270-$L$173))-$L$186*($L$142-MAX(0,L270-$L$173))^2/2-$L$144*($L$142-MAX(0,L270-$L$173))^3/(6*$L$142)),$L$29*ABS($L$185*($L$142-MIN($L$142,L270+$L$173))-$L$186*($L$142-MIN($L$142,L270+$L$173))^2/2-$L$144*($L$142-MIN($L$142,L270+$L$173))^3/(6*$L$142)),IF(ABS(L270-$L$188)&lt;=$L$173,$L$29*ABS($L$187),0))</f>
      </c>
    </row>
    <row r="271">
      <c r="K271" s="222" t="inlineStr">
        <is>
          <t xml:space="preserve">7.6 Barras de cada face (1 = mais externa do arranjo)</t>
        </is>
      </c>
    </row>
    <row r="272" ht="30" customHeight="1">
      <c r="K272" s="235" t="inlineStr">
        <is>
          <t xml:space="preserve">Barra</t>
        </is>
      </c>
      <c r="L272" s="235" t="inlineStr">
        <is>
          <t xml:space="preserve">Tipo</t>
        </is>
      </c>
      <c r="M272" s="235" t="inlineStr">
        <is>
          <t xml:space="preserve">M,R (kN·m)</t>
        </is>
      </c>
      <c r="N272" s="235" t="inlineStr">
        <is>
          <t xml:space="preserve">Necessária (B)</t>
        </is>
      </c>
      <c r="O272" s="235" t="inlineStr">
        <is>
          <t xml:space="preserve">início (m)</t>
        </is>
      </c>
      <c r="P272" s="235" t="inlineStr">
        <is>
          <t xml:space="preserve">fim (m)</t>
        </is>
      </c>
      <c r="Q272" s="235" t="inlineStr">
        <is>
          <t xml:space="preserve">compr. (m)</t>
        </is>
      </c>
      <c r="R272" s="235" t="inlineStr">
        <is>
          <t xml:space="preserve">Posição</t>
        </is>
      </c>
      <c r="U272" s="235" t="inlineStr">
        <is>
          <t xml:space="preserve">B,inf</t>
        </is>
      </c>
      <c r="V272" s="235" t="inlineStr">
        <is>
          <t xml:space="preserve">B,sup</t>
        </is>
      </c>
      <c r="W272" s="235" t="inlineStr">
        <is>
          <t xml:space="preserve">A,inf</t>
        </is>
      </c>
      <c r="X272" s="235" t="inlineStr">
        <is>
          <t xml:space="preserve">A,sup</t>
        </is>
      </c>
      <c r="Y272" s="235" t="inlineStr">
        <is>
          <t xml:space="preserve">n(B)</t>
        </is>
      </c>
      <c r="Z272" s="235" t="inlineStr">
        <is>
          <t xml:space="preserve">n(A)</t>
        </is>
      </c>
    </row>
    <row r="273">
      <c r="K273" s="237">
        <v>1</v>
      </c>
      <c r="L273" s="237">
        <f>IF(1&gt;$L$111,"",IF(1&lt;=$L$182,"Corrida",IF(Y273=0,"Dispensável","Adicional")))</f>
      </c>
      <c r="M273" s="227">
        <f>IF(1&gt;$L$111,"",1*$L$181)</f>
      </c>
      <c r="N273" s="237">
        <f>IF(OR(1&gt;$L$111,1&lt;=$L$182),"",IF(Y273=0,"-",FIXED(U273,2)&amp;" a "&amp;FIXED(V273,2)))</f>
      </c>
      <c r="O273" s="227">
        <f>IF(1&gt;$L$111,"",IF(1&lt;=$L$182,0,IF(Y273=0,0,MAX($L$40/100,ROUNDDOWN(MIN(W273-$L$169/100,U273-$L$42/100)*20,0)/20))))</f>
      </c>
      <c r="P273" s="227">
        <f>IF(1&gt;$L$111,"",IF(1&lt;=$L$182,$L$175,IF(Y273=0,0,MIN($L$175-$L$40/100,ROUNDUP(MAX(X273+$L$169/100,V273+$L$42/100)*20,0)/20))))</f>
      </c>
      <c r="Q273" s="227">
        <f>IF(1&gt;$L$111,"",IF(1&lt;=$L$182,$L$178/100,P273-O273))</f>
      </c>
      <c r="R273" s="237">
        <f>IF(1&gt;$L$111,"",IF(1&lt;=$L$182,"N1","N"&amp;(1-$L$182+1)))</f>
      </c>
      <c r="U273" s="227">
        <f>IF(Y273=0,0,MAX(0,_xlfn.MINIFS($L$190:$L$270,$P$190:$P$270,"&gt;"&amp;(1-1)*$L$181)-$L$142/80))</f>
      </c>
      <c r="V273" s="227">
        <f>IF(Y273=0,0,MIN($L$142,_xlfn.MAXIFS($L$190:$L$270,$P$190:$P$270,"&gt;"&amp;(1-1)*$L$181)+$L$142/80))</f>
      </c>
      <c r="W273" s="227">
        <f>IF(Z273=0,IF(ABS($L$187)&gt;=ABS($M$190),$L$188,0),MAX(0,_xlfn.MINIFS($L$190:$L$270,$P$190:$P$270,"&gt;"&amp;1*$L$181)-$L$142/80))</f>
      </c>
      <c r="X273" s="227">
        <f>IF(Z273=0,IF(ABS($L$187)&gt;=ABS($M$190),$L$188,0),MIN($L$142,_xlfn.MAXIFS($L$190:$L$270,$P$190:$P$270,"&gt;"&amp;1*$L$181)+$L$142/80))</f>
      </c>
      <c r="Y273" s="229">
        <f>COUNTIF($P$190:$P$270,"&gt;"&amp;(1-1)*$L$181)</f>
      </c>
      <c r="Z273" s="229">
        <f>COUNTIF($P$190:$P$270,"&gt;"&amp;1*$L$181)</f>
      </c>
    </row>
    <row r="274">
      <c r="K274" s="237">
        <v>2</v>
      </c>
      <c r="L274" s="237">
        <f>IF(2&gt;$L$111,"",IF(2&lt;=$L$182,"Corrida",IF(Y274=0,"Dispensável","Adicional")))</f>
      </c>
      <c r="M274" s="227">
        <f>IF(2&gt;$L$111,"",2*$L$181)</f>
      </c>
      <c r="N274" s="237">
        <f>IF(OR(2&gt;$L$111,2&lt;=$L$182),"",IF(Y274=0,"-",FIXED(U274,2)&amp;" a "&amp;FIXED(V274,2)))</f>
      </c>
      <c r="O274" s="227">
        <f>IF(2&gt;$L$111,"",IF(2&lt;=$L$182,0,IF(Y274=0,0,MAX($L$40/100,ROUNDDOWN(MIN(W274-$L$169/100,U274-$L$42/100)*20,0)/20))))</f>
      </c>
      <c r="P274" s="227">
        <f>IF(2&gt;$L$111,"",IF(2&lt;=$L$182,$L$175,IF(Y274=0,0,MIN($L$175-$L$40/100,ROUNDUP(MAX(X274+$L$169/100,V274+$L$42/100)*20,0)/20))))</f>
      </c>
      <c r="Q274" s="227">
        <f>IF(2&gt;$L$111,"",IF(2&lt;=$L$182,$L$178/100,P274-O274))</f>
      </c>
      <c r="R274" s="237">
        <f>IF(2&gt;$L$111,"",IF(2&lt;=$L$182,"N1","N"&amp;(2-$L$182+1)))</f>
      </c>
      <c r="U274" s="227">
        <f>IF(Y274=0,0,MAX(0,_xlfn.MINIFS($L$190:$L$270,$P$190:$P$270,"&gt;"&amp;(2-1)*$L$181)-$L$142/80))</f>
      </c>
      <c r="V274" s="227">
        <f>IF(Y274=0,0,MIN($L$142,_xlfn.MAXIFS($L$190:$L$270,$P$190:$P$270,"&gt;"&amp;(2-1)*$L$181)+$L$142/80))</f>
      </c>
      <c r="W274" s="227">
        <f>IF(Z274=0,IF(ABS($L$187)&gt;=ABS($M$190),$L$188,0),MAX(0,_xlfn.MINIFS($L$190:$L$270,$P$190:$P$270,"&gt;"&amp;2*$L$181)-$L$142/80))</f>
      </c>
      <c r="X274" s="227">
        <f>IF(Z274=0,IF(ABS($L$187)&gt;=ABS($M$190),$L$188,0),MIN($L$142,_xlfn.MAXIFS($L$190:$L$270,$P$190:$P$270,"&gt;"&amp;2*$L$181)+$L$142/80))</f>
      </c>
      <c r="Y274" s="229">
        <f>COUNTIF($P$190:$P$270,"&gt;"&amp;(2-1)*$L$181)</f>
      </c>
      <c r="Z274" s="229">
        <f>COUNTIF($P$190:$P$270,"&gt;"&amp;2*$L$181)</f>
      </c>
    </row>
    <row r="275">
      <c r="K275" s="237">
        <v>3</v>
      </c>
      <c r="L275" s="237">
        <f>IF(3&gt;$L$111,"",IF(3&lt;=$L$182,"Corrida",IF(Y275=0,"Dispensável","Adicional")))</f>
      </c>
      <c r="M275" s="227">
        <f>IF(3&gt;$L$111,"",3*$L$181)</f>
      </c>
      <c r="N275" s="237">
        <f>IF(OR(3&gt;$L$111,3&lt;=$L$182),"",IF(Y275=0,"-",FIXED(U275,2)&amp;" a "&amp;FIXED(V275,2)))</f>
      </c>
      <c r="O275" s="227">
        <f>IF(3&gt;$L$111,"",IF(3&lt;=$L$182,0,IF(Y275=0,0,MAX($L$40/100,ROUNDDOWN(MIN(W275-$L$169/100,U275-$L$42/100)*20,0)/20))))</f>
      </c>
      <c r="P275" s="227">
        <f>IF(3&gt;$L$111,"",IF(3&lt;=$L$182,$L$175,IF(Y275=0,0,MIN($L$175-$L$40/100,ROUNDUP(MAX(X275+$L$169/100,V275+$L$42/100)*20,0)/20))))</f>
      </c>
      <c r="Q275" s="227">
        <f>IF(3&gt;$L$111,"",IF(3&lt;=$L$182,$L$178/100,P275-O275))</f>
      </c>
      <c r="R275" s="237">
        <f>IF(3&gt;$L$111,"",IF(3&lt;=$L$182,"N1","N"&amp;(3-$L$182+1)))</f>
      </c>
      <c r="U275" s="227">
        <f>IF(Y275=0,0,MAX(0,_xlfn.MINIFS($L$190:$L$270,$P$190:$P$270,"&gt;"&amp;(3-1)*$L$181)-$L$142/80))</f>
      </c>
      <c r="V275" s="227">
        <f>IF(Y275=0,0,MIN($L$142,_xlfn.MAXIFS($L$190:$L$270,$P$190:$P$270,"&gt;"&amp;(3-1)*$L$181)+$L$142/80))</f>
      </c>
      <c r="W275" s="227">
        <f>IF(Z275=0,IF(ABS($L$187)&gt;=ABS($M$190),$L$188,0),MAX(0,_xlfn.MINIFS($L$190:$L$270,$P$190:$P$270,"&gt;"&amp;3*$L$181)-$L$142/80))</f>
      </c>
      <c r="X275" s="227">
        <f>IF(Z275=0,IF(ABS($L$187)&gt;=ABS($M$190),$L$188,0),MIN($L$142,_xlfn.MAXIFS($L$190:$L$270,$P$190:$P$270,"&gt;"&amp;3*$L$181)+$L$142/80))</f>
      </c>
      <c r="Y275" s="229">
        <f>COUNTIF($P$190:$P$270,"&gt;"&amp;(3-1)*$L$181)</f>
      </c>
      <c r="Z275" s="229">
        <f>COUNTIF($P$190:$P$270,"&gt;"&amp;3*$L$181)</f>
      </c>
    </row>
    <row r="276">
      <c r="K276" s="237">
        <v>4</v>
      </c>
      <c r="L276" s="237">
        <f>IF(4&gt;$L$111,"",IF(4&lt;=$L$182,"Corrida",IF(Y276=0,"Dispensável","Adicional")))</f>
      </c>
      <c r="M276" s="227">
        <f>IF(4&gt;$L$111,"",4*$L$181)</f>
      </c>
      <c r="N276" s="237">
        <f>IF(OR(4&gt;$L$111,4&lt;=$L$182),"",IF(Y276=0,"-",FIXED(U276,2)&amp;" a "&amp;FIXED(V276,2)))</f>
      </c>
      <c r="O276" s="227">
        <f>IF(4&gt;$L$111,"",IF(4&lt;=$L$182,0,IF(Y276=0,0,MAX($L$40/100,ROUNDDOWN(MIN(W276-$L$169/100,U276-$L$42/100)*20,0)/20))))</f>
      </c>
      <c r="P276" s="227">
        <f>IF(4&gt;$L$111,"",IF(4&lt;=$L$182,$L$175,IF(Y276=0,0,MIN($L$175-$L$40/100,ROUNDUP(MAX(X276+$L$169/100,V276+$L$42/100)*20,0)/20))))</f>
      </c>
      <c r="Q276" s="227">
        <f>IF(4&gt;$L$111,"",IF(4&lt;=$L$182,$L$178/100,P276-O276))</f>
      </c>
      <c r="R276" s="237">
        <f>IF(4&gt;$L$111,"",IF(4&lt;=$L$182,"N1","N"&amp;(4-$L$182+1)))</f>
      </c>
      <c r="U276" s="227">
        <f>IF(Y276=0,0,MAX(0,_xlfn.MINIFS($L$190:$L$270,$P$190:$P$270,"&gt;"&amp;(4-1)*$L$181)-$L$142/80))</f>
      </c>
      <c r="V276" s="227">
        <f>IF(Y276=0,0,MIN($L$142,_xlfn.MAXIFS($L$190:$L$270,$P$190:$P$270,"&gt;"&amp;(4-1)*$L$181)+$L$142/80))</f>
      </c>
      <c r="W276" s="227">
        <f>IF(Z276=0,IF(ABS($L$187)&gt;=ABS($M$190),$L$188,0),MAX(0,_xlfn.MINIFS($L$190:$L$270,$P$190:$P$270,"&gt;"&amp;4*$L$181)-$L$142/80))</f>
      </c>
      <c r="X276" s="227">
        <f>IF(Z276=0,IF(ABS($L$187)&gt;=ABS($M$190),$L$188,0),MIN($L$142,_xlfn.MAXIFS($L$190:$L$270,$P$190:$P$270,"&gt;"&amp;4*$L$181)+$L$142/80))</f>
      </c>
      <c r="Y276" s="229">
        <f>COUNTIF($P$190:$P$270,"&gt;"&amp;(4-1)*$L$181)</f>
      </c>
      <c r="Z276" s="229">
        <f>COUNTIF($P$190:$P$270,"&gt;"&amp;4*$L$181)</f>
      </c>
    </row>
    <row r="277">
      <c r="K277" s="237">
        <v>5</v>
      </c>
      <c r="L277" s="237">
        <f>IF(5&gt;$L$111,"",IF(5&lt;=$L$182,"Corrida",IF(Y277=0,"Dispensável","Adicional")))</f>
      </c>
      <c r="M277" s="227">
        <f>IF(5&gt;$L$111,"",5*$L$181)</f>
      </c>
      <c r="N277" s="237">
        <f>IF(OR(5&gt;$L$111,5&lt;=$L$182),"",IF(Y277=0,"-",FIXED(U277,2)&amp;" a "&amp;FIXED(V277,2)))</f>
      </c>
      <c r="O277" s="227">
        <f>IF(5&gt;$L$111,"",IF(5&lt;=$L$182,0,IF(Y277=0,0,MAX($L$40/100,ROUNDDOWN(MIN(W277-$L$169/100,U277-$L$42/100)*20,0)/20))))</f>
      </c>
      <c r="P277" s="227">
        <f>IF(5&gt;$L$111,"",IF(5&lt;=$L$182,$L$175,IF(Y277=0,0,MIN($L$175-$L$40/100,ROUNDUP(MAX(X277+$L$169/100,V277+$L$42/100)*20,0)/20))))</f>
      </c>
      <c r="Q277" s="227">
        <f>IF(5&gt;$L$111,"",IF(5&lt;=$L$182,$L$178/100,P277-O277))</f>
      </c>
      <c r="R277" s="237">
        <f>IF(5&gt;$L$111,"",IF(5&lt;=$L$182,"N1","N"&amp;(5-$L$182+1)))</f>
      </c>
      <c r="U277" s="227">
        <f>IF(Y277=0,0,MAX(0,_xlfn.MINIFS($L$190:$L$270,$P$190:$P$270,"&gt;"&amp;(5-1)*$L$181)-$L$142/80))</f>
      </c>
      <c r="V277" s="227">
        <f>IF(Y277=0,0,MIN($L$142,_xlfn.MAXIFS($L$190:$L$270,$P$190:$P$270,"&gt;"&amp;(5-1)*$L$181)+$L$142/80))</f>
      </c>
      <c r="W277" s="227">
        <f>IF(Z277=0,IF(ABS($L$187)&gt;=ABS($M$190),$L$188,0),MAX(0,_xlfn.MINIFS($L$190:$L$270,$P$190:$P$270,"&gt;"&amp;5*$L$181)-$L$142/80))</f>
      </c>
      <c r="X277" s="227">
        <f>IF(Z277=0,IF(ABS($L$187)&gt;=ABS($M$190),$L$188,0),MIN($L$142,_xlfn.MAXIFS($L$190:$L$270,$P$190:$P$270,"&gt;"&amp;5*$L$181)+$L$142/80))</f>
      </c>
      <c r="Y277" s="229">
        <f>COUNTIF($P$190:$P$270,"&gt;"&amp;(5-1)*$L$181)</f>
      </c>
      <c r="Z277" s="229">
        <f>COUNTIF($P$190:$P$270,"&gt;"&amp;5*$L$181)</f>
      </c>
    </row>
    <row r="278">
      <c r="K278" s="237">
        <v>6</v>
      </c>
      <c r="L278" s="237">
        <f>IF(6&gt;$L$111,"",IF(6&lt;=$L$182,"Corrida",IF(Y278=0,"Dispensável","Adicional")))</f>
      </c>
      <c r="M278" s="227">
        <f>IF(6&gt;$L$111,"",6*$L$181)</f>
      </c>
      <c r="N278" s="237">
        <f>IF(OR(6&gt;$L$111,6&lt;=$L$182),"",IF(Y278=0,"-",FIXED(U278,2)&amp;" a "&amp;FIXED(V278,2)))</f>
      </c>
      <c r="O278" s="227">
        <f>IF(6&gt;$L$111,"",IF(6&lt;=$L$182,0,IF(Y278=0,0,MAX($L$40/100,ROUNDDOWN(MIN(W278-$L$169/100,U278-$L$42/100)*20,0)/20))))</f>
      </c>
      <c r="P278" s="227">
        <f>IF(6&gt;$L$111,"",IF(6&lt;=$L$182,$L$175,IF(Y278=0,0,MIN($L$175-$L$40/100,ROUNDUP(MAX(X278+$L$169/100,V278+$L$42/100)*20,0)/20))))</f>
      </c>
      <c r="Q278" s="227">
        <f>IF(6&gt;$L$111,"",IF(6&lt;=$L$182,$L$178/100,P278-O278))</f>
      </c>
      <c r="R278" s="237">
        <f>IF(6&gt;$L$111,"",IF(6&lt;=$L$182,"N1","N"&amp;(6-$L$182+1)))</f>
      </c>
      <c r="U278" s="227">
        <f>IF(Y278=0,0,MAX(0,_xlfn.MINIFS($L$190:$L$270,$P$190:$P$270,"&gt;"&amp;(6-1)*$L$181)-$L$142/80))</f>
      </c>
      <c r="V278" s="227">
        <f>IF(Y278=0,0,MIN($L$142,_xlfn.MAXIFS($L$190:$L$270,$P$190:$P$270,"&gt;"&amp;(6-1)*$L$181)+$L$142/80))</f>
      </c>
      <c r="W278" s="227">
        <f>IF(Z278=0,IF(ABS($L$187)&gt;=ABS($M$190),$L$188,0),MAX(0,_xlfn.MINIFS($L$190:$L$270,$P$190:$P$270,"&gt;"&amp;6*$L$181)-$L$142/80))</f>
      </c>
      <c r="X278" s="227">
        <f>IF(Z278=0,IF(ABS($L$187)&gt;=ABS($M$190),$L$188,0),MIN($L$142,_xlfn.MAXIFS($L$190:$L$270,$P$190:$P$270,"&gt;"&amp;6*$L$181)+$L$142/80))</f>
      </c>
      <c r="Y278" s="229">
        <f>COUNTIF($P$190:$P$270,"&gt;"&amp;(6-1)*$L$181)</f>
      </c>
      <c r="Z278" s="229">
        <f>COUNTIF($P$190:$P$270,"&gt;"&amp;6*$L$181)</f>
      </c>
    </row>
    <row r="279">
      <c r="K279" s="237">
        <v>7</v>
      </c>
      <c r="L279" s="237">
        <f>IF(7&gt;$L$111,"",IF(7&lt;=$L$182,"Corrida",IF(Y279=0,"Dispensável","Adicional")))</f>
      </c>
      <c r="M279" s="227">
        <f>IF(7&gt;$L$111,"",7*$L$181)</f>
      </c>
      <c r="N279" s="237">
        <f>IF(OR(7&gt;$L$111,7&lt;=$L$182),"",IF(Y279=0,"-",FIXED(U279,2)&amp;" a "&amp;FIXED(V279,2)))</f>
      </c>
      <c r="O279" s="227">
        <f>IF(7&gt;$L$111,"",IF(7&lt;=$L$182,0,IF(Y279=0,0,MAX($L$40/100,ROUNDDOWN(MIN(W279-$L$169/100,U279-$L$42/100)*20,0)/20))))</f>
      </c>
      <c r="P279" s="227">
        <f>IF(7&gt;$L$111,"",IF(7&lt;=$L$182,$L$175,IF(Y279=0,0,MIN($L$175-$L$40/100,ROUNDUP(MAX(X279+$L$169/100,V279+$L$42/100)*20,0)/20))))</f>
      </c>
      <c r="Q279" s="227">
        <f>IF(7&gt;$L$111,"",IF(7&lt;=$L$182,$L$178/100,P279-O279))</f>
      </c>
      <c r="R279" s="237">
        <f>IF(7&gt;$L$111,"",IF(7&lt;=$L$182,"N1","N"&amp;(7-$L$182+1)))</f>
      </c>
      <c r="U279" s="227">
        <f>IF(Y279=0,0,MAX(0,_xlfn.MINIFS($L$190:$L$270,$P$190:$P$270,"&gt;"&amp;(7-1)*$L$181)-$L$142/80))</f>
      </c>
      <c r="V279" s="227">
        <f>IF(Y279=0,0,MIN($L$142,_xlfn.MAXIFS($L$190:$L$270,$P$190:$P$270,"&gt;"&amp;(7-1)*$L$181)+$L$142/80))</f>
      </c>
      <c r="W279" s="227">
        <f>IF(Z279=0,IF(ABS($L$187)&gt;=ABS($M$190),$L$188,0),MAX(0,_xlfn.MINIFS($L$190:$L$270,$P$190:$P$270,"&gt;"&amp;7*$L$181)-$L$142/80))</f>
      </c>
      <c r="X279" s="227">
        <f>IF(Z279=0,IF(ABS($L$187)&gt;=ABS($M$190),$L$188,0),MIN($L$142,_xlfn.MAXIFS($L$190:$L$270,$P$190:$P$270,"&gt;"&amp;7*$L$181)+$L$142/80))</f>
      </c>
      <c r="Y279" s="229">
        <f>COUNTIF($P$190:$P$270,"&gt;"&amp;(7-1)*$L$181)</f>
      </c>
      <c r="Z279" s="229">
        <f>COUNTIF($P$190:$P$270,"&gt;"&amp;7*$L$181)</f>
      </c>
    </row>
    <row r="280">
      <c r="K280" s="237">
        <v>8</v>
      </c>
      <c r="L280" s="237">
        <f>IF(8&gt;$L$111,"",IF(8&lt;=$L$182,"Corrida",IF(Y280=0,"Dispensável","Adicional")))</f>
      </c>
      <c r="M280" s="227">
        <f>IF(8&gt;$L$111,"",8*$L$181)</f>
      </c>
      <c r="N280" s="237">
        <f>IF(OR(8&gt;$L$111,8&lt;=$L$182),"",IF(Y280=0,"-",FIXED(U280,2)&amp;" a "&amp;FIXED(V280,2)))</f>
      </c>
      <c r="O280" s="227">
        <f>IF(8&gt;$L$111,"",IF(8&lt;=$L$182,0,IF(Y280=0,0,MAX($L$40/100,ROUNDDOWN(MIN(W280-$L$169/100,U280-$L$42/100)*20,0)/20))))</f>
      </c>
      <c r="P280" s="227">
        <f>IF(8&gt;$L$111,"",IF(8&lt;=$L$182,$L$175,IF(Y280=0,0,MIN($L$175-$L$40/100,ROUNDUP(MAX(X280+$L$169/100,V280+$L$42/100)*20,0)/20))))</f>
      </c>
      <c r="Q280" s="227">
        <f>IF(8&gt;$L$111,"",IF(8&lt;=$L$182,$L$178/100,P280-O280))</f>
      </c>
      <c r="R280" s="237">
        <f>IF(8&gt;$L$111,"",IF(8&lt;=$L$182,"N1","N"&amp;(8-$L$182+1)))</f>
      </c>
      <c r="U280" s="227">
        <f>IF(Y280=0,0,MAX(0,_xlfn.MINIFS($L$190:$L$270,$P$190:$P$270,"&gt;"&amp;(8-1)*$L$181)-$L$142/80))</f>
      </c>
      <c r="V280" s="227">
        <f>IF(Y280=0,0,MIN($L$142,_xlfn.MAXIFS($L$190:$L$270,$P$190:$P$270,"&gt;"&amp;(8-1)*$L$181)+$L$142/80))</f>
      </c>
      <c r="W280" s="227">
        <f>IF(Z280=0,IF(ABS($L$187)&gt;=ABS($M$190),$L$188,0),MAX(0,_xlfn.MINIFS($L$190:$L$270,$P$190:$P$270,"&gt;"&amp;8*$L$181)-$L$142/80))</f>
      </c>
      <c r="X280" s="227">
        <f>IF(Z280=0,IF(ABS($L$187)&gt;=ABS($M$190),$L$188,0),MIN($L$142,_xlfn.MAXIFS($L$190:$L$270,$P$190:$P$270,"&gt;"&amp;8*$L$181)+$L$142/80))</f>
      </c>
      <c r="Y280" s="229">
        <f>COUNTIF($P$190:$P$270,"&gt;"&amp;(8-1)*$L$181)</f>
      </c>
      <c r="Z280" s="229">
        <f>COUNTIF($P$190:$P$270,"&gt;"&amp;8*$L$181)</f>
      </c>
    </row>
    <row r="281">
      <c r="K281" s="237">
        <v>9</v>
      </c>
      <c r="L281" s="237">
        <f>IF(9&gt;$L$111,"",IF(9&lt;=$L$182,"Corrida",IF(Y281=0,"Dispensável","Adicional")))</f>
      </c>
      <c r="M281" s="227">
        <f>IF(9&gt;$L$111,"",9*$L$181)</f>
      </c>
      <c r="N281" s="237">
        <f>IF(OR(9&gt;$L$111,9&lt;=$L$182),"",IF(Y281=0,"-",FIXED(U281,2)&amp;" a "&amp;FIXED(V281,2)))</f>
      </c>
      <c r="O281" s="227">
        <f>IF(9&gt;$L$111,"",IF(9&lt;=$L$182,0,IF(Y281=0,0,MAX($L$40/100,ROUNDDOWN(MIN(W281-$L$169/100,U281-$L$42/100)*20,0)/20))))</f>
      </c>
      <c r="P281" s="227">
        <f>IF(9&gt;$L$111,"",IF(9&lt;=$L$182,$L$175,IF(Y281=0,0,MIN($L$175-$L$40/100,ROUNDUP(MAX(X281+$L$169/100,V281+$L$42/100)*20,0)/20))))</f>
      </c>
      <c r="Q281" s="227">
        <f>IF(9&gt;$L$111,"",IF(9&lt;=$L$182,$L$178/100,P281-O281))</f>
      </c>
      <c r="R281" s="237">
        <f>IF(9&gt;$L$111,"",IF(9&lt;=$L$182,"N1","N"&amp;(9-$L$182+1)))</f>
      </c>
      <c r="U281" s="227">
        <f>IF(Y281=0,0,MAX(0,_xlfn.MINIFS($L$190:$L$270,$P$190:$P$270,"&gt;"&amp;(9-1)*$L$181)-$L$142/80))</f>
      </c>
      <c r="V281" s="227">
        <f>IF(Y281=0,0,MIN($L$142,_xlfn.MAXIFS($L$190:$L$270,$P$190:$P$270,"&gt;"&amp;(9-1)*$L$181)+$L$142/80))</f>
      </c>
      <c r="W281" s="227">
        <f>IF(Z281=0,IF(ABS($L$187)&gt;=ABS($M$190),$L$188,0),MAX(0,_xlfn.MINIFS($L$190:$L$270,$P$190:$P$270,"&gt;"&amp;9*$L$181)-$L$142/80))</f>
      </c>
      <c r="X281" s="227">
        <f>IF(Z281=0,IF(ABS($L$187)&gt;=ABS($M$190),$L$188,0),MIN($L$142,_xlfn.MAXIFS($L$190:$L$270,$P$190:$P$270,"&gt;"&amp;9*$L$181)+$L$142/80))</f>
      </c>
      <c r="Y281" s="229">
        <f>COUNTIF($P$190:$P$270,"&gt;"&amp;(9-1)*$L$181)</f>
      </c>
      <c r="Z281" s="229">
        <f>COUNTIF($P$190:$P$270,"&gt;"&amp;9*$L$181)</f>
      </c>
    </row>
    <row r="282">
      <c r="K282" s="237">
        <v>10</v>
      </c>
      <c r="L282" s="237">
        <f>IF(10&gt;$L$111,"",IF(10&lt;=$L$182,"Corrida",IF(Y282=0,"Dispensável","Adicional")))</f>
      </c>
      <c r="M282" s="227">
        <f>IF(10&gt;$L$111,"",10*$L$181)</f>
      </c>
      <c r="N282" s="237">
        <f>IF(OR(10&gt;$L$111,10&lt;=$L$182),"",IF(Y282=0,"-",FIXED(U282,2)&amp;" a "&amp;FIXED(V282,2)))</f>
      </c>
      <c r="O282" s="227">
        <f>IF(10&gt;$L$111,"",IF(10&lt;=$L$182,0,IF(Y282=0,0,MAX($L$40/100,ROUNDDOWN(MIN(W282-$L$169/100,U282-$L$42/100)*20,0)/20))))</f>
      </c>
      <c r="P282" s="227">
        <f>IF(10&gt;$L$111,"",IF(10&lt;=$L$182,$L$175,IF(Y282=0,0,MIN($L$175-$L$40/100,ROUNDUP(MAX(X282+$L$169/100,V282+$L$42/100)*20,0)/20))))</f>
      </c>
      <c r="Q282" s="227">
        <f>IF(10&gt;$L$111,"",IF(10&lt;=$L$182,$L$178/100,P282-O282))</f>
      </c>
      <c r="R282" s="237">
        <f>IF(10&gt;$L$111,"",IF(10&lt;=$L$182,"N1","N"&amp;(10-$L$182+1)))</f>
      </c>
      <c r="U282" s="227">
        <f>IF(Y282=0,0,MAX(0,_xlfn.MINIFS($L$190:$L$270,$P$190:$P$270,"&gt;"&amp;(10-1)*$L$181)-$L$142/80))</f>
      </c>
      <c r="V282" s="227">
        <f>IF(Y282=0,0,MIN($L$142,_xlfn.MAXIFS($L$190:$L$270,$P$190:$P$270,"&gt;"&amp;(10-1)*$L$181)+$L$142/80))</f>
      </c>
      <c r="W282" s="227">
        <f>IF(Z282=0,IF(ABS($L$187)&gt;=ABS($M$190),$L$188,0),MAX(0,_xlfn.MINIFS($L$190:$L$270,$P$190:$P$270,"&gt;"&amp;10*$L$181)-$L$142/80))</f>
      </c>
      <c r="X282" s="227">
        <f>IF(Z282=0,IF(ABS($L$187)&gt;=ABS($M$190),$L$188,0),MIN($L$142,_xlfn.MAXIFS($L$190:$L$270,$P$190:$P$270,"&gt;"&amp;10*$L$181)+$L$142/80))</f>
      </c>
      <c r="Y282" s="229">
        <f>COUNTIF($P$190:$P$270,"&gt;"&amp;(10-1)*$L$181)</f>
      </c>
      <c r="Z282" s="229">
        <f>COUNTIF($P$190:$P$270,"&gt;"&amp;10*$L$181)</f>
      </c>
    </row>
    <row r="283">
      <c r="K283" s="237">
        <v>11</v>
      </c>
      <c r="L283" s="237">
        <f>IF(11&gt;$L$111,"",IF(11&lt;=$L$182,"Corrida",IF(Y283=0,"Dispensável","Adicional")))</f>
      </c>
      <c r="M283" s="227">
        <f>IF(11&gt;$L$111,"",11*$L$181)</f>
      </c>
      <c r="N283" s="237">
        <f>IF(OR(11&gt;$L$111,11&lt;=$L$182),"",IF(Y283=0,"-",FIXED(U283,2)&amp;" a "&amp;FIXED(V283,2)))</f>
      </c>
      <c r="O283" s="227">
        <f>IF(11&gt;$L$111,"",IF(11&lt;=$L$182,0,IF(Y283=0,0,MAX($L$40/100,ROUNDDOWN(MIN(W283-$L$169/100,U283-$L$42/100)*20,0)/20))))</f>
      </c>
      <c r="P283" s="227">
        <f>IF(11&gt;$L$111,"",IF(11&lt;=$L$182,$L$175,IF(Y283=0,0,MIN($L$175-$L$40/100,ROUNDUP(MAX(X283+$L$169/100,V283+$L$42/100)*20,0)/20))))</f>
      </c>
      <c r="Q283" s="227">
        <f>IF(11&gt;$L$111,"",IF(11&lt;=$L$182,$L$178/100,P283-O283))</f>
      </c>
      <c r="R283" s="237">
        <f>IF(11&gt;$L$111,"",IF(11&lt;=$L$182,"N1","N"&amp;(11-$L$182+1)))</f>
      </c>
      <c r="U283" s="227">
        <f>IF(Y283=0,0,MAX(0,_xlfn.MINIFS($L$190:$L$270,$P$190:$P$270,"&gt;"&amp;(11-1)*$L$181)-$L$142/80))</f>
      </c>
      <c r="V283" s="227">
        <f>IF(Y283=0,0,MIN($L$142,_xlfn.MAXIFS($L$190:$L$270,$P$190:$P$270,"&gt;"&amp;(11-1)*$L$181)+$L$142/80))</f>
      </c>
      <c r="W283" s="227">
        <f>IF(Z283=0,IF(ABS($L$187)&gt;=ABS($M$190),$L$188,0),MAX(0,_xlfn.MINIFS($L$190:$L$270,$P$190:$P$270,"&gt;"&amp;11*$L$181)-$L$142/80))</f>
      </c>
      <c r="X283" s="227">
        <f>IF(Z283=0,IF(ABS($L$187)&gt;=ABS($M$190),$L$188,0),MIN($L$142,_xlfn.MAXIFS($L$190:$L$270,$P$190:$P$270,"&gt;"&amp;11*$L$181)+$L$142/80))</f>
      </c>
      <c r="Y283" s="229">
        <f>COUNTIF($P$190:$P$270,"&gt;"&amp;(11-1)*$L$181)</f>
      </c>
      <c r="Z283" s="229">
        <f>COUNTIF($P$190:$P$270,"&gt;"&amp;11*$L$181)</f>
      </c>
    </row>
    <row r="284">
      <c r="K284" s="237">
        <v>12</v>
      </c>
      <c r="L284" s="237">
        <f>IF(12&gt;$L$111,"",IF(12&lt;=$L$182,"Corrida",IF(Y284=0,"Dispensável","Adicional")))</f>
      </c>
      <c r="M284" s="227">
        <f>IF(12&gt;$L$111,"",12*$L$181)</f>
      </c>
      <c r="N284" s="237">
        <f>IF(OR(12&gt;$L$111,12&lt;=$L$182),"",IF(Y284=0,"-",FIXED(U284,2)&amp;" a "&amp;FIXED(V284,2)))</f>
      </c>
      <c r="O284" s="227">
        <f>IF(12&gt;$L$111,"",IF(12&lt;=$L$182,0,IF(Y284=0,0,MAX($L$40/100,ROUNDDOWN(MIN(W284-$L$169/100,U284-$L$42/100)*20,0)/20))))</f>
      </c>
      <c r="P284" s="227">
        <f>IF(12&gt;$L$111,"",IF(12&lt;=$L$182,$L$175,IF(Y284=0,0,MIN($L$175-$L$40/100,ROUNDUP(MAX(X284+$L$169/100,V284+$L$42/100)*20,0)/20))))</f>
      </c>
      <c r="Q284" s="227">
        <f>IF(12&gt;$L$111,"",IF(12&lt;=$L$182,$L$178/100,P284-O284))</f>
      </c>
      <c r="R284" s="237">
        <f>IF(12&gt;$L$111,"",IF(12&lt;=$L$182,"N1","N"&amp;(12-$L$182+1)))</f>
      </c>
      <c r="U284" s="227">
        <f>IF(Y284=0,0,MAX(0,_xlfn.MINIFS($L$190:$L$270,$P$190:$P$270,"&gt;"&amp;(12-1)*$L$181)-$L$142/80))</f>
      </c>
      <c r="V284" s="227">
        <f>IF(Y284=0,0,MIN($L$142,_xlfn.MAXIFS($L$190:$L$270,$P$190:$P$270,"&gt;"&amp;(12-1)*$L$181)+$L$142/80))</f>
      </c>
      <c r="W284" s="227">
        <f>IF(Z284=0,IF(ABS($L$187)&gt;=ABS($M$190),$L$188,0),MAX(0,_xlfn.MINIFS($L$190:$L$270,$P$190:$P$270,"&gt;"&amp;12*$L$181)-$L$142/80))</f>
      </c>
      <c r="X284" s="227">
        <f>IF(Z284=0,IF(ABS($L$187)&gt;=ABS($M$190),$L$188,0),MIN($L$142,_xlfn.MAXIFS($L$190:$L$270,$P$190:$P$270,"&gt;"&amp;12*$L$181)+$L$142/80))</f>
      </c>
      <c r="Y284" s="229">
        <f>COUNTIF($P$190:$P$270,"&gt;"&amp;(12-1)*$L$181)</f>
      </c>
      <c r="Z284" s="229">
        <f>COUNTIF($P$190:$P$270,"&gt;"&amp;12*$L$181)</f>
      </c>
    </row>
    <row r="285">
      <c r="K285" s="237">
        <v>13</v>
      </c>
      <c r="L285" s="237">
        <f>IF(13&gt;$L$111,"",IF(13&lt;=$L$182,"Corrida",IF(Y285=0,"Dispensável","Adicional")))</f>
      </c>
      <c r="M285" s="227">
        <f>IF(13&gt;$L$111,"",13*$L$181)</f>
      </c>
      <c r="N285" s="237">
        <f>IF(OR(13&gt;$L$111,13&lt;=$L$182),"",IF(Y285=0,"-",FIXED(U285,2)&amp;" a "&amp;FIXED(V285,2)))</f>
      </c>
      <c r="O285" s="227">
        <f>IF(13&gt;$L$111,"",IF(13&lt;=$L$182,0,IF(Y285=0,0,MAX($L$40/100,ROUNDDOWN(MIN(W285-$L$169/100,U285-$L$42/100)*20,0)/20))))</f>
      </c>
      <c r="P285" s="227">
        <f>IF(13&gt;$L$111,"",IF(13&lt;=$L$182,$L$175,IF(Y285=0,0,MIN($L$175-$L$40/100,ROUNDUP(MAX(X285+$L$169/100,V285+$L$42/100)*20,0)/20))))</f>
      </c>
      <c r="Q285" s="227">
        <f>IF(13&gt;$L$111,"",IF(13&lt;=$L$182,$L$178/100,P285-O285))</f>
      </c>
      <c r="R285" s="237">
        <f>IF(13&gt;$L$111,"",IF(13&lt;=$L$182,"N1","N"&amp;(13-$L$182+1)))</f>
      </c>
      <c r="U285" s="227">
        <f>IF(Y285=0,0,MAX(0,_xlfn.MINIFS($L$190:$L$270,$P$190:$P$270,"&gt;"&amp;(13-1)*$L$181)-$L$142/80))</f>
      </c>
      <c r="V285" s="227">
        <f>IF(Y285=0,0,MIN($L$142,_xlfn.MAXIFS($L$190:$L$270,$P$190:$P$270,"&gt;"&amp;(13-1)*$L$181)+$L$142/80))</f>
      </c>
      <c r="W285" s="227">
        <f>IF(Z285=0,IF(ABS($L$187)&gt;=ABS($M$190),$L$188,0),MAX(0,_xlfn.MINIFS($L$190:$L$270,$P$190:$P$270,"&gt;"&amp;13*$L$181)-$L$142/80))</f>
      </c>
      <c r="X285" s="227">
        <f>IF(Z285=0,IF(ABS($L$187)&gt;=ABS($M$190),$L$188,0),MIN($L$142,_xlfn.MAXIFS($L$190:$L$270,$P$190:$P$270,"&gt;"&amp;13*$L$181)+$L$142/80))</f>
      </c>
      <c r="Y285" s="229">
        <f>COUNTIF($P$190:$P$270,"&gt;"&amp;(13-1)*$L$181)</f>
      </c>
      <c r="Z285" s="229">
        <f>COUNTIF($P$190:$P$270,"&gt;"&amp;13*$L$181)</f>
      </c>
    </row>
    <row r="286">
      <c r="K286" s="237">
        <v>14</v>
      </c>
      <c r="L286" s="237">
        <f>IF(14&gt;$L$111,"",IF(14&lt;=$L$182,"Corrida",IF(Y286=0,"Dispensável","Adicional")))</f>
      </c>
      <c r="M286" s="227">
        <f>IF(14&gt;$L$111,"",14*$L$181)</f>
      </c>
      <c r="N286" s="237">
        <f>IF(OR(14&gt;$L$111,14&lt;=$L$182),"",IF(Y286=0,"-",FIXED(U286,2)&amp;" a "&amp;FIXED(V286,2)))</f>
      </c>
      <c r="O286" s="227">
        <f>IF(14&gt;$L$111,"",IF(14&lt;=$L$182,0,IF(Y286=0,0,MAX($L$40/100,ROUNDDOWN(MIN(W286-$L$169/100,U286-$L$42/100)*20,0)/20))))</f>
      </c>
      <c r="P286" s="227">
        <f>IF(14&gt;$L$111,"",IF(14&lt;=$L$182,$L$175,IF(Y286=0,0,MIN($L$175-$L$40/100,ROUNDUP(MAX(X286+$L$169/100,V286+$L$42/100)*20,0)/20))))</f>
      </c>
      <c r="Q286" s="227">
        <f>IF(14&gt;$L$111,"",IF(14&lt;=$L$182,$L$178/100,P286-O286))</f>
      </c>
      <c r="R286" s="237">
        <f>IF(14&gt;$L$111,"",IF(14&lt;=$L$182,"N1","N"&amp;(14-$L$182+1)))</f>
      </c>
      <c r="U286" s="227">
        <f>IF(Y286=0,0,MAX(0,_xlfn.MINIFS($L$190:$L$270,$P$190:$P$270,"&gt;"&amp;(14-1)*$L$181)-$L$142/80))</f>
      </c>
      <c r="V286" s="227">
        <f>IF(Y286=0,0,MIN($L$142,_xlfn.MAXIFS($L$190:$L$270,$P$190:$P$270,"&gt;"&amp;(14-1)*$L$181)+$L$142/80))</f>
      </c>
      <c r="W286" s="227">
        <f>IF(Z286=0,IF(ABS($L$187)&gt;=ABS($M$190),$L$188,0),MAX(0,_xlfn.MINIFS($L$190:$L$270,$P$190:$P$270,"&gt;"&amp;14*$L$181)-$L$142/80))</f>
      </c>
      <c r="X286" s="227">
        <f>IF(Z286=0,IF(ABS($L$187)&gt;=ABS($M$190),$L$188,0),MIN($L$142,_xlfn.MAXIFS($L$190:$L$270,$P$190:$P$270,"&gt;"&amp;14*$L$181)+$L$142/80))</f>
      </c>
      <c r="Y286" s="229">
        <f>COUNTIF($P$190:$P$270,"&gt;"&amp;(14-1)*$L$181)</f>
      </c>
      <c r="Z286" s="229">
        <f>COUNTIF($P$190:$P$270,"&gt;"&amp;14*$L$181)</f>
      </c>
    </row>
    <row r="288">
      <c r="K288" s="221" t="inlineStr">
        <is>
          <t xml:space="preserve">8 . DETALHAMENTO E QUANTITATIVO</t>
        </is>
      </c>
      <c r="L288" s="221"/>
      <c r="M288" s="221"/>
      <c r="N288" s="221"/>
      <c r="O288" s="221"/>
      <c r="P288" s="221"/>
      <c r="Q288" s="221"/>
      <c r="R288" s="221"/>
      <c r="S288" s="221"/>
      <c r="T288" s="221"/>
    </row>
    <row r="290">
      <c r="K290" s="223" t="inlineStr">
        <is>
          <t xml:space="preserve">ρ,aço</t>
        </is>
      </c>
      <c r="L290" s="224">
        <v>0.785</v>
      </c>
      <c r="M290" s="231" t="inlineStr">
        <is>
          <t xml:space="preserve">kg/m/cm²</t>
        </is>
      </c>
      <c r="O290" s="233" t="inlineStr">
        <is>
          <t xml:space="preserve">Peso por metro de 1 cm² de barra (7850 kg/m³).</t>
        </is>
      </c>
    </row>
    <row r="291">
      <c r="K291" s="223" t="inlineStr">
        <is>
          <t xml:space="preserve">l,est</t>
        </is>
      </c>
      <c r="L291" s="227">
        <f>2*($L$39+$L$38)-8*$L$40+12</f>
      </c>
      <c r="M291" s="231" t="inlineStr">
        <is>
          <t xml:space="preserve">cm</t>
        </is>
      </c>
      <c r="O291" s="233" t="inlineStr">
        <is>
          <t xml:space="preserve">Comprimento de cada estribo (perímetro − cobrimentos + ganchos).</t>
        </is>
      </c>
    </row>
    <row r="292" ht="32" customHeight="1">
      <c r="K292" s="220" t="inlineStr">
        <is>
          <t xml:space="preserve">Posições: N1 = barras corridas (nos cantos do estribo); N2, N3… = adicionais (entre as corridas) (uma por face, simétricas); E1 = estribos escalonados (item 6.3). Comprimentos retos, sem dobras; ajuste ext,base/ext,topo (item 7.3) para ancoragens fora do pilar.</t>
        </is>
      </c>
      <c r="L292" s="220"/>
      <c r="M292" s="220"/>
      <c r="N292" s="220"/>
      <c r="O292" s="220"/>
      <c r="P292" s="220"/>
      <c r="Q292" s="220"/>
      <c r="R292" s="220"/>
      <c r="S292" s="220"/>
      <c r="T292" s="220"/>
    </row>
    <row r="293" ht="30" customHeight="1">
      <c r="K293" s="235" t="inlineStr">
        <is>
          <t xml:space="preserve">Posição</t>
        </is>
      </c>
      <c r="L293" s="235" t="inlineStr">
        <is>
          <t xml:space="preserve">Ø (mm)</t>
        </is>
      </c>
      <c r="M293" s="235" t="inlineStr">
        <is>
          <t xml:space="preserve">Qtde</t>
        </is>
      </c>
      <c r="N293" s="235" t="inlineStr">
        <is>
          <t xml:space="preserve">Compr. unit. (cm)</t>
        </is>
      </c>
      <c r="O293" s="235" t="inlineStr">
        <is>
          <t xml:space="preserve">Compr. total (m)</t>
        </is>
      </c>
      <c r="P293" s="235" t="inlineStr">
        <is>
          <t xml:space="preserve">kg/m</t>
        </is>
      </c>
      <c r="Q293" s="235" t="inlineStr">
        <is>
          <t xml:space="preserve">Peso (kg)</t>
        </is>
      </c>
      <c r="R293" s="235" t="inlineStr">
        <is>
          <t xml:space="preserve">Tipo</t>
        </is>
      </c>
    </row>
    <row r="294">
      <c r="K294" s="237" t="inlineStr">
        <is>
          <t xml:space="preserve">N1</t>
        </is>
      </c>
      <c r="L294" s="227">
        <f>$L$42</f>
      </c>
      <c r="M294" s="229">
        <f>2*$L$182</f>
      </c>
      <c r="N294" s="229">
        <f>$L$178</f>
      </c>
      <c r="O294" s="227">
        <f>IF(M294="","",M294*N294/100)</f>
      </c>
      <c r="P294" s="228">
        <f>IF(M294="","",$L$290*PI()*(L294/10)^2/4)</f>
      </c>
      <c r="Q294" s="227">
        <f>IF(M294="","",O294*P294)</f>
      </c>
      <c r="R294" s="237" t="inlineStr">
        <is>
          <t xml:space="preserve">Longitudinal</t>
        </is>
      </c>
    </row>
    <row r="295">
      <c r="K295" s="237">
        <f>IF(($L$182+1)&gt;$L$111,"","N2")</f>
      </c>
      <c r="L295" s="227">
        <f>IF(($L$182+1)&gt;$L$111,"",$L$42)</f>
      </c>
      <c r="M295" s="229">
        <f>IF(($L$182+1)&gt;$L$111,"",IF(INDEX($L$273:$L$286,($L$182+1))="Dispensável",0,2))</f>
      </c>
      <c r="N295" s="229">
        <f>IF(($L$182+1)&gt;$L$111,"",ROUND(INDEX($Q$273:$Q$286,($L$182+1))*100,0))</f>
      </c>
      <c r="O295" s="227">
        <f>IF(M295="","",M295*N295/100)</f>
      </c>
      <c r="P295" s="228">
        <f>IF(M295="","",$L$290*PI()*(L295/10)^2/4)</f>
      </c>
      <c r="Q295" s="227">
        <f>IF(M295="","",O295*P295)</f>
      </c>
      <c r="R295" s="237" t="inlineStr">
        <is>
          <t xml:space="preserve">Longitudinal</t>
        </is>
      </c>
    </row>
    <row r="296">
      <c r="K296" s="237">
        <f>IF(($L$182+2)&gt;$L$111,"","N3")</f>
      </c>
      <c r="L296" s="227">
        <f>IF(($L$182+2)&gt;$L$111,"",$L$42)</f>
      </c>
      <c r="M296" s="229">
        <f>IF(($L$182+2)&gt;$L$111,"",IF(INDEX($L$273:$L$286,($L$182+2))="Dispensável",0,2))</f>
      </c>
      <c r="N296" s="229">
        <f>IF(($L$182+2)&gt;$L$111,"",ROUND(INDEX($Q$273:$Q$286,($L$182+2))*100,0))</f>
      </c>
      <c r="O296" s="227">
        <f>IF(M296="","",M296*N296/100)</f>
      </c>
      <c r="P296" s="228">
        <f>IF(M296="","",$L$290*PI()*(L296/10)^2/4)</f>
      </c>
      <c r="Q296" s="227">
        <f>IF(M296="","",O296*P296)</f>
      </c>
      <c r="R296" s="237" t="inlineStr">
        <is>
          <t xml:space="preserve">Longitudinal</t>
        </is>
      </c>
    </row>
    <row r="297">
      <c r="K297" s="237">
        <f>IF(($L$182+3)&gt;$L$111,"","N4")</f>
      </c>
      <c r="L297" s="227">
        <f>IF(($L$182+3)&gt;$L$111,"",$L$42)</f>
      </c>
      <c r="M297" s="229">
        <f>IF(($L$182+3)&gt;$L$111,"",IF(INDEX($L$273:$L$286,($L$182+3))="Dispensável",0,2))</f>
      </c>
      <c r="N297" s="229">
        <f>IF(($L$182+3)&gt;$L$111,"",ROUND(INDEX($Q$273:$Q$286,($L$182+3))*100,0))</f>
      </c>
      <c r="O297" s="227">
        <f>IF(M297="","",M297*N297/100)</f>
      </c>
      <c r="P297" s="228">
        <f>IF(M297="","",$L$290*PI()*(L297/10)^2/4)</f>
      </c>
      <c r="Q297" s="227">
        <f>IF(M297="","",O297*P297)</f>
      </c>
      <c r="R297" s="237" t="inlineStr">
        <is>
          <t xml:space="preserve">Longitudinal</t>
        </is>
      </c>
    </row>
    <row r="298">
      <c r="K298" s="237">
        <f>IF(($L$182+4)&gt;$L$111,"","N5")</f>
      </c>
      <c r="L298" s="227">
        <f>IF(($L$182+4)&gt;$L$111,"",$L$42)</f>
      </c>
      <c r="M298" s="229">
        <f>IF(($L$182+4)&gt;$L$111,"",IF(INDEX($L$273:$L$286,($L$182+4))="Dispensável",0,2))</f>
      </c>
      <c r="N298" s="229">
        <f>IF(($L$182+4)&gt;$L$111,"",ROUND(INDEX($Q$273:$Q$286,($L$182+4))*100,0))</f>
      </c>
      <c r="O298" s="227">
        <f>IF(M298="","",M298*N298/100)</f>
      </c>
      <c r="P298" s="228">
        <f>IF(M298="","",$L$290*PI()*(L298/10)^2/4)</f>
      </c>
      <c r="Q298" s="227">
        <f>IF(M298="","",O298*P298)</f>
      </c>
      <c r="R298" s="237" t="inlineStr">
        <is>
          <t xml:space="preserve">Longitudinal</t>
        </is>
      </c>
    </row>
    <row r="299">
      <c r="K299" s="237">
        <f>IF(($L$182+5)&gt;$L$111,"","N6")</f>
      </c>
      <c r="L299" s="227">
        <f>IF(($L$182+5)&gt;$L$111,"",$L$42)</f>
      </c>
      <c r="M299" s="229">
        <f>IF(($L$182+5)&gt;$L$111,"",IF(INDEX($L$273:$L$286,($L$182+5))="Dispensável",0,2))</f>
      </c>
      <c r="N299" s="229">
        <f>IF(($L$182+5)&gt;$L$111,"",ROUND(INDEX($Q$273:$Q$286,($L$182+5))*100,0))</f>
      </c>
      <c r="O299" s="227">
        <f>IF(M299="","",M299*N299/100)</f>
      </c>
      <c r="P299" s="228">
        <f>IF(M299="","",$L$290*PI()*(L299/10)^2/4)</f>
      </c>
      <c r="Q299" s="227">
        <f>IF(M299="","",O299*P299)</f>
      </c>
      <c r="R299" s="237" t="inlineStr">
        <is>
          <t xml:space="preserve">Longitudinal</t>
        </is>
      </c>
    </row>
    <row r="300">
      <c r="K300" s="237">
        <f>IF(($L$182+6)&gt;$L$111,"","N7")</f>
      </c>
      <c r="L300" s="227">
        <f>IF(($L$182+6)&gt;$L$111,"",$L$42)</f>
      </c>
      <c r="M300" s="229">
        <f>IF(($L$182+6)&gt;$L$111,"",IF(INDEX($L$273:$L$286,($L$182+6))="Dispensável",0,2))</f>
      </c>
      <c r="N300" s="229">
        <f>IF(($L$182+6)&gt;$L$111,"",ROUND(INDEX($Q$273:$Q$286,($L$182+6))*100,0))</f>
      </c>
      <c r="O300" s="227">
        <f>IF(M300="","",M300*N300/100)</f>
      </c>
      <c r="P300" s="228">
        <f>IF(M300="","",$L$290*PI()*(L300/10)^2/4)</f>
      </c>
      <c r="Q300" s="227">
        <f>IF(M300="","",O300*P300)</f>
      </c>
      <c r="R300" s="237" t="inlineStr">
        <is>
          <t xml:space="preserve">Longitudinal</t>
        </is>
      </c>
    </row>
    <row r="301">
      <c r="K301" s="237">
        <f>IF(($L$182+7)&gt;$L$111,"","N8")</f>
      </c>
      <c r="L301" s="227">
        <f>IF(($L$182+7)&gt;$L$111,"",$L$42)</f>
      </c>
      <c r="M301" s="229">
        <f>IF(($L$182+7)&gt;$L$111,"",IF(INDEX($L$273:$L$286,($L$182+7))="Dispensável",0,2))</f>
      </c>
      <c r="N301" s="229">
        <f>IF(($L$182+7)&gt;$L$111,"",ROUND(INDEX($Q$273:$Q$286,($L$182+7))*100,0))</f>
      </c>
      <c r="O301" s="227">
        <f>IF(M301="","",M301*N301/100)</f>
      </c>
      <c r="P301" s="228">
        <f>IF(M301="","",$L$290*PI()*(L301/10)^2/4)</f>
      </c>
      <c r="Q301" s="227">
        <f>IF(M301="","",O301*P301)</f>
      </c>
      <c r="R301" s="237" t="inlineStr">
        <is>
          <t xml:space="preserve">Longitudinal</t>
        </is>
      </c>
    </row>
    <row r="302">
      <c r="K302" s="237">
        <f>IF(($L$182+8)&gt;$L$111,"","N9")</f>
      </c>
      <c r="L302" s="227">
        <f>IF(($L$182+8)&gt;$L$111,"",$L$42)</f>
      </c>
      <c r="M302" s="229">
        <f>IF(($L$182+8)&gt;$L$111,"",IF(INDEX($L$273:$L$286,($L$182+8))="Dispensável",0,2))</f>
      </c>
      <c r="N302" s="229">
        <f>IF(($L$182+8)&gt;$L$111,"",ROUND(INDEX($Q$273:$Q$286,($L$182+8))*100,0))</f>
      </c>
      <c r="O302" s="227">
        <f>IF(M302="","",M302*N302/100)</f>
      </c>
      <c r="P302" s="228">
        <f>IF(M302="","",$L$290*PI()*(L302/10)^2/4)</f>
      </c>
      <c r="Q302" s="227">
        <f>IF(M302="","",O302*P302)</f>
      </c>
      <c r="R302" s="237" t="inlineStr">
        <is>
          <t xml:space="preserve">Longitudinal</t>
        </is>
      </c>
    </row>
    <row r="303">
      <c r="K303" s="237">
        <f>IF(($L$182+9)&gt;$L$111,"","N10")</f>
      </c>
      <c r="L303" s="227">
        <f>IF(($L$182+9)&gt;$L$111,"",$L$42)</f>
      </c>
      <c r="M303" s="229">
        <f>IF(($L$182+9)&gt;$L$111,"",IF(INDEX($L$273:$L$286,($L$182+9))="Dispensável",0,2))</f>
      </c>
      <c r="N303" s="229">
        <f>IF(($L$182+9)&gt;$L$111,"",ROUND(INDEX($Q$273:$Q$286,($L$182+9))*100,0))</f>
      </c>
      <c r="O303" s="227">
        <f>IF(M303="","",M303*N303/100)</f>
      </c>
      <c r="P303" s="228">
        <f>IF(M303="","",$L$290*PI()*(L303/10)^2/4)</f>
      </c>
      <c r="Q303" s="227">
        <f>IF(M303="","",O303*P303)</f>
      </c>
      <c r="R303" s="237" t="inlineStr">
        <is>
          <t xml:space="preserve">Longitudinal</t>
        </is>
      </c>
    </row>
    <row r="304">
      <c r="K304" s="237">
        <f>IF(($L$182+10)&gt;$L$111,"","N11")</f>
      </c>
      <c r="L304" s="227">
        <f>IF(($L$182+10)&gt;$L$111,"",$L$42)</f>
      </c>
      <c r="M304" s="229">
        <f>IF(($L$182+10)&gt;$L$111,"",IF(INDEX($L$273:$L$286,($L$182+10))="Dispensável",0,2))</f>
      </c>
      <c r="N304" s="229">
        <f>IF(($L$182+10)&gt;$L$111,"",ROUND(INDEX($Q$273:$Q$286,($L$182+10))*100,0))</f>
      </c>
      <c r="O304" s="227">
        <f>IF(M304="","",M304*N304/100)</f>
      </c>
      <c r="P304" s="228">
        <f>IF(M304="","",$L$290*PI()*(L304/10)^2/4)</f>
      </c>
      <c r="Q304" s="227">
        <f>IF(M304="","",O304*P304)</f>
      </c>
      <c r="R304" s="237" t="inlineStr">
        <is>
          <t xml:space="preserve">Longitudinal</t>
        </is>
      </c>
    </row>
    <row r="305">
      <c r="K305" s="237">
        <f>IF(($L$182+11)&gt;$L$111,"","N12")</f>
      </c>
      <c r="L305" s="227">
        <f>IF(($L$182+11)&gt;$L$111,"",$L$42)</f>
      </c>
      <c r="M305" s="229">
        <f>IF(($L$182+11)&gt;$L$111,"",IF(INDEX($L$273:$L$286,($L$182+11))="Dispensável",0,2))</f>
      </c>
      <c r="N305" s="229">
        <f>IF(($L$182+11)&gt;$L$111,"",ROUND(INDEX($Q$273:$Q$286,($L$182+11))*100,0))</f>
      </c>
      <c r="O305" s="227">
        <f>IF(M305="","",M305*N305/100)</f>
      </c>
      <c r="P305" s="228">
        <f>IF(M305="","",$L$290*PI()*(L305/10)^2/4)</f>
      </c>
      <c r="Q305" s="227">
        <f>IF(M305="","",O305*P305)</f>
      </c>
      <c r="R305" s="237" t="inlineStr">
        <is>
          <t xml:space="preserve">Longitudinal</t>
        </is>
      </c>
    </row>
    <row r="306">
      <c r="K306" s="237">
        <f>IF(($L$182+12)&gt;$L$111,"","N13")</f>
      </c>
      <c r="L306" s="227">
        <f>IF(($L$182+12)&gt;$L$111,"",$L$42)</f>
      </c>
      <c r="M306" s="229">
        <f>IF(($L$182+12)&gt;$L$111,"",IF(INDEX($L$273:$L$286,($L$182+12))="Dispensável",0,2))</f>
      </c>
      <c r="N306" s="229">
        <f>IF(($L$182+12)&gt;$L$111,"",ROUND(INDEX($Q$273:$Q$286,($L$182+12))*100,0))</f>
      </c>
      <c r="O306" s="227">
        <f>IF(M306="","",M306*N306/100)</f>
      </c>
      <c r="P306" s="228">
        <f>IF(M306="","",$L$290*PI()*(L306/10)^2/4)</f>
      </c>
      <c r="Q306" s="227">
        <f>IF(M306="","",O306*P306)</f>
      </c>
      <c r="R306" s="237" t="inlineStr">
        <is>
          <t xml:space="preserve">Longitudinal</t>
        </is>
      </c>
    </row>
    <row r="307">
      <c r="K307" s="237" t="inlineStr">
        <is>
          <t xml:space="preserve">E1</t>
        </is>
      </c>
      <c r="L307" s="227">
        <f>$L$41</f>
      </c>
      <c r="M307" s="229">
        <f>$L$154+IF($L$175&gt;$L$142,ROUNDUP(($L$175-$L$142)*100/$L$136,0),0)</f>
      </c>
      <c r="N307" s="229">
        <f>$L$291</f>
      </c>
      <c r="O307" s="227">
        <f>IF(M307="","",M307*N307/100)</f>
      </c>
      <c r="P307" s="228">
        <f>IF(M307="","",$L$290*PI()*(L307/10)^2/4)</f>
      </c>
      <c r="Q307" s="227">
        <f>IF(M307="","",O307*P307)</f>
      </c>
      <c r="R307" s="237" t="inlineStr">
        <is>
          <t xml:space="preserve">Estribo</t>
        </is>
      </c>
    </row>
    <row r="308">
      <c r="K308" s="222" t="inlineStr">
        <is>
          <t xml:space="preserve">8.2 Resumo por bitola</t>
        </is>
      </c>
    </row>
    <row r="309">
      <c r="K309" s="235" t="inlineStr">
        <is>
          <t xml:space="preserve">Ø (mm)</t>
        </is>
      </c>
      <c r="L309" s="235" t="inlineStr">
        <is>
          <t xml:space="preserve">Compr. (m)</t>
        </is>
      </c>
      <c r="M309" s="235" t="inlineStr">
        <is>
          <t xml:space="preserve">Peso (kg)</t>
        </is>
      </c>
    </row>
    <row r="310">
      <c r="K310" s="237">
        <v>5</v>
      </c>
      <c r="L310" s="227">
        <f>SUMIF($L$294:$L$307,K310,$O$294:$O$307)</f>
      </c>
      <c r="M310" s="227">
        <f>SUMIF($L$294:$L$307,K310,$Q$294:$Q$307)</f>
      </c>
    </row>
    <row r="311">
      <c r="K311" s="237">
        <v>6.3</v>
      </c>
      <c r="L311" s="227">
        <f>SUMIF($L$294:$L$307,K311,$O$294:$O$307)</f>
      </c>
      <c r="M311" s="227">
        <f>SUMIF($L$294:$L$307,K311,$Q$294:$Q$307)</f>
      </c>
    </row>
    <row r="312">
      <c r="K312" s="237">
        <v>8</v>
      </c>
      <c r="L312" s="227">
        <f>SUMIF($L$294:$L$307,K312,$O$294:$O$307)</f>
      </c>
      <c r="M312" s="227">
        <f>SUMIF($L$294:$L$307,K312,$Q$294:$Q$307)</f>
      </c>
    </row>
    <row r="313">
      <c r="K313" s="237">
        <v>10</v>
      </c>
      <c r="L313" s="227">
        <f>SUMIF($L$294:$L$307,K313,$O$294:$O$307)</f>
      </c>
      <c r="M313" s="227">
        <f>SUMIF($L$294:$L$307,K313,$Q$294:$Q$307)</f>
      </c>
    </row>
    <row r="314">
      <c r="K314" s="237">
        <v>12.5</v>
      </c>
      <c r="L314" s="227">
        <f>SUMIF($L$294:$L$307,K314,$O$294:$O$307)</f>
      </c>
      <c r="M314" s="227">
        <f>SUMIF($L$294:$L$307,K314,$Q$294:$Q$307)</f>
      </c>
    </row>
    <row r="315">
      <c r="K315" s="237">
        <v>16</v>
      </c>
      <c r="L315" s="227">
        <f>SUMIF($L$294:$L$307,K315,$O$294:$O$307)</f>
      </c>
      <c r="M315" s="227">
        <f>SUMIF($L$294:$L$307,K315,$Q$294:$Q$307)</f>
      </c>
    </row>
    <row r="316">
      <c r="K316" s="237">
        <v>20</v>
      </c>
      <c r="L316" s="227">
        <f>SUMIF($L$294:$L$307,K316,$O$294:$O$307)</f>
      </c>
      <c r="M316" s="227">
        <f>SUMIF($L$294:$L$307,K316,$Q$294:$Q$307)</f>
      </c>
    </row>
    <row r="317">
      <c r="K317" s="237">
        <v>25</v>
      </c>
      <c r="L317" s="227">
        <f>SUMIF($L$294:$L$307,K317,$O$294:$O$307)</f>
      </c>
      <c r="M317" s="227">
        <f>SUMIF($L$294:$L$307,K317,$Q$294:$Q$307)</f>
      </c>
    </row>
    <row r="318">
      <c r="K318" s="237">
        <v>32</v>
      </c>
      <c r="L318" s="227">
        <f>SUMIF($L$294:$L$307,K318,$O$294:$O$307)</f>
      </c>
      <c r="M318" s="227">
        <f>SUMIF($L$294:$L$307,K318,$Q$294:$Q$307)</f>
      </c>
    </row>
    <row r="319">
      <c r="K319" s="222" t="inlineStr">
        <is>
          <t xml:space="preserve">8.3 Taxa de aço</t>
        </is>
      </c>
    </row>
    <row r="320">
      <c r="K320" s="223" t="inlineStr">
        <is>
          <t xml:space="preserve">Volume</t>
        </is>
      </c>
      <c r="L320" s="228">
        <f>$L$39*$L$38/10000*$L$175</f>
      </c>
      <c r="M320" s="231" t="inlineStr">
        <is>
          <t xml:space="preserve">m³</t>
        </is>
      </c>
      <c r="O320" s="233" t="inlineStr">
        <is>
          <t xml:space="preserve">Volume de concreto do pilar.</t>
        </is>
      </c>
    </row>
    <row r="321">
      <c r="K321" s="223" t="inlineStr">
        <is>
          <t xml:space="preserve">Longit.</t>
        </is>
      </c>
      <c r="L321" s="227">
        <f>SUMIF($R$294:$R$307,"Longitudinal",$Q$294:$Q$307)</f>
      </c>
      <c r="M321" s="231" t="inlineStr">
        <is>
          <t xml:space="preserve">kg</t>
        </is>
      </c>
      <c r="O321" s="233" t="inlineStr">
        <is>
          <t xml:space="preserve">Peso das barras longitudinais (N1 + adicionais).</t>
        </is>
      </c>
    </row>
    <row r="322">
      <c r="K322" s="223" t="inlineStr">
        <is>
          <t xml:space="preserve">Estribos</t>
        </is>
      </c>
      <c r="L322" s="227">
        <f>Q307</f>
      </c>
      <c r="M322" s="231" t="inlineStr">
        <is>
          <t xml:space="preserve">kg</t>
        </is>
      </c>
      <c r="O322" s="233" t="inlineStr">
        <is>
          <t xml:space="preserve">Peso dos estribos escalonados.</t>
        </is>
      </c>
    </row>
    <row r="323">
      <c r="K323" s="223" t="inlineStr">
        <is>
          <t xml:space="preserve">Longit.</t>
        </is>
      </c>
      <c r="L323" s="227">
        <f>$L$321/$L$320</f>
      </c>
      <c r="M323" s="231" t="inlineStr">
        <is>
          <t xml:space="preserve">kg/m³</t>
        </is>
      </c>
      <c r="O323" s="233" t="inlineStr">
        <is>
          <t xml:space="preserve">Taxa das barras longitudinais escalonadas.</t>
        </is>
      </c>
    </row>
    <row r="324">
      <c r="K324" s="223" t="inlineStr">
        <is>
          <t xml:space="preserve">Estribos</t>
        </is>
      </c>
      <c r="L324" s="227">
        <f>$L$322/$L$320</f>
      </c>
      <c r="M324" s="231" t="inlineStr">
        <is>
          <t xml:space="preserve">kg/m³</t>
        </is>
      </c>
      <c r="O324" s="233" t="inlineStr">
        <is>
          <t xml:space="preserve">Taxa dos estribos escalonados.</t>
        </is>
      </c>
    </row>
    <row r="325">
      <c r="K325" s="223" t="inlineStr">
        <is>
          <t xml:space="preserve">Total</t>
        </is>
      </c>
      <c r="L325" s="227">
        <f>$L$323+$L$324</f>
      </c>
      <c r="M325" s="231" t="inlineStr">
        <is>
          <t xml:space="preserve">kg/m³</t>
        </is>
      </c>
      <c r="O325" s="233" t="inlineStr">
        <is>
          <t xml:space="preserve">Taxa total de aço do pilar (detalhamento).</t>
        </is>
      </c>
    </row>
    <row r="326">
      <c r="K326" s="223" t="inlineStr">
        <is>
          <t xml:space="preserve">Sem escal.</t>
        </is>
      </c>
      <c r="L326" s="227">
        <f>(2*$L$111*$L$178/100*$L$110*$L$290+100/$L$137*$L$175*$L$291/100*PI()*($L$41/10)^2/4*$L$290*$L$43/2)/$L$320</f>
      </c>
      <c r="M326" s="231" t="inlineStr">
        <is>
          <t xml:space="preserve">kg/m³</t>
        </is>
      </c>
      <c r="O326" s="233" t="inlineStr">
        <is>
          <t xml:space="preserve">Comparação: todas as barras corridas e estribos com s,unif.</t>
        </is>
      </c>
    </row>
    <row r="328">
      <c r="K328" s="221" t="inlineStr">
        <is>
          <t xml:space="preserve">9 . DESENHOS DO DETALHAMENTO (atualizam automaticamente)</t>
        </is>
      </c>
      <c r="L328" s="221"/>
      <c r="M328" s="221"/>
      <c r="N328" s="221"/>
      <c r="O328" s="221"/>
      <c r="P328" s="221"/>
      <c r="Q328" s="221"/>
      <c r="R328" s="221"/>
      <c r="S328" s="221"/>
      <c r="T328" s="221"/>
    </row>
    <row r="330" ht="45" customHeight="1">
      <c r="K330" s="220" t="inlineStr">
        <is>
          <t xml:space="preserve">À esquerda: elevação – |Md| (azul), |Md| decalado de aℓ (vermelho tracejado) e as barras de UMA face (cinza = corridas N1, verde = adicionais N2…), cada uma na abscissa do momento que resiste. À direita: seção transversal com o estribo e as barras (mesmo arranjo nas duas faces).</t>
        </is>
      </c>
      <c r="L330" s="220"/>
      <c r="M330" s="220"/>
      <c r="N330" s="220"/>
      <c r="O330" s="220"/>
      <c r="P330" s="220"/>
      <c r="Q330" s="220"/>
      <c r="R330" s="220"/>
      <c r="S330" s="220"/>
      <c r="T330" s="220"/>
    </row>
    <row r="363">
      <c r="K363" s="222" t="inlineStr">
        <is>
          <t xml:space="preserve">9.1 Coordenadas dos desenhos (não editar)</t>
        </is>
      </c>
    </row>
    <row r="364">
      <c r="K364" s="235" t="inlineStr">
        <is>
          <t xml:space="preserve">Série</t>
        </is>
      </c>
      <c r="L364" s="235" t="inlineStr">
        <is>
          <t xml:space="preserve">x</t>
        </is>
      </c>
      <c r="M364" s="235" t="inlineStr">
        <is>
          <t xml:space="preserve">y</t>
        </is>
      </c>
    </row>
    <row r="365">
      <c r="K365" s="237" t="inlineStr">
        <is>
          <t xml:space="preserve">|Md|</t>
        </is>
      </c>
      <c r="L365" s="227">
        <f>O190</f>
      </c>
      <c r="M365" s="227">
        <f>L190</f>
      </c>
    </row>
    <row r="366">
      <c r="K366" s="237"/>
      <c r="L366" s="227">
        <f>O191</f>
      </c>
      <c r="M366" s="227">
        <f>L191</f>
      </c>
    </row>
    <row r="367">
      <c r="K367" s="237"/>
      <c r="L367" s="227">
        <f>O192</f>
      </c>
      <c r="M367" s="227">
        <f>L192</f>
      </c>
    </row>
    <row r="368">
      <c r="K368" s="237"/>
      <c r="L368" s="227">
        <f>O193</f>
      </c>
      <c r="M368" s="227">
        <f>L193</f>
      </c>
    </row>
    <row r="369">
      <c r="K369" s="237"/>
      <c r="L369" s="227">
        <f>O194</f>
      </c>
      <c r="M369" s="227">
        <f>L194</f>
      </c>
    </row>
    <row r="370">
      <c r="K370" s="237"/>
      <c r="L370" s="227">
        <f>O195</f>
      </c>
      <c r="M370" s="227">
        <f>L195</f>
      </c>
    </row>
    <row r="371">
      <c r="K371" s="237"/>
      <c r="L371" s="227">
        <f>O196</f>
      </c>
      <c r="M371" s="227">
        <f>L196</f>
      </c>
    </row>
    <row r="372">
      <c r="K372" s="237"/>
      <c r="L372" s="227">
        <f>O197</f>
      </c>
      <c r="M372" s="227">
        <f>L197</f>
      </c>
    </row>
    <row r="373">
      <c r="K373" s="237"/>
      <c r="L373" s="227">
        <f>O198</f>
      </c>
      <c r="M373" s="227">
        <f>L198</f>
      </c>
    </row>
    <row r="374">
      <c r="K374" s="237"/>
      <c r="L374" s="227">
        <f>O199</f>
      </c>
      <c r="M374" s="227">
        <f>L199</f>
      </c>
    </row>
    <row r="375">
      <c r="K375" s="237"/>
      <c r="L375" s="227">
        <f>O200</f>
      </c>
      <c r="M375" s="227">
        <f>L200</f>
      </c>
    </row>
    <row r="376">
      <c r="K376" s="237"/>
      <c r="L376" s="227">
        <f>O201</f>
      </c>
      <c r="M376" s="227">
        <f>L201</f>
      </c>
    </row>
    <row r="377">
      <c r="K377" s="237"/>
      <c r="L377" s="227">
        <f>O202</f>
      </c>
      <c r="M377" s="227">
        <f>L202</f>
      </c>
    </row>
    <row r="378">
      <c r="K378" s="237"/>
      <c r="L378" s="227">
        <f>O203</f>
      </c>
      <c r="M378" s="227">
        <f>L203</f>
      </c>
    </row>
    <row r="379">
      <c r="K379" s="237"/>
      <c r="L379" s="227">
        <f>O204</f>
      </c>
      <c r="M379" s="227">
        <f>L204</f>
      </c>
    </row>
    <row r="380">
      <c r="K380" s="237"/>
      <c r="L380" s="227">
        <f>O205</f>
      </c>
      <c r="M380" s="227">
        <f>L205</f>
      </c>
    </row>
    <row r="381">
      <c r="K381" s="237"/>
      <c r="L381" s="227">
        <f>O206</f>
      </c>
      <c r="M381" s="227">
        <f>L206</f>
      </c>
    </row>
    <row r="382">
      <c r="K382" s="237"/>
      <c r="L382" s="227">
        <f>O207</f>
      </c>
      <c r="M382" s="227">
        <f>L207</f>
      </c>
    </row>
    <row r="383">
      <c r="K383" s="237"/>
      <c r="L383" s="227">
        <f>O208</f>
      </c>
      <c r="M383" s="227">
        <f>L208</f>
      </c>
    </row>
    <row r="384">
      <c r="K384" s="237"/>
      <c r="L384" s="227">
        <f>O209</f>
      </c>
      <c r="M384" s="227">
        <f>L209</f>
      </c>
    </row>
    <row r="385">
      <c r="K385" s="237"/>
      <c r="L385" s="227">
        <f>O210</f>
      </c>
      <c r="M385" s="227">
        <f>L210</f>
      </c>
    </row>
    <row r="386">
      <c r="K386" s="237"/>
      <c r="L386" s="227">
        <f>O211</f>
      </c>
      <c r="M386" s="227">
        <f>L211</f>
      </c>
    </row>
    <row r="387">
      <c r="K387" s="237"/>
      <c r="L387" s="227">
        <f>O212</f>
      </c>
      <c r="M387" s="227">
        <f>L212</f>
      </c>
    </row>
    <row r="388">
      <c r="K388" s="237"/>
      <c r="L388" s="227">
        <f>O213</f>
      </c>
      <c r="M388" s="227">
        <f>L213</f>
      </c>
    </row>
    <row r="389">
      <c r="K389" s="237"/>
      <c r="L389" s="227">
        <f>O214</f>
      </c>
      <c r="M389" s="227">
        <f>L214</f>
      </c>
    </row>
    <row r="390">
      <c r="K390" s="237"/>
      <c r="L390" s="227">
        <f>O215</f>
      </c>
      <c r="M390" s="227">
        <f>L215</f>
      </c>
    </row>
    <row r="391">
      <c r="K391" s="237"/>
      <c r="L391" s="227">
        <f>O216</f>
      </c>
      <c r="M391" s="227">
        <f>L216</f>
      </c>
    </row>
    <row r="392">
      <c r="K392" s="237"/>
      <c r="L392" s="227">
        <f>O217</f>
      </c>
      <c r="M392" s="227">
        <f>L217</f>
      </c>
    </row>
    <row r="393">
      <c r="K393" s="237"/>
      <c r="L393" s="227">
        <f>O218</f>
      </c>
      <c r="M393" s="227">
        <f>L218</f>
      </c>
    </row>
    <row r="394">
      <c r="K394" s="237"/>
      <c r="L394" s="227">
        <f>O219</f>
      </c>
      <c r="M394" s="227">
        <f>L219</f>
      </c>
    </row>
    <row r="395">
      <c r="K395" s="237"/>
      <c r="L395" s="227">
        <f>O220</f>
      </c>
      <c r="M395" s="227">
        <f>L220</f>
      </c>
    </row>
    <row r="396">
      <c r="K396" s="237"/>
      <c r="L396" s="227">
        <f>O221</f>
      </c>
      <c r="M396" s="227">
        <f>L221</f>
      </c>
    </row>
    <row r="397">
      <c r="K397" s="237"/>
      <c r="L397" s="227">
        <f>O222</f>
      </c>
      <c r="M397" s="227">
        <f>L222</f>
      </c>
    </row>
    <row r="398">
      <c r="K398" s="237"/>
      <c r="L398" s="227">
        <f>O223</f>
      </c>
      <c r="M398" s="227">
        <f>L223</f>
      </c>
    </row>
    <row r="399">
      <c r="K399" s="237"/>
      <c r="L399" s="227">
        <f>O224</f>
      </c>
      <c r="M399" s="227">
        <f>L224</f>
      </c>
    </row>
    <row r="400">
      <c r="K400" s="237"/>
      <c r="L400" s="227">
        <f>O225</f>
      </c>
      <c r="M400" s="227">
        <f>L225</f>
      </c>
    </row>
    <row r="401">
      <c r="K401" s="237"/>
      <c r="L401" s="227">
        <f>O226</f>
      </c>
      <c r="M401" s="227">
        <f>L226</f>
      </c>
    </row>
    <row r="402">
      <c r="K402" s="237"/>
      <c r="L402" s="227">
        <f>O227</f>
      </c>
      <c r="M402" s="227">
        <f>L227</f>
      </c>
    </row>
    <row r="403">
      <c r="K403" s="237"/>
      <c r="L403" s="227">
        <f>O228</f>
      </c>
      <c r="M403" s="227">
        <f>L228</f>
      </c>
    </row>
    <row r="404">
      <c r="K404" s="237"/>
      <c r="L404" s="227">
        <f>O229</f>
      </c>
      <c r="M404" s="227">
        <f>L229</f>
      </c>
    </row>
    <row r="405">
      <c r="K405" s="237"/>
      <c r="L405" s="227">
        <f>O230</f>
      </c>
      <c r="M405" s="227">
        <f>L230</f>
      </c>
    </row>
    <row r="406">
      <c r="K406" s="237"/>
      <c r="L406" s="227">
        <f>O231</f>
      </c>
      <c r="M406" s="227">
        <f>L231</f>
      </c>
    </row>
    <row r="407">
      <c r="K407" s="237"/>
      <c r="L407" s="227">
        <f>O232</f>
      </c>
      <c r="M407" s="227">
        <f>L232</f>
      </c>
    </row>
    <row r="408">
      <c r="K408" s="237"/>
      <c r="L408" s="227">
        <f>O233</f>
      </c>
      <c r="M408" s="227">
        <f>L233</f>
      </c>
    </row>
    <row r="409">
      <c r="K409" s="237"/>
      <c r="L409" s="227">
        <f>O234</f>
      </c>
      <c r="M409" s="227">
        <f>L234</f>
      </c>
    </row>
    <row r="410">
      <c r="K410" s="237"/>
      <c r="L410" s="227">
        <f>O235</f>
      </c>
      <c r="M410" s="227">
        <f>L235</f>
      </c>
    </row>
    <row r="411">
      <c r="K411" s="237"/>
      <c r="L411" s="227">
        <f>O236</f>
      </c>
      <c r="M411" s="227">
        <f>L236</f>
      </c>
    </row>
    <row r="412">
      <c r="K412" s="237"/>
      <c r="L412" s="227">
        <f>O237</f>
      </c>
      <c r="M412" s="227">
        <f>L237</f>
      </c>
    </row>
    <row r="413">
      <c r="K413" s="237"/>
      <c r="L413" s="227">
        <f>O238</f>
      </c>
      <c r="M413" s="227">
        <f>L238</f>
      </c>
    </row>
    <row r="414">
      <c r="K414" s="237"/>
      <c r="L414" s="227">
        <f>O239</f>
      </c>
      <c r="M414" s="227">
        <f>L239</f>
      </c>
    </row>
    <row r="415">
      <c r="K415" s="237"/>
      <c r="L415" s="227">
        <f>O240</f>
      </c>
      <c r="M415" s="227">
        <f>L240</f>
      </c>
    </row>
    <row r="416">
      <c r="K416" s="237"/>
      <c r="L416" s="227">
        <f>O241</f>
      </c>
      <c r="M416" s="227">
        <f>L241</f>
      </c>
    </row>
    <row r="417">
      <c r="K417" s="237"/>
      <c r="L417" s="227">
        <f>O242</f>
      </c>
      <c r="M417" s="227">
        <f>L242</f>
      </c>
    </row>
    <row r="418">
      <c r="K418" s="237"/>
      <c r="L418" s="227">
        <f>O243</f>
      </c>
      <c r="M418" s="227">
        <f>L243</f>
      </c>
    </row>
    <row r="419">
      <c r="K419" s="237"/>
      <c r="L419" s="227">
        <f>O244</f>
      </c>
      <c r="M419" s="227">
        <f>L244</f>
      </c>
    </row>
    <row r="420">
      <c r="K420" s="237"/>
      <c r="L420" s="227">
        <f>O245</f>
      </c>
      <c r="M420" s="227">
        <f>L245</f>
      </c>
    </row>
    <row r="421">
      <c r="K421" s="237"/>
      <c r="L421" s="227">
        <f>O246</f>
      </c>
      <c r="M421" s="227">
        <f>L246</f>
      </c>
    </row>
    <row r="422">
      <c r="K422" s="237"/>
      <c r="L422" s="227">
        <f>O247</f>
      </c>
      <c r="M422" s="227">
        <f>L247</f>
      </c>
    </row>
    <row r="423">
      <c r="K423" s="237"/>
      <c r="L423" s="227">
        <f>O248</f>
      </c>
      <c r="M423" s="227">
        <f>L248</f>
      </c>
    </row>
    <row r="424">
      <c r="K424" s="237"/>
      <c r="L424" s="227">
        <f>O249</f>
      </c>
      <c r="M424" s="227">
        <f>L249</f>
      </c>
    </row>
    <row r="425">
      <c r="K425" s="237"/>
      <c r="L425" s="227">
        <f>O250</f>
      </c>
      <c r="M425" s="227">
        <f>L250</f>
      </c>
    </row>
    <row r="426">
      <c r="K426" s="237"/>
      <c r="L426" s="227">
        <f>O251</f>
      </c>
      <c r="M426" s="227">
        <f>L251</f>
      </c>
    </row>
    <row r="427">
      <c r="K427" s="237"/>
      <c r="L427" s="227">
        <f>O252</f>
      </c>
      <c r="M427" s="227">
        <f>L252</f>
      </c>
    </row>
    <row r="428">
      <c r="K428" s="237"/>
      <c r="L428" s="227">
        <f>O253</f>
      </c>
      <c r="M428" s="227">
        <f>L253</f>
      </c>
    </row>
    <row r="429">
      <c r="K429" s="237"/>
      <c r="L429" s="227">
        <f>O254</f>
      </c>
      <c r="M429" s="227">
        <f>L254</f>
      </c>
    </row>
    <row r="430">
      <c r="K430" s="237"/>
      <c r="L430" s="227">
        <f>O255</f>
      </c>
      <c r="M430" s="227">
        <f>L255</f>
      </c>
    </row>
    <row r="431">
      <c r="K431" s="237"/>
      <c r="L431" s="227">
        <f>O256</f>
      </c>
      <c r="M431" s="227">
        <f>L256</f>
      </c>
    </row>
    <row r="432">
      <c r="K432" s="237"/>
      <c r="L432" s="227">
        <f>O257</f>
      </c>
      <c r="M432" s="227">
        <f>L257</f>
      </c>
    </row>
    <row r="433">
      <c r="K433" s="237"/>
      <c r="L433" s="227">
        <f>O258</f>
      </c>
      <c r="M433" s="227">
        <f>L258</f>
      </c>
    </row>
    <row r="434">
      <c r="K434" s="237"/>
      <c r="L434" s="227">
        <f>O259</f>
      </c>
      <c r="M434" s="227">
        <f>L259</f>
      </c>
    </row>
    <row r="435">
      <c r="K435" s="237"/>
      <c r="L435" s="227">
        <f>O260</f>
      </c>
      <c r="M435" s="227">
        <f>L260</f>
      </c>
    </row>
    <row r="436">
      <c r="K436" s="237"/>
      <c r="L436" s="227">
        <f>O261</f>
      </c>
      <c r="M436" s="227">
        <f>L261</f>
      </c>
    </row>
    <row r="437">
      <c r="K437" s="237"/>
      <c r="L437" s="227">
        <f>O262</f>
      </c>
      <c r="M437" s="227">
        <f>L262</f>
      </c>
    </row>
    <row r="438">
      <c r="K438" s="237"/>
      <c r="L438" s="227">
        <f>O263</f>
      </c>
      <c r="M438" s="227">
        <f>L263</f>
      </c>
    </row>
    <row r="439">
      <c r="K439" s="237"/>
      <c r="L439" s="227">
        <f>O264</f>
      </c>
      <c r="M439" s="227">
        <f>L264</f>
      </c>
    </row>
    <row r="440">
      <c r="K440" s="237"/>
      <c r="L440" s="227">
        <f>O265</f>
      </c>
      <c r="M440" s="227">
        <f>L265</f>
      </c>
    </row>
    <row r="441">
      <c r="K441" s="237"/>
      <c r="L441" s="227">
        <f>O266</f>
      </c>
      <c r="M441" s="227">
        <f>L266</f>
      </c>
    </row>
    <row r="442">
      <c r="K442" s="237"/>
      <c r="L442" s="227">
        <f>O267</f>
      </c>
      <c r="M442" s="227">
        <f>L267</f>
      </c>
    </row>
    <row r="443">
      <c r="K443" s="237"/>
      <c r="L443" s="227">
        <f>O268</f>
      </c>
      <c r="M443" s="227">
        <f>L268</f>
      </c>
    </row>
    <row r="444">
      <c r="K444" s="237"/>
      <c r="L444" s="227">
        <f>O269</f>
      </c>
      <c r="M444" s="227">
        <f>L269</f>
      </c>
    </row>
    <row r="445">
      <c r="K445" s="237"/>
      <c r="L445" s="227">
        <f>O270</f>
      </c>
      <c r="M445" s="227">
        <f>L270</f>
      </c>
    </row>
    <row r="446">
      <c r="K446" s="237" t="inlineStr">
        <is>
          <t xml:space="preserve">|Md| decalado</t>
        </is>
      </c>
      <c r="L446" s="227">
        <f>P190</f>
      </c>
      <c r="M446" s="227">
        <f>L190</f>
      </c>
    </row>
    <row r="447">
      <c r="K447" s="237"/>
      <c r="L447" s="227">
        <f>P191</f>
      </c>
      <c r="M447" s="227">
        <f>L191</f>
      </c>
    </row>
    <row r="448">
      <c r="K448" s="237"/>
      <c r="L448" s="227">
        <f>P192</f>
      </c>
      <c r="M448" s="227">
        <f>L192</f>
      </c>
    </row>
    <row r="449">
      <c r="K449" s="237"/>
      <c r="L449" s="227">
        <f>P193</f>
      </c>
      <c r="M449" s="227">
        <f>L193</f>
      </c>
    </row>
    <row r="450">
      <c r="K450" s="237"/>
      <c r="L450" s="227">
        <f>P194</f>
      </c>
      <c r="M450" s="227">
        <f>L194</f>
      </c>
    </row>
    <row r="451">
      <c r="K451" s="237"/>
      <c r="L451" s="227">
        <f>P195</f>
      </c>
      <c r="M451" s="227">
        <f>L195</f>
      </c>
    </row>
    <row r="452">
      <c r="K452" s="237"/>
      <c r="L452" s="227">
        <f>P196</f>
      </c>
      <c r="M452" s="227">
        <f>L196</f>
      </c>
    </row>
    <row r="453">
      <c r="K453" s="237"/>
      <c r="L453" s="227">
        <f>P197</f>
      </c>
      <c r="M453" s="227">
        <f>L197</f>
      </c>
    </row>
    <row r="454">
      <c r="K454" s="237"/>
      <c r="L454" s="227">
        <f>P198</f>
      </c>
      <c r="M454" s="227">
        <f>L198</f>
      </c>
    </row>
    <row r="455">
      <c r="K455" s="237"/>
      <c r="L455" s="227">
        <f>P199</f>
      </c>
      <c r="M455" s="227">
        <f>L199</f>
      </c>
    </row>
    <row r="456">
      <c r="K456" s="237"/>
      <c r="L456" s="227">
        <f>P200</f>
      </c>
      <c r="M456" s="227">
        <f>L200</f>
      </c>
    </row>
    <row r="457">
      <c r="K457" s="237"/>
      <c r="L457" s="227">
        <f>P201</f>
      </c>
      <c r="M457" s="227">
        <f>L201</f>
      </c>
    </row>
    <row r="458">
      <c r="K458" s="237"/>
      <c r="L458" s="227">
        <f>P202</f>
      </c>
      <c r="M458" s="227">
        <f>L202</f>
      </c>
    </row>
    <row r="459">
      <c r="K459" s="237"/>
      <c r="L459" s="227">
        <f>P203</f>
      </c>
      <c r="M459" s="227">
        <f>L203</f>
      </c>
    </row>
    <row r="460">
      <c r="K460" s="237"/>
      <c r="L460" s="227">
        <f>P204</f>
      </c>
      <c r="M460" s="227">
        <f>L204</f>
      </c>
    </row>
    <row r="461">
      <c r="K461" s="237"/>
      <c r="L461" s="227">
        <f>P205</f>
      </c>
      <c r="M461" s="227">
        <f>L205</f>
      </c>
    </row>
    <row r="462">
      <c r="K462" s="237"/>
      <c r="L462" s="227">
        <f>P206</f>
      </c>
      <c r="M462" s="227">
        <f>L206</f>
      </c>
    </row>
    <row r="463">
      <c r="K463" s="237"/>
      <c r="L463" s="227">
        <f>P207</f>
      </c>
      <c r="M463" s="227">
        <f>L207</f>
      </c>
    </row>
    <row r="464">
      <c r="K464" s="237"/>
      <c r="L464" s="227">
        <f>P208</f>
      </c>
      <c r="M464" s="227">
        <f>L208</f>
      </c>
    </row>
    <row r="465">
      <c r="K465" s="237"/>
      <c r="L465" s="227">
        <f>P209</f>
      </c>
      <c r="M465" s="227">
        <f>L209</f>
      </c>
    </row>
    <row r="466">
      <c r="K466" s="237"/>
      <c r="L466" s="227">
        <f>P210</f>
      </c>
      <c r="M466" s="227">
        <f>L210</f>
      </c>
    </row>
    <row r="467">
      <c r="K467" s="237"/>
      <c r="L467" s="227">
        <f>P211</f>
      </c>
      <c r="M467" s="227">
        <f>L211</f>
      </c>
    </row>
    <row r="468">
      <c r="K468" s="237"/>
      <c r="L468" s="227">
        <f>P212</f>
      </c>
      <c r="M468" s="227">
        <f>L212</f>
      </c>
    </row>
    <row r="469">
      <c r="K469" s="237"/>
      <c r="L469" s="227">
        <f>P213</f>
      </c>
      <c r="M469" s="227">
        <f>L213</f>
      </c>
    </row>
    <row r="470">
      <c r="K470" s="237"/>
      <c r="L470" s="227">
        <f>P214</f>
      </c>
      <c r="M470" s="227">
        <f>L214</f>
      </c>
    </row>
    <row r="471">
      <c r="K471" s="237"/>
      <c r="L471" s="227">
        <f>P215</f>
      </c>
      <c r="M471" s="227">
        <f>L215</f>
      </c>
    </row>
    <row r="472">
      <c r="K472" s="237"/>
      <c r="L472" s="227">
        <f>P216</f>
      </c>
      <c r="M472" s="227">
        <f>L216</f>
      </c>
    </row>
    <row r="473">
      <c r="K473" s="237"/>
      <c r="L473" s="227">
        <f>P217</f>
      </c>
      <c r="M473" s="227">
        <f>L217</f>
      </c>
    </row>
    <row r="474">
      <c r="K474" s="237"/>
      <c r="L474" s="227">
        <f>P218</f>
      </c>
      <c r="M474" s="227">
        <f>L218</f>
      </c>
    </row>
    <row r="475">
      <c r="K475" s="237"/>
      <c r="L475" s="227">
        <f>P219</f>
      </c>
      <c r="M475" s="227">
        <f>L219</f>
      </c>
    </row>
    <row r="476">
      <c r="K476" s="237"/>
      <c r="L476" s="227">
        <f>P220</f>
      </c>
      <c r="M476" s="227">
        <f>L220</f>
      </c>
    </row>
    <row r="477">
      <c r="K477" s="237"/>
      <c r="L477" s="227">
        <f>P221</f>
      </c>
      <c r="M477" s="227">
        <f>L221</f>
      </c>
    </row>
    <row r="478">
      <c r="K478" s="237"/>
      <c r="L478" s="227">
        <f>P222</f>
      </c>
      <c r="M478" s="227">
        <f>L222</f>
      </c>
    </row>
    <row r="479">
      <c r="K479" s="237"/>
      <c r="L479" s="227">
        <f>P223</f>
      </c>
      <c r="M479" s="227">
        <f>L223</f>
      </c>
    </row>
    <row r="480">
      <c r="K480" s="237"/>
      <c r="L480" s="227">
        <f>P224</f>
      </c>
      <c r="M480" s="227">
        <f>L224</f>
      </c>
    </row>
    <row r="481">
      <c r="K481" s="237"/>
      <c r="L481" s="227">
        <f>P225</f>
      </c>
      <c r="M481" s="227">
        <f>L225</f>
      </c>
    </row>
    <row r="482">
      <c r="K482" s="237"/>
      <c r="L482" s="227">
        <f>P226</f>
      </c>
      <c r="M482" s="227">
        <f>L226</f>
      </c>
    </row>
    <row r="483">
      <c r="K483" s="237"/>
      <c r="L483" s="227">
        <f>P227</f>
      </c>
      <c r="M483" s="227">
        <f>L227</f>
      </c>
    </row>
    <row r="484">
      <c r="K484" s="237"/>
      <c r="L484" s="227">
        <f>P228</f>
      </c>
      <c r="M484" s="227">
        <f>L228</f>
      </c>
    </row>
    <row r="485">
      <c r="K485" s="237"/>
      <c r="L485" s="227">
        <f>P229</f>
      </c>
      <c r="M485" s="227">
        <f>L229</f>
      </c>
    </row>
    <row r="486">
      <c r="K486" s="237"/>
      <c r="L486" s="227">
        <f>P230</f>
      </c>
      <c r="M486" s="227">
        <f>L230</f>
      </c>
    </row>
    <row r="487">
      <c r="K487" s="237"/>
      <c r="L487" s="227">
        <f>P231</f>
      </c>
      <c r="M487" s="227">
        <f>L231</f>
      </c>
    </row>
    <row r="488">
      <c r="K488" s="237"/>
      <c r="L488" s="227">
        <f>P232</f>
      </c>
      <c r="M488" s="227">
        <f>L232</f>
      </c>
    </row>
    <row r="489">
      <c r="K489" s="237"/>
      <c r="L489" s="227">
        <f>P233</f>
      </c>
      <c r="M489" s="227">
        <f>L233</f>
      </c>
    </row>
    <row r="490">
      <c r="K490" s="237"/>
      <c r="L490" s="227">
        <f>P234</f>
      </c>
      <c r="M490" s="227">
        <f>L234</f>
      </c>
    </row>
    <row r="491">
      <c r="K491" s="237"/>
      <c r="L491" s="227">
        <f>P235</f>
      </c>
      <c r="M491" s="227">
        <f>L235</f>
      </c>
    </row>
    <row r="492">
      <c r="K492" s="237"/>
      <c r="L492" s="227">
        <f>P236</f>
      </c>
      <c r="M492" s="227">
        <f>L236</f>
      </c>
    </row>
    <row r="493">
      <c r="K493" s="237"/>
      <c r="L493" s="227">
        <f>P237</f>
      </c>
      <c r="M493" s="227">
        <f>L237</f>
      </c>
    </row>
    <row r="494">
      <c r="K494" s="237"/>
      <c r="L494" s="227">
        <f>P238</f>
      </c>
      <c r="M494" s="227">
        <f>L238</f>
      </c>
    </row>
    <row r="495">
      <c r="K495" s="237"/>
      <c r="L495" s="227">
        <f>P239</f>
      </c>
      <c r="M495" s="227">
        <f>L239</f>
      </c>
    </row>
    <row r="496">
      <c r="K496" s="237"/>
      <c r="L496" s="227">
        <f>P240</f>
      </c>
      <c r="M496" s="227">
        <f>L240</f>
      </c>
    </row>
    <row r="497">
      <c r="K497" s="237"/>
      <c r="L497" s="227">
        <f>P241</f>
      </c>
      <c r="M497" s="227">
        <f>L241</f>
      </c>
    </row>
    <row r="498">
      <c r="K498" s="237"/>
      <c r="L498" s="227">
        <f>P242</f>
      </c>
      <c r="M498" s="227">
        <f>L242</f>
      </c>
    </row>
    <row r="499">
      <c r="K499" s="237"/>
      <c r="L499" s="227">
        <f>P243</f>
      </c>
      <c r="M499" s="227">
        <f>L243</f>
      </c>
    </row>
    <row r="500">
      <c r="K500" s="237"/>
      <c r="L500" s="227">
        <f>P244</f>
      </c>
      <c r="M500" s="227">
        <f>L244</f>
      </c>
    </row>
    <row r="501">
      <c r="K501" s="237"/>
      <c r="L501" s="227">
        <f>P245</f>
      </c>
      <c r="M501" s="227">
        <f>L245</f>
      </c>
    </row>
    <row r="502">
      <c r="K502" s="237"/>
      <c r="L502" s="227">
        <f>P246</f>
      </c>
      <c r="M502" s="227">
        <f>L246</f>
      </c>
    </row>
    <row r="503">
      <c r="K503" s="237"/>
      <c r="L503" s="227">
        <f>P247</f>
      </c>
      <c r="M503" s="227">
        <f>L247</f>
      </c>
    </row>
    <row r="504">
      <c r="K504" s="237"/>
      <c r="L504" s="227">
        <f>P248</f>
      </c>
      <c r="M504" s="227">
        <f>L248</f>
      </c>
    </row>
    <row r="505">
      <c r="K505" s="237"/>
      <c r="L505" s="227">
        <f>P249</f>
      </c>
      <c r="M505" s="227">
        <f>L249</f>
      </c>
    </row>
    <row r="506">
      <c r="K506" s="237"/>
      <c r="L506" s="227">
        <f>P250</f>
      </c>
      <c r="M506" s="227">
        <f>L250</f>
      </c>
    </row>
    <row r="507">
      <c r="K507" s="237"/>
      <c r="L507" s="227">
        <f>P251</f>
      </c>
      <c r="M507" s="227">
        <f>L251</f>
      </c>
    </row>
    <row r="508">
      <c r="K508" s="237"/>
      <c r="L508" s="227">
        <f>P252</f>
      </c>
      <c r="M508" s="227">
        <f>L252</f>
      </c>
    </row>
    <row r="509">
      <c r="K509" s="237"/>
      <c r="L509" s="227">
        <f>P253</f>
      </c>
      <c r="M509" s="227">
        <f>L253</f>
      </c>
    </row>
    <row r="510">
      <c r="K510" s="237"/>
      <c r="L510" s="227">
        <f>P254</f>
      </c>
      <c r="M510" s="227">
        <f>L254</f>
      </c>
    </row>
    <row r="511">
      <c r="K511" s="237"/>
      <c r="L511" s="227">
        <f>P255</f>
      </c>
      <c r="M511" s="227">
        <f>L255</f>
      </c>
    </row>
    <row r="512">
      <c r="K512" s="237"/>
      <c r="L512" s="227">
        <f>P256</f>
      </c>
      <c r="M512" s="227">
        <f>L256</f>
      </c>
    </row>
    <row r="513">
      <c r="K513" s="237"/>
      <c r="L513" s="227">
        <f>P257</f>
      </c>
      <c r="M513" s="227">
        <f>L257</f>
      </c>
    </row>
    <row r="514">
      <c r="K514" s="237"/>
      <c r="L514" s="227">
        <f>P258</f>
      </c>
      <c r="M514" s="227">
        <f>L258</f>
      </c>
    </row>
    <row r="515">
      <c r="K515" s="237"/>
      <c r="L515" s="227">
        <f>P259</f>
      </c>
      <c r="M515" s="227">
        <f>L259</f>
      </c>
    </row>
    <row r="516">
      <c r="K516" s="237"/>
      <c r="L516" s="227">
        <f>P260</f>
      </c>
      <c r="M516" s="227">
        <f>L260</f>
      </c>
    </row>
    <row r="517">
      <c r="K517" s="237"/>
      <c r="L517" s="227">
        <f>P261</f>
      </c>
      <c r="M517" s="227">
        <f>L261</f>
      </c>
    </row>
    <row r="518">
      <c r="K518" s="237"/>
      <c r="L518" s="227">
        <f>P262</f>
      </c>
      <c r="M518" s="227">
        <f>L262</f>
      </c>
    </row>
    <row r="519">
      <c r="K519" s="237"/>
      <c r="L519" s="227">
        <f>P263</f>
      </c>
      <c r="M519" s="227">
        <f>L263</f>
      </c>
    </row>
    <row r="520">
      <c r="K520" s="237"/>
      <c r="L520" s="227">
        <f>P264</f>
      </c>
      <c r="M520" s="227">
        <f>L264</f>
      </c>
    </row>
    <row r="521">
      <c r="K521" s="237"/>
      <c r="L521" s="227">
        <f>P265</f>
      </c>
      <c r="M521" s="227">
        <f>L265</f>
      </c>
    </row>
    <row r="522">
      <c r="K522" s="237"/>
      <c r="L522" s="227">
        <f>P266</f>
      </c>
      <c r="M522" s="227">
        <f>L266</f>
      </c>
    </row>
    <row r="523">
      <c r="K523" s="237"/>
      <c r="L523" s="227">
        <f>P267</f>
      </c>
      <c r="M523" s="227">
        <f>L267</f>
      </c>
    </row>
    <row r="524">
      <c r="K524" s="237"/>
      <c r="L524" s="227">
        <f>P268</f>
      </c>
      <c r="M524" s="227">
        <f>L268</f>
      </c>
    </row>
    <row r="525">
      <c r="K525" s="237"/>
      <c r="L525" s="227">
        <f>P269</f>
      </c>
      <c r="M525" s="227">
        <f>L269</f>
      </c>
    </row>
    <row r="526">
      <c r="K526" s="237"/>
      <c r="L526" s="227">
        <f>P270</f>
      </c>
      <c r="M526" s="227">
        <f>L270</f>
      </c>
    </row>
    <row r="527">
      <c r="K527" s="237" t="inlineStr">
        <is>
          <t xml:space="preserve">corrida 1</t>
        </is>
      </c>
      <c r="L527" s="227">
        <f>IF(OR(1&gt;$L$182,Q273&lt;=0),NA(),M273)</f>
      </c>
      <c r="M527" s="227">
        <f>IF(1&gt;$L$182,NA(),O273)</f>
      </c>
    </row>
    <row r="528">
      <c r="K528" s="237"/>
      <c r="L528" s="227">
        <f>IF(OR(1&gt;$L$182,Q273&lt;=0),NA(),M273)</f>
      </c>
      <c r="M528" s="227">
        <f>IF(1&gt;$L$182,NA(),P273)</f>
      </c>
    </row>
    <row r="529">
      <c r="K529" s="237" t="inlineStr">
        <is>
          <t xml:space="preserve">adicional 1</t>
        </is>
      </c>
      <c r="L529" s="227">
        <f>IF(OR(OR(1&lt;=$L$182,1&gt;$L$111),Q273&lt;=0),NA(),M273)</f>
      </c>
      <c r="M529" s="227">
        <f>IF(OR(1&lt;=$L$182,1&gt;$L$111),NA(),O273)</f>
      </c>
    </row>
    <row r="530">
      <c r="K530" s="237"/>
      <c r="L530" s="227">
        <f>IF(OR(OR(1&lt;=$L$182,1&gt;$L$111),Q273&lt;=0),NA(),M273)</f>
      </c>
      <c r="M530" s="227">
        <f>IF(OR(1&lt;=$L$182,1&gt;$L$111),NA(),P273)</f>
      </c>
    </row>
    <row r="531">
      <c r="K531" s="237" t="inlineStr">
        <is>
          <t xml:space="preserve">corrida 2</t>
        </is>
      </c>
      <c r="L531" s="227">
        <f>IF(OR(2&gt;$L$182,Q274&lt;=0),NA(),M274)</f>
      </c>
      <c r="M531" s="227">
        <f>IF(2&gt;$L$182,NA(),O274)</f>
      </c>
    </row>
    <row r="532">
      <c r="K532" s="237"/>
      <c r="L532" s="227">
        <f>IF(OR(2&gt;$L$182,Q274&lt;=0),NA(),M274)</f>
      </c>
      <c r="M532" s="227">
        <f>IF(2&gt;$L$182,NA(),P274)</f>
      </c>
    </row>
    <row r="533">
      <c r="K533" s="237" t="inlineStr">
        <is>
          <t xml:space="preserve">adicional 2</t>
        </is>
      </c>
      <c r="L533" s="227">
        <f>IF(OR(OR(2&lt;=$L$182,2&gt;$L$111),Q274&lt;=0),NA(),M274)</f>
      </c>
      <c r="M533" s="227">
        <f>IF(OR(2&lt;=$L$182,2&gt;$L$111),NA(),O274)</f>
      </c>
    </row>
    <row r="534">
      <c r="K534" s="237"/>
      <c r="L534" s="227">
        <f>IF(OR(OR(2&lt;=$L$182,2&gt;$L$111),Q274&lt;=0),NA(),M274)</f>
      </c>
      <c r="M534" s="227">
        <f>IF(OR(2&lt;=$L$182,2&gt;$L$111),NA(),P274)</f>
      </c>
    </row>
    <row r="535">
      <c r="K535" s="237" t="inlineStr">
        <is>
          <t xml:space="preserve">corrida 3</t>
        </is>
      </c>
      <c r="L535" s="227">
        <f>IF(OR(3&gt;$L$182,Q275&lt;=0),NA(),M275)</f>
      </c>
      <c r="M535" s="227">
        <f>IF(3&gt;$L$182,NA(),O275)</f>
      </c>
    </row>
    <row r="536">
      <c r="K536" s="237"/>
      <c r="L536" s="227">
        <f>IF(OR(3&gt;$L$182,Q275&lt;=0),NA(),M275)</f>
      </c>
      <c r="M536" s="227">
        <f>IF(3&gt;$L$182,NA(),P275)</f>
      </c>
    </row>
    <row r="537">
      <c r="K537" s="237" t="inlineStr">
        <is>
          <t xml:space="preserve">adicional 3</t>
        </is>
      </c>
      <c r="L537" s="227">
        <f>IF(OR(OR(3&lt;=$L$182,3&gt;$L$111),Q275&lt;=0),NA(),M275)</f>
      </c>
      <c r="M537" s="227">
        <f>IF(OR(3&lt;=$L$182,3&gt;$L$111),NA(),O275)</f>
      </c>
    </row>
    <row r="538">
      <c r="K538" s="237"/>
      <c r="L538" s="227">
        <f>IF(OR(OR(3&lt;=$L$182,3&gt;$L$111),Q275&lt;=0),NA(),M275)</f>
      </c>
      <c r="M538" s="227">
        <f>IF(OR(3&lt;=$L$182,3&gt;$L$111),NA(),P275)</f>
      </c>
    </row>
    <row r="539">
      <c r="K539" s="237" t="inlineStr">
        <is>
          <t xml:space="preserve">corrida 4</t>
        </is>
      </c>
      <c r="L539" s="227">
        <f>IF(OR(4&gt;$L$182,Q276&lt;=0),NA(),M276)</f>
      </c>
      <c r="M539" s="227">
        <f>IF(4&gt;$L$182,NA(),O276)</f>
      </c>
    </row>
    <row r="540">
      <c r="K540" s="237"/>
      <c r="L540" s="227">
        <f>IF(OR(4&gt;$L$182,Q276&lt;=0),NA(),M276)</f>
      </c>
      <c r="M540" s="227">
        <f>IF(4&gt;$L$182,NA(),P276)</f>
      </c>
    </row>
    <row r="541">
      <c r="K541" s="237" t="inlineStr">
        <is>
          <t xml:space="preserve">adicional 4</t>
        </is>
      </c>
      <c r="L541" s="227">
        <f>IF(OR(OR(4&lt;=$L$182,4&gt;$L$111),Q276&lt;=0),NA(),M276)</f>
      </c>
      <c r="M541" s="227">
        <f>IF(OR(4&lt;=$L$182,4&gt;$L$111),NA(),O276)</f>
      </c>
    </row>
    <row r="542">
      <c r="K542" s="237"/>
      <c r="L542" s="227">
        <f>IF(OR(OR(4&lt;=$L$182,4&gt;$L$111),Q276&lt;=0),NA(),M276)</f>
      </c>
      <c r="M542" s="227">
        <f>IF(OR(4&lt;=$L$182,4&gt;$L$111),NA(),P276)</f>
      </c>
    </row>
    <row r="543">
      <c r="K543" s="237" t="inlineStr">
        <is>
          <t xml:space="preserve">corrida 5</t>
        </is>
      </c>
      <c r="L543" s="227">
        <f>IF(OR(5&gt;$L$182,Q277&lt;=0),NA(),M277)</f>
      </c>
      <c r="M543" s="227">
        <f>IF(5&gt;$L$182,NA(),O277)</f>
      </c>
    </row>
    <row r="544">
      <c r="K544" s="237"/>
      <c r="L544" s="227">
        <f>IF(OR(5&gt;$L$182,Q277&lt;=0),NA(),M277)</f>
      </c>
      <c r="M544" s="227">
        <f>IF(5&gt;$L$182,NA(),P277)</f>
      </c>
    </row>
    <row r="545">
      <c r="K545" s="237" t="inlineStr">
        <is>
          <t xml:space="preserve">adicional 5</t>
        </is>
      </c>
      <c r="L545" s="227">
        <f>IF(OR(OR(5&lt;=$L$182,5&gt;$L$111),Q277&lt;=0),NA(),M277)</f>
      </c>
      <c r="M545" s="227">
        <f>IF(OR(5&lt;=$L$182,5&gt;$L$111),NA(),O277)</f>
      </c>
    </row>
    <row r="546">
      <c r="K546" s="237"/>
      <c r="L546" s="227">
        <f>IF(OR(OR(5&lt;=$L$182,5&gt;$L$111),Q277&lt;=0),NA(),M277)</f>
      </c>
      <c r="M546" s="227">
        <f>IF(OR(5&lt;=$L$182,5&gt;$L$111),NA(),P277)</f>
      </c>
    </row>
    <row r="547">
      <c r="K547" s="237" t="inlineStr">
        <is>
          <t xml:space="preserve">corrida 6</t>
        </is>
      </c>
      <c r="L547" s="227">
        <f>IF(OR(6&gt;$L$182,Q278&lt;=0),NA(),M278)</f>
      </c>
      <c r="M547" s="227">
        <f>IF(6&gt;$L$182,NA(),O278)</f>
      </c>
    </row>
    <row r="548">
      <c r="K548" s="237"/>
      <c r="L548" s="227">
        <f>IF(OR(6&gt;$L$182,Q278&lt;=0),NA(),M278)</f>
      </c>
      <c r="M548" s="227">
        <f>IF(6&gt;$L$182,NA(),P278)</f>
      </c>
    </row>
    <row r="549">
      <c r="K549" s="237" t="inlineStr">
        <is>
          <t xml:space="preserve">adicional 6</t>
        </is>
      </c>
      <c r="L549" s="227">
        <f>IF(OR(OR(6&lt;=$L$182,6&gt;$L$111),Q278&lt;=0),NA(),M278)</f>
      </c>
      <c r="M549" s="227">
        <f>IF(OR(6&lt;=$L$182,6&gt;$L$111),NA(),O278)</f>
      </c>
    </row>
    <row r="550">
      <c r="K550" s="237"/>
      <c r="L550" s="227">
        <f>IF(OR(OR(6&lt;=$L$182,6&gt;$L$111),Q278&lt;=0),NA(),M278)</f>
      </c>
      <c r="M550" s="227">
        <f>IF(OR(6&lt;=$L$182,6&gt;$L$111),NA(),P278)</f>
      </c>
    </row>
    <row r="551">
      <c r="K551" s="237" t="inlineStr">
        <is>
          <t xml:space="preserve">corrida 7</t>
        </is>
      </c>
      <c r="L551" s="227">
        <f>IF(OR(7&gt;$L$182,Q279&lt;=0),NA(),M279)</f>
      </c>
      <c r="M551" s="227">
        <f>IF(7&gt;$L$182,NA(),O279)</f>
      </c>
    </row>
    <row r="552">
      <c r="K552" s="237"/>
      <c r="L552" s="227">
        <f>IF(OR(7&gt;$L$182,Q279&lt;=0),NA(),M279)</f>
      </c>
      <c r="M552" s="227">
        <f>IF(7&gt;$L$182,NA(),P279)</f>
      </c>
    </row>
    <row r="553">
      <c r="K553" s="237" t="inlineStr">
        <is>
          <t xml:space="preserve">adicional 7</t>
        </is>
      </c>
      <c r="L553" s="227">
        <f>IF(OR(OR(7&lt;=$L$182,7&gt;$L$111),Q279&lt;=0),NA(),M279)</f>
      </c>
      <c r="M553" s="227">
        <f>IF(OR(7&lt;=$L$182,7&gt;$L$111),NA(),O279)</f>
      </c>
    </row>
    <row r="554">
      <c r="K554" s="237"/>
      <c r="L554" s="227">
        <f>IF(OR(OR(7&lt;=$L$182,7&gt;$L$111),Q279&lt;=0),NA(),M279)</f>
      </c>
      <c r="M554" s="227">
        <f>IF(OR(7&lt;=$L$182,7&gt;$L$111),NA(),P279)</f>
      </c>
    </row>
    <row r="555">
      <c r="K555" s="237" t="inlineStr">
        <is>
          <t xml:space="preserve">corrida 8</t>
        </is>
      </c>
      <c r="L555" s="227">
        <f>IF(OR(8&gt;$L$182,Q280&lt;=0),NA(),M280)</f>
      </c>
      <c r="M555" s="227">
        <f>IF(8&gt;$L$182,NA(),O280)</f>
      </c>
    </row>
    <row r="556">
      <c r="K556" s="237"/>
      <c r="L556" s="227">
        <f>IF(OR(8&gt;$L$182,Q280&lt;=0),NA(),M280)</f>
      </c>
      <c r="M556" s="227">
        <f>IF(8&gt;$L$182,NA(),P280)</f>
      </c>
    </row>
    <row r="557">
      <c r="K557" s="237" t="inlineStr">
        <is>
          <t xml:space="preserve">adicional 8</t>
        </is>
      </c>
      <c r="L557" s="227">
        <f>IF(OR(OR(8&lt;=$L$182,8&gt;$L$111),Q280&lt;=0),NA(),M280)</f>
      </c>
      <c r="M557" s="227">
        <f>IF(OR(8&lt;=$L$182,8&gt;$L$111),NA(),O280)</f>
      </c>
    </row>
    <row r="558">
      <c r="K558" s="237"/>
      <c r="L558" s="227">
        <f>IF(OR(OR(8&lt;=$L$182,8&gt;$L$111),Q280&lt;=0),NA(),M280)</f>
      </c>
      <c r="M558" s="227">
        <f>IF(OR(8&lt;=$L$182,8&gt;$L$111),NA(),P280)</f>
      </c>
    </row>
    <row r="559">
      <c r="K559" s="237" t="inlineStr">
        <is>
          <t xml:space="preserve">corrida 9</t>
        </is>
      </c>
      <c r="L559" s="227">
        <f>IF(OR(9&gt;$L$182,Q281&lt;=0),NA(),M281)</f>
      </c>
      <c r="M559" s="227">
        <f>IF(9&gt;$L$182,NA(),O281)</f>
      </c>
    </row>
    <row r="560">
      <c r="K560" s="237"/>
      <c r="L560" s="227">
        <f>IF(OR(9&gt;$L$182,Q281&lt;=0),NA(),M281)</f>
      </c>
      <c r="M560" s="227">
        <f>IF(9&gt;$L$182,NA(),P281)</f>
      </c>
    </row>
    <row r="561">
      <c r="K561" s="237" t="inlineStr">
        <is>
          <t xml:space="preserve">adicional 9</t>
        </is>
      </c>
      <c r="L561" s="227">
        <f>IF(OR(OR(9&lt;=$L$182,9&gt;$L$111),Q281&lt;=0),NA(),M281)</f>
      </c>
      <c r="M561" s="227">
        <f>IF(OR(9&lt;=$L$182,9&gt;$L$111),NA(),O281)</f>
      </c>
    </row>
    <row r="562">
      <c r="K562" s="237"/>
      <c r="L562" s="227">
        <f>IF(OR(OR(9&lt;=$L$182,9&gt;$L$111),Q281&lt;=0),NA(),M281)</f>
      </c>
      <c r="M562" s="227">
        <f>IF(OR(9&lt;=$L$182,9&gt;$L$111),NA(),P281)</f>
      </c>
    </row>
    <row r="563">
      <c r="K563" s="237" t="inlineStr">
        <is>
          <t xml:space="preserve">corrida 10</t>
        </is>
      </c>
      <c r="L563" s="227">
        <f>IF(OR(10&gt;$L$182,Q282&lt;=0),NA(),M282)</f>
      </c>
      <c r="M563" s="227">
        <f>IF(10&gt;$L$182,NA(),O282)</f>
      </c>
    </row>
    <row r="564">
      <c r="K564" s="237"/>
      <c r="L564" s="227">
        <f>IF(OR(10&gt;$L$182,Q282&lt;=0),NA(),M282)</f>
      </c>
      <c r="M564" s="227">
        <f>IF(10&gt;$L$182,NA(),P282)</f>
      </c>
    </row>
    <row r="565">
      <c r="K565" s="237" t="inlineStr">
        <is>
          <t xml:space="preserve">adicional 10</t>
        </is>
      </c>
      <c r="L565" s="227">
        <f>IF(OR(OR(10&lt;=$L$182,10&gt;$L$111),Q282&lt;=0),NA(),M282)</f>
      </c>
      <c r="M565" s="227">
        <f>IF(OR(10&lt;=$L$182,10&gt;$L$111),NA(),O282)</f>
      </c>
    </row>
    <row r="566">
      <c r="K566" s="237"/>
      <c r="L566" s="227">
        <f>IF(OR(OR(10&lt;=$L$182,10&gt;$L$111),Q282&lt;=0),NA(),M282)</f>
      </c>
      <c r="M566" s="227">
        <f>IF(OR(10&lt;=$L$182,10&gt;$L$111),NA(),P282)</f>
      </c>
    </row>
    <row r="567">
      <c r="K567" s="237" t="inlineStr">
        <is>
          <t xml:space="preserve">corrida 11</t>
        </is>
      </c>
      <c r="L567" s="227">
        <f>IF(OR(11&gt;$L$182,Q283&lt;=0),NA(),M283)</f>
      </c>
      <c r="M567" s="227">
        <f>IF(11&gt;$L$182,NA(),O283)</f>
      </c>
    </row>
    <row r="568">
      <c r="K568" s="237"/>
      <c r="L568" s="227">
        <f>IF(OR(11&gt;$L$182,Q283&lt;=0),NA(),M283)</f>
      </c>
      <c r="M568" s="227">
        <f>IF(11&gt;$L$182,NA(),P283)</f>
      </c>
    </row>
    <row r="569">
      <c r="K569" s="237" t="inlineStr">
        <is>
          <t xml:space="preserve">adicional 11</t>
        </is>
      </c>
      <c r="L569" s="227">
        <f>IF(OR(OR(11&lt;=$L$182,11&gt;$L$111),Q283&lt;=0),NA(),M283)</f>
      </c>
      <c r="M569" s="227">
        <f>IF(OR(11&lt;=$L$182,11&gt;$L$111),NA(),O283)</f>
      </c>
    </row>
    <row r="570">
      <c r="K570" s="237"/>
      <c r="L570" s="227">
        <f>IF(OR(OR(11&lt;=$L$182,11&gt;$L$111),Q283&lt;=0),NA(),M283)</f>
      </c>
      <c r="M570" s="227">
        <f>IF(OR(11&lt;=$L$182,11&gt;$L$111),NA(),P283)</f>
      </c>
    </row>
    <row r="571">
      <c r="K571" s="237" t="inlineStr">
        <is>
          <t xml:space="preserve">corrida 12</t>
        </is>
      </c>
      <c r="L571" s="227">
        <f>IF(OR(12&gt;$L$182,Q284&lt;=0),NA(),M284)</f>
      </c>
      <c r="M571" s="227">
        <f>IF(12&gt;$L$182,NA(),O284)</f>
      </c>
    </row>
    <row r="572">
      <c r="K572" s="237"/>
      <c r="L572" s="227">
        <f>IF(OR(12&gt;$L$182,Q284&lt;=0),NA(),M284)</f>
      </c>
      <c r="M572" s="227">
        <f>IF(12&gt;$L$182,NA(),P284)</f>
      </c>
    </row>
    <row r="573">
      <c r="K573" s="237" t="inlineStr">
        <is>
          <t xml:space="preserve">adicional 12</t>
        </is>
      </c>
      <c r="L573" s="227">
        <f>IF(OR(OR(12&lt;=$L$182,12&gt;$L$111),Q284&lt;=0),NA(),M284)</f>
      </c>
      <c r="M573" s="227">
        <f>IF(OR(12&lt;=$L$182,12&gt;$L$111),NA(),O284)</f>
      </c>
    </row>
    <row r="574">
      <c r="K574" s="237"/>
      <c r="L574" s="227">
        <f>IF(OR(OR(12&lt;=$L$182,12&gt;$L$111),Q284&lt;=0),NA(),M284)</f>
      </c>
      <c r="M574" s="227">
        <f>IF(OR(12&lt;=$L$182,12&gt;$L$111),NA(),P284)</f>
      </c>
    </row>
    <row r="575">
      <c r="K575" s="237" t="inlineStr">
        <is>
          <t xml:space="preserve">corrida 13</t>
        </is>
      </c>
      <c r="L575" s="227">
        <f>IF(OR(13&gt;$L$182,Q285&lt;=0),NA(),M285)</f>
      </c>
      <c r="M575" s="227">
        <f>IF(13&gt;$L$182,NA(),O285)</f>
      </c>
    </row>
    <row r="576">
      <c r="K576" s="237"/>
      <c r="L576" s="227">
        <f>IF(OR(13&gt;$L$182,Q285&lt;=0),NA(),M285)</f>
      </c>
      <c r="M576" s="227">
        <f>IF(13&gt;$L$182,NA(),P285)</f>
      </c>
    </row>
    <row r="577">
      <c r="K577" s="237" t="inlineStr">
        <is>
          <t xml:space="preserve">adicional 13</t>
        </is>
      </c>
      <c r="L577" s="227">
        <f>IF(OR(OR(13&lt;=$L$182,13&gt;$L$111),Q285&lt;=0),NA(),M285)</f>
      </c>
      <c r="M577" s="227">
        <f>IF(OR(13&lt;=$L$182,13&gt;$L$111),NA(),O285)</f>
      </c>
    </row>
    <row r="578">
      <c r="K578" s="237"/>
      <c r="L578" s="227">
        <f>IF(OR(OR(13&lt;=$L$182,13&gt;$L$111),Q285&lt;=0),NA(),M285)</f>
      </c>
      <c r="M578" s="227">
        <f>IF(OR(13&lt;=$L$182,13&gt;$L$111),NA(),P285)</f>
      </c>
    </row>
    <row r="579">
      <c r="K579" s="237" t="inlineStr">
        <is>
          <t xml:space="preserve">corrida 14</t>
        </is>
      </c>
      <c r="L579" s="227">
        <f>IF(OR(14&gt;$L$182,Q286&lt;=0),NA(),M286)</f>
      </c>
      <c r="M579" s="227">
        <f>IF(14&gt;$L$182,NA(),O286)</f>
      </c>
    </row>
    <row r="580">
      <c r="K580" s="237"/>
      <c r="L580" s="227">
        <f>IF(OR(14&gt;$L$182,Q286&lt;=0),NA(),M286)</f>
      </c>
      <c r="M580" s="227">
        <f>IF(14&gt;$L$182,NA(),P286)</f>
      </c>
    </row>
    <row r="581">
      <c r="K581" s="237" t="inlineStr">
        <is>
          <t xml:space="preserve">adicional 14</t>
        </is>
      </c>
      <c r="L581" s="227">
        <f>IF(OR(OR(14&lt;=$L$182,14&gt;$L$111),Q286&lt;=0),NA(),M286)</f>
      </c>
      <c r="M581" s="227">
        <f>IF(OR(14&lt;=$L$182,14&gt;$L$111),NA(),O286)</f>
      </c>
    </row>
    <row r="582">
      <c r="K582" s="237"/>
      <c r="L582" s="227">
        <f>IF(OR(OR(14&lt;=$L$182,14&gt;$L$111),Q286&lt;=0),NA(),M286)</f>
      </c>
      <c r="M582" s="227">
        <f>IF(OR(14&lt;=$L$182,14&gt;$L$111),NA(),P286)</f>
      </c>
    </row>
    <row r="583">
      <c r="K583" s="237">
        <f>IF(OR(1&gt;$L$111,Q273&lt;=0),"",R273)</f>
      </c>
      <c r="L583" s="227">
        <f>IF(OR(1&gt;$L$111,Q273&lt;=0),NA(),M273)</f>
      </c>
      <c r="M583" s="227">
        <f>IF(OR(1&gt;$L$111,Q273&lt;=0),NA(),P273)</f>
      </c>
    </row>
    <row r="584">
      <c r="K584" s="237">
        <f>IF(OR(2&gt;$L$111,Q274&lt;=0),"",R274)</f>
      </c>
      <c r="L584" s="227">
        <f>IF(OR(2&gt;$L$111,Q274&lt;=0),NA(),M274)</f>
      </c>
      <c r="M584" s="227">
        <f>IF(OR(2&gt;$L$111,Q274&lt;=0),NA(),P274)</f>
      </c>
    </row>
    <row r="585">
      <c r="K585" s="237">
        <f>IF(OR(3&gt;$L$111,Q275&lt;=0),"",R275)</f>
      </c>
      <c r="L585" s="227">
        <f>IF(OR(3&gt;$L$111,Q275&lt;=0),NA(),M275)</f>
      </c>
      <c r="M585" s="227">
        <f>IF(OR(3&gt;$L$111,Q275&lt;=0),NA(),P275)</f>
      </c>
    </row>
    <row r="586">
      <c r="K586" s="237">
        <f>IF(OR(4&gt;$L$111,Q276&lt;=0),"",R276)</f>
      </c>
      <c r="L586" s="227">
        <f>IF(OR(4&gt;$L$111,Q276&lt;=0),NA(),M276)</f>
      </c>
      <c r="M586" s="227">
        <f>IF(OR(4&gt;$L$111,Q276&lt;=0),NA(),P276)</f>
      </c>
    </row>
    <row r="587">
      <c r="K587" s="237">
        <f>IF(OR(5&gt;$L$111,Q277&lt;=0),"",R277)</f>
      </c>
      <c r="L587" s="227">
        <f>IF(OR(5&gt;$L$111,Q277&lt;=0),NA(),M277)</f>
      </c>
      <c r="M587" s="227">
        <f>IF(OR(5&gt;$L$111,Q277&lt;=0),NA(),P277)</f>
      </c>
    </row>
    <row r="588">
      <c r="K588" s="237">
        <f>IF(OR(6&gt;$L$111,Q278&lt;=0),"",R278)</f>
      </c>
      <c r="L588" s="227">
        <f>IF(OR(6&gt;$L$111,Q278&lt;=0),NA(),M278)</f>
      </c>
      <c r="M588" s="227">
        <f>IF(OR(6&gt;$L$111,Q278&lt;=0),NA(),P278)</f>
      </c>
    </row>
    <row r="589">
      <c r="K589" s="237">
        <f>IF(OR(7&gt;$L$111,Q279&lt;=0),"",R279)</f>
      </c>
      <c r="L589" s="227">
        <f>IF(OR(7&gt;$L$111,Q279&lt;=0),NA(),M279)</f>
      </c>
      <c r="M589" s="227">
        <f>IF(OR(7&gt;$L$111,Q279&lt;=0),NA(),P279)</f>
      </c>
    </row>
    <row r="590">
      <c r="K590" s="237">
        <f>IF(OR(8&gt;$L$111,Q280&lt;=0),"",R280)</f>
      </c>
      <c r="L590" s="227">
        <f>IF(OR(8&gt;$L$111,Q280&lt;=0),NA(),M280)</f>
      </c>
      <c r="M590" s="227">
        <f>IF(OR(8&gt;$L$111,Q280&lt;=0),NA(),P280)</f>
      </c>
    </row>
    <row r="591">
      <c r="K591" s="237">
        <f>IF(OR(9&gt;$L$111,Q281&lt;=0),"",R281)</f>
      </c>
      <c r="L591" s="227">
        <f>IF(OR(9&gt;$L$111,Q281&lt;=0),NA(),M281)</f>
      </c>
      <c r="M591" s="227">
        <f>IF(OR(9&gt;$L$111,Q281&lt;=0),NA(),P281)</f>
      </c>
    </row>
    <row r="592">
      <c r="K592" s="237">
        <f>IF(OR(10&gt;$L$111,Q282&lt;=0),"",R282)</f>
      </c>
      <c r="L592" s="227">
        <f>IF(OR(10&gt;$L$111,Q282&lt;=0),NA(),M282)</f>
      </c>
      <c r="M592" s="227">
        <f>IF(OR(10&gt;$L$111,Q282&lt;=0),NA(),P282)</f>
      </c>
    </row>
    <row r="593">
      <c r="K593" s="237">
        <f>IF(OR(11&gt;$L$111,Q283&lt;=0),"",R283)</f>
      </c>
      <c r="L593" s="227">
        <f>IF(OR(11&gt;$L$111,Q283&lt;=0),NA(),M283)</f>
      </c>
      <c r="M593" s="227">
        <f>IF(OR(11&gt;$L$111,Q283&lt;=0),NA(),P283)</f>
      </c>
    </row>
    <row r="594">
      <c r="K594" s="237">
        <f>IF(OR(12&gt;$L$111,Q284&lt;=0),"",R284)</f>
      </c>
      <c r="L594" s="227">
        <f>IF(OR(12&gt;$L$111,Q284&lt;=0),NA(),M284)</f>
      </c>
      <c r="M594" s="227">
        <f>IF(OR(12&gt;$L$111,Q284&lt;=0),NA(),P284)</f>
      </c>
    </row>
    <row r="595">
      <c r="K595" s="237">
        <f>IF(OR(13&gt;$L$111,Q285&lt;=0),"",R285)</f>
      </c>
      <c r="L595" s="227">
        <f>IF(OR(13&gt;$L$111,Q285&lt;=0),NA(),M285)</f>
      </c>
      <c r="M595" s="227">
        <f>IF(OR(13&gt;$L$111,Q285&lt;=0),NA(),P285)</f>
      </c>
    </row>
    <row r="596">
      <c r="K596" s="237">
        <f>IF(OR(14&gt;$L$111,Q286&lt;=0),"",R286)</f>
      </c>
      <c r="L596" s="227">
        <f>IF(OR(14&gt;$L$111,Q286&lt;=0),NA(),M286)</f>
      </c>
      <c r="M596" s="227">
        <f>IF(OR(14&gt;$L$111,Q286&lt;=0),NA(),P286)</f>
      </c>
    </row>
    <row r="597">
      <c r="K597" s="237">
        <f>"Md,máx = "&amp;FIXED(MAX($O$190:$O$270),1)&amp;" kN·m"</f>
      </c>
      <c r="L597" s="227">
        <f>MAX($O$190:$O$270)</f>
      </c>
      <c r="M597" s="227">
        <f>IF(ABS($L$187)&gt;=ABS($M$190),$L$188,0)</f>
      </c>
    </row>
    <row r="598">
      <c r="K598" s="237" t="inlineStr">
        <is>
          <t xml:space="preserve">Concreto</t>
        </is>
      </c>
      <c r="L598" s="227">
        <v>0</v>
      </c>
      <c r="M598" s="227">
        <v>0</v>
      </c>
    </row>
    <row r="599">
      <c r="K599" s="237"/>
      <c r="L599" s="227">
        <f>$L$39</f>
      </c>
      <c r="M599" s="227">
        <v>0</v>
      </c>
    </row>
    <row r="600">
      <c r="K600" s="237"/>
      <c r="L600" s="227">
        <f>$L$39</f>
      </c>
      <c r="M600" s="227">
        <f>$L$38</f>
      </c>
    </row>
    <row r="601">
      <c r="K601" s="237"/>
      <c r="L601" s="227">
        <v>0</v>
      </c>
      <c r="M601" s="227">
        <f>$L$38</f>
      </c>
    </row>
    <row r="602">
      <c r="K602" s="237"/>
      <c r="L602" s="227">
        <v>0</v>
      </c>
      <c r="M602" s="227">
        <v>0</v>
      </c>
    </row>
    <row r="603">
      <c r="K603" s="237" t="inlineStr">
        <is>
          <t xml:space="preserve">Estribo</t>
        </is>
      </c>
      <c r="L603" s="227">
        <f>($L$40+$L$41/20)</f>
      </c>
      <c r="M603" s="227">
        <f>($L$40+$L$41/20)</f>
      </c>
    </row>
    <row r="604">
      <c r="K604" s="237"/>
      <c r="L604" s="227">
        <f>$L$39-($L$40+$L$41/20)</f>
      </c>
      <c r="M604" s="227">
        <f>($L$40+$L$41/20)</f>
      </c>
    </row>
    <row r="605">
      <c r="K605" s="237"/>
      <c r="L605" s="227">
        <f>$L$39-($L$40+$L$41/20)</f>
      </c>
      <c r="M605" s="227">
        <f>$L$38-($L$40+$L$41/20)</f>
      </c>
    </row>
    <row r="606">
      <c r="K606" s="237"/>
      <c r="L606" s="227">
        <f>($L$40+$L$41/20)</f>
      </c>
      <c r="M606" s="227">
        <f>$L$38-($L$40+$L$41/20)</f>
      </c>
    </row>
    <row r="607">
      <c r="K607" s="237"/>
      <c r="L607" s="227">
        <f>($L$40+$L$41/20)</f>
      </c>
      <c r="M607" s="227">
        <f>($L$40+$L$41/20)</f>
      </c>
    </row>
    <row r="608">
      <c r="K608" s="237" t="inlineStr">
        <is>
          <t xml:space="preserve">Face externa</t>
        </is>
      </c>
      <c r="L608" s="227">
        <f>IF(1&gt;$L$111,NA(),($L$40+$L$41/10+$L$42/20)+(1-1)*($L$39-2*($L$40+$L$41/10+$L$42/20))/MAX(1,$L$111-1))</f>
      </c>
      <c r="M608" s="227">
        <f>($L$40+$L$41/10+$L$42/20)</f>
      </c>
    </row>
    <row r="609">
      <c r="K609" s="237"/>
      <c r="L609" s="227">
        <f>IF(2&gt;$L$111,NA(),($L$40+$L$41/10+$L$42/20)+(2-1)*($L$39-2*($L$40+$L$41/10+$L$42/20))/MAX(1,$L$111-1))</f>
      </c>
      <c r="M609" s="227">
        <f>($L$40+$L$41/10+$L$42/20)</f>
      </c>
    </row>
    <row r="610">
      <c r="K610" s="237"/>
      <c r="L610" s="227">
        <f>IF(3&gt;$L$111,NA(),($L$40+$L$41/10+$L$42/20)+(3-1)*($L$39-2*($L$40+$L$41/10+$L$42/20))/MAX(1,$L$111-1))</f>
      </c>
      <c r="M610" s="227">
        <f>($L$40+$L$41/10+$L$42/20)</f>
      </c>
    </row>
    <row r="611">
      <c r="K611" s="237"/>
      <c r="L611" s="227">
        <f>IF(4&gt;$L$111,NA(),($L$40+$L$41/10+$L$42/20)+(4-1)*($L$39-2*($L$40+$L$41/10+$L$42/20))/MAX(1,$L$111-1))</f>
      </c>
      <c r="M611" s="227">
        <f>($L$40+$L$41/10+$L$42/20)</f>
      </c>
    </row>
    <row r="612">
      <c r="K612" s="237"/>
      <c r="L612" s="227">
        <f>IF(5&gt;$L$111,NA(),($L$40+$L$41/10+$L$42/20)+(5-1)*($L$39-2*($L$40+$L$41/10+$L$42/20))/MAX(1,$L$111-1))</f>
      </c>
      <c r="M612" s="227">
        <f>($L$40+$L$41/10+$L$42/20)</f>
      </c>
    </row>
    <row r="613">
      <c r="K613" s="237"/>
      <c r="L613" s="227">
        <f>IF(6&gt;$L$111,NA(),($L$40+$L$41/10+$L$42/20)+(6-1)*($L$39-2*($L$40+$L$41/10+$L$42/20))/MAX(1,$L$111-1))</f>
      </c>
      <c r="M613" s="227">
        <f>($L$40+$L$41/10+$L$42/20)</f>
      </c>
    </row>
    <row r="614">
      <c r="K614" s="237"/>
      <c r="L614" s="227">
        <f>IF(7&gt;$L$111,NA(),($L$40+$L$41/10+$L$42/20)+(7-1)*($L$39-2*($L$40+$L$41/10+$L$42/20))/MAX(1,$L$111-1))</f>
      </c>
      <c r="M614" s="227">
        <f>($L$40+$L$41/10+$L$42/20)</f>
      </c>
    </row>
    <row r="615">
      <c r="K615" s="237"/>
      <c r="L615" s="227">
        <f>IF(8&gt;$L$111,NA(),($L$40+$L$41/10+$L$42/20)+(8-1)*($L$39-2*($L$40+$L$41/10+$L$42/20))/MAX(1,$L$111-1))</f>
      </c>
      <c r="M615" s="227">
        <f>($L$40+$L$41/10+$L$42/20)</f>
      </c>
    </row>
    <row r="616">
      <c r="K616" s="237"/>
      <c r="L616" s="227">
        <f>IF(9&gt;$L$111,NA(),($L$40+$L$41/10+$L$42/20)+(9-1)*($L$39-2*($L$40+$L$41/10+$L$42/20))/MAX(1,$L$111-1))</f>
      </c>
      <c r="M616" s="227">
        <f>($L$40+$L$41/10+$L$42/20)</f>
      </c>
    </row>
    <row r="617">
      <c r="K617" s="237"/>
      <c r="L617" s="227">
        <f>IF(10&gt;$L$111,NA(),($L$40+$L$41/10+$L$42/20)+(10-1)*($L$39-2*($L$40+$L$41/10+$L$42/20))/MAX(1,$L$111-1))</f>
      </c>
      <c r="M617" s="227">
        <f>($L$40+$L$41/10+$L$42/20)</f>
      </c>
    </row>
    <row r="618">
      <c r="K618" s="237"/>
      <c r="L618" s="227">
        <f>IF(11&gt;$L$111,NA(),($L$40+$L$41/10+$L$42/20)+(11-1)*($L$39-2*($L$40+$L$41/10+$L$42/20))/MAX(1,$L$111-1))</f>
      </c>
      <c r="M618" s="227">
        <f>($L$40+$L$41/10+$L$42/20)</f>
      </c>
    </row>
    <row r="619">
      <c r="K619" s="237"/>
      <c r="L619" s="227">
        <f>IF(12&gt;$L$111,NA(),($L$40+$L$41/10+$L$42/20)+(12-1)*($L$39-2*($L$40+$L$41/10+$L$42/20))/MAX(1,$L$111-1))</f>
      </c>
      <c r="M619" s="227">
        <f>($L$40+$L$41/10+$L$42/20)</f>
      </c>
    </row>
    <row r="620">
      <c r="K620" s="237"/>
      <c r="L620" s="227">
        <f>IF(13&gt;$L$111,NA(),($L$40+$L$41/10+$L$42/20)+(13-1)*($L$39-2*($L$40+$L$41/10+$L$42/20))/MAX(1,$L$111-1))</f>
      </c>
      <c r="M620" s="227">
        <f>($L$40+$L$41/10+$L$42/20)</f>
      </c>
    </row>
    <row r="621">
      <c r="K621" s="237"/>
      <c r="L621" s="227">
        <f>IF(14&gt;$L$111,NA(),($L$40+$L$41/10+$L$42/20)+(14-1)*($L$39-2*($L$40+$L$41/10+$L$42/20))/MAX(1,$L$111-1))</f>
      </c>
      <c r="M621" s="227">
        <f>($L$40+$L$41/10+$L$42/20)</f>
      </c>
    </row>
    <row r="622">
      <c r="K622" s="237" t="inlineStr">
        <is>
          <t xml:space="preserve">Face do solo</t>
        </is>
      </c>
      <c r="L622" s="227">
        <f>IF(1&gt;$L$111,NA(),($L$40+$L$41/10+$L$42/20)+(1-1)*($L$39-2*($L$40+$L$41/10+$L$42/20))/MAX(1,$L$111-1))</f>
      </c>
      <c r="M622" s="227">
        <f>$L$38-($L$40+$L$41/10+$L$42/20)</f>
      </c>
    </row>
    <row r="623">
      <c r="K623" s="237"/>
      <c r="L623" s="227">
        <f>IF(2&gt;$L$111,NA(),($L$40+$L$41/10+$L$42/20)+(2-1)*($L$39-2*($L$40+$L$41/10+$L$42/20))/MAX(1,$L$111-1))</f>
      </c>
      <c r="M623" s="227">
        <f>$L$38-($L$40+$L$41/10+$L$42/20)</f>
      </c>
    </row>
    <row r="624">
      <c r="K624" s="237"/>
      <c r="L624" s="227">
        <f>IF(3&gt;$L$111,NA(),($L$40+$L$41/10+$L$42/20)+(3-1)*($L$39-2*($L$40+$L$41/10+$L$42/20))/MAX(1,$L$111-1))</f>
      </c>
      <c r="M624" s="227">
        <f>$L$38-($L$40+$L$41/10+$L$42/20)</f>
      </c>
    </row>
    <row r="625">
      <c r="K625" s="237"/>
      <c r="L625" s="227">
        <f>IF(4&gt;$L$111,NA(),($L$40+$L$41/10+$L$42/20)+(4-1)*($L$39-2*($L$40+$L$41/10+$L$42/20))/MAX(1,$L$111-1))</f>
      </c>
      <c r="M625" s="227">
        <f>$L$38-($L$40+$L$41/10+$L$42/20)</f>
      </c>
    </row>
    <row r="626">
      <c r="K626" s="237"/>
      <c r="L626" s="227">
        <f>IF(5&gt;$L$111,NA(),($L$40+$L$41/10+$L$42/20)+(5-1)*($L$39-2*($L$40+$L$41/10+$L$42/20))/MAX(1,$L$111-1))</f>
      </c>
      <c r="M626" s="227">
        <f>$L$38-($L$40+$L$41/10+$L$42/20)</f>
      </c>
    </row>
    <row r="627">
      <c r="K627" s="237"/>
      <c r="L627" s="227">
        <f>IF(6&gt;$L$111,NA(),($L$40+$L$41/10+$L$42/20)+(6-1)*($L$39-2*($L$40+$L$41/10+$L$42/20))/MAX(1,$L$111-1))</f>
      </c>
      <c r="M627" s="227">
        <f>$L$38-($L$40+$L$41/10+$L$42/20)</f>
      </c>
    </row>
    <row r="628">
      <c r="K628" s="237"/>
      <c r="L628" s="227">
        <f>IF(7&gt;$L$111,NA(),($L$40+$L$41/10+$L$42/20)+(7-1)*($L$39-2*($L$40+$L$41/10+$L$42/20))/MAX(1,$L$111-1))</f>
      </c>
      <c r="M628" s="227">
        <f>$L$38-($L$40+$L$41/10+$L$42/20)</f>
      </c>
    </row>
    <row r="629">
      <c r="K629" s="237"/>
      <c r="L629" s="227">
        <f>IF(8&gt;$L$111,NA(),($L$40+$L$41/10+$L$42/20)+(8-1)*($L$39-2*($L$40+$L$41/10+$L$42/20))/MAX(1,$L$111-1))</f>
      </c>
      <c r="M629" s="227">
        <f>$L$38-($L$40+$L$41/10+$L$42/20)</f>
      </c>
    </row>
    <row r="630">
      <c r="K630" s="237"/>
      <c r="L630" s="227">
        <f>IF(9&gt;$L$111,NA(),($L$40+$L$41/10+$L$42/20)+(9-1)*($L$39-2*($L$40+$L$41/10+$L$42/20))/MAX(1,$L$111-1))</f>
      </c>
      <c r="M630" s="227">
        <f>$L$38-($L$40+$L$41/10+$L$42/20)</f>
      </c>
    </row>
    <row r="631">
      <c r="K631" s="237"/>
      <c r="L631" s="227">
        <f>IF(10&gt;$L$111,NA(),($L$40+$L$41/10+$L$42/20)+(10-1)*($L$39-2*($L$40+$L$41/10+$L$42/20))/MAX(1,$L$111-1))</f>
      </c>
      <c r="M631" s="227">
        <f>$L$38-($L$40+$L$41/10+$L$42/20)</f>
      </c>
    </row>
    <row r="632">
      <c r="K632" s="237"/>
      <c r="L632" s="227">
        <f>IF(11&gt;$L$111,NA(),($L$40+$L$41/10+$L$42/20)+(11-1)*($L$39-2*($L$40+$L$41/10+$L$42/20))/MAX(1,$L$111-1))</f>
      </c>
      <c r="M632" s="227">
        <f>$L$38-($L$40+$L$41/10+$L$42/20)</f>
      </c>
    </row>
    <row r="633">
      <c r="K633" s="237"/>
      <c r="L633" s="227">
        <f>IF(12&gt;$L$111,NA(),($L$40+$L$41/10+$L$42/20)+(12-1)*($L$39-2*($L$40+$L$41/10+$L$42/20))/MAX(1,$L$111-1))</f>
      </c>
      <c r="M633" s="227">
        <f>$L$38-($L$40+$L$41/10+$L$42/20)</f>
      </c>
    </row>
    <row r="634">
      <c r="K634" s="237"/>
      <c r="L634" s="227">
        <f>IF(13&gt;$L$111,NA(),($L$40+$L$41/10+$L$42/20)+(13-1)*($L$39-2*($L$40+$L$41/10+$L$42/20))/MAX(1,$L$111-1))</f>
      </c>
      <c r="M634" s="227">
        <f>$L$38-($L$40+$L$41/10+$L$42/20)</f>
      </c>
    </row>
    <row r="635">
      <c r="K635" s="237"/>
      <c r="L635" s="227">
        <f>IF(14&gt;$L$111,NA(),($L$40+$L$41/10+$L$42/20)+(14-1)*($L$39-2*($L$40+$L$41/10+$L$42/20))/MAX(1,$L$111-1))</f>
      </c>
      <c r="M635" s="227">
        <f>$L$38-($L$40+$L$41/10+$L$42/20)</f>
      </c>
    </row>
    <row r="636">
      <c r="K636" s="237">
        <f>$L$111&amp;" Ø"&amp;$L$42&amp;" por face ("&amp;$L$182&amp;" N1 + "&amp;$L$183&amp;" adicionais)"</f>
      </c>
      <c r="L636" s="227">
        <f>$L$39/2</f>
      </c>
      <c r="M636" s="227">
        <f>$L$38/2</f>
      </c>
    </row>
    <row r="637">
      <c r="K637" s="237">
        <f>"Estribo Ø"&amp;$L$41&amp;" – "&amp;$L$39&amp;"×"&amp;$L$38&amp;" cm"</f>
      </c>
      <c r="L637" s="227">
        <f>$L$39/2</f>
      </c>
      <c r="M637" s="227">
        <f>$L$38/2-0.12*$L$38</f>
      </c>
    </row>
    <row r="638">
      <c r="K638" s="237" t="inlineStr">
        <is>
          <t xml:space="preserve">escala</t>
        </is>
      </c>
      <c r="L638" s="227">
        <f>-0.05*MAX($L$39,$L$38)</f>
      </c>
      <c r="M638" s="227">
        <f>-0.05*MAX($L$39,$L$38)</f>
      </c>
    </row>
    <row r="639">
      <c r="K639" s="237"/>
      <c r="L639" s="227">
        <f>1.05*MAX($L$39,$L$38)</f>
      </c>
      <c r="M639" s="227">
        <f>1.05*MAX($L$39,$L$38)</f>
      </c>
    </row>
  </sheetData>
  <mergeCells count="44">
    <mergeCell ref="K1:T1"/>
    <mergeCell ref="K6:T6"/>
    <mergeCell ref="K8:T8"/>
    <mergeCell ref="K26:T26"/>
    <mergeCell ref="K71:T71"/>
    <mergeCell ref="K81:T81"/>
    <mergeCell ref="K92:T92"/>
    <mergeCell ref="K103:T103"/>
    <mergeCell ref="K105:T105"/>
    <mergeCell ref="K119:T119"/>
    <mergeCell ref="K121:T121"/>
    <mergeCell ref="K141:T141"/>
    <mergeCell ref="K158:T158"/>
    <mergeCell ref="K160:T160"/>
    <mergeCell ref="K288:T288"/>
    <mergeCell ref="K292:T292"/>
    <mergeCell ref="K328:T328"/>
    <mergeCell ref="K330:T330"/>
    <mergeCell ref="L10:M10"/>
    <mergeCell ref="O10:T10"/>
    <mergeCell ref="L11:M11"/>
    <mergeCell ref="L12:T12"/>
    <mergeCell ref="L13:M13"/>
    <mergeCell ref="L14:M14"/>
    <mergeCell ref="L15:M15"/>
    <mergeCell ref="L16:M16"/>
    <mergeCell ref="L17:M17"/>
    <mergeCell ref="L18:M18"/>
    <mergeCell ref="K2:L2"/>
    <mergeCell ref="M2:N2"/>
    <mergeCell ref="P2:R2"/>
    <mergeCell ref="S2:T2"/>
    <mergeCell ref="K3:L3"/>
    <mergeCell ref="M3:N3"/>
    <mergeCell ref="P3:R3"/>
    <mergeCell ref="S3:T3"/>
    <mergeCell ref="K4:L4"/>
    <mergeCell ref="M4:N4"/>
    <mergeCell ref="O4:R4"/>
    <mergeCell ref="S4:T4"/>
    <mergeCell ref="K5:L5"/>
    <mergeCell ref="M5:N5"/>
    <mergeCell ref="O5:R5"/>
    <mergeCell ref="S5:T5"/>
  </mergeCells>
  <conditionalFormatting sqref="N33 N42 N45 N79 N84 N95 N114 N117 N124 N137 N138 N139 N146 N155 N11 N13 N14 N15 N16 N17 N18 S2 S3 S4 S5">
    <cfRule type="beginsWith" dxfId="6" priority="1" operator="beginsWith" text="Ok">
      <formula>LEFT(N33,2)="Ok"</formula>
    </cfRule>
  </conditionalFormatting>
  <conditionalFormatting sqref="N33 N42 N45 N79 N84 N95 N114 N117 N124 N137 N138 N139 N146 N155 N11 N13 N14 N15 N16 N17 N18 S2 S3 S4 S5">
    <cfRule type="beginsWith" dxfId="5" priority="2" operator="beginsWith" text="Não se aplica">
      <formula>LEFT(N33,13)="Não se aplica"</formula>
    </cfRule>
  </conditionalFormatting>
  <dataValidations count="2">
    <dataValidation type="list" allowBlank="1" showErrorMessage="1" sqref="L45">
      <formula1>'CONTENÇÃO RÁPIDA'!$K$74:$K$76</formula1>
    </dataValidation>
    <dataValidation type="list" allowBlank="1" showErrorMessage="1" sqref="O2:O3">
      <formula1>$K$52:$K$60</formula1>
    </dataValidation>
  </dataValidations>
  <pageMargins left="0.511811024" right="0.511811024" top="0.787401575" bottom="0.787401575" header="0.31496062" footer="0.31496062"/>
  <pageSetup paperSize="9" fitToHeight="0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CONTENÇÃO RÁPIDA</vt:lpstr>
      <vt:lpstr>DIMENSIONAMENTO PILAR</vt:lpstr>
      <vt:lpstr>MURO DE ARRIMO</vt:lpstr>
      <vt:lpstr>DADOS DO SOLO</vt:lpstr>
      <vt:lpstr>ASSENTAMENTO</vt:lpstr>
      <vt:lpstr>KC E KS</vt:lpstr>
      <vt:lpstr>CÁLCULO FECHAMENTO</vt:lpstr>
      <vt:lpstr>FECHAMENTO EM ALVENARIA</vt:lpstr>
      <vt:lpstr>TABELAS LÍBANO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Intra</dc:creator>
  <cp:lastModifiedBy>Carlos  Eduardo Godoy Ferreira</cp:lastModifiedBy>
  <cp:lastPrinted>2025-10-15T17:48:02Z</cp:lastPrinted>
  <dcterms:created xsi:type="dcterms:W3CDTF">2019-07-17T12:07:00Z</dcterms:created>
  <dcterms:modified xsi:type="dcterms:W3CDTF">2026-07-16T11:58:06Z</dcterms:modified>
</cp:coreProperties>
</file>