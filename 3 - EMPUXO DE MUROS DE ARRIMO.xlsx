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DIMENSIONAMENTO PILAR" sheetId="12" r:id="rId98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RÁPIDA'!$K$1:$T$259</definedName>
    <definedName name="_xlnm.Print_Area" localSheetId="1">'DIMENSIONAMENTO PILAR'!$K$1:$T$165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<sst xmlns="http://schemas.openxmlformats.org/spreadsheetml/2006/main" count="559" uniqueCount="298">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</sst>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"/>
    <numFmt numFmtId="167" formatCode="0.000%"/>
    <numFmt numFmtId="168" formatCode="0.00"/>
    <numFmt numFmtId="169" formatCode="&quot;Ø &quot;0.0&quot; mm&quot;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5" fillId="13" borderId="41" xfId="0" applyNumberFormat="1" applyFont="1" applyFill="1" applyBorder="1" applyAlignment="1">
      <alignment horizontal="left" vertical="center" wrapText="1" indent="1"/>
    </xf>
    <xf numFmtId="0" fontId="35" fillId="0" borderId="41" xfId="0" applyNumberFormat="1" applyFont="1" applyFill="1" applyBorder="1" applyAlignment="1">
      <alignment horizontal="center" vertical="center" wrapText="1"/>
    </xf>
    <xf numFmtId="169" fontId="35" fillId="13" borderId="41" xfId="0" applyNumberFormat="1" applyFont="1" applyFill="1" applyBorder="1" applyAlignment="1">
      <alignment horizontal="center" vertical="center"/>
    </xf>
    <xf numFmtId="0" fontId="38" fillId="0" borderId="41" xfId="0" applyNumberFormat="1" applyFont="1" applyFill="1" applyBorder="1" applyAlignment="1">
      <alignment horizontal="center" vertical="center" wrapText="1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Relationship Id="rId98" Type="http://schemas.openxmlformats.org/officeDocument/2006/relationships/worksheet" Target="worksheets/sheet9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RÁPIDA'!$L$145:$L$146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RÁPIDA'!$M$145:$M$146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RÁPIDA'!$L$147:$L$150</c:f>
              <c:numCache>
                <c:formatCode>General</c:formatCode>
                <c:ptCount val="4"/>
                <c:pt idx="0">
                  <c:v>0.0</c:v>
                </c:pt>
                <c:pt idx="1">
                  <c:v>12.167266237259694</c:v>
                </c:pt>
                <c:pt idx="2">
                  <c:v>187.3759000537993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RÁPIDA'!$M$147:$M$150</c:f>
              <c:numCache>
                <c:formatCode>General</c:formatCode>
                <c:ptCount val="4"/>
                <c:pt idx="0">
                  <c:v>4.0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12.167266237259694</c:v>
                </c:pt>
                <c:pt idx="1">
                  <c:v>12.167266237259694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4.0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158.17446108437605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0.6666666666666666</c:v>
                </c:pt>
                <c:pt idx="1">
                  <c:v>0.6666666666666666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128.97302211495278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1.3333333333333333</c:v>
                </c:pt>
                <c:pt idx="1">
                  <c:v>1.3333333333333333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99.7715831455295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70.57014417610624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2.6666666666666665</c:v>
                </c:pt>
                <c:pt idx="1">
                  <c:v>2.6666666666666665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41.36870520668296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3.3333333333333335</c:v>
                </c:pt>
                <c:pt idx="1">
                  <c:v>3.3333333333333335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215.4822850618692</c:v>
                </c:pt>
                <c:pt idx="1">
                  <c:v>0.0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1.4146341463414631</c:v>
                </c:pt>
                <c:pt idx="1">
                  <c:v>1.4146341463414631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RÁPIDA'!$L$165:$L$166</c:f>
              <c:numCache>
                <c:formatCode>General</c:formatCode>
                <c:ptCount val="2"/>
                <c:pt idx="0">
                  <c:v>0.0</c:v>
                </c:pt>
                <c:pt idx="1">
                  <c:v>-65.58156501882975</c:v>
                </c:pt>
              </c:numCache>
            </c:numRef>
          </c:xVal>
          <c:yVal>
            <c:numRef>
              <c:f>'CONTENÇÃO RÁPIDA'!$M$165:$M$166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RÁPIDA'!$L$167:$L$168</c:f>
              <c:numCache>
                <c:formatCode>General</c:formatCode>
                <c:ptCount val="2"/>
                <c:pt idx="0">
                  <c:v>0.0</c:v>
                </c:pt>
                <c:pt idx="1">
                  <c:v>-65.58156501882975</c:v>
                </c:pt>
              </c:numCache>
            </c:numRef>
          </c:xVal>
          <c:yVal>
            <c:numRef>
              <c:f>'CONTENÇÃO RÁPIDA'!$M$167:$M$168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RÁPIDA'!$K$169</c:f>
              <c:strCache>
                <c:ptCount val="1"/>
                <c:pt idx="0">
                  <c:v>p,topo = 12,17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12.167266237259694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RÁPIDA'!$K$170</c:f>
              <c:strCache>
                <c:ptCount val="1"/>
                <c:pt idx="0">
                  <c:v>p,base = 187,38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RÁPIDA'!$L$170:$L$170</c:f>
              <c:numCache>
                <c:formatCode>General</c:formatCode>
                <c:ptCount val="1"/>
                <c:pt idx="0">
                  <c:v>187.3759000537993</c:v>
                </c:pt>
              </c:numCache>
            </c:numRef>
          </c:xVal>
          <c:yVal>
            <c:numRef>
              <c:f>'CONTENÇÃO RÁPIDA'!$M$170:$M$170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RÁPIDA'!$K$171</c:f>
              <c:strCache>
                <c:ptCount val="1"/>
                <c:pt idx="0">
                  <c:v>E = 399,1 kN (y = 1,41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RÁPIDA'!$L$171:$L$171</c:f>
              <c:numCache>
                <c:formatCode>General</c:formatCode>
                <c:ptCount val="1"/>
                <c:pt idx="0">
                  <c:v>215.4822850618692</c:v>
                </c:pt>
              </c:numCache>
            </c:numRef>
          </c:xVal>
          <c:yVal>
            <c:numRef>
              <c:f>'CONTENÇÃO RÁPIDA'!$M$171:$M$171</c:f>
              <c:numCache>
                <c:formatCode>General</c:formatCode>
                <c:ptCount val="1"/>
                <c:pt idx="0">
                  <c:v>1.4146341463414631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RÁPIDA'!$K$172</c:f>
              <c:strCache>
                <c:ptCount val="1"/>
                <c:pt idx="0">
                  <c:v>R,topo = 88,3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RÁPIDA'!$L$172:$L$172</c:f>
              <c:numCache>
                <c:formatCode>General</c:formatCode>
                <c:ptCount val="1"/>
                <c:pt idx="0">
                  <c:v>-65.58156501882975</c:v>
                </c:pt>
              </c:numCache>
            </c:numRef>
          </c:xVal>
          <c:yVal>
            <c:numRef>
              <c:f>'CONTENÇÃO RÁPIDA'!$M$172:$M$172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RÁPIDA'!$K$173</c:f>
              <c:strCache>
                <c:ptCount val="1"/>
                <c:pt idx="0">
                  <c:v>R,base = 310,8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RÁPIDA'!$L$173:$L$173</c:f>
              <c:numCache>
                <c:formatCode>General</c:formatCode>
                <c:ptCount val="1"/>
                <c:pt idx="0">
                  <c:v>-65.58156501882975</c:v>
                </c:pt>
              </c:numCache>
            </c:numRef>
          </c:xVal>
          <c:yVal>
            <c:numRef>
              <c:f>'CONTENÇÃO RÁPIDA'!$M$173:$M$173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RÁPIDA'!$L$174:$L$175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RÁPIDA'!$M$174:$M$175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RÁPIDA'!$L$176:$L$179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40.645531465032384</c:v>
                </c:pt>
                <c:pt idx="3">
                  <c:v>0.0</c:v>
                </c:pt>
              </c:numCache>
            </c:numRef>
          </c:xVal>
          <c:yVal>
            <c:numRef>
              <c:f>'CONTENÇÃO RÁPIDA'!$M$176:$M$179</c:f>
              <c:numCache>
                <c:formatCode>General</c:formatCode>
                <c:ptCount val="4"/>
                <c:pt idx="0">
                  <c:v>4.0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4.0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31.143978655024814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RÁPIDA'!$L$184:$L$185</c:f>
              <c:numCache>
                <c:formatCode>General</c:formatCode>
                <c:ptCount val="2"/>
                <c:pt idx="0">
                  <c:v>21.642425845017243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RÁPIDA'!$M$184:$M$185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RÁPIDA'!$L$186:$L$187</c:f>
              <c:numCache>
                <c:formatCode>General</c:formatCode>
                <c:ptCount val="2"/>
                <c:pt idx="0">
                  <c:v>12.140873035009673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RÁPIDA'!$M$186:$M$187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RÁPIDA'!$L$188:$L$207</c:f>
              <c:numCache>
                <c:formatCode>General</c:formatCode>
                <c:ptCount val="20"/>
                <c:pt idx="0">
                  <c:v>40.645531465032384</c:v>
                </c:pt>
                <c:pt idx="1">
                  <c:v>40.645531465032384</c:v>
                </c:pt>
                <c:pt idx="2">
                  <c:v>28.768590452522922</c:v>
                </c:pt>
                <c:pt idx="3">
                  <c:v>28.768590452522922</c:v>
                </c:pt>
                <c:pt idx="4">
                  <c:v>16.89164944001346</c:v>
                </c:pt>
                <c:pt idx="5">
                  <c:v>16.89164944001346</c:v>
                </c:pt>
                <c:pt idx="6">
                  <c:v>5.0147084275039955</c:v>
                </c:pt>
                <c:pt idx="7">
                  <c:v>5.0147084275039955</c:v>
                </c:pt>
                <c:pt idx="8">
                  <c:v>5.0147084275039955</c:v>
                </c:pt>
                <c:pt idx="9">
                  <c:v>5.0147084275039955</c:v>
                </c:pt>
                <c:pt idx="10">
                  <c:v>5.0147084275039955</c:v>
                </c:pt>
                <c:pt idx="11">
                  <c:v>5.0147084275039955</c:v>
                </c:pt>
                <c:pt idx="12">
                  <c:v>5.0147084275039955</c:v>
                </c:pt>
                <c:pt idx="13">
                  <c:v>5.0147084275039955</c:v>
                </c:pt>
                <c:pt idx="14">
                  <c:v>5.0147084275039955</c:v>
                </c:pt>
                <c:pt idx="15">
                  <c:v>5.0147084275039955</c:v>
                </c:pt>
                <c:pt idx="16">
                  <c:v>5.0147084275039955</c:v>
                </c:pt>
                <c:pt idx="17">
                  <c:v>5.0147084275039955</c:v>
                </c:pt>
                <c:pt idx="18">
                  <c:v>5.0147084275039955</c:v>
                </c:pt>
                <c:pt idx="19">
                  <c:v>5.0147084275039955</c:v>
                </c:pt>
              </c:numCache>
            </c:numRef>
          </c:xVal>
          <c:yVal>
            <c:numRef>
              <c:f>'CONTENÇÃO RÁPIDA'!$M$188:$M$207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3.75</c:v>
                </c:pt>
                <c:pt idx="6">
                  <c:v>3.75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RÁPIDA'!$L$222:$L$223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RÁPIDA'!$M$222:$M$223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RÁPIDA'!$L$224:$L$225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RÁPIDA'!$M$224:$M$225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RÁPIDA'!$K$226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RÁPIDA'!$K$227</c:f>
              <c:strCache>
                <c:ptCount val="1"/>
                <c:pt idx="0">
                  <c:v>σ,base = 40,65 kN/m² = solo 38,01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  <c:pt idx="0">
                  <c:v>40.645531465032384</c:v>
                </c:pt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RÁPIDA'!$K$228</c:f>
              <c:strCache>
                <c:ptCount val="1"/>
                <c:pt idx="0">
                  <c:v>P1: g = 47,51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  <c:pt idx="0">
                  <c:v>40.645531465032384</c:v>
                </c:pt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RÁPIDA'!$K$229</c:f>
              <c:strCache>
                <c:ptCount val="1"/>
                <c:pt idx="0">
                  <c:v>P2: g = 32,66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  <c:pt idx="0">
                  <c:v>28.768590452522922</c:v>
                </c:pt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RÁPIDA'!$K$230</c:f>
              <c:strCache>
                <c:ptCount val="1"/>
                <c:pt idx="0">
                  <c:v>P3: g = 17,82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  <c:pt idx="0">
                  <c:v>16.89164944001346</c:v>
                </c:pt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  <c:pt idx="0">
                  <c:v>3.125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RÁPIDA'!$K$231</c:f>
              <c:strCache>
                <c:ptCount val="1"/>
                <c:pt idx="0">
                  <c:v>P4: g = 0,59 | q = 0,66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  <c:pt idx="0">
                  <c:v>5.0147084275039955</c:v>
                </c:pt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  <c:pt idx="0">
                  <c:v>3.875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RÁPIDA'!$L$234:$L$234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RÁPIDA'!$M$234:$M$234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RÁPIDA'!$L$235:$L$235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RÁPIDA'!$M$235:$M$235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RÁPIDA'!$L$236:$L$236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RÁPIDA'!$M$236:$M$236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RÁPIDA'!$L$237:$L$237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RÁPIDA'!$M$237:$M$237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112</xdr:row>
      <xdr:rowOff>0</xdr:rowOff>
    </xdr:from>
    <xdr:to>
      <xdr:col>14</xdr:col>
      <xdr:colOff>0</xdr:colOff>
      <xdr:row>142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112</xdr:row>
      <xdr:rowOff>0</xdr:rowOff>
    </xdr:from>
    <xdr:to>
      <xdr:col>20</xdr:col>
      <xdr:colOff>0</xdr:colOff>
      <xdr:row>142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9"/>
  <sheetViews>
    <sheetView showGridLines="0" tabSelected="1" view="pageBreakPreview" topLeftCell="J1" zoomScaleNormal="100" zoomScaleSheetLayoutView="100" workbookViewId="0">
      <pane ySplit="4" topLeftCell="J5" activePane="bottomLeft" state="frozen"/>
      <selection pane="bottomLeft" activeCell="L29" sqref="L29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PILAR – CARGA TRAPEZOIDAL</t>
        </is>
      </c>
      <c r="L2" s="239"/>
      <c r="M2" s="240">
        <f>"p,topo = "&amp;FIXED($L$59,2)&amp;" kN/m"</f>
      </c>
      <c r="N2" s="240"/>
      <c r="O2" s="240">
        <f>"p,base = "&amp;FIXED($L$60,2)&amp;" kN/m"</f>
      </c>
      <c r="P2" s="240"/>
      <c r="Q2" s="240"/>
      <c r="R2" s="240">
        <f>"E = "&amp;FIXED($L$63,2)&amp;" kN a "&amp;FIXED($L$65,2)&amp;" m da base"</f>
      </c>
      <c r="S2" s="240"/>
      <c r="T2" s="240"/>
    </row>
    <row r="3" ht="32" customHeight="1">
      <c r="K3" s="239" t="inlineStr">
        <is>
          <t xml:space="preserve">PILAR – MOMENTOS</t>
        </is>
      </c>
      <c r="L3" s="239"/>
      <c r="M3" s="240">
        <f>"M,base = "&amp;FIXED($L$80,2)&amp;" kN·m ("&amp;$L$39&amp;")"</f>
      </c>
      <c r="N3" s="240"/>
      <c r="O3" s="240">
        <f>"M,vão = "&amp;IF($L$39="Balanço","-",FIXED($L$81,2)&amp;" kN·m a "&amp;FIXED($L$82,2)&amp;" m")</f>
      </c>
      <c r="P3" s="240"/>
      <c r="Q3" s="240"/>
      <c r="R3" s="240">
        <f>"R,topo = "&amp;FIXED($L$78,2)&amp;" kN → laje"</f>
      </c>
      <c r="S3" s="240"/>
      <c r="T3" s="240"/>
    </row>
    <row r="4" ht="32" customHeight="1">
      <c r="K4" s="239" t="inlineStr">
        <is>
          <t xml:space="preserve">LAJE – PAINEL MAIS CARREGADO (P1)</t>
        </is>
      </c>
      <c r="L4" s="239"/>
      <c r="M4" s="240">
        <f>"g = "&amp;FIXED($L$93,2)&amp;" | q = "&amp;FIXED($L$94,2)&amp;" kN/m"</f>
      </c>
      <c r="N4" s="240"/>
      <c r="O4" s="240">
        <f>"p,total = "&amp;FIXED($L$92,2)&amp;" kN/m²"</f>
      </c>
      <c r="P4" s="240"/>
      <c r="Q4" s="240"/>
      <c r="R4" s="240">
        <f>"Mk = "&amp;FIXED($L$95,2)&amp;" kN·m | Vk = "&amp;FIXED($L$96,2)&amp;" kN"</f>
      </c>
      <c r="S4" s="240"/>
      <c r="T4" s="240"/>
    </row>
    <row r="6" ht="60" customHeight="1">
      <c r="K6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– VALORES PARA LANÇAR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Empuxo</t>
        </is>
      </c>
      <c r="L11" s="236">
        <f>$L$38&amp;" – K = "&amp;FIXED($L$48,3)</f>
      </c>
      <c r="M11" s="236"/>
      <c r="N11" s="232">
        <f>"Ok"</f>
      </c>
      <c r="O11" s="233" t="inlineStr">
        <is>
          <t xml:space="preserve">Coeficiente adotado – item 2.1</t>
        </is>
      </c>
    </row>
    <row r="12" ht="32" customHeight="1">
      <c r="K12" s="223" t="inlineStr">
        <is>
          <t xml:space="preserve">Aviso</t>
        </is>
      </c>
      <c r="L12" s="234">
        <f>IF(AND($L$39&lt;&gt;"Balanço",$L$38="Ativo"),"⚠ Topo do pilar travado pela laje com empuxo ATIVO: se a estrutura for rígida (sem deslocamento), use REPOUSO – K0 = "&amp;FIXED($L$47,2)&amp;" contra Ka = "&amp;FIXED($L$46,2)&amp;" (+"&amp;FIXED(($L$47/$L$46-1)*100,0)&amp;"% de carga).",IF(AND($L$39="Balanço",$L$38="Repouso"),"⚠ Balanço com empuxo em REPOUSO: pilar livre no topo se desloca – ATIVO costuma bastar.","Sem avisos."))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Pilar p,topo</t>
        </is>
      </c>
      <c r="L13" s="236">
        <f>FIXED($L$59,2)&amp;" kN/m"</f>
      </c>
      <c r="M13" s="236"/>
      <c r="N13" s="232"/>
      <c r="O13" s="233" t="inlineStr">
        <is>
          <t xml:space="preserve">Carga trapezoidal no pilar: valor no topo – item 3.1</t>
        </is>
      </c>
    </row>
    <row r="14">
      <c r="K14" s="223" t="inlineStr">
        <is>
          <t xml:space="preserve">Pilar p,base</t>
        </is>
      </c>
      <c r="L14" s="236">
        <f>FIXED($L$60,2)&amp;" kN/m"</f>
      </c>
      <c r="M14" s="236"/>
      <c r="N14" s="232"/>
      <c r="O14" s="233" t="inlineStr">
        <is>
          <t xml:space="preserve">Carga trapezoidal no pilar: valor na base – item 3.1</t>
        </is>
      </c>
    </row>
    <row r="15">
      <c r="K15" s="223" t="inlineStr">
        <is>
          <t xml:space="preserve">Resultante</t>
        </is>
      </c>
      <c r="L15" s="236">
        <f>FIXED($L$63,2)&amp;" kN ("&amp;FIXED($L$64,2)&amp;" tf)"</f>
      </c>
      <c r="M15" s="236"/>
      <c r="N15" s="232"/>
      <c r="O15" s="233" t="inlineStr">
        <is>
          <t xml:space="preserve">Solo + Sc, aplicada a y,E da base – item 3.2</t>
        </is>
      </c>
    </row>
    <row r="16">
      <c r="K16" s="223" t="inlineStr">
        <is>
          <t xml:space="preserve">Modelo pilar</t>
        </is>
      </c>
      <c r="L16" s="236">
        <f>$L$39</f>
      </c>
      <c r="M16" s="236"/>
      <c r="N16" s="232">
        <f>IF(ISNA(MATCH($L$39,$K$74:$K$76,0)),"Rever: modelo inválido","Ok")</f>
      </c>
      <c r="O16" s="233" t="inlineStr">
        <is>
          <t xml:space="preserve">Modelo estrutural do pilar – item 4.1</t>
        </is>
      </c>
    </row>
    <row r="17">
      <c r="K17" s="223" t="inlineStr">
        <is>
          <t xml:space="preserve">R,topo</t>
        </is>
      </c>
      <c r="L17" s="236">
        <f>FIXED($L$78,2)&amp;" kN"</f>
      </c>
      <c r="M17" s="236"/>
      <c r="N17" s="232"/>
      <c r="O17" s="233" t="inlineStr">
        <is>
          <t xml:space="preserve">Força que o pilar entrega à laje/viga do topo – item 4.2</t>
        </is>
      </c>
    </row>
    <row r="18">
      <c r="K18" s="223" t="inlineStr">
        <is>
          <t xml:space="preserve">M,base</t>
        </is>
      </c>
      <c r="L18" s="236">
        <f>FIXED($L$80,2)&amp;" kN·m"</f>
      </c>
      <c r="M18" s="236"/>
      <c r="N18" s="232"/>
      <c r="O18" s="233" t="inlineStr">
        <is>
          <t xml:space="preserve">Momento na base do pilar – item 4.2</t>
        </is>
      </c>
    </row>
    <row r="19">
      <c r="K19" s="223" t="inlineStr">
        <is>
          <t xml:space="preserve">M,vão</t>
        </is>
      </c>
      <c r="L19" s="236">
        <f>IF($L$39="Balanço","-",FIXED($L$81,2)&amp;" kN·m a "&amp;FIXED($L$82,2)&amp;" m")</f>
      </c>
      <c r="M19" s="236"/>
      <c r="N19" s="232"/>
      <c r="O19" s="233" t="inlineStr">
        <is>
          <t xml:space="preserve">Maior momento positivo e altura a partir da base – item 4.2</t>
        </is>
      </c>
    </row>
    <row r="20">
      <c r="K20" s="223" t="inlineStr">
        <is>
          <t xml:space="preserve">M(x)</t>
        </is>
      </c>
      <c r="L20" s="236">
        <f>FIXED($L$83,2)&amp;" kN·m"</f>
      </c>
      <c r="M20" s="236"/>
      <c r="N20" s="232">
        <f>IF($L$40&gt;$L$33,"Rever: x maior que H",IF($L$40&lt;0,"Rever: x negativo","Ok"))</f>
      </c>
      <c r="O20" s="233" t="inlineStr">
        <is>
          <t xml:space="preserve">Momento na cota x – item 4.2</t>
        </is>
      </c>
    </row>
    <row r="21">
      <c r="K21" s="223" t="inlineStr">
        <is>
          <t xml:space="preserve">Laje p,total</t>
        </is>
      </c>
      <c r="L21" s="236">
        <f>FIXED($L$92,2)&amp;" kN/m²"</f>
      </c>
      <c r="M21" s="236"/>
      <c r="N21" s="232">
        <f>IF($L$89&gt;10,"Rever: mais de 10 painéis","Ok")</f>
      </c>
      <c r="O21" s="233" t="inlineStr">
        <is>
          <t xml:space="preserve">Painel inferior: comparar com a tabela do fabricante – item 5.1</t>
        </is>
      </c>
    </row>
    <row r="22">
      <c r="K22" s="223" t="inlineStr">
        <is>
          <t xml:space="preserve">Laje g / q</t>
        </is>
      </c>
      <c r="L22" s="236">
        <f>FIXED($L$93,2)&amp;" / "&amp;FIXED($L$94,2)&amp;" kN/m"</f>
      </c>
      <c r="M22" s="236"/>
      <c r="N22" s="232"/>
      <c r="O22" s="233" t="inlineStr">
        <is>
          <t xml:space="preserve">Cargas lineares no painel inferior – item 5.1</t>
        </is>
      </c>
    </row>
    <row r="23">
      <c r="K23" s="223" t="inlineStr">
        <is>
          <t xml:space="preserve">Laje Mk / Vk</t>
        </is>
      </c>
      <c r="L23" s="236">
        <f>FIXED($L$95,2)&amp;" kN·m / "&amp;FIXED($L$96,2)&amp;" kN"</f>
      </c>
      <c r="M23" s="236"/>
      <c r="N23" s="232"/>
      <c r="O23" s="233" t="inlineStr">
        <is>
          <t xml:space="preserve">Esforços no painel inferior, vão L – item 5.1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Solo</t>
        </is>
      </c>
    </row>
    <row r="29">
      <c r="K29" s="223" t="inlineStr">
        <is>
          <t xml:space="preserve">γ</t>
        </is>
      </c>
      <c r="L29" s="224">
        <v>18</v>
      </c>
      <c r="M29" s="231" t="inlineStr">
        <is>
          <t xml:space="preserve">kN/m³</t>
        </is>
      </c>
      <c r="O29" s="233" t="inlineStr">
        <is>
          <t xml:space="preserve">Peso específico do solo.</t>
        </is>
      </c>
    </row>
    <row r="30">
      <c r="K30" s="223" t="inlineStr">
        <is>
          <t xml:space="preserve">φ</t>
        </is>
      </c>
      <c r="L30" s="224">
        <v>18</v>
      </c>
      <c r="M30" s="231" t="inlineStr">
        <is>
          <t xml:space="preserve">°</t>
        </is>
      </c>
      <c r="O30" s="233" t="inlineStr">
        <is>
          <t xml:space="preserve">Ângulo de atrito do solo (ver aba DADOS DO SOLO, col. G).</t>
        </is>
      </c>
    </row>
    <row r="31">
      <c r="K31" s="223" t="inlineStr">
        <is>
          <t xml:space="preserve">Sc</t>
        </is>
      </c>
      <c r="L31" s="224">
        <v>5</v>
      </c>
      <c r="M31" s="231" t="inlineStr">
        <is>
          <t xml:space="preserve">kN/m²</t>
        </is>
      </c>
      <c r="O31" s="233" t="inlineStr">
        <is>
          <t xml:space="preserve">Sobrecarga no terreno (veículos leves ≈ 5 a 10; só pedestres ≈ 2,5 a 5).</t>
        </is>
      </c>
    </row>
    <row r="32">
      <c r="K32" s="222" t="inlineStr">
        <is>
          <t xml:space="preserve">1.2 Geometria</t>
        </is>
      </c>
    </row>
    <row r="33">
      <c r="K33" s="223" t="inlineStr">
        <is>
          <t xml:space="preserve">H</t>
        </is>
      </c>
      <c r="L33" s="224">
        <v>4</v>
      </c>
      <c r="M33" s="231" t="inlineStr">
        <is>
          <t xml:space="preserve">m</t>
        </is>
      </c>
      <c r="O33" s="233" t="inlineStr">
        <is>
          <t xml:space="preserve">Altura da contenção: da base até o topo do terreno contido.</t>
        </is>
      </c>
    </row>
    <row r="34">
      <c r="K34" s="223" t="inlineStr">
        <is>
          <t xml:space="preserve">D</t>
        </is>
      </c>
      <c r="L34" s="226">
        <f>9.22/2</f>
      </c>
      <c r="M34" s="231" t="inlineStr">
        <is>
          <t xml:space="preserve">m</t>
        </is>
      </c>
      <c r="O34" s="233" t="inlineStr">
        <is>
          <t xml:space="preserve">Largura de influência no pilar: intermediário = (vão esq. + vão dir.)/2; extremidade = vão/2.</t>
        </is>
      </c>
    </row>
    <row r="35">
      <c r="K35" s="223" t="inlineStr">
        <is>
          <t xml:space="preserve">bw</t>
        </is>
      </c>
      <c r="L35" s="224">
        <v>1.25</v>
      </c>
      <c r="M35" s="231" t="inlineStr">
        <is>
          <t xml:space="preserve">m</t>
        </is>
      </c>
      <c r="O35" s="233" t="inlineStr">
        <is>
          <t xml:space="preserve">Largura da placa de laje alveolar = altura de cada painel deitado na contenção.</t>
        </is>
      </c>
    </row>
    <row r="36">
      <c r="K36" s="223" t="inlineStr">
        <is>
          <t xml:space="preserve">L</t>
        </is>
      </c>
      <c r="L36" s="226">
        <f>L34</f>
      </c>
      <c r="M36" s="231" t="inlineStr">
        <is>
          <t xml:space="preserve">m</t>
        </is>
      </c>
      <c r="O36" s="233" t="inlineStr">
        <is>
          <t xml:space="preserve">Vão que a placa vence entre pilares (padrão = D; altere se for diferente).</t>
        </is>
      </c>
    </row>
    <row r="37">
      <c r="K37" s="222" t="inlineStr">
        <is>
          <t xml:space="preserve">1.3 Modelo</t>
        </is>
      </c>
    </row>
    <row r="38">
      <c r="K38" s="223" t="inlineStr">
        <is>
          <t xml:space="preserve">Empuxo</t>
        </is>
      </c>
      <c r="L38" s="224" t="inlineStr">
        <is>
          <t xml:space="preserve">Ativo</t>
        </is>
      </c>
      <c r="M38" s="231" t="inlineStr">
        <is>
          <t xml:space="preserve">-</t>
        </is>
      </c>
      <c r="O38" s="233" t="inlineStr">
        <is>
          <t xml:space="preserve">Ativo (Ka): parede pode se deslocar. Repouso (K0): topo travado, estrutura rígida.</t>
        </is>
      </c>
    </row>
    <row r="39">
      <c r="K39" s="223" t="inlineStr">
        <is>
          <t xml:space="preserve">Pilar</t>
        </is>
      </c>
      <c r="L39" s="224" t="inlineStr">
        <is>
          <t xml:space="preserve">Engaste-apoio</t>
        </is>
      </c>
      <c r="M39" s="231" t="inlineStr">
        <is>
          <t xml:space="preserve">-</t>
        </is>
      </c>
      <c r="O39" s="233" t="inlineStr">
        <is>
          <t xml:space="preserve">Modelo do pilar: escolha na tabela do item 4.1 (define o resumo).</t>
        </is>
      </c>
    </row>
    <row r="40">
      <c r="K40" s="223" t="inlineStr">
        <is>
          <t xml:space="preserve">x</t>
        </is>
      </c>
      <c r="L40" s="224">
        <v>0</v>
      </c>
      <c r="M40" s="231" t="inlineStr">
        <is>
          <t xml:space="preserve">m</t>
        </is>
      </c>
      <c r="O40" s="233" t="inlineStr">
        <is>
          <t xml:space="preserve">Cota de verificação do momento, medida a partir da base (x = 0 → base).</t>
        </is>
      </c>
    </row>
    <row r="42">
      <c r="K42" s="221" t="inlineStr">
        <is>
          <t xml:space="preserve">2 . COEFICIENTE DE EMPUXO E PRESSÕES</t>
        </is>
      </c>
      <c r="L42" s="221"/>
      <c r="M42" s="221"/>
      <c r="N42" s="221"/>
      <c r="O42" s="221"/>
      <c r="P42" s="221"/>
      <c r="Q42" s="221"/>
      <c r="R42" s="221"/>
      <c r="S42" s="221"/>
      <c r="T42" s="221"/>
    </row>
    <row r="44" ht="32" customHeight="1">
      <c r="K44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4" s="220"/>
      <c r="M44" s="220"/>
      <c r="N44" s="220"/>
      <c r="O44" s="220"/>
      <c r="P44" s="220"/>
      <c r="Q44" s="220"/>
      <c r="R44" s="220"/>
      <c r="S44" s="220"/>
      <c r="T44" s="220"/>
    </row>
    <row r="45">
      <c r="K45" s="222" t="inlineStr">
        <is>
          <t xml:space="preserve">2.1 Coeficiente</t>
        </is>
      </c>
    </row>
    <row r="46">
      <c r="K46" s="223" t="inlineStr">
        <is>
          <t xml:space="preserve">Ka</t>
        </is>
      </c>
      <c r="L46" s="228">
        <f>TAN(RADIANS(45-$L$30/2))^2</f>
      </c>
      <c r="M46" s="231" t="inlineStr">
        <is>
          <t xml:space="preserve">-</t>
        </is>
      </c>
      <c r="O46" s="233" t="inlineStr">
        <is>
          <t xml:space="preserve">Empuxo ativo: tan²(45° − φ/2).</t>
        </is>
      </c>
    </row>
    <row r="47">
      <c r="K47" s="223" t="inlineStr">
        <is>
          <t xml:space="preserve">K0</t>
        </is>
      </c>
      <c r="L47" s="228">
        <f>1-SIN(RADIANS($L$30))</f>
      </c>
      <c r="M47" s="231" t="inlineStr">
        <is>
          <t xml:space="preserve">-</t>
        </is>
      </c>
      <c r="O47" s="233" t="inlineStr">
        <is>
          <t xml:space="preserve">Empuxo em repouso: 1 − sen φ.</t>
        </is>
      </c>
    </row>
    <row r="48">
      <c r="K48" s="223" t="inlineStr">
        <is>
          <t xml:space="preserve">K</t>
        </is>
      </c>
      <c r="L48" s="228">
        <f>IF($L$38="Repouso",$L$47,$L$46)</f>
      </c>
      <c r="M48" s="231" t="inlineStr">
        <is>
          <t xml:space="preserve">-</t>
        </is>
      </c>
      <c r="O48" s="233" t="inlineStr">
        <is>
          <t xml:space="preserve">Coeficiente adotado (item 1.3).</t>
        </is>
      </c>
    </row>
    <row r="49">
      <c r="K49" s="222" t="inlineStr">
        <is>
          <t xml:space="preserve">2.2 Pressões</t>
        </is>
      </c>
    </row>
    <row r="50">
      <c r="K50" s="223" t="inlineStr">
        <is>
          <t xml:space="preserve">h,eq</t>
        </is>
      </c>
      <c r="L50" s="228">
        <f>IF($L$29=0,0,$L$31/$L$29)</f>
      </c>
      <c r="M50" s="231" t="inlineStr">
        <is>
          <t xml:space="preserve">m</t>
        </is>
      </c>
      <c r="O50" s="233" t="inlineStr">
        <is>
          <t xml:space="preserve">Altura de solo equivalente à sobrecarga (Sc/γ).</t>
        </is>
      </c>
    </row>
    <row r="51">
      <c r="K51" s="223" t="inlineStr">
        <is>
          <t xml:space="preserve">σ,topo</t>
        </is>
      </c>
      <c r="L51" s="227">
        <f>$L$48*$L$31</f>
      </c>
      <c r="M51" s="231" t="inlineStr">
        <is>
          <t xml:space="preserve">kN/m²</t>
        </is>
      </c>
      <c r="O51" s="233" t="inlineStr">
        <is>
          <t xml:space="preserve">Pressão no topo: K·Sc.</t>
        </is>
      </c>
    </row>
    <row r="52">
      <c r="K52" s="223" t="inlineStr">
        <is>
          <t xml:space="preserve">σ,base</t>
        </is>
      </c>
      <c r="L52" s="227">
        <f>$L$48*($L$31+$L$29*$L$33)</f>
      </c>
      <c r="M52" s="231" t="inlineStr">
        <is>
          <t xml:space="preserve">kN/m²</t>
        </is>
      </c>
      <c r="O52" s="233" t="inlineStr">
        <is>
          <t xml:space="preserve">Pressão na base: K·(Sc + γ·H).</t>
        </is>
      </c>
    </row>
    <row r="53">
      <c r="K53" s="223" t="inlineStr">
        <is>
          <t xml:space="preserve">σ,solo</t>
        </is>
      </c>
      <c r="L53" s="227">
        <f>$L$48*$L$29*$L$33</f>
      </c>
      <c r="M53" s="231" t="inlineStr">
        <is>
          <t xml:space="preserve">kN/m²</t>
        </is>
      </c>
      <c r="O53" s="233" t="inlineStr">
        <is>
          <t xml:space="preserve">Pressão na base só do solo: K·γ·H (sem Sc).</t>
        </is>
      </c>
    </row>
    <row r="55">
      <c r="K55" s="221" t="inlineStr">
        <is>
          <t xml:space="preserve">3 . PILAR – CARGA PARA LANÇAR NO MODELO</t>
        </is>
      </c>
      <c r="L55" s="221"/>
      <c r="M55" s="221"/>
      <c r="N55" s="221"/>
      <c r="O55" s="221"/>
      <c r="P55" s="221"/>
      <c r="Q55" s="221"/>
      <c r="R55" s="221"/>
      <c r="S55" s="221"/>
      <c r="T55" s="221"/>
    </row>
    <row r="57" ht="32" customHeight="1">
      <c r="K57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7" s="220"/>
      <c r="M57" s="220"/>
      <c r="N57" s="220"/>
      <c r="O57" s="220"/>
      <c r="P57" s="220"/>
      <c r="Q57" s="220"/>
      <c r="R57" s="220"/>
      <c r="S57" s="220"/>
      <c r="T57" s="220"/>
    </row>
    <row r="58">
      <c r="K58" s="222" t="inlineStr">
        <is>
          <t xml:space="preserve">3.1 Carga distribuída</t>
        </is>
      </c>
    </row>
    <row r="59">
      <c r="K59" s="223" t="inlineStr">
        <is>
          <t xml:space="preserve">p,topo</t>
        </is>
      </c>
      <c r="L59" s="227">
        <f>$L$51*$L$34</f>
      </c>
      <c r="M59" s="231" t="inlineStr">
        <is>
          <t xml:space="preserve">kN/m</t>
        </is>
      </c>
      <c r="O59" s="233" t="inlineStr">
        <is>
          <t xml:space="preserve">Carga no topo do pilar: σ,topo·D.</t>
        </is>
      </c>
    </row>
    <row r="60">
      <c r="K60" s="223" t="inlineStr">
        <is>
          <t xml:space="preserve">p,base</t>
        </is>
      </c>
      <c r="L60" s="227">
        <f>$L$52*$L$34</f>
      </c>
      <c r="M60" s="231" t="inlineStr">
        <is>
          <t xml:space="preserve">kN/m</t>
        </is>
      </c>
      <c r="O60" s="233" t="inlineStr">
        <is>
          <t xml:space="preserve">Carga na base do pilar: σ,base·D.</t>
        </is>
      </c>
    </row>
    <row r="61">
      <c r="K61" s="223" t="inlineStr">
        <is>
          <t xml:space="preserve">Δp</t>
        </is>
      </c>
      <c r="L61" s="227">
        <f>$L$60-$L$59</f>
      </c>
      <c r="M61" s="231" t="inlineStr">
        <is>
          <t xml:space="preserve">kN/m</t>
        </is>
      </c>
      <c r="O61" s="233" t="inlineStr">
        <is>
          <t xml:space="preserve">Parcela triangular (p,base − p,topo).</t>
        </is>
      </c>
    </row>
    <row r="62">
      <c r="K62" s="222" t="inlineStr">
        <is>
          <t xml:space="preserve">3.2 Resultante</t>
        </is>
      </c>
    </row>
    <row r="63">
      <c r="K63" s="223" t="inlineStr">
        <is>
          <t xml:space="preserve">E</t>
        </is>
      </c>
      <c r="L63" s="227">
        <f>($L$59+$L$60)*$L$33/2</f>
      </c>
      <c r="M63" s="231" t="inlineStr">
        <is>
          <t xml:space="preserve">kN</t>
        </is>
      </c>
      <c r="O63" s="233" t="inlineStr">
        <is>
          <t xml:space="preserve">Resultante total (solo + Sc).</t>
        </is>
      </c>
    </row>
    <row r="64">
      <c r="K64" s="223" t="inlineStr">
        <is>
          <t xml:space="preserve">E</t>
        </is>
      </c>
      <c r="L64" s="227">
        <f>$L$63/10</f>
      </c>
      <c r="M64" s="231" t="inlineStr">
        <is>
          <t xml:space="preserve">tf</t>
        </is>
      </c>
      <c r="O64" s="233" t="inlineStr">
        <is>
          <t xml:space="preserve">Resultante total em tf.</t>
        </is>
      </c>
    </row>
    <row r="65">
      <c r="K65" s="223" t="inlineStr">
        <is>
          <t xml:space="preserve">y,E</t>
        </is>
      </c>
      <c r="L65" s="228">
        <f>IF($L$63=0,0,($L$59*$L$33^2/2+$L$61*$L$33^2/6)/$L$63)</f>
      </c>
      <c r="M65" s="231" t="inlineStr">
        <is>
          <t xml:space="preserve">m</t>
        </is>
      </c>
      <c r="O65" s="233" t="inlineStr">
        <is>
          <t xml:space="preserve">Ponto de aplicação de E, medido a partir da base.</t>
        </is>
      </c>
    </row>
    <row r="66">
      <c r="K66" s="223" t="inlineStr">
        <is>
          <t xml:space="preserve">E,solo</t>
        </is>
      </c>
      <c r="L66" s="227">
        <f>$L$48*$L$29*$L$33^2/2*$L$34</f>
      </c>
      <c r="M66" s="231" t="inlineStr">
        <is>
          <t xml:space="preserve">kN</t>
        </is>
      </c>
      <c r="O66" s="233" t="inlineStr">
        <is>
          <t xml:space="preserve">Resultante só do solo, a H/3 da base (= M23 da aba MURO DE ARRIMO).</t>
        </is>
      </c>
    </row>
    <row r="67">
      <c r="K67" s="223" t="inlineStr">
        <is>
          <t xml:space="preserve">E,solo</t>
        </is>
      </c>
      <c r="L67" s="227">
        <f>$L$66/10</f>
      </c>
      <c r="M67" s="231" t="inlineStr">
        <is>
          <t xml:space="preserve">tf</t>
        </is>
      </c>
      <c r="O67" s="233" t="inlineStr">
        <is>
          <t xml:space="preserve">Idem em tf (= M24 da aba MURO DE ARRIMO).</t>
        </is>
      </c>
    </row>
    <row r="69">
      <c r="K69" s="221" t="inlineStr">
        <is>
          <t xml:space="preserve">4 . PILAR – ESFORÇOS (característicos)</t>
        </is>
      </c>
      <c r="L69" s="221"/>
      <c r="M69" s="221"/>
      <c r="N69" s="221"/>
      <c r="O69" s="221"/>
      <c r="P69" s="221"/>
      <c r="Q69" s="221"/>
      <c r="R69" s="221"/>
      <c r="S69" s="221"/>
      <c r="T69" s="221"/>
    </row>
    <row r="71" ht="45" customHeight="1">
      <c r="K71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71" s="220"/>
      <c r="M71" s="220"/>
      <c r="N71" s="220"/>
      <c r="O71" s="220"/>
      <c r="P71" s="220"/>
      <c r="Q71" s="220"/>
      <c r="R71" s="220"/>
      <c r="S71" s="220"/>
      <c r="T71" s="220"/>
    </row>
    <row r="72">
      <c r="K72" s="222" t="inlineStr">
        <is>
          <t xml:space="preserve">4.1 Comparação dos modelos</t>
        </is>
      </c>
    </row>
    <row r="73" ht="30" customHeight="1">
      <c r="K73" s="235" t="inlineStr">
        <is>
          <t xml:space="preserve">Modelo</t>
        </is>
      </c>
      <c r="L73" s="235" t="inlineStr">
        <is>
          <t xml:space="preserve">R,topo (kN)</t>
        </is>
      </c>
      <c r="M73" s="235" t="inlineStr">
        <is>
          <t xml:space="preserve">R,base (kN)</t>
        </is>
      </c>
      <c r="N73" s="235" t="inlineStr">
        <is>
          <t xml:space="preserve">M,base (kN·m)</t>
        </is>
      </c>
      <c r="O73" s="235" t="inlineStr">
        <is>
          <t xml:space="preserve">M,vão (kN·m)</t>
        </is>
      </c>
      <c r="P73" s="235" t="inlineStr">
        <is>
          <t xml:space="preserve">y,M (m)</t>
        </is>
      </c>
      <c r="Q73" s="235" t="inlineStr">
        <is>
          <t xml:space="preserve">M(x) (kN·m)</t>
        </is>
      </c>
    </row>
    <row r="74">
      <c r="K74" s="237" t="inlineStr">
        <is>
          <t xml:space="preserve">Balanço</t>
        </is>
      </c>
      <c r="L74" s="227">
        <f>0</f>
      </c>
      <c r="M74" s="227">
        <f>$L$63-L74</f>
      </c>
      <c r="N74" s="227">
        <f>-($L$59*$L$33^2/2+$L$61*$L$33^2/6)</f>
      </c>
      <c r="O74" s="227">
        <v>0</v>
      </c>
      <c r="P74" s="237" t="inlineStr">
        <is>
          <t xml:space="preserve">-</t>
        </is>
      </c>
      <c r="Q74" s="227">
        <f>L74*($L$33-$L$40)-$L$59*($L$33-$L$40)^2/2-$L$61*($L$33-$L$40)^3/(6*$L$33)</f>
      </c>
    </row>
    <row r="75">
      <c r="K75" s="237" t="inlineStr">
        <is>
          <t xml:space="preserve">Engaste-apoio</t>
        </is>
      </c>
      <c r="L75" s="227">
        <f>3*$L$59*$L$33/8+$L$61*$L$33/10</f>
      </c>
      <c r="M75" s="227">
        <f>$L$63-L75</f>
      </c>
      <c r="N75" s="227">
        <f>-($L$59*$L$33^2/8+$L$61*$L$33^2/15)</f>
      </c>
      <c r="O75" s="227">
        <f>L75*($L$33-P75)-$L$59*($L$33-P75)^2/2-$L$61*($L$33-P75)^3/(6*$L$33)</f>
      </c>
      <c r="P75" s="227">
        <f>$L$33-IFERROR(IF($L$61=0,L75/$L$59,(-$L$59+SQRT($L$59^2+2*$L$61*L75/$L$33))/($L$61/$L$33)),0)</f>
      </c>
      <c r="Q75" s="227">
        <f>L75*($L$33-$L$40)-$L$59*($L$33-$L$40)^2/2-$L$61*($L$33-$L$40)^3/(6*$L$33)</f>
      </c>
    </row>
    <row r="76">
      <c r="K76" s="237" t="inlineStr">
        <is>
          <t xml:space="preserve">Biapoiado</t>
        </is>
      </c>
      <c r="L76" s="227">
        <f>$L$59*$L$33/2+$L$61*$L$33/6</f>
      </c>
      <c r="M76" s="227">
        <f>$L$63-L76</f>
      </c>
      <c r="N76" s="227">
        <f>0</f>
      </c>
      <c r="O76" s="227">
        <f>L76*($L$33-P76)-$L$59*($L$33-P76)^2/2-$L$61*($L$33-P76)^3/(6*$L$33)</f>
      </c>
      <c r="P76" s="227">
        <f>$L$33-IFERROR(IF($L$61=0,L76/$L$59,(-$L$59+SQRT($L$59^2+2*$L$61*L76/$L$33))/($L$61/$L$33)),0)</f>
      </c>
      <c r="Q76" s="227">
        <f>L76*($L$33-$L$40)-$L$59*($L$33-$L$40)^2/2-$L$61*($L$33-$L$40)^3/(6*$L$33)</f>
      </c>
    </row>
    <row r="77">
      <c r="K77" s="222" t="inlineStr">
        <is>
          <t xml:space="preserve">4.2 Modelo adotado (item 1.3)</t>
        </is>
      </c>
    </row>
    <row r="78">
      <c r="K78" s="223" t="inlineStr">
        <is>
          <t xml:space="preserve">R,topo</t>
        </is>
      </c>
      <c r="L78" s="227">
        <f>IFERROR(INDEX($L$74:$L$76,MATCH($L$39,$K$74:$K$76,0)),0)</f>
      </c>
      <c r="M78" s="231" t="inlineStr">
        <is>
          <t xml:space="preserve">kN</t>
        </is>
      </c>
      <c r="O78" s="233" t="inlineStr">
        <is>
          <t xml:space="preserve">Força horizontal que vai para a laje/viga do topo.</t>
        </is>
      </c>
    </row>
    <row r="79">
      <c r="K79" s="223" t="inlineStr">
        <is>
          <t xml:space="preserve">R,base</t>
        </is>
      </c>
      <c r="L79" s="227">
        <f>IFERROR(INDEX($M$74:$M$76,MATCH($L$39,$K$74:$K$76,0)),0)</f>
      </c>
      <c r="M79" s="231" t="inlineStr">
        <is>
          <t xml:space="preserve">kN</t>
        </is>
      </c>
      <c r="O79" s="233" t="inlineStr">
        <is>
          <t xml:space="preserve">Força horizontal que vai para a fundação.</t>
        </is>
      </c>
    </row>
    <row r="80">
      <c r="K80" s="223" t="inlineStr">
        <is>
          <t xml:space="preserve">M,base</t>
        </is>
      </c>
      <c r="L80" s="227">
        <f>IFERROR(INDEX($N$74:$N$76,MATCH($L$39,$K$74:$K$76,0)),0)</f>
      </c>
      <c r="M80" s="231" t="inlineStr">
        <is>
          <t xml:space="preserve">kN·m</t>
        </is>
      </c>
      <c r="O80" s="233" t="inlineStr">
        <is>
          <t xml:space="preserve">Momento na base do pilar.</t>
        </is>
      </c>
    </row>
    <row r="81">
      <c r="K81" s="223" t="inlineStr">
        <is>
          <t xml:space="preserve">M,vão</t>
        </is>
      </c>
      <c r="L81" s="227">
        <f>IFERROR(INDEX($O$74:$O$76,MATCH($L$39,$K$74:$K$76,0)),0)</f>
      </c>
      <c r="M81" s="231" t="inlineStr">
        <is>
          <t xml:space="preserve">kN·m</t>
        </is>
      </c>
      <c r="O81" s="233" t="inlineStr">
        <is>
          <t xml:space="preserve">Maior momento positivo ao longo do pilar (0 no balanço).</t>
        </is>
      </c>
    </row>
    <row r="82">
      <c r="K82" s="223" t="inlineStr">
        <is>
          <t xml:space="preserve">y,M</t>
        </is>
      </c>
      <c r="L82" s="227">
        <f>IF($L$39="Balanço","-",IFERROR(INDEX($P$74:$P$76,MATCH($L$39,$K$74:$K$76,0)),0))</f>
      </c>
      <c r="M82" s="231" t="inlineStr">
        <is>
          <t xml:space="preserve">m</t>
        </is>
      </c>
      <c r="O82" s="233" t="inlineStr">
        <is>
          <t xml:space="preserve">Altura do M,vão a partir da base.</t>
        </is>
      </c>
    </row>
    <row r="83">
      <c r="K83" s="223" t="inlineStr">
        <is>
          <t xml:space="preserve">M(x)</t>
        </is>
      </c>
      <c r="L83" s="227">
        <f>IFERROR(INDEX($Q$74:$Q$76,MATCH($L$39,$K$74:$K$76,0)),0)</f>
      </c>
      <c r="M83" s="231" t="inlineStr">
        <is>
          <t xml:space="preserve">kN·m</t>
        </is>
      </c>
      <c r="N83" s="232">
        <f>IF($L$40&gt;$L$33,"Rever: x maior que H",IF($L$40&lt;0,"Rever: x negativo","Ok"))</f>
      </c>
      <c r="O83" s="233" t="inlineStr">
        <is>
          <t xml:space="preserve">Momento na cota x (item 1.3).</t>
        </is>
      </c>
    </row>
    <row r="85">
      <c r="K85" s="221" t="inlineStr">
        <is>
          <t xml:space="preserve">5 . LAJE ALVEOLAR – CARGA EM CADA PAINEL</t>
        </is>
      </c>
      <c r="L85" s="221"/>
      <c r="M85" s="221"/>
      <c r="N85" s="221"/>
      <c r="O85" s="221"/>
      <c r="P85" s="221"/>
      <c r="Q85" s="221"/>
      <c r="R85" s="221"/>
      <c r="S85" s="221"/>
      <c r="T85" s="221"/>
    </row>
    <row r="87" ht="45" customHeight="1">
      <c r="K87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7" s="220"/>
      <c r="M87" s="220"/>
      <c r="N87" s="220"/>
      <c r="O87" s="220"/>
      <c r="P87" s="220"/>
      <c r="Q87" s="220"/>
      <c r="R87" s="220"/>
      <c r="S87" s="220"/>
      <c r="T87" s="220"/>
    </row>
    <row r="88">
      <c r="K88" s="222" t="inlineStr">
        <is>
          <t xml:space="preserve">5.1 Painel inferior (o mais carregado)</t>
        </is>
      </c>
    </row>
    <row r="89">
      <c r="K89" s="223" t="inlineStr">
        <is>
          <t xml:space="preserve">n</t>
        </is>
      </c>
      <c r="L89" s="229">
        <f>IF($L$35=0,0,ROUNDUP($L$33/$L$35,0))</f>
      </c>
      <c r="M89" s="231" t="inlineStr">
        <is>
          <t xml:space="preserve">un</t>
        </is>
      </c>
      <c r="N89" s="232">
        <f>IF($L$89&gt;10,"Rever: mais de 10 painéis",IF($L$89&lt;1,"Rever: H ou bw","Ok"))</f>
      </c>
      <c r="O89" s="233" t="inlineStr">
        <is>
          <t xml:space="preserve">Número de painéis na altura H.</t>
        </is>
      </c>
    </row>
    <row r="90">
      <c r="K90" s="223" t="inlineStr">
        <is>
          <t xml:space="preserve">σg</t>
        </is>
      </c>
      <c r="L90" s="227">
        <f>$L$48*$L$29*$L$33</f>
      </c>
      <c r="M90" s="231" t="inlineStr">
        <is>
          <t xml:space="preserve">kN/m²</t>
        </is>
      </c>
      <c r="O90" s="233" t="inlineStr">
        <is>
          <t xml:space="preserve">Pressão do solo na borda inferior do painel 1.</t>
        </is>
      </c>
    </row>
    <row r="91">
      <c r="K91" s="223" t="inlineStr">
        <is>
          <t xml:space="preserve">σq</t>
        </is>
      </c>
      <c r="L91" s="227">
        <f>$L$48*$L$31</f>
      </c>
      <c r="M91" s="231" t="inlineStr">
        <is>
          <t xml:space="preserve">kN/m²</t>
        </is>
      </c>
      <c r="O91" s="233" t="inlineStr">
        <is>
          <t xml:space="preserve">Pressão da sobrecarga (constante na altura).</t>
        </is>
      </c>
    </row>
    <row r="92">
      <c r="K92" s="223" t="inlineStr">
        <is>
          <t xml:space="preserve">p,total</t>
        </is>
      </c>
      <c r="L92" s="227">
        <f>$L$90+$L$91</f>
      </c>
      <c r="M92" s="231" t="inlineStr">
        <is>
          <t xml:space="preserve">kN/m²</t>
        </is>
      </c>
      <c r="O92" s="233" t="inlineStr">
        <is>
          <t xml:space="preserve">Pressão total no painel 1 → comparar com a tabela do fabricante.</t>
        </is>
      </c>
    </row>
    <row r="93">
      <c r="K93" s="223" t="inlineStr">
        <is>
          <t xml:space="preserve">g</t>
        </is>
      </c>
      <c r="L93" s="227">
        <f>$L$90*MIN($L$35,$L$33)</f>
      </c>
      <c r="M93" s="231" t="inlineStr">
        <is>
          <t xml:space="preserve">kN/m</t>
        </is>
      </c>
      <c r="O93" s="233" t="inlineStr">
        <is>
          <t xml:space="preserve">Carga permanente linear no painel 1 (σg × largura).</t>
        </is>
      </c>
    </row>
    <row r="94">
      <c r="K94" s="223" t="inlineStr">
        <is>
          <t xml:space="preserve">q</t>
        </is>
      </c>
      <c r="L94" s="227">
        <f>$L$91*MIN($L$35,$L$33)</f>
      </c>
      <c r="M94" s="231" t="inlineStr">
        <is>
          <t xml:space="preserve">kN/m</t>
        </is>
      </c>
      <c r="O94" s="233" t="inlineStr">
        <is>
          <t xml:space="preserve">Carga variável linear no painel 1 (σq × largura).</t>
        </is>
      </c>
    </row>
    <row r="95">
      <c r="K95" s="223" t="inlineStr">
        <is>
          <t xml:space="preserve">Mk</t>
        </is>
      </c>
      <c r="L95" s="227">
        <f>($L$93+$L$94)*$L$36^2/8</f>
      </c>
      <c r="M95" s="231" t="inlineStr">
        <is>
          <t xml:space="preserve">kN·m</t>
        </is>
      </c>
      <c r="O95" s="233" t="inlineStr">
        <is>
          <t xml:space="preserve">Momento no painel 1, biapoiado nos pilares: (g+q)·L²/8.</t>
        </is>
      </c>
    </row>
    <row r="96">
      <c r="K96" s="223" t="inlineStr">
        <is>
          <t xml:space="preserve">Vk</t>
        </is>
      </c>
      <c r="L96" s="227">
        <f>($L$93+$L$94)*$L$36/2</f>
      </c>
      <c r="M96" s="231" t="inlineStr">
        <is>
          <t xml:space="preserve">kN</t>
        </is>
      </c>
      <c r="O96" s="233" t="inlineStr">
        <is>
          <t xml:space="preserve">Cortante / reação de cada lado no pilar: (g+q)·L/2.</t>
        </is>
      </c>
    </row>
    <row r="97">
      <c r="K97" s="222" t="inlineStr">
        <is>
          <t xml:space="preserve">5.2 Todos os painéis</t>
        </is>
      </c>
    </row>
    <row r="98" ht="30" customHeight="1">
      <c r="K98" s="235" t="inlineStr">
        <is>
          <t xml:space="preserve">Painel</t>
        </is>
      </c>
      <c r="L98" s="235" t="inlineStr">
        <is>
          <t xml:space="preserve">z,topo (m)</t>
        </is>
      </c>
      <c r="M98" s="235" t="inlineStr">
        <is>
          <t xml:space="preserve">z,base (m)</t>
        </is>
      </c>
      <c r="N98" s="235" t="inlineStr">
        <is>
          <t xml:space="preserve">σg (kN/m²)</t>
        </is>
      </c>
      <c r="O98" s="235" t="inlineStr">
        <is>
          <t xml:space="preserve">σq (kN/m²)</t>
        </is>
      </c>
      <c r="P98" s="235" t="inlineStr">
        <is>
          <t xml:space="preserve">p,total (kN/m²)</t>
        </is>
      </c>
      <c r="Q98" s="235" t="inlineStr">
        <is>
          <t xml:space="preserve">g (kN/m)</t>
        </is>
      </c>
      <c r="R98" s="235" t="inlineStr">
        <is>
          <t xml:space="preserve">q (kN/m)</t>
        </is>
      </c>
      <c r="S98" s="235" t="inlineStr">
        <is>
          <t xml:space="preserve">Mk (kN·m)</t>
        </is>
      </c>
      <c r="T98" s="235" t="inlineStr">
        <is>
          <t xml:space="preserve">Vk (kN)</t>
        </is>
      </c>
    </row>
    <row r="99">
      <c r="K99" s="237">
        <v>1</v>
      </c>
      <c r="L99" s="227">
        <f>IF((K99-1)*$L$35&gt;=$L$33,"",MAX($L$33-K99*$L$35,0))</f>
      </c>
      <c r="M99" s="227">
        <f>IF(L99="","",$L$33-(K99-1)*$L$35)</f>
      </c>
      <c r="N99" s="227">
        <f>IF(L99="","",$L$48*$L$29*M99)</f>
      </c>
      <c r="O99" s="227">
        <f>IF(L99="","",$L$48*$L$31)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IF(L99="","",(Q99+R99)*$L$36^2/8)</f>
      </c>
      <c r="T99" s="227">
        <f>IF(L99="","",(Q99+R99)*$L$36/2)</f>
      </c>
    </row>
    <row r="100">
      <c r="K100" s="237">
        <v>2</v>
      </c>
      <c r="L100" s="227">
        <f>IF((K100-1)*$L$35&gt;=$L$33,"",MAX($L$33-K100*$L$35,0))</f>
      </c>
      <c r="M100" s="227">
        <f>IF(L100="","",$L$33-(K100-1)*$L$35)</f>
      </c>
      <c r="N100" s="227">
        <f>IF(L100="","",$L$48*$L$29*M100)</f>
      </c>
      <c r="O100" s="227">
        <f>IF(L100="","",$L$48*$L$31)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IF(L100="","",(Q100+R100)*$L$36^2/8)</f>
      </c>
      <c r="T100" s="227">
        <f>IF(L100="","",(Q100+R100)*$L$36/2)</f>
      </c>
    </row>
    <row r="101">
      <c r="K101" s="237">
        <v>3</v>
      </c>
      <c r="L101" s="227">
        <f>IF((K101-1)*$L$35&gt;=$L$33,"",MAX($L$33-K101*$L$35,0))</f>
      </c>
      <c r="M101" s="227">
        <f>IF(L101="","",$L$33-(K101-1)*$L$35)</f>
      </c>
      <c r="N101" s="227">
        <f>IF(L101="","",$L$48*$L$29*M101)</f>
      </c>
      <c r="O101" s="227">
        <f>IF(L101="","",$L$48*$L$31)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IF(L101="","",(Q101+R101)*$L$36^2/8)</f>
      </c>
      <c r="T101" s="227">
        <f>IF(L101="","",(Q101+R101)*$L$36/2)</f>
      </c>
    </row>
    <row r="102">
      <c r="K102" s="237">
        <v>4</v>
      </c>
      <c r="L102" s="227">
        <f>IF((K102-1)*$L$35&gt;=$L$33,"",MAX($L$33-K102*$L$35,0))</f>
      </c>
      <c r="M102" s="227">
        <f>IF(L102="","",$L$33-(K102-1)*$L$35)</f>
      </c>
      <c r="N102" s="227">
        <f>IF(L102="","",$L$48*$L$29*M102)</f>
      </c>
      <c r="O102" s="227">
        <f>IF(L102="","",$L$48*$L$31)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IF(L102="","",(Q102+R102)*$L$36^2/8)</f>
      </c>
      <c r="T102" s="227">
        <f>IF(L102="","",(Q102+R102)*$L$36/2)</f>
      </c>
    </row>
    <row r="103">
      <c r="K103" s="237">
        <v>5</v>
      </c>
      <c r="L103" s="227">
        <f>IF((K103-1)*$L$35&gt;=$L$33,"",MAX($L$33-K103*$L$35,0))</f>
      </c>
      <c r="M103" s="227">
        <f>IF(L103="","",$L$33-(K103-1)*$L$35)</f>
      </c>
      <c r="N103" s="227">
        <f>IF(L103="","",$L$48*$L$29*M103)</f>
      </c>
      <c r="O103" s="227">
        <f>IF(L103="","",$L$48*$L$31)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IF(L103="","",(Q103+R103)*$L$36^2/8)</f>
      </c>
      <c r="T103" s="227">
        <f>IF(L103="","",(Q103+R103)*$L$36/2)</f>
      </c>
    </row>
    <row r="104">
      <c r="K104" s="237">
        <v>6</v>
      </c>
      <c r="L104" s="227">
        <f>IF((K104-1)*$L$35&gt;=$L$33,"",MAX($L$33-K104*$L$35,0))</f>
      </c>
      <c r="M104" s="227">
        <f>IF(L104="","",$L$33-(K104-1)*$L$35)</f>
      </c>
      <c r="N104" s="227">
        <f>IF(L104="","",$L$48*$L$29*M104)</f>
      </c>
      <c r="O104" s="227">
        <f>IF(L104="","",$L$48*$L$31)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IF(L104="","",(Q104+R104)*$L$36^2/8)</f>
      </c>
      <c r="T104" s="227">
        <f>IF(L104="","",(Q104+R104)*$L$36/2)</f>
      </c>
    </row>
    <row r="105">
      <c r="K105" s="237">
        <v>7</v>
      </c>
      <c r="L105" s="227">
        <f>IF((K105-1)*$L$35&gt;=$L$33,"",MAX($L$33-K105*$L$35,0))</f>
      </c>
      <c r="M105" s="227">
        <f>IF(L105="","",$L$33-(K105-1)*$L$35)</f>
      </c>
      <c r="N105" s="227">
        <f>IF(L105="","",$L$48*$L$29*M105)</f>
      </c>
      <c r="O105" s="227">
        <f>IF(L105="","",$L$48*$L$31)</f>
      </c>
      <c r="P105" s="227">
        <f>IF(L105="","",N105+O105)</f>
      </c>
      <c r="Q105" s="227">
        <f>IF(L105="","",N105*(M105-L105))</f>
      </c>
      <c r="R105" s="227">
        <f>IF(L105="","",O105*(M105-L105))</f>
      </c>
      <c r="S105" s="227">
        <f>IF(L105="","",(Q105+R105)*$L$36^2/8)</f>
      </c>
      <c r="T105" s="227">
        <f>IF(L105="","",(Q105+R105)*$L$36/2)</f>
      </c>
    </row>
    <row r="106">
      <c r="K106" s="237">
        <v>8</v>
      </c>
      <c r="L106" s="227">
        <f>IF((K106-1)*$L$35&gt;=$L$33,"",MAX($L$33-K106*$L$35,0))</f>
      </c>
      <c r="M106" s="227">
        <f>IF(L106="","",$L$33-(K106-1)*$L$35)</f>
      </c>
      <c r="N106" s="227">
        <f>IF(L106="","",$L$48*$L$29*M106)</f>
      </c>
      <c r="O106" s="227">
        <f>IF(L106="","",$L$48*$L$31)</f>
      </c>
      <c r="P106" s="227">
        <f>IF(L106="","",N106+O106)</f>
      </c>
      <c r="Q106" s="227">
        <f>IF(L106="","",N106*(M106-L106))</f>
      </c>
      <c r="R106" s="227">
        <f>IF(L106="","",O106*(M106-L106))</f>
      </c>
      <c r="S106" s="227">
        <f>IF(L106="","",(Q106+R106)*$L$36^2/8)</f>
      </c>
      <c r="T106" s="227">
        <f>IF(L106="","",(Q106+R106)*$L$36/2)</f>
      </c>
    </row>
    <row r="107">
      <c r="K107" s="237">
        <v>9</v>
      </c>
      <c r="L107" s="227">
        <f>IF((K107-1)*$L$35&gt;=$L$33,"",MAX($L$33-K107*$L$35,0))</f>
      </c>
      <c r="M107" s="227">
        <f>IF(L107="","",$L$33-(K107-1)*$L$35)</f>
      </c>
      <c r="N107" s="227">
        <f>IF(L107="","",$L$48*$L$29*M107)</f>
      </c>
      <c r="O107" s="227">
        <f>IF(L107="","",$L$48*$L$31)</f>
      </c>
      <c r="P107" s="227">
        <f>IF(L107="","",N107+O107)</f>
      </c>
      <c r="Q107" s="227">
        <f>IF(L107="","",N107*(M107-L107))</f>
      </c>
      <c r="R107" s="227">
        <f>IF(L107="","",O107*(M107-L107))</f>
      </c>
      <c r="S107" s="227">
        <f>IF(L107="","",(Q107+R107)*$L$36^2/8)</f>
      </c>
      <c r="T107" s="227">
        <f>IF(L107="","",(Q107+R107)*$L$36/2)</f>
      </c>
    </row>
    <row r="108">
      <c r="K108" s="237">
        <v>10</v>
      </c>
      <c r="L108" s="227">
        <f>IF((K108-1)*$L$35&gt;=$L$33,"",MAX($L$33-K108*$L$35,0))</f>
      </c>
      <c r="M108" s="227">
        <f>IF(L108="","",$L$33-(K108-1)*$L$35)</f>
      </c>
      <c r="N108" s="227">
        <f>IF(L108="","",$L$48*$L$29*M108)</f>
      </c>
      <c r="O108" s="227">
        <f>IF(L108="","",$L$48*$L$31)</f>
      </c>
      <c r="P108" s="227">
        <f>IF(L108="","",N108+O108)</f>
      </c>
      <c r="Q108" s="227">
        <f>IF(L108="","",N108*(M108-L108))</f>
      </c>
      <c r="R108" s="227">
        <f>IF(L108="","",O108*(M108-L108))</f>
      </c>
      <c r="S108" s="227">
        <f>IF(L108="","",(Q108+R108)*$L$36^2/8)</f>
      </c>
      <c r="T108" s="227">
        <f>IF(L108="","",(Q108+R108)*$L$36/2)</f>
      </c>
    </row>
    <row r="110">
      <c r="K110" s="221" t="inlineStr">
        <is>
          <t xml:space="preserve">6 . DIAGRAMAS DE CARGA (atualizam automaticamente)</t>
        </is>
      </c>
      <c r="L110" s="221"/>
      <c r="M110" s="221"/>
      <c r="N110" s="221"/>
      <c r="O110" s="221"/>
      <c r="P110" s="221"/>
      <c r="Q110" s="221"/>
      <c r="R110" s="221"/>
      <c r="S110" s="221"/>
      <c r="T110" s="221"/>
    </row>
    <row r="112" ht="75" customHeight="1">
      <c r="K112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12" s="220"/>
      <c r="M112" s="220"/>
      <c r="N112" s="220"/>
      <c r="O112" s="220"/>
      <c r="P112" s="220"/>
      <c r="Q112" s="220"/>
      <c r="R112" s="220"/>
      <c r="S112" s="220"/>
      <c r="T112" s="220"/>
    </row>
    <row r="143">
      <c r="K143" s="222" t="inlineStr">
        <is>
          <t xml:space="preserve">6.1 Coordenadas do desenho (não editar)</t>
        </is>
      </c>
    </row>
    <row r="144">
      <c r="K144" s="235" t="inlineStr">
        <is>
          <t xml:space="preserve">Série</t>
        </is>
      </c>
      <c r="L144" s="235" t="inlineStr">
        <is>
          <t xml:space="preserve">x</t>
        </is>
      </c>
      <c r="M144" s="235" t="inlineStr">
        <is>
          <t xml:space="preserve">y (m)</t>
        </is>
      </c>
    </row>
    <row r="145">
      <c r="K145" s="237" t="inlineStr">
        <is>
          <t xml:space="preserve">Pilar</t>
        </is>
      </c>
      <c r="L145" s="227">
        <v>0</v>
      </c>
      <c r="M145" s="227">
        <v>0</v>
      </c>
    </row>
    <row r="146">
      <c r="K146" s="237"/>
      <c r="L146" s="227">
        <v>0</v>
      </c>
      <c r="M146" s="227">
        <f>$L$33</f>
      </c>
    </row>
    <row r="147">
      <c r="K147" s="237" t="inlineStr">
        <is>
          <t xml:space="preserve">Carga (kN/m)</t>
        </is>
      </c>
      <c r="L147" s="227">
        <v>0</v>
      </c>
      <c r="M147" s="227">
        <f>$L$33</f>
      </c>
    </row>
    <row r="148">
      <c r="K148" s="237"/>
      <c r="L148" s="227">
        <f>$L$59</f>
      </c>
      <c r="M148" s="227">
        <f>$L$33</f>
      </c>
    </row>
    <row r="149">
      <c r="K149" s="237"/>
      <c r="L149" s="227">
        <f>$L$60</f>
      </c>
      <c r="M149" s="227">
        <v>0</v>
      </c>
    </row>
    <row r="150">
      <c r="K150" s="237"/>
      <c r="L150" s="227">
        <v>0</v>
      </c>
      <c r="M150" s="227">
        <v>0</v>
      </c>
    </row>
    <row r="151">
      <c r="K151" s="237" t="inlineStr">
        <is>
          <t xml:space="preserve">Sc | solo</t>
        </is>
      </c>
      <c r="L151" s="227">
        <f>$L$59</f>
      </c>
      <c r="M151" s="227">
        <f>$L$33</f>
      </c>
    </row>
    <row r="152">
      <c r="K152" s="237"/>
      <c r="L152" s="227">
        <f>$L$59</f>
      </c>
      <c r="M152" s="227">
        <v>0</v>
      </c>
    </row>
    <row r="153">
      <c r="K153" s="237" t="inlineStr">
        <is>
          <t xml:space="preserve">seta</t>
        </is>
      </c>
      <c r="L153" s="227">
        <f>$L$60-$L$61*1/6</f>
      </c>
      <c r="M153" s="227">
        <f>$L$33*1/6</f>
      </c>
    </row>
    <row r="154">
      <c r="K154" s="237"/>
      <c r="L154" s="227">
        <v>0</v>
      </c>
      <c r="M154" s="227">
        <f>$L$33*1/6</f>
      </c>
    </row>
    <row r="155">
      <c r="K155" s="237" t="inlineStr">
        <is>
          <t xml:space="preserve">seta</t>
        </is>
      </c>
      <c r="L155" s="227">
        <f>$L$60-$L$61*2/6</f>
      </c>
      <c r="M155" s="227">
        <f>$L$33*2/6</f>
      </c>
    </row>
    <row r="156">
      <c r="K156" s="237"/>
      <c r="L156" s="227">
        <v>0</v>
      </c>
      <c r="M156" s="227">
        <f>$L$33*2/6</f>
      </c>
    </row>
    <row r="157">
      <c r="K157" s="237" t="inlineStr">
        <is>
          <t xml:space="preserve">seta</t>
        </is>
      </c>
      <c r="L157" s="227">
        <f>$L$60-$L$61*3/6</f>
      </c>
      <c r="M157" s="227">
        <f>$L$33*3/6</f>
      </c>
    </row>
    <row r="158">
      <c r="K158" s="237"/>
      <c r="L158" s="227">
        <v>0</v>
      </c>
      <c r="M158" s="227">
        <f>$L$33*3/6</f>
      </c>
    </row>
    <row r="159">
      <c r="K159" s="237" t="inlineStr">
        <is>
          <t xml:space="preserve">seta</t>
        </is>
      </c>
      <c r="L159" s="227">
        <f>$L$60-$L$61*4/6</f>
      </c>
      <c r="M159" s="227">
        <f>$L$33*4/6</f>
      </c>
    </row>
    <row r="160">
      <c r="K160" s="237"/>
      <c r="L160" s="227">
        <v>0</v>
      </c>
      <c r="M160" s="227">
        <f>$L$33*4/6</f>
      </c>
    </row>
    <row r="161">
      <c r="K161" s="237" t="inlineStr">
        <is>
          <t xml:space="preserve">seta</t>
        </is>
      </c>
      <c r="L161" s="227">
        <f>$L$60-$L$61*5/6</f>
      </c>
      <c r="M161" s="227">
        <f>$L$33*5/6</f>
      </c>
    </row>
    <row r="162">
      <c r="K162" s="237"/>
      <c r="L162" s="227">
        <v>0</v>
      </c>
      <c r="M162" s="227">
        <f>$L$33*5/6</f>
      </c>
    </row>
    <row r="163">
      <c r="K163" s="237" t="inlineStr">
        <is>
          <t xml:space="preserve">E</t>
        </is>
      </c>
      <c r="L163" s="227">
        <f>MAX($L$59,$L$60)*1.15</f>
      </c>
      <c r="M163" s="227">
        <f>$L$65</f>
      </c>
    </row>
    <row r="164">
      <c r="K164" s="237"/>
      <c r="L164" s="227">
        <v>0</v>
      </c>
      <c r="M164" s="227">
        <f>$L$65</f>
      </c>
    </row>
    <row r="165">
      <c r="K165" s="237" t="inlineStr">
        <is>
          <t xml:space="preserve">R,topo</t>
        </is>
      </c>
      <c r="L165" s="227">
        <f>IF($L$39="Balanço",NA(),0)</f>
      </c>
      <c r="M165" s="227">
        <f>$L$33</f>
      </c>
    </row>
    <row r="166">
      <c r="K166" s="237"/>
      <c r="L166" s="227">
        <f>IF($L$39="Balanço",NA(),-0.35*$L$60)</f>
      </c>
      <c r="M166" s="227">
        <f>$L$33</f>
      </c>
    </row>
    <row r="167">
      <c r="K167" s="237" t="inlineStr">
        <is>
          <t xml:space="preserve">R,base</t>
        </is>
      </c>
      <c r="L167" s="227">
        <v>0</v>
      </c>
      <c r="M167" s="227">
        <v>0</v>
      </c>
    </row>
    <row r="168">
      <c r="K168" s="237"/>
      <c r="L168" s="227">
        <f>-0.35*$L$60</f>
      </c>
      <c r="M168" s="227">
        <v>0</v>
      </c>
    </row>
    <row r="169">
      <c r="K169" s="237">
        <f>"p,topo = "&amp;FIXED($L$59,2)&amp;" kN/m"</f>
      </c>
      <c r="L169" s="227">
        <f>$L$59</f>
      </c>
      <c r="M169" s="227">
        <f>$L$33</f>
      </c>
    </row>
    <row r="170">
      <c r="K170" s="237">
        <f>"p,base = "&amp;FIXED($L$60,2)&amp;" kN/m"</f>
      </c>
      <c r="L170" s="227">
        <f>$L$60</f>
      </c>
      <c r="M170" s="227">
        <v>0</v>
      </c>
    </row>
    <row r="171">
      <c r="K171" s="237">
        <f>"E = "&amp;FIXED($L$63,1)&amp;" kN (y = "&amp;FIXED($L$65,2)&amp;" m)"</f>
      </c>
      <c r="L171" s="227">
        <f>MAX($L$59,$L$60)*1.15</f>
      </c>
      <c r="M171" s="227">
        <f>$L$65</f>
      </c>
    </row>
    <row r="172">
      <c r="K172" s="237">
        <f>"R,topo = "&amp;FIXED($L$78,1)&amp;" kN → laje"</f>
      </c>
      <c r="L172" s="227">
        <f>IF($L$39="Balanço",NA(),-0.35*$L$60)</f>
      </c>
      <c r="M172" s="227">
        <f>$L$33</f>
      </c>
    </row>
    <row r="173">
      <c r="K173" s="237">
        <f>"R,base = "&amp;FIXED($L$79,1)&amp;" kN"</f>
      </c>
      <c r="L173" s="227">
        <f>-0.35*$L$60</f>
      </c>
      <c r="M173" s="227">
        <v>0</v>
      </c>
    </row>
    <row r="174">
      <c r="K174" s="237" t="inlineStr">
        <is>
          <t xml:space="preserve">Placas</t>
        </is>
      </c>
      <c r="L174" s="227">
        <v>0</v>
      </c>
      <c r="M174" s="227">
        <v>0</v>
      </c>
    </row>
    <row r="175">
      <c r="K175" s="237"/>
      <c r="L175" s="227">
        <v>0</v>
      </c>
      <c r="M175" s="227">
        <f>$L$33</f>
      </c>
    </row>
    <row r="176">
      <c r="K176" s="237" t="inlineStr">
        <is>
          <t xml:space="preserve">Pressão real</t>
        </is>
      </c>
      <c r="L176" s="227">
        <v>0</v>
      </c>
      <c r="M176" s="227">
        <f>$L$33</f>
      </c>
    </row>
    <row r="177">
      <c r="K177" s="237"/>
      <c r="L177" s="227">
        <f>$L$51</f>
      </c>
      <c r="M177" s="227">
        <f>$L$33</f>
      </c>
    </row>
    <row r="178">
      <c r="K178" s="237"/>
      <c r="L178" s="227">
        <f>$L$52</f>
      </c>
      <c r="M178" s="227">
        <v>0</v>
      </c>
    </row>
    <row r="179">
      <c r="K179" s="237"/>
      <c r="L179" s="227">
        <v>0</v>
      </c>
      <c r="M179" s="227">
        <v>0</v>
      </c>
    </row>
    <row r="180">
      <c r="K180" s="237" t="inlineStr">
        <is>
          <t xml:space="preserve">Sc | solo</t>
        </is>
      </c>
      <c r="L180" s="227">
        <f>$L$51</f>
      </c>
      <c r="M180" s="227">
        <f>$L$33</f>
      </c>
    </row>
    <row r="181">
      <c r="K181" s="237"/>
      <c r="L181" s="227">
        <f>$L$51</f>
      </c>
      <c r="M181" s="227">
        <v>0</v>
      </c>
    </row>
    <row r="182">
      <c r="K182" s="237" t="inlineStr">
        <is>
          <t xml:space="preserve">seta</t>
        </is>
      </c>
      <c r="L182" s="227">
        <f>$L$52-($L$52-$L$51)*1/4</f>
      </c>
      <c r="M182" s="227">
        <f>$L$33*1/4</f>
      </c>
    </row>
    <row r="183">
      <c r="K183" s="237"/>
      <c r="L183" s="227">
        <v>0</v>
      </c>
      <c r="M183" s="227">
        <f>$L$33*1/4</f>
      </c>
    </row>
    <row r="184">
      <c r="K184" s="237" t="inlineStr">
        <is>
          <t xml:space="preserve">seta</t>
        </is>
      </c>
      <c r="L184" s="227">
        <f>$L$52-($L$52-$L$51)*2/4</f>
      </c>
      <c r="M184" s="227">
        <f>$L$33*2/4</f>
      </c>
    </row>
    <row r="185">
      <c r="K185" s="237"/>
      <c r="L185" s="227">
        <v>0</v>
      </c>
      <c r="M185" s="227">
        <f>$L$33*2/4</f>
      </c>
    </row>
    <row r="186">
      <c r="K186" s="237" t="inlineStr">
        <is>
          <t xml:space="preserve">seta</t>
        </is>
      </c>
      <c r="L186" s="227">
        <f>$L$52-($L$52-$L$51)*3/4</f>
      </c>
      <c r="M186" s="227">
        <f>$L$33*3/4</f>
      </c>
    </row>
    <row r="187">
      <c r="K187" s="237"/>
      <c r="L187" s="227">
        <v>0</v>
      </c>
      <c r="M187" s="227">
        <f>$L$33*3/4</f>
      </c>
    </row>
    <row r="188">
      <c r="K188" s="237" t="inlineStr">
        <is>
          <t xml:space="preserve">Pressão adotada por painel</t>
        </is>
      </c>
      <c r="L188" s="227">
        <f>P99</f>
      </c>
      <c r="M188" s="227">
        <f>$L$33-M99</f>
      </c>
    </row>
    <row r="189">
      <c r="K189" s="237"/>
      <c r="L189" s="227">
        <f>P99</f>
      </c>
      <c r="M189" s="227">
        <f>$L$33-L99</f>
      </c>
    </row>
    <row r="190">
      <c r="K190" s="237"/>
      <c r="L190" s="227">
        <f>IF(L100="",L189,P100)</f>
      </c>
      <c r="M190" s="227">
        <f>IF(L100="",M189,$L$33-M100)</f>
      </c>
    </row>
    <row r="191">
      <c r="K191" s="237"/>
      <c r="L191" s="227">
        <f>IF(L100="",L190,P100)</f>
      </c>
      <c r="M191" s="227">
        <f>IF(L100="",M190,$L$33-L100)</f>
      </c>
    </row>
    <row r="192">
      <c r="K192" s="237"/>
      <c r="L192" s="227">
        <f>IF(L101="",L191,P101)</f>
      </c>
      <c r="M192" s="227">
        <f>IF(L101="",M191,$L$33-M101)</f>
      </c>
    </row>
    <row r="193">
      <c r="K193" s="237"/>
      <c r="L193" s="227">
        <f>IF(L101="",L192,P101)</f>
      </c>
      <c r="M193" s="227">
        <f>IF(L101="",M192,$L$33-L101)</f>
      </c>
    </row>
    <row r="194">
      <c r="K194" s="237"/>
      <c r="L194" s="227">
        <f>IF(L102="",L193,P102)</f>
      </c>
      <c r="M194" s="227">
        <f>IF(L102="",M193,$L$33-M102)</f>
      </c>
    </row>
    <row r="195">
      <c r="K195" s="237"/>
      <c r="L195" s="227">
        <f>IF(L102="",L194,P102)</f>
      </c>
      <c r="M195" s="227">
        <f>IF(L102="",M194,$L$33-L102)</f>
      </c>
    </row>
    <row r="196">
      <c r="K196" s="237"/>
      <c r="L196" s="227">
        <f>IF(L103="",L195,P103)</f>
      </c>
      <c r="M196" s="227">
        <f>IF(L103="",M195,$L$33-M103)</f>
      </c>
    </row>
    <row r="197">
      <c r="K197" s="237"/>
      <c r="L197" s="227">
        <f>IF(L103="",L196,P103)</f>
      </c>
      <c r="M197" s="227">
        <f>IF(L103="",M196,$L$33-L103)</f>
      </c>
    </row>
    <row r="198">
      <c r="K198" s="237"/>
      <c r="L198" s="227">
        <f>IF(L104="",L197,P104)</f>
      </c>
      <c r="M198" s="227">
        <f>IF(L104="",M197,$L$33-M104)</f>
      </c>
    </row>
    <row r="199">
      <c r="K199" s="237"/>
      <c r="L199" s="227">
        <f>IF(L104="",L198,P104)</f>
      </c>
      <c r="M199" s="227">
        <f>IF(L104="",M198,$L$33-L104)</f>
      </c>
    </row>
    <row r="200">
      <c r="K200" s="237"/>
      <c r="L200" s="227">
        <f>IF(L105="",L199,P105)</f>
      </c>
      <c r="M200" s="227">
        <f>IF(L105="",M199,$L$33-M105)</f>
      </c>
    </row>
    <row r="201">
      <c r="K201" s="237"/>
      <c r="L201" s="227">
        <f>IF(L105="",L200,P105)</f>
      </c>
      <c r="M201" s="227">
        <f>IF(L105="",M200,$L$33-L105)</f>
      </c>
    </row>
    <row r="202">
      <c r="K202" s="237"/>
      <c r="L202" s="227">
        <f>IF(L106="",L201,P106)</f>
      </c>
      <c r="M202" s="227">
        <f>IF(L106="",M201,$L$33-M106)</f>
      </c>
    </row>
    <row r="203">
      <c r="K203" s="237"/>
      <c r="L203" s="227">
        <f>IF(L106="",L202,P106)</f>
      </c>
      <c r="M203" s="227">
        <f>IF(L106="",M202,$L$33-L106)</f>
      </c>
    </row>
    <row r="204">
      <c r="K204" s="237"/>
      <c r="L204" s="227">
        <f>IF(L107="",L203,P107)</f>
      </c>
      <c r="M204" s="227">
        <f>IF(L107="",M203,$L$33-M107)</f>
      </c>
    </row>
    <row r="205">
      <c r="K205" s="237"/>
      <c r="L205" s="227">
        <f>IF(L107="",L204,P107)</f>
      </c>
      <c r="M205" s="227">
        <f>IF(L107="",M204,$L$33-L107)</f>
      </c>
    </row>
    <row r="206">
      <c r="K206" s="237"/>
      <c r="L206" s="227">
        <f>IF(L108="",L205,P108)</f>
      </c>
      <c r="M206" s="227">
        <f>IF(L108="",M205,$L$33-M108)</f>
      </c>
    </row>
    <row r="207">
      <c r="K207" s="237"/>
      <c r="L207" s="227">
        <f>IF(L108="",L206,P108)</f>
      </c>
      <c r="M207" s="227">
        <f>IF(L108="",M206,$L$33-L108)</f>
      </c>
    </row>
    <row r="208">
      <c r="K208" s="237" t="inlineStr">
        <is>
          <t xml:space="preserve">junta 1</t>
        </is>
      </c>
      <c r="L208" s="227">
        <f>IF($L$35*1&lt;$L$33,0,NA())</f>
      </c>
      <c r="M208" s="227">
        <f>$L$35*1</f>
      </c>
    </row>
    <row r="209">
      <c r="K209" s="237"/>
      <c r="L209" s="227">
        <f>IF($L$35*1&lt;$L$33,$L$52*1.05,NA())</f>
      </c>
      <c r="M209" s="227">
        <f>$L$35*1</f>
      </c>
    </row>
    <row r="210">
      <c r="K210" s="237" t="inlineStr">
        <is>
          <t xml:space="preserve">junta 2</t>
        </is>
      </c>
      <c r="L210" s="227">
        <f>IF($L$35*2&lt;$L$33,0,NA())</f>
      </c>
      <c r="M210" s="227">
        <f>$L$35*2</f>
      </c>
    </row>
    <row r="211">
      <c r="K211" s="237"/>
      <c r="L211" s="227">
        <f>IF($L$35*2&lt;$L$33,$L$52*1.05,NA())</f>
      </c>
      <c r="M211" s="227">
        <f>$L$35*2</f>
      </c>
    </row>
    <row r="212">
      <c r="K212" s="237" t="inlineStr">
        <is>
          <t xml:space="preserve">junta 3</t>
        </is>
      </c>
      <c r="L212" s="227">
        <f>IF($L$35*3&lt;$L$33,0,NA())</f>
      </c>
      <c r="M212" s="227">
        <f>$L$35*3</f>
      </c>
    </row>
    <row r="213">
      <c r="K213" s="237"/>
      <c r="L213" s="227">
        <f>IF($L$35*3&lt;$L$33,$L$52*1.05,NA())</f>
      </c>
      <c r="M213" s="227">
        <f>$L$35*3</f>
      </c>
    </row>
    <row r="214">
      <c r="K214" s="237" t="inlineStr">
        <is>
          <t xml:space="preserve">junta 4</t>
        </is>
      </c>
      <c r="L214" s="227">
        <f>IF($L$35*4&lt;$L$33,0,NA())</f>
      </c>
      <c r="M214" s="227">
        <f>$L$35*4</f>
      </c>
    </row>
    <row r="215">
      <c r="K215" s="237"/>
      <c r="L215" s="227">
        <f>IF($L$35*4&lt;$L$33,$L$52*1.05,NA())</f>
      </c>
      <c r="M215" s="227">
        <f>$L$35*4</f>
      </c>
    </row>
    <row r="216">
      <c r="K216" s="237" t="inlineStr">
        <is>
          <t xml:space="preserve">junta 5</t>
        </is>
      </c>
      <c r="L216" s="227">
        <f>IF($L$35*5&lt;$L$33,0,NA())</f>
      </c>
      <c r="M216" s="227">
        <f>$L$35*5</f>
      </c>
    </row>
    <row r="217">
      <c r="K217" s="237"/>
      <c r="L217" s="227">
        <f>IF($L$35*5&lt;$L$33,$L$52*1.05,NA())</f>
      </c>
      <c r="M217" s="227">
        <f>$L$35*5</f>
      </c>
    </row>
    <row r="218">
      <c r="K218" s="237" t="inlineStr">
        <is>
          <t xml:space="preserve">junta 6</t>
        </is>
      </c>
      <c r="L218" s="227">
        <f>IF($L$35*6&lt;$L$33,0,NA())</f>
      </c>
      <c r="M218" s="227">
        <f>$L$35*6</f>
      </c>
    </row>
    <row r="219">
      <c r="K219" s="237"/>
      <c r="L219" s="227">
        <f>IF($L$35*6&lt;$L$33,$L$52*1.05,NA())</f>
      </c>
      <c r="M219" s="227">
        <f>$L$35*6</f>
      </c>
    </row>
    <row r="220">
      <c r="K220" s="237" t="inlineStr">
        <is>
          <t xml:space="preserve">junta 7</t>
        </is>
      </c>
      <c r="L220" s="227">
        <f>IF($L$35*7&lt;$L$33,0,NA())</f>
      </c>
      <c r="M220" s="227">
        <f>$L$35*7</f>
      </c>
    </row>
    <row r="221">
      <c r="K221" s="237"/>
      <c r="L221" s="227">
        <f>IF($L$35*7&lt;$L$33,$L$52*1.05,NA())</f>
      </c>
      <c r="M221" s="227">
        <f>$L$35*7</f>
      </c>
    </row>
    <row r="222">
      <c r="K222" s="237" t="inlineStr">
        <is>
          <t xml:space="preserve">junta 8</t>
        </is>
      </c>
      <c r="L222" s="227">
        <f>IF($L$35*8&lt;$L$33,0,NA())</f>
      </c>
      <c r="M222" s="227">
        <f>$L$35*8</f>
      </c>
    </row>
    <row r="223">
      <c r="K223" s="237"/>
      <c r="L223" s="227">
        <f>IF($L$35*8&lt;$L$33,$L$52*1.05,NA())</f>
      </c>
      <c r="M223" s="227">
        <f>$L$35*8</f>
      </c>
    </row>
    <row r="224">
      <c r="K224" s="237" t="inlineStr">
        <is>
          <t xml:space="preserve">junta 9</t>
        </is>
      </c>
      <c r="L224" s="227">
        <f>IF($L$35*9&lt;$L$33,0,NA())</f>
      </c>
      <c r="M224" s="227">
        <f>$L$35*9</f>
      </c>
    </row>
    <row r="225">
      <c r="K225" s="237"/>
      <c r="L225" s="227">
        <f>IF($L$35*9&lt;$L$33,$L$52*1.05,NA())</f>
      </c>
      <c r="M225" s="227">
        <f>$L$35*9</f>
      </c>
    </row>
    <row r="226">
      <c r="K226" s="237">
        <f>"σq = "&amp;FIXED($L$51,2)&amp;" kN/m² (Sc)"</f>
      </c>
      <c r="L226" s="227">
        <f>$L$51</f>
      </c>
      <c r="M226" s="227">
        <f>$L$33</f>
      </c>
    </row>
    <row r="227">
      <c r="K227" s="237">
        <f>"σ,base = "&amp;FIXED($L$52,2)&amp;" kN/m² = solo "&amp;FIXED($L$53,2)&amp;" + Sc "&amp;FIXED($L$51,2)</f>
      </c>
      <c r="L227" s="227">
        <f>$L$52</f>
      </c>
      <c r="M227" s="227">
        <v>0</v>
      </c>
    </row>
    <row r="228">
      <c r="K228" s="237">
        <f>IF(L99="","","P1: g = "&amp;FIXED(Q99,2)&amp;" | q = "&amp;FIXED(R99,2)&amp;" kN/m")</f>
      </c>
      <c r="L228" s="227">
        <f>IF(L99="",NA(),P99)</f>
      </c>
      <c r="M228" s="227">
        <f>IF(L99="",NA(),$L$33-(L99+M99)/2)</f>
      </c>
    </row>
    <row r="229">
      <c r="K229" s="237">
        <f>IF(L100="","","P2: g = "&amp;FIXED(Q100,2)&amp;" | q = "&amp;FIXED(R100,2)&amp;" kN/m")</f>
      </c>
      <c r="L229" s="227">
        <f>IF(L100="",NA(),P100)</f>
      </c>
      <c r="M229" s="227">
        <f>IF(L100="",NA(),$L$33-(L100+M100)/2)</f>
      </c>
    </row>
    <row r="230">
      <c r="K230" s="237">
        <f>IF(L101="","","P3: g = "&amp;FIXED(Q101,2)&amp;" | q = "&amp;FIXED(R101,2)&amp;" kN/m")</f>
      </c>
      <c r="L230" s="227">
        <f>IF(L101="",NA(),P101)</f>
      </c>
      <c r="M230" s="227">
        <f>IF(L101="",NA(),$L$33-(L101+M101)/2)</f>
      </c>
    </row>
    <row r="231">
      <c r="K231" s="237">
        <f>IF(L102="","","P4: g = "&amp;FIXED(Q102,2)&amp;" | q = "&amp;FIXED(R102,2)&amp;" kN/m")</f>
      </c>
      <c r="L231" s="227">
        <f>IF(L102="",NA(),P102)</f>
      </c>
      <c r="M231" s="227">
        <f>IF(L102="",NA(),$L$33-(L102+M102)/2)</f>
      </c>
    </row>
    <row r="232">
      <c r="K232" s="237">
        <f>IF(L103="","","P5: g = "&amp;FIXED(Q103,2)&amp;" | q = "&amp;FIXED(R103,2)&amp;" kN/m")</f>
      </c>
      <c r="L232" s="227">
        <f>IF(L103="",NA(),P103)</f>
      </c>
      <c r="M232" s="227">
        <f>IF(L103="",NA(),$L$33-(L103+M103)/2)</f>
      </c>
    </row>
    <row r="233">
      <c r="K233" s="237">
        <f>IF(L104="","","P6: g = "&amp;FIXED(Q104,2)&amp;" | q = "&amp;FIXED(R104,2)&amp;" kN/m")</f>
      </c>
      <c r="L233" s="227">
        <f>IF(L104="",NA(),P104)</f>
      </c>
      <c r="M233" s="227">
        <f>IF(L104="",NA(),$L$33-(L104+M104)/2)</f>
      </c>
    </row>
    <row r="234">
      <c r="K234" s="237">
        <f>IF(L105="","","P7: g = "&amp;FIXED(Q105,2)&amp;" | q = "&amp;FIXED(R105,2)&amp;" kN/m")</f>
      </c>
      <c r="L234" s="227">
        <f>IF(L105="",NA(),P105)</f>
      </c>
      <c r="M234" s="227">
        <f>IF(L105="",NA(),$L$33-(L105+M105)/2)</f>
      </c>
    </row>
    <row r="235">
      <c r="K235" s="237">
        <f>IF(L106="","","P8: g = "&amp;FIXED(Q106,2)&amp;" | q = "&amp;FIXED(R106,2)&amp;" kN/m")</f>
      </c>
      <c r="L235" s="227">
        <f>IF(L106="",NA(),P106)</f>
      </c>
      <c r="M235" s="227">
        <f>IF(L106="",NA(),$L$33-(L106+M106)/2)</f>
      </c>
    </row>
    <row r="236">
      <c r="K236" s="237">
        <f>IF(L107="","","P9: g = "&amp;FIXED(Q107,2)&amp;" | q = "&amp;FIXED(R107,2)&amp;" kN/m")</f>
      </c>
      <c r="L236" s="227">
        <f>IF(L107="",NA(),P107)</f>
      </c>
      <c r="M236" s="227">
        <f>IF(L107="",NA(),$L$33-(L107+M107)/2)</f>
      </c>
    </row>
    <row r="237">
      <c r="K237" s="237">
        <f>IF(L108="","","P10: g = "&amp;FIXED(Q108,2)&amp;" | q = "&amp;FIXED(R108,2)&amp;" kN/m")</f>
      </c>
      <c r="L237" s="227">
        <f>IF(L108="",NA(),P108)</f>
      </c>
      <c r="M237" s="227">
        <f>IF(L108="",NA(),$L$33-(L108+M108)/2)</f>
      </c>
    </row>
    <row r="239">
      <c r="K239" s="221" t="inlineStr">
        <is>
          <t xml:space="preserve">7 . CONFERÊNCIA DA ABA MURO DE ARRIMO</t>
        </is>
      </c>
      <c r="L239" s="221"/>
      <c r="M239" s="221"/>
      <c r="N239" s="221"/>
      <c r="O239" s="221"/>
      <c r="P239" s="221"/>
      <c r="Q239" s="221"/>
      <c r="R239" s="221"/>
      <c r="S239" s="221"/>
      <c r="T239" s="221"/>
    </row>
    <row r="241" ht="18" customHeight="1">
      <c r="K241" s="220" t="inlineStr">
        <is>
          <t xml:space="preserve">Pontos encontrados na aba original (nada foi alterado nela). Esta aba já calcula tudo corrigido.</t>
        </is>
      </c>
      <c r="L241" s="220"/>
      <c r="M241" s="220"/>
      <c r="N241" s="220"/>
      <c r="O241" s="220"/>
      <c r="P241" s="220"/>
      <c r="Q241" s="220"/>
      <c r="R241" s="220"/>
      <c r="S241" s="220"/>
      <c r="T241" s="220"/>
    </row>
    <row r="242">
      <c r="K242" s="222" t="inlineStr">
        <is>
          <t xml:space="preserve">7.1 Região L2:X40 (a que você usa)</t>
        </is>
      </c>
    </row>
    <row r="243" ht="17" customHeight="1">
      <c r="K243" s="238" t="inlineStr">
        <is>
          <t xml:space="preserve">M11:M12</t>
        </is>
      </c>
      <c r="L243" s="243" t="inlineStr">
        <is>
          <t xml:space="preserve">#REF! – referência apagada. São cópias antigas de M22/M23 (corretas). Podem ser apagadas.</t>
        </is>
      </c>
      <c r="M243" s="243"/>
      <c r="N243" s="243"/>
      <c r="O243" s="243"/>
      <c r="P243" s="243"/>
      <c r="Q243" s="243"/>
      <c r="R243" s="243"/>
      <c r="S243" s="243"/>
      <c r="T243" s="243"/>
    </row>
    <row r="244" ht="32" customHeight="1">
      <c r="K244" s="238" t="inlineStr">
        <is>
          <t xml:space="preserve">M22:M26</t>
        </is>
      </c>
      <c r="L244" s="243" t="inlineStr">
        <is>
          <t xml:space="preserve">Carga no pilar só com o solo, sem a sobrecarga Sc (M30/M31 já incluem). Aqui: E (com Sc) e E,solo (sem Sc) – item 3.2.</t>
        </is>
      </c>
      <c r="M244" s="243"/>
      <c r="N244" s="243"/>
      <c r="O244" s="243"/>
      <c r="P244" s="243"/>
      <c r="Q244" s="243"/>
      <c r="R244" s="243"/>
      <c r="S244" s="243"/>
      <c r="T244" s="243"/>
    </row>
    <row r="245" ht="17" customHeight="1">
      <c r="K245" s="238" t="inlineStr">
        <is>
          <t xml:space="preserve">M26</t>
        </is>
      </c>
      <c r="L245" s="243" t="inlineStr">
        <is>
          <t xml:space="preserve">Momento sem unidade: o resultado é em tf·m (base do pilar em balanço, sem Sc).</t>
        </is>
      </c>
      <c r="M245" s="243"/>
      <c r="N245" s="243"/>
      <c r="O245" s="243"/>
      <c r="P245" s="243"/>
      <c r="Q245" s="243"/>
      <c r="R245" s="243"/>
      <c r="S245" s="243"/>
      <c r="T245" s="243"/>
    </row>
    <row r="246" ht="17" customHeight="1">
      <c r="K246" s="238" t="inlineStr">
        <is>
          <t xml:space="preserve">M28</t>
        </is>
      </c>
      <c r="L246" s="243" t="inlineStr">
        <is>
          <t xml:space="preserve">M25·M24/M27 com M27 = M25 → sempre igual a M24 (redundante, não é erro).</t>
        </is>
      </c>
      <c r="M246" s="243"/>
      <c r="N246" s="243"/>
      <c r="O246" s="243"/>
      <c r="P246" s="243"/>
      <c r="Q246" s="243"/>
      <c r="R246" s="243"/>
      <c r="S246" s="243"/>
      <c r="T246" s="243"/>
    </row>
    <row r="247" ht="17" customHeight="1">
      <c r="K247" s="238" t="inlineStr">
        <is>
          <t xml:space="preserve">M34</t>
        </is>
      </c>
      <c r="L247" s="243" t="inlineStr">
        <is>
          <t xml:space="preserve">Só vale na cota 0 (usa H² na parcela uniforme). M36 é a fórmula certa para qualquer cota.</t>
        </is>
      </c>
      <c r="M247" s="243"/>
      <c r="N247" s="243"/>
      <c r="O247" s="243"/>
      <c r="P247" s="243"/>
      <c r="Q247" s="243"/>
      <c r="R247" s="243"/>
      <c r="S247" s="243"/>
      <c r="T247" s="243"/>
    </row>
    <row r="248" ht="32" customHeight="1">
      <c r="K248" s="238" t="inlineStr">
        <is>
          <t xml:space="preserve">M40</t>
        </is>
      </c>
      <c r="L248" s="243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8" s="243"/>
      <c r="N248" s="243"/>
      <c r="O248" s="243"/>
      <c r="P248" s="243"/>
      <c r="Q248" s="243"/>
      <c r="R248" s="243"/>
      <c r="S248" s="243"/>
      <c r="T248" s="243"/>
    </row>
    <row r="249" ht="17" customHeight="1">
      <c r="K249" s="238" t="inlineStr">
        <is>
          <t xml:space="preserve">P22:R27</t>
        </is>
      </c>
      <c r="L249" s="243" t="inlineStr">
        <is>
          <t xml:space="preserve">Laje alveolar correta para o painel inferior (pressão na base × bw). O item 5 detalha todos os painéis.</t>
        </is>
      </c>
      <c r="M249" s="243"/>
      <c r="N249" s="243"/>
      <c r="O249" s="243"/>
      <c r="P249" s="243"/>
      <c r="Q249" s="243"/>
      <c r="R249" s="243"/>
      <c r="S249" s="243"/>
      <c r="T249" s="243"/>
    </row>
    <row r="250" ht="17" customHeight="1">
      <c r="K250" s="238" t="inlineStr">
        <is>
          <t xml:space="preserve">M24</t>
        </is>
      </c>
      <c r="L250" s="243" t="inlineStr">
        <is>
          <t xml:space="preserve">kN → tf por ×0,1 (1 tf = 9,81 kN) fica ~2% abaixo do exato; mantido por ser a convenção usual.</t>
        </is>
      </c>
      <c r="M250" s="243"/>
      <c r="N250" s="243"/>
      <c r="O250" s="243"/>
      <c r="P250" s="243"/>
      <c r="Q250" s="243"/>
      <c r="R250" s="243"/>
      <c r="S250" s="243"/>
      <c r="T250" s="243"/>
    </row>
    <row r="251" ht="32" customHeight="1">
      <c r="K251" s="238" t="inlineStr">
        <is>
          <t xml:space="preserve">M8</t>
        </is>
      </c>
      <c r="L251" s="243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51" s="243"/>
      <c r="N251" s="243"/>
      <c r="O251" s="243"/>
      <c r="P251" s="243"/>
      <c r="Q251" s="243"/>
      <c r="R251" s="243"/>
      <c r="S251" s="243"/>
      <c r="T251" s="243"/>
    </row>
    <row r="252">
      <c r="K252" s="222" t="inlineStr">
        <is>
          <t xml:space="preserve">7.2 Restante da aba (colunas A–C)</t>
        </is>
      </c>
    </row>
    <row r="253" ht="32" customHeight="1">
      <c r="K253" s="238" t="inlineStr">
        <is>
          <t xml:space="preserve">B20 / B28</t>
        </is>
      </c>
      <c r="L253" s="243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53" s="243"/>
      <c r="N253" s="243"/>
      <c r="O253" s="243"/>
      <c r="P253" s="243"/>
      <c r="Q253" s="243"/>
      <c r="R253" s="243"/>
      <c r="S253" s="243"/>
      <c r="T253" s="243"/>
    </row>
    <row r="254" ht="17" customHeight="1">
      <c r="K254" s="238" t="inlineStr">
        <is>
          <t xml:space="preserve">B8 / B9</t>
        </is>
      </c>
      <c r="L254" s="243" t="inlineStr">
        <is>
          <t xml:space="preserve">Coesão e φ dão 0: NSPT (B4) = 0 não existe na tabela DADOS DO SOLO. Sem efeito, pois o Ka de B33 é digitado.</t>
        </is>
      </c>
      <c r="M254" s="243"/>
      <c r="N254" s="243"/>
      <c r="O254" s="243"/>
      <c r="P254" s="243"/>
      <c r="Q254" s="243"/>
      <c r="R254" s="243"/>
      <c r="S254" s="243"/>
      <c r="T254" s="243"/>
    </row>
    <row r="255" ht="32" customHeight="1">
      <c r="K255" s="238" t="inlineStr">
        <is>
          <t xml:space="preserve">B33</t>
        </is>
      </c>
      <c r="L255" s="243" t="inlineStr">
        <is>
          <t xml:space="preserve">Ka = 0,36 digitado, sem ligação com φ. A aba usa 3 valores diferentes: 0,36 (B33), 0,528 (M8) e 0,75 (CÁLCULO FECHAMENTO).</t>
        </is>
      </c>
      <c r="M255" s="243"/>
      <c r="N255" s="243"/>
      <c r="O255" s="243"/>
      <c r="P255" s="243"/>
      <c r="Q255" s="243"/>
      <c r="R255" s="243"/>
      <c r="S255" s="243"/>
      <c r="T255" s="243"/>
    </row>
    <row r="256" ht="32" customHeight="1">
      <c r="K256" s="238" t="inlineStr">
        <is>
          <t xml:space="preserve">B24</t>
        </is>
      </c>
      <c r="L256" s="243" t="inlineStr">
        <is>
          <t xml:space="preserve">Esbeltez do pilar usa a altura da alvenaria (1,75 m) em vez da do pilar (3,85 m). Com 3,85 m dá ≈ 25,7 &lt; 30 → segue 'Sim', por acaso.</t>
        </is>
      </c>
      <c r="M256" s="243"/>
      <c r="N256" s="243"/>
      <c r="O256" s="243"/>
      <c r="P256" s="243"/>
      <c r="Q256" s="243"/>
      <c r="R256" s="243"/>
      <c r="S256" s="243"/>
      <c r="T256" s="243"/>
    </row>
    <row r="257" ht="32" customHeight="1">
      <c r="K257" s="238" t="inlineStr">
        <is>
          <t xml:space="preserve">B52:B66</t>
        </is>
      </c>
      <c r="L257" s="243" t="inlineStr">
        <is>
          <t xml:space="preserve">Pilar 20×30 não passa: Kc = 0,25 fora de tabela, Ks = 0,028 digitado não corresponde, As = 58 cm² (48 barras). Momento com (H/3 + 0,6) sem origem clara e sem Sc.</t>
        </is>
      </c>
      <c r="M257" s="243"/>
      <c r="N257" s="243"/>
      <c r="O257" s="243"/>
      <c r="P257" s="243"/>
      <c r="Q257" s="243"/>
      <c r="R257" s="243"/>
      <c r="S257" s="243"/>
      <c r="T257" s="243"/>
    </row>
    <row r="258" ht="17" customHeight="1">
      <c r="K258" s="238" t="inlineStr">
        <is>
          <t xml:space="preserve">B15</t>
        </is>
      </c>
      <c r="L258" s="243" t="inlineStr">
        <is>
          <t xml:space="preserve">TABELAS LÍBANO com μ digitados para La/Lb = 0,91: se mudar H ou D, os coeficientes não se atualizam.</t>
        </is>
      </c>
      <c r="M258" s="243"/>
      <c r="N258" s="243"/>
      <c r="O258" s="243"/>
      <c r="P258" s="243"/>
      <c r="Q258" s="243"/>
      <c r="R258" s="243"/>
      <c r="S258" s="243"/>
      <c r="T258" s="243"/>
    </row>
    <row r="259" ht="17" customHeight="1">
      <c r="K259" s="238" t="inlineStr">
        <is>
          <t xml:space="preserve">B90</t>
        </is>
      </c>
      <c r="L259" s="243" t="inlineStr">
        <is>
          <t xml:space="preserve">Peso da sapata fixo (1,2 × 1,0 × 0,5 m).</t>
        </is>
      </c>
      <c r="M259" s="243"/>
      <c r="N259" s="243"/>
      <c r="O259" s="243"/>
      <c r="P259" s="243"/>
      <c r="Q259" s="243"/>
      <c r="R259" s="243"/>
      <c r="S259" s="243"/>
      <c r="T259" s="243"/>
    </row>
  </sheetData>
  <mergeCells count="59">
    <mergeCell ref="K1:T1"/>
    <mergeCell ref="K6:T6"/>
    <mergeCell ref="K8:T8"/>
    <mergeCell ref="K26:T26"/>
    <mergeCell ref="K42:T42"/>
    <mergeCell ref="K44:T44"/>
    <mergeCell ref="K55:T55"/>
    <mergeCell ref="K57:T57"/>
    <mergeCell ref="K69:T69"/>
    <mergeCell ref="K71:T71"/>
    <mergeCell ref="K85:T85"/>
    <mergeCell ref="K87:T87"/>
    <mergeCell ref="K110:T110"/>
    <mergeCell ref="K112:T112"/>
    <mergeCell ref="K239:T239"/>
    <mergeCell ref="K241:T241"/>
    <mergeCell ref="L243:T243"/>
    <mergeCell ref="L244:T244"/>
    <mergeCell ref="L245:T245"/>
    <mergeCell ref="L246:T246"/>
    <mergeCell ref="L247:T247"/>
    <mergeCell ref="L248:T248"/>
    <mergeCell ref="L249:T249"/>
    <mergeCell ref="L250:T250"/>
    <mergeCell ref="L251:T251"/>
    <mergeCell ref="L253:T253"/>
    <mergeCell ref="L254:T254"/>
    <mergeCell ref="L255:T255"/>
    <mergeCell ref="L256:T256"/>
    <mergeCell ref="L257:T257"/>
    <mergeCell ref="L258:T258"/>
    <mergeCell ref="L259:T25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83 N89 N11 N13 N14 N15 N16 N17 N18 N19 N20 N21 N22 N23">
    <cfRule type="beginsWith" dxfId="6" priority="1" operator="beginsWith" text="Ok">
      <formula>LEFT(N83,2)="Ok"</formula>
    </cfRule>
  </conditionalFormatting>
  <conditionalFormatting sqref="N83 N89 N11 N13 N14 N15 N16 N17 N18 N19 N20 N21 N22 N23">
    <cfRule type="beginsWith" dxfId="5" priority="2" operator="beginsWith" text="Não se aplica">
      <formula>LEFT(N83,13)="Não se aplica"</formula>
    </cfRule>
  </conditionalFormatting>
  <dataValidations count="2">
    <dataValidation type="list" allowBlank="1" showErrorMessage="1" sqref="L38">
      <formula1>"Ativo,Repouso"</formula1>
    </dataValidation>
    <dataValidation type="list" allowBlank="1" showErrorMessage="1" sqref="L39">
      <formula1>$K$74:$K$76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165"/>
  <sheetViews>
    <sheetView showGridLines="0" view="pageBreakPreview" topLeftCell="J1" zoomScaleNormal="100" zoomScaleSheetLayoutView="100" workbookViewId="0">
      <pane ySplit="5" topLeftCell="J6" activePane="bottomLeft" state="frozen"/>
      <selection pane="bottomLeft" activeCell="O2" sqref="O2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DIMENSIONAMENTO DO PILAR COMO VIGA BIAPOIADA – FLEXÃO SIMPLES E ESTRIBOS (NBR 6118)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ARMADURA LONGITUDINAL</t>
        </is>
      </c>
      <c r="L2" s="239"/>
      <c r="M2" s="240">
        <f>"As,nec = "&amp;FIXED($L$109,2)&amp;" cm²/face"</f>
      </c>
      <c r="N2" s="240"/>
      <c r="O2" s="241">
        <v>20</v>
      </c>
      <c r="P2" s="240">
        <f>$L$111&amp;" barras em cada face ("&amp;FIXED($L$112,2)&amp;" cm²) | espaço livre "&amp;FIXED($L$117,2)&amp;" cm"</f>
      </c>
      <c r="Q2" s="240"/>
      <c r="R2" s="240"/>
      <c r="S2" s="242">
        <f>IF($L$117&lt;$L$115,"NÃO OK – "&amp;"Espaço livre "&amp;FIXED($L$117,2)&amp;" &lt; "&amp;FIXED($L$115,2)&amp;" cm ("&amp;$L$116&amp;")",IF($L$114&gt;4,"NÃO OK – taxa &gt; 4%",IF($L$42&lt;10,"NÃO OK – Ø &lt; 10 mm",IF($L$42&gt;$L$39*10/8,"NÃO OK – Ø &gt; b/8","OK"))))</f>
      </c>
      <c r="T2" s="242"/>
    </row>
    <row r="3" ht="32" customHeight="1">
      <c r="K3" s="239" t="inlineStr">
        <is>
          <t xml:space="preserve">ARMADURA TRANSVERSAL</t>
        </is>
      </c>
      <c r="L3" s="239"/>
      <c r="M3" s="240">
        <f>"Asw,nec = "&amp;FIXED($L$133,2)&amp;" cm²/m (máx.)"</f>
      </c>
      <c r="N3" s="240"/>
      <c r="O3" s="241">
        <v>6.3</v>
      </c>
      <c r="P3" s="240">
        <f>("Ø"&amp;$L$41&amp;": "&amp;IF(N148&lt;=0,"","c/"&amp;S148&amp;" ("&amp;FIXED(L148,1)&amp;"–"&amp;FIXED(M148,1)&amp;" m)")&amp;IF(N149&lt;=0,""," | "&amp;"c/"&amp;S149&amp;" ("&amp;FIXED(L149,1)&amp;"–"&amp;FIXED(M149,1)&amp;" m)")&amp;IF(N150&lt;=0,""," | "&amp;"c/"&amp;S150&amp;" ("&amp;FIXED(L150,1)&amp;"–"&amp;FIXED(M150,1)&amp;" m)")&amp;IF(N151&lt;=0,""," | "&amp;"c/"&amp;S151&amp;" ("&amp;FIXED(L151,1)&amp;"–"&amp;FIXED(M151,1)&amp;" m)")&amp;IF(N152&lt;=0,""," | "&amp;"c/"&amp;S152&amp;" ("&amp;FIXED(L152,1)&amp;"–"&amp;FIXED(M152,1)&amp;" m)")&amp;IF(N153&lt;=0,""," | "&amp;"c/"&amp;S153&amp;" ("&amp;FIXED(L153,1)&amp;"–"&amp;FIXED(M153,1)&amp;" m)"))</f>
      </c>
      <c r="Q3" s="240"/>
      <c r="R3" s="240"/>
      <c r="S3" s="242">
        <f>IF($L$123&gt;$L$124,"NÃO OK – biela: aumentar seção",IF($L$41&lt;$L$139,"NÃO OK – Ø,t &lt; Ø,l/4",(IF(ABS($L$155-$L$142)&gt;0.01,"NÃO OK – soma das zonas ≠ H",IF($L$156&lt;5,"NÃO OK – s &lt; 5 cm: aumentar Ø","OK")))))</f>
      </c>
      <c r="T3" s="242"/>
    </row>
    <row r="4" ht="32" customHeight="1">
      <c r="K4" s="239" t="inlineStr">
        <is>
          <t xml:space="preserve">FLEXÃO / ESFORÇOS</t>
        </is>
      </c>
      <c r="L4" s="239"/>
      <c r="M4" s="240">
        <f>"Md+ = "&amp;FIXED($L$83,1)&amp;" | Md− = "&amp;FIXED($L$94,1)&amp;" kN·m"</f>
      </c>
      <c r="N4" s="240"/>
      <c r="O4" s="240">
        <f>"Md,lim = "&amp;FIXED($L$78,1)&amp;" kN·m | Vsd = "&amp;FIXED($L$123,1)&amp;" kN ("&amp;$L$45&amp;")"</f>
      </c>
      <c r="P4" s="240"/>
      <c r="Q4" s="240"/>
      <c r="R4" s="240"/>
      <c r="S4" s="242">
        <f>IF(MAX($L$83,$L$94)&gt;$L$78,"NÃO OK – arm. dupla: h ≥ "&amp;ROUNDUP($L$79+$L$75,0)&amp;" cm","OK – arm. simples")</f>
      </c>
      <c r="T4" s="242"/>
    </row>
    <row r="5" ht="32" customHeight="1">
      <c r="K5" s="239" t="inlineStr">
        <is>
          <t xml:space="preserve">TAXA DE AÇO</t>
        </is>
      </c>
      <c r="L5" s="239"/>
      <c r="M5" s="240">
        <f>"ρ,long = "&amp;FIXED($L$114,2)&amp;" % (0,4% a 4%)"</f>
      </c>
      <c r="N5" s="240"/>
      <c r="O5" s="240">
        <f>"Longit. "&amp;FIXED($L$161,1)&amp;" + estribos "&amp;FIXED($L$163,1)&amp;" = "&amp;FIXED($L$165,1)&amp;" kg/m³"</f>
      </c>
      <c r="P5" s="240"/>
      <c r="Q5" s="240"/>
      <c r="R5" s="240"/>
      <c r="S5" s="242">
        <f>IF($L$114&gt;4,"NÃO OK – ρ &gt; 4%",IF($L$114&lt;0.4,"NÃO OK – ρ &lt; 0,4%","OK"))</f>
      </c>
      <c r="T5" s="242"/>
    </row>
    <row r="6" ht="60" customHeight="1">
      <c r="K6" s="220" t="inlineStr">
        <is>
          <t xml:space="preserve">Como usar: células CINZA são entradas; os esforços vêm da aba CONTENÇÃO RÁPIDA (pode sobrescrever). Pilar tratado como viga (flexão simples, sem a força normal). Armadura longitudinal SIMÉTRICA: as duas faces recebem a mesma armadura, dimensionada pela pior situação entre a seção do vão (M+) e a da base (M−). Estribos pelo Modelo I (θ = 45°, α = 90°).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DAS VERIFICAÇÕES E ARMADURAS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Esforços</t>
        </is>
      </c>
      <c r="L11" s="236">
        <f>"Md+ = "&amp;FIXED($L$83,1)&amp;" | Md− = "&amp;FIXED($L$94,1)</f>
      </c>
      <c r="M11" s="236"/>
      <c r="N11" s="232">
        <f>IF(ISNA(MATCH($L$45,'CONTENÇÃO RÁPIDA'!$K$74:$K$76,0)),"Rever: modelo inválido","Ok")</f>
      </c>
      <c r="O11" s="233" t="inlineStr">
        <is>
          <t xml:space="preserve">Momentos de cálculo (kN·m) do modelo escolhido – item 1.4</t>
        </is>
      </c>
    </row>
    <row r="12" ht="32" customHeight="1">
      <c r="K12" s="223" t="inlineStr">
        <is>
          <t xml:space="preserve">Aviso</t>
        </is>
      </c>
      <c r="L12" s="234">
        <f>IF(MAX($L$83,$L$94)&gt;$L$78,"⚠ Armadura dupla: a seção "&amp;$L$39&amp;"×"&amp;$L$38&amp;" é pequena para Md = "&amp;FIXED(MAX($L$83,$L$94),1)&amp;" kN·m. Para armadura simples use h ≥ "&amp;ROUNDUP($L$79+$L$75,0)&amp;" cm.","Flexão simples (sem a força normal): se o pilar tiver compressão relevante, confira a flexo-compressão no programa.")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Seção do vão</t>
        </is>
      </c>
      <c r="L13" s="236">
        <f>$L$84</f>
      </c>
      <c r="M13" s="236"/>
      <c r="N13" s="232">
        <f>IF($L$83=0,"Não se aplica (M = 0)",IF($L$83&lt;=$L$78,"Ok","Arm. dupla – ver d,mín"))</f>
      </c>
      <c r="O13" s="233" t="inlineStr">
        <is>
          <t xml:space="preserve">Flexão com M+ – item 3</t>
        </is>
      </c>
    </row>
    <row r="14">
      <c r="K14" s="223" t="inlineStr">
        <is>
          <t xml:space="preserve">Seção da base</t>
        </is>
      </c>
      <c r="L14" s="236">
        <f>$L$95</f>
      </c>
      <c r="M14" s="236"/>
      <c r="N14" s="232">
        <f>IF($L$94=0,"Não se aplica (M = 0)",IF($L$94&lt;=$L$78,"Ok","Arm. dupla – ver d,mín"))</f>
      </c>
      <c r="O14" s="233" t="inlineStr">
        <is>
          <t xml:space="preserve">Flexão com M− – item 4</t>
        </is>
      </c>
    </row>
    <row r="15">
      <c r="K15" s="223" t="inlineStr">
        <is>
          <t xml:space="preserve">Arm. por face</t>
        </is>
      </c>
      <c r="L15" s="236">
        <f>$L$111&amp;" Ø"&amp;$L$42&amp;" ("&amp;FIXED($L$112,2)&amp;" cm²)"</f>
      </c>
      <c r="M15" s="236"/>
      <c r="N15" s="232">
        <f>IF($L$117&lt;$L$115,"Espaço livre "&amp;FIXED($L$117,2)&amp;" &lt; "&amp;FIXED($L$115,2)&amp;" cm ("&amp;$L$116&amp;")","Ok")</f>
      </c>
      <c r="O15" s="233" t="inlineStr">
        <is>
          <t xml:space="preserve">Mesma armadura nas duas faces (simétrica) – item 5</t>
        </is>
      </c>
    </row>
    <row r="16">
      <c r="K16" s="223" t="inlineStr">
        <is>
          <t xml:space="preserve">Taxa total</t>
        </is>
      </c>
      <c r="L16" s="236">
        <f>FIXED($L$114,2)&amp;" %"</f>
      </c>
      <c r="M16" s="236"/>
      <c r="N16" s="232">
        <f>IF($L$114&gt;4,"Rever: taxa &gt; 4%",IF($L$114&lt;0.4,"Rever: taxa &lt; 0,4%","Ok"))</f>
      </c>
      <c r="O16" s="233" t="inlineStr">
        <is>
          <t xml:space="preserve">Armadura total / Ac – item 5</t>
        </is>
      </c>
    </row>
    <row r="17">
      <c r="K17" s="223" t="inlineStr">
        <is>
          <t xml:space="preserve">Biela</t>
        </is>
      </c>
      <c r="L17" s="236">
        <f>FIXED($L$123,1)&amp;" ≤ "&amp;FIXED($L$124,1)&amp;" kN"</f>
      </c>
      <c r="M17" s="236"/>
      <c r="N17" s="232">
        <f>IF($L$123&lt;=$L$124,"Ok","Aumentar seção ou fck")</f>
      </c>
      <c r="O17" s="233" t="inlineStr">
        <is>
          <t xml:space="preserve">Vsd ≤ VRd2 – item 6.1</t>
        </is>
      </c>
    </row>
    <row r="18">
      <c r="K18" s="223" t="inlineStr">
        <is>
          <t xml:space="preserve">Estribos</t>
        </is>
      </c>
      <c r="L18" s="236">
        <f>"Ø"&amp;$L$41&amp;" – "&amp;$L$154&amp;" estribos"</f>
      </c>
      <c r="M18" s="236"/>
      <c r="N18" s="232">
        <f>(IF(ABS($L$155-$L$142)&gt;0.01,"NÃO OK – soma das zonas ≠ H",IF($L$156&lt;5,"NÃO OK – s &lt; 5 cm: aumentar Ø","OK")))</f>
      </c>
      <c r="O18" s="233" t="inlineStr">
        <is>
          <t xml:space="preserve">Estribos em toda a altura do pilar – item 6.2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Coeficientes</t>
        </is>
      </c>
    </row>
    <row r="29">
      <c r="K29" s="223" t="inlineStr">
        <is>
          <t xml:space="preserve">γf</t>
        </is>
      </c>
      <c r="L29" s="224">
        <v>1.4</v>
      </c>
      <c r="M29" s="231" t="inlineStr">
        <is>
          <t xml:space="preserve">-</t>
        </is>
      </c>
      <c r="O29" s="233" t="inlineStr">
        <is>
          <t xml:space="preserve">Coeficiente de majoração das cargas.</t>
        </is>
      </c>
    </row>
    <row r="30">
      <c r="K30" s="223" t="inlineStr">
        <is>
          <t xml:space="preserve">γc</t>
        </is>
      </c>
      <c r="L30" s="224">
        <v>1.3</v>
      </c>
      <c r="M30" s="231" t="inlineStr">
        <is>
          <t xml:space="preserve">-</t>
        </is>
      </c>
      <c r="O30" s="233" t="inlineStr">
        <is>
          <t xml:space="preserve">Coeficiente de minoração do concreto.</t>
        </is>
      </c>
    </row>
    <row r="31">
      <c r="K31" s="223" t="inlineStr">
        <is>
          <t xml:space="preserve">γs</t>
        </is>
      </c>
      <c r="L31" s="224">
        <v>1.1</v>
      </c>
      <c r="M31" s="231" t="inlineStr">
        <is>
          <t xml:space="preserve">-</t>
        </is>
      </c>
      <c r="O31" s="233" t="inlineStr">
        <is>
          <t xml:space="preserve">Coeficiente de minoração do aço.</t>
        </is>
      </c>
    </row>
    <row r="32">
      <c r="K32" s="222" t="inlineStr">
        <is>
          <t xml:space="preserve">1.2 Materiais</t>
        </is>
      </c>
    </row>
    <row r="33">
      <c r="K33" s="223" t="inlineStr">
        <is>
          <t xml:space="preserve">fck</t>
        </is>
      </c>
      <c r="L33" s="224">
        <v>40</v>
      </c>
      <c r="M33" s="231" t="inlineStr">
        <is>
          <t xml:space="preserve">MPa</t>
        </is>
      </c>
      <c r="N33" s="232">
        <f>IF(OR($L$33&lt;20,$L$33&gt;50),"Rever: fck entre 20 e 50 MPa","Ok")</f>
      </c>
      <c r="O33" s="233" t="inlineStr">
        <is>
          <t xml:space="preserve">Resistência característica do concreto (até 50 MPa).</t>
        </is>
      </c>
    </row>
    <row r="34">
      <c r="K34" s="223" t="inlineStr">
        <is>
          <t xml:space="preserve">fyk</t>
        </is>
      </c>
      <c r="L34" s="224">
        <v>500</v>
      </c>
      <c r="M34" s="231" t="inlineStr">
        <is>
          <t xml:space="preserve">MPa</t>
        </is>
      </c>
      <c r="O34" s="233" t="inlineStr">
        <is>
          <t xml:space="preserve">Aço da armadura longitudinal (CA-50).</t>
        </is>
      </c>
    </row>
    <row r="35">
      <c r="K35" s="223" t="inlineStr">
        <is>
          <t xml:space="preserve">fywk</t>
        </is>
      </c>
      <c r="L35" s="224">
        <v>500</v>
      </c>
      <c r="M35" s="231" t="inlineStr">
        <is>
          <t xml:space="preserve">MPa</t>
        </is>
      </c>
      <c r="O35" s="233" t="inlineStr">
        <is>
          <t xml:space="preserve">Aço dos estribos (CA-50 = 500; CA-60 = 600).</t>
        </is>
      </c>
    </row>
    <row r="36">
      <c r="K36" s="223" t="inlineStr">
        <is>
          <t xml:space="preserve">d,máx</t>
        </is>
      </c>
      <c r="L36" s="224">
        <v>19</v>
      </c>
      <c r="M36" s="231" t="inlineStr">
        <is>
          <t xml:space="preserve">mm</t>
        </is>
      </c>
      <c r="O36" s="233" t="inlineStr">
        <is>
          <t xml:space="preserve">Diâmetro máximo do agregado (brita 1 = 19 mm).</t>
        </is>
      </c>
    </row>
    <row r="37">
      <c r="K37" s="222" t="inlineStr">
        <is>
          <t xml:space="preserve">1.3 Seção do pilar</t>
        </is>
      </c>
    </row>
    <row r="38">
      <c r="K38" s="223" t="inlineStr">
        <is>
          <t xml:space="preserve">h</t>
        </is>
      </c>
      <c r="L38" s="224">
        <v>50</v>
      </c>
      <c r="M38" s="231" t="inlineStr">
        <is>
          <t xml:space="preserve">cm</t>
        </is>
      </c>
      <c r="O38" s="233" t="inlineStr">
        <is>
          <t xml:space="preserve">Dimensão na direção do empuxo (altura da seção que resiste à flexão).</t>
        </is>
      </c>
    </row>
    <row r="39">
      <c r="K39" s="223" t="inlineStr">
        <is>
          <t xml:space="preserve">b</t>
        </is>
      </c>
      <c r="L39" s="224">
        <v>30</v>
      </c>
      <c r="M39" s="231" t="inlineStr">
        <is>
          <t xml:space="preserve">cm</t>
        </is>
      </c>
      <c r="O39" s="233" t="inlineStr">
        <is>
          <t xml:space="preserve">Dimensão da face onde ficam as barras (largura da 'viga').</t>
        </is>
      </c>
    </row>
    <row r="40">
      <c r="K40" s="223" t="inlineStr">
        <is>
          <t xml:space="preserve">c</t>
        </is>
      </c>
      <c r="L40" s="224">
        <v>3</v>
      </c>
      <c r="M40" s="231" t="inlineStr">
        <is>
          <t xml:space="preserve">cm</t>
        </is>
      </c>
      <c r="O40" s="233" t="inlineStr">
        <is>
          <t xml:space="preserve">Cobrimento (CAA II: pilar 3,0 cm).</t>
        </is>
      </c>
    </row>
    <row r="41">
      <c r="K41" s="223" t="inlineStr">
        <is>
          <t xml:space="preserve">Ø,t</t>
        </is>
      </c>
      <c r="L41" s="227">
        <f>$O$3</f>
      </c>
      <c r="M41" s="231" t="inlineStr">
        <is>
          <t xml:space="preserve">mm</t>
        </is>
      </c>
      <c r="O41" s="233" t="inlineStr">
        <is>
          <t xml:space="preserve">Bitola do estribo – escolha no painel do topo (linha 3).</t>
        </is>
      </c>
    </row>
    <row r="42">
      <c r="K42" s="223" t="inlineStr">
        <is>
          <t xml:space="preserve">Ø,l</t>
        </is>
      </c>
      <c r="L42" s="227">
        <f>$O$2</f>
      </c>
      <c r="M42" s="231" t="inlineStr">
        <is>
          <t xml:space="preserve">mm</t>
        </is>
      </c>
      <c r="N42" s="232">
        <f>IF($L$42&lt;10,"Rever: pilar pede Ø ≥ 10 mm",IF($L$42&gt;$L$39*10/8,"Rever: Ø &gt; b/8","Ok"))</f>
      </c>
      <c r="O42" s="233" t="inlineStr">
        <is>
          <t xml:space="preserve">Bitola longitudinal – escolha no painel do topo (linha 2).</t>
        </is>
      </c>
    </row>
    <row r="43">
      <c r="K43" s="223" t="inlineStr">
        <is>
          <t xml:space="preserve">ramos</t>
        </is>
      </c>
      <c r="L43" s="224">
        <v>2</v>
      </c>
      <c r="M43" s="231" t="inlineStr">
        <is>
          <t xml:space="preserve">-</t>
        </is>
      </c>
      <c r="O43" s="233" t="inlineStr">
        <is>
          <t xml:space="preserve">Ramos de cada estribo (estribo fechado = 2).</t>
        </is>
      </c>
    </row>
    <row r="44">
      <c r="K44" s="222" t="inlineStr">
        <is>
          <t xml:space="preserve">1.4 Esforços característicos (da aba CONTENÇÃO RÁPIDA)</t>
        </is>
      </c>
    </row>
    <row r="45">
      <c r="K45" s="223" t="inlineStr">
        <is>
          <t xml:space="preserve">Modelo</t>
        </is>
      </c>
      <c r="L45" s="224" t="inlineStr">
        <is>
          <t xml:space="preserve">Biapoiado</t>
        </is>
      </c>
      <c r="M45" s="231" t="inlineStr">
        <is>
          <t xml:space="preserve">-</t>
        </is>
      </c>
      <c r="N45" s="232">
        <f>IF(ISNA(MATCH($L$45,'CONTENÇÃO RÁPIDA'!$K$74:$K$76,0)),"Rever: modelo inválido","Ok")</f>
      </c>
      <c r="O45" s="233" t="inlineStr">
        <is>
          <t xml:space="preserve">Modelo do pilar: Biapoiado (padrão), Engaste-apoio ou Balanço.</t>
        </is>
      </c>
    </row>
    <row r="46">
      <c r="K46" s="223" t="inlineStr">
        <is>
          <t xml:space="preserve">Mk+</t>
        </is>
      </c>
      <c r="L46" s="225">
        <f>MAX(0,IFERROR(INDEX('CONTENÇÃO RÁPIDA'!$O$74:$O$76,MATCH($L$45,'CONTENÇÃO RÁPIDA'!$K$74:$K$76,0)),0))</f>
      </c>
      <c r="M46" s="231" t="inlineStr">
        <is>
          <t xml:space="preserve">kN·m</t>
        </is>
      </c>
      <c r="O46" s="233" t="inlineStr">
        <is>
          <t xml:space="preserve">Momento positivo máximo (vão) – tração na face externa.</t>
        </is>
      </c>
    </row>
    <row r="47">
      <c r="K47" s="223" t="inlineStr">
        <is>
          <t xml:space="preserve">Mk−</t>
        </is>
      </c>
      <c r="L47" s="225">
        <f>ABS(MIN(0,IFERROR(INDEX('CONTENÇÃO RÁPIDA'!$N$74:$N$76,MATCH($L$45,'CONTENÇÃO RÁPIDA'!$K$74:$K$76,0)),0)))</f>
      </c>
      <c r="M47" s="231" t="inlineStr">
        <is>
          <t xml:space="preserve">kN·m</t>
        </is>
      </c>
      <c r="O47" s="233" t="inlineStr">
        <is>
          <t xml:space="preserve">Momento negativo na base (em módulo) – tração na face do solo.</t>
        </is>
      </c>
    </row>
    <row r="48">
      <c r="K48" s="223" t="inlineStr">
        <is>
          <t xml:space="preserve">Vk</t>
        </is>
      </c>
      <c r="L48" s="225">
        <f>MAX(IFERROR(INDEX('CONTENÇÃO RÁPIDA'!$L$74:$L$76,MATCH($L$45,'CONTENÇÃO RÁPIDA'!$K$74:$K$76,0)),0),IFERROR(INDEX('CONTENÇÃO RÁPIDA'!$M$74:$M$76,MATCH($L$45,'CONTENÇÃO RÁPIDA'!$K$74:$K$76,0)),0))</f>
      </c>
      <c r="M48" s="231" t="inlineStr">
        <is>
          <t xml:space="preserve">kN</t>
        </is>
      </c>
      <c r="O48" s="233" t="inlineStr">
        <is>
          <t xml:space="preserve">Maior cortante = maior reação (R,topo ou R,base).</t>
        </is>
      </c>
    </row>
    <row r="49">
      <c r="K49" s="223" t="inlineStr">
        <is>
          <t xml:space="preserve">Nk</t>
        </is>
      </c>
      <c r="L49" s="224">
        <v>0</v>
      </c>
      <c r="M49" s="231" t="inlineStr">
        <is>
          <t xml:space="preserve">kN</t>
        </is>
      </c>
      <c r="O49" s="233" t="inlineStr">
        <is>
          <t xml:space="preserve">Força normal no pilar (compressão). Usada só na armadura mínima de pilar.</t>
        </is>
      </c>
    </row>
    <row r="50">
      <c r="K50" s="222" t="inlineStr">
        <is>
          <t xml:space="preserve">1.6 Bitolas disponíveis (lista do painel do topo)</t>
        </is>
      </c>
    </row>
    <row r="51">
      <c r="K51" s="235" t="inlineStr">
        <is>
          <t xml:space="preserve">Ø (mm)</t>
        </is>
      </c>
      <c r="L51" s="235" t="inlineStr">
        <is>
          <t xml:space="preserve">Área (cm²)</t>
        </is>
      </c>
    </row>
    <row r="52">
      <c r="K52" s="224">
        <v>5</v>
      </c>
      <c r="L52" s="228">
        <f>PI()*(K52/10)^2/4</f>
      </c>
    </row>
    <row r="53">
      <c r="K53" s="224">
        <v>6.3</v>
      </c>
      <c r="L53" s="228">
        <f>PI()*(K53/10)^2/4</f>
      </c>
    </row>
    <row r="54">
      <c r="K54" s="224">
        <v>8</v>
      </c>
      <c r="L54" s="228">
        <f>PI()*(K54/10)^2/4</f>
      </c>
    </row>
    <row r="55">
      <c r="K55" s="224">
        <v>10</v>
      </c>
      <c r="L55" s="228">
        <f>PI()*(K55/10)^2/4</f>
      </c>
    </row>
    <row r="56">
      <c r="K56" s="224">
        <v>12.5</v>
      </c>
      <c r="L56" s="228">
        <f>PI()*(K56/10)^2/4</f>
      </c>
    </row>
    <row r="57">
      <c r="K57" s="224">
        <v>16</v>
      </c>
      <c r="L57" s="228">
        <f>PI()*(K57/10)^2/4</f>
      </c>
    </row>
    <row r="58">
      <c r="K58" s="224">
        <v>20</v>
      </c>
      <c r="L58" s="228">
        <f>PI()*(K58/10)^2/4</f>
      </c>
    </row>
    <row r="59">
      <c r="K59" s="224">
        <v>25</v>
      </c>
      <c r="L59" s="228">
        <f>PI()*(K59/10)^2/4</f>
      </c>
    </row>
    <row r="60">
      <c r="K60" s="224">
        <v>32</v>
      </c>
      <c r="L60" s="228">
        <f>PI()*(K60/10)^2/4</f>
      </c>
    </row>
    <row r="61">
      <c r="K61" s="222" t="inlineStr">
        <is>
          <t xml:space="preserve">1.5 Tabela ρ,mín (NBR 6118, tab. 17.3)</t>
        </is>
      </c>
    </row>
    <row r="62">
      <c r="K62" s="235" t="inlineStr">
        <is>
          <t xml:space="preserve">fck (MPa)</t>
        </is>
      </c>
      <c r="L62" s="235" t="inlineStr">
        <is>
          <t xml:space="preserve">ρ,mín (%)</t>
        </is>
      </c>
    </row>
    <row r="63">
      <c r="K63" s="237">
        <v>20</v>
      </c>
      <c r="L63" s="226">
        <v>0.15</v>
      </c>
    </row>
    <row r="64">
      <c r="K64" s="237">
        <v>25</v>
      </c>
      <c r="L64" s="226">
        <v>0.15</v>
      </c>
    </row>
    <row r="65">
      <c r="K65" s="237">
        <v>30</v>
      </c>
      <c r="L65" s="226">
        <v>0.15</v>
      </c>
    </row>
    <row r="66">
      <c r="K66" s="237">
        <v>35</v>
      </c>
      <c r="L66" s="226">
        <v>0.164</v>
      </c>
    </row>
    <row r="67">
      <c r="K67" s="237">
        <v>40</v>
      </c>
      <c r="L67" s="226">
        <v>0.179</v>
      </c>
    </row>
    <row r="68">
      <c r="K68" s="237">
        <v>45</v>
      </c>
      <c r="L68" s="226">
        <v>0.194</v>
      </c>
    </row>
    <row r="69">
      <c r="K69" s="237">
        <v>50</v>
      </c>
      <c r="L69" s="226">
        <v>0.208</v>
      </c>
    </row>
    <row r="71">
      <c r="K71" s="221" t="inlineStr">
        <is>
          <t xml:space="preserve">2 . PARÂMETROS DE CÁLCULO</t>
        </is>
      </c>
      <c r="L71" s="221"/>
      <c r="M71" s="221"/>
      <c r="N71" s="221"/>
      <c r="O71" s="221"/>
      <c r="P71" s="221"/>
      <c r="Q71" s="221"/>
      <c r="R71" s="221"/>
      <c r="S71" s="221"/>
      <c r="T71" s="221"/>
    </row>
    <row r="73">
      <c r="K73" s="223" t="inlineStr">
        <is>
          <t xml:space="preserve">fcd</t>
        </is>
      </c>
      <c r="L73" s="227">
        <f>$L$33/$L$30</f>
      </c>
      <c r="M73" s="231" t="inlineStr">
        <is>
          <t xml:space="preserve">MPa</t>
        </is>
      </c>
      <c r="O73" s="233" t="inlineStr">
        <is>
          <t xml:space="preserve">Resistência de cálculo do concreto.</t>
        </is>
      </c>
    </row>
    <row r="74">
      <c r="K74" s="223" t="inlineStr">
        <is>
          <t xml:space="preserve">fyd</t>
        </is>
      </c>
      <c r="L74" s="227">
        <f>$L$34/$L$31</f>
      </c>
      <c r="M74" s="231" t="inlineStr">
        <is>
          <t xml:space="preserve">MPa</t>
        </is>
      </c>
      <c r="O74" s="233" t="inlineStr">
        <is>
          <t xml:space="preserve">Resistência de cálculo do aço.</t>
        </is>
      </c>
    </row>
    <row r="75">
      <c r="K75" s="223" t="inlineStr">
        <is>
          <t xml:space="preserve">d'</t>
        </is>
      </c>
      <c r="L75" s="227">
        <f>$L$40+$L$41/10+$L$42/20</f>
      </c>
      <c r="M75" s="231" t="inlineStr">
        <is>
          <t xml:space="preserve">cm</t>
        </is>
      </c>
      <c r="O75" s="233" t="inlineStr">
        <is>
          <t xml:space="preserve">Distância da face ao eixo das barras (c + Ø,t + Ø,l/2).</t>
        </is>
      </c>
    </row>
    <row r="76">
      <c r="K76" s="223" t="inlineStr">
        <is>
          <t xml:space="preserve">d</t>
        </is>
      </c>
      <c r="L76" s="227">
        <f>$L$38-$L$75</f>
      </c>
      <c r="M76" s="231" t="inlineStr">
        <is>
          <t xml:space="preserve">cm</t>
        </is>
      </c>
      <c r="O76" s="233" t="inlineStr">
        <is>
          <t xml:space="preserve">Altura útil (h − d').</t>
        </is>
      </c>
    </row>
    <row r="77">
      <c r="K77" s="223" t="inlineStr">
        <is>
          <t xml:space="preserve">(x/d)lim</t>
        </is>
      </c>
      <c r="L77" s="227">
        <v>0.45</v>
      </c>
      <c r="M77" s="231" t="inlineStr">
        <is>
          <t xml:space="preserve">-</t>
        </is>
      </c>
      <c r="O77" s="233" t="inlineStr">
        <is>
          <t xml:space="preserve">Limite da linha neutra para fck ≤ 50 MPa (ductilidade).</t>
        </is>
      </c>
    </row>
    <row r="78">
      <c r="K78" s="223" t="inlineStr">
        <is>
          <t xml:space="preserve">Md,lim</t>
        </is>
      </c>
      <c r="L78" s="227">
        <f>0.68*$L$39*$L$76^2*$L$73/10*$L$77*(1-0.4*$L$77)/100</f>
      </c>
      <c r="M78" s="231" t="inlineStr">
        <is>
          <t xml:space="preserve">kN·m</t>
        </is>
      </c>
      <c r="O78" s="233" t="inlineStr">
        <is>
          <t xml:space="preserve">Maior momento de cálculo só com armadura simples.</t>
        </is>
      </c>
    </row>
    <row r="79">
      <c r="K79" s="223" t="inlineStr">
        <is>
          <t xml:space="preserve">d,mín</t>
        </is>
      </c>
      <c r="L79" s="227">
        <f>SQRT(MAX($L$46,$L$47)*$L$29*100/(0.68*$L$39*$L$73/10*$L$77*(1-0.4*$L$77)))</f>
      </c>
      <c r="M79" s="231" t="inlineStr">
        <is>
          <t xml:space="preserve">cm</t>
        </is>
      </c>
      <c r="N79" s="232">
        <f>IF($L$76&gt;=$L$79,"Ok","Aumentar h para "&amp;ROUNDUP($L$79+$L$75,0)&amp;" cm (arm. simples)")</f>
      </c>
      <c r="O79" s="233" t="inlineStr">
        <is>
          <t xml:space="preserve">Altura útil mínima para armadura simples com o maior momento.</t>
        </is>
      </c>
    </row>
    <row r="81">
      <c r="K81" s="221" t="inlineStr">
        <is>
          <t xml:space="preserve">3 . FLEXÃO – SEÇÃO DO VÃO (M+)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>
      <c r="K83" s="223" t="inlineStr">
        <is>
          <t xml:space="preserve">Md</t>
        </is>
      </c>
      <c r="L83" s="227">
        <f>$L$46*$L$29</f>
      </c>
      <c r="M83" s="231" t="inlineStr">
        <is>
          <t xml:space="preserve">kN·m</t>
        </is>
      </c>
      <c r="O83" s="233" t="inlineStr">
        <is>
          <t xml:space="preserve">Momento de cálculo (γf·Mk).</t>
        </is>
      </c>
    </row>
    <row r="84">
      <c r="K84" s="223" t="inlineStr">
        <is>
          <t xml:space="preserve">Tipo</t>
        </is>
      </c>
      <c r="L84" s="230">
        <f>IF($L$83=0,"Não se aplica (M = 0)",IF($L$83&lt;=$L$78,"Armadura simples","Armadura dupla"))</f>
      </c>
      <c r="M84" s="231" t="inlineStr">
        <is>
          <t xml:space="preserve">-</t>
        </is>
      </c>
      <c r="N84" s="232">
        <f>IF($L$83=0,"Não se aplica (M = 0)",IF($L$83&lt;=$L$78,"Ok","Arm. dupla – ver d,mín (item 2)"))</f>
      </c>
      <c r="O84" s="233" t="inlineStr">
        <is>
          <t xml:space="preserve">Simples se Md ≤ Md,lim; dupla se maior.</t>
        </is>
      </c>
    </row>
    <row r="85">
      <c r="K85" s="223" t="inlineStr">
        <is>
          <t xml:space="preserve">x</t>
        </is>
      </c>
      <c r="L85" s="227">
        <f>IF($L$83&lt;=$L$78,1.25*$L$76*(1-SQRT(MAX(0,1-$L$83*100/(0.425*$L$39*$L$76^2*$L$73/10)))),$L$77*$L$76)</f>
      </c>
      <c r="M85" s="231" t="inlineStr">
        <is>
          <t xml:space="preserve">cm</t>
        </is>
      </c>
      <c r="O85" s="233" t="inlineStr">
        <is>
          <t xml:space="preserve">Profundidade da linha neutra.</t>
        </is>
      </c>
    </row>
    <row r="86">
      <c r="K86" s="223" t="inlineStr">
        <is>
          <t xml:space="preserve">x/d</t>
        </is>
      </c>
      <c r="L86" s="228">
        <f>IF($L$76=0,0,$L$85/$L$76)</f>
      </c>
      <c r="M86" s="231" t="inlineStr">
        <is>
          <t xml:space="preserve">-</t>
        </is>
      </c>
      <c r="O86" s="233" t="inlineStr">
        <is>
          <t xml:space="preserve">Posição relativa da linha neutra.</t>
        </is>
      </c>
    </row>
    <row r="87">
      <c r="K87" s="223" t="inlineStr">
        <is>
          <t xml:space="preserve">Domínio</t>
        </is>
      </c>
      <c r="L87" s="230">
        <f>IF($L$83=0,"-",IF($L$86&lt;=0.259,"2","3"))</f>
      </c>
      <c r="M87" s="231" t="inlineStr">
        <is>
          <t xml:space="preserve">-</t>
        </is>
      </c>
      <c r="O87" s="233" t="inlineStr">
        <is>
          <t xml:space="preserve">Domínio de deformação.</t>
        </is>
      </c>
    </row>
    <row r="88">
      <c r="K88" s="223" t="inlineStr">
        <is>
          <t xml:space="preserve">σsc</t>
        </is>
      </c>
      <c r="L88" s="227">
        <f>MIN($L$74,210000*0.0035*MAX(0,$L$85-$L$75)/MAX($L$85,0.001))</f>
      </c>
      <c r="M88" s="231" t="inlineStr">
        <is>
          <t xml:space="preserve">MPa</t>
        </is>
      </c>
      <c r="O88" s="233" t="inlineStr">
        <is>
          <t xml:space="preserve">Tensão na armadura comprimida (Es = 210 GPa, εc = 3,5‰), só na armadura dupla.</t>
        </is>
      </c>
    </row>
    <row r="89">
      <c r="K89" s="223" t="inlineStr">
        <is>
          <t xml:space="preserve">As,t</t>
        </is>
      </c>
      <c r="L89" s="227">
        <f>IF($L$83&lt;=$L$78,$L$83*100/($L$74/10*($L$76-0.4*$L$85)),$L$78*100/($L$74/10*($L$76-0.4*$L$85))+($L$83-$L$78)*100/($L$74/10*($L$76-$L$75)))</f>
      </c>
      <c r="M89" s="231" t="inlineStr">
        <is>
          <t xml:space="preserve">cm²</t>
        </is>
      </c>
      <c r="O89" s="233" t="inlineStr">
        <is>
          <t xml:space="preserve">Armadura tracionada – face externa.</t>
        </is>
      </c>
    </row>
    <row r="90">
      <c r="K90" s="223" t="inlineStr">
        <is>
          <t xml:space="preserve">As,c</t>
        </is>
      </c>
      <c r="L90" s="227">
        <f>IF($L$83&lt;=$L$78,0,($L$83-$L$78)*100/($L$88/10*($L$76-$L$75)))</f>
      </c>
      <c r="M90" s="231" t="inlineStr">
        <is>
          <t xml:space="preserve">cm²</t>
        </is>
      </c>
      <c r="O90" s="233" t="inlineStr">
        <is>
          <t xml:space="preserve">Armadura comprimida – face do solo (0 na armadura simples).</t>
        </is>
      </c>
    </row>
    <row r="92">
      <c r="K92" s="221" t="inlineStr">
        <is>
          <t xml:space="preserve">4 . FLEXÃO – SEÇÃO DA BASE (M−)</t>
        </is>
      </c>
      <c r="L92" s="221"/>
      <c r="M92" s="221"/>
      <c r="N92" s="221"/>
      <c r="O92" s="221"/>
      <c r="P92" s="221"/>
      <c r="Q92" s="221"/>
      <c r="R92" s="221"/>
      <c r="S92" s="221"/>
      <c r="T92" s="221"/>
    </row>
    <row r="94">
      <c r="K94" s="223" t="inlineStr">
        <is>
          <t xml:space="preserve">Md</t>
        </is>
      </c>
      <c r="L94" s="227">
        <f>$L$47*$L$29</f>
      </c>
      <c r="M94" s="231" t="inlineStr">
        <is>
          <t xml:space="preserve">kN·m</t>
        </is>
      </c>
      <c r="O94" s="233" t="inlineStr">
        <is>
          <t xml:space="preserve">Momento de cálculo (γf·Mk).</t>
        </is>
      </c>
    </row>
    <row r="95">
      <c r="K95" s="223" t="inlineStr">
        <is>
          <t xml:space="preserve">Tipo</t>
        </is>
      </c>
      <c r="L95" s="230">
        <f>IF($L$94=0,"Não se aplica (M = 0)",IF($L$94&lt;=$L$78,"Armadura simples","Armadura dupla"))</f>
      </c>
      <c r="M95" s="231" t="inlineStr">
        <is>
          <t xml:space="preserve">-</t>
        </is>
      </c>
      <c r="N95" s="232">
        <f>IF($L$94=0,"Não se aplica (M = 0)",IF($L$94&lt;=$L$78,"Ok","Arm. dupla – ver d,mín (item 2)"))</f>
      </c>
      <c r="O95" s="233" t="inlineStr">
        <is>
          <t xml:space="preserve">Simples se Md ≤ Md,lim; dupla se maior.</t>
        </is>
      </c>
    </row>
    <row r="96">
      <c r="K96" s="223" t="inlineStr">
        <is>
          <t xml:space="preserve">x</t>
        </is>
      </c>
      <c r="L96" s="227">
        <f>IF($L$94&lt;=$L$78,1.25*$L$76*(1-SQRT(MAX(0,1-$L$94*100/(0.425*$L$39*$L$76^2*$L$73/10)))),$L$77*$L$76)</f>
      </c>
      <c r="M96" s="231" t="inlineStr">
        <is>
          <t xml:space="preserve">cm</t>
        </is>
      </c>
      <c r="O96" s="233" t="inlineStr">
        <is>
          <t xml:space="preserve">Profundidade da linha neutra.</t>
        </is>
      </c>
    </row>
    <row r="97">
      <c r="K97" s="223" t="inlineStr">
        <is>
          <t xml:space="preserve">x/d</t>
        </is>
      </c>
      <c r="L97" s="228">
        <f>IF($L$76=0,0,$L$96/$L$76)</f>
      </c>
      <c r="M97" s="231" t="inlineStr">
        <is>
          <t xml:space="preserve">-</t>
        </is>
      </c>
      <c r="O97" s="233" t="inlineStr">
        <is>
          <t xml:space="preserve">Posição relativa da linha neutra.</t>
        </is>
      </c>
    </row>
    <row r="98">
      <c r="K98" s="223" t="inlineStr">
        <is>
          <t xml:space="preserve">Domínio</t>
        </is>
      </c>
      <c r="L98" s="230">
        <f>IF($L$94=0,"-",IF($L$97&lt;=0.259,"2","3"))</f>
      </c>
      <c r="M98" s="231" t="inlineStr">
        <is>
          <t xml:space="preserve">-</t>
        </is>
      </c>
      <c r="O98" s="233" t="inlineStr">
        <is>
          <t xml:space="preserve">Domínio de deformação.</t>
        </is>
      </c>
    </row>
    <row r="99">
      <c r="K99" s="223" t="inlineStr">
        <is>
          <t xml:space="preserve">σsc</t>
        </is>
      </c>
      <c r="L99" s="227">
        <f>MIN($L$74,210000*0.0035*MAX(0,$L$96-$L$75)/MAX($L$96,0.001))</f>
      </c>
      <c r="M99" s="231" t="inlineStr">
        <is>
          <t xml:space="preserve">MPa</t>
        </is>
      </c>
      <c r="O99" s="233" t="inlineStr">
        <is>
          <t xml:space="preserve">Tensão na armadura comprimida (Es = 210 GPa, εc = 3,5‰), só na armadura dupla.</t>
        </is>
      </c>
    </row>
    <row r="100">
      <c r="K100" s="223" t="inlineStr">
        <is>
          <t xml:space="preserve">As,t</t>
        </is>
      </c>
      <c r="L100" s="227">
        <f>IF($L$94&lt;=$L$78,$L$94*100/($L$74/10*($L$76-0.4*$L$96)),$L$78*100/($L$74/10*($L$76-0.4*$L$96))+($L$94-$L$78)*100/($L$74/10*($L$76-$L$75)))</f>
      </c>
      <c r="M100" s="231" t="inlineStr">
        <is>
          <t xml:space="preserve">cm²</t>
        </is>
      </c>
      <c r="O100" s="233" t="inlineStr">
        <is>
          <t xml:space="preserve">Armadura tracionada – face do solo.</t>
        </is>
      </c>
    </row>
    <row r="101">
      <c r="K101" s="223" t="inlineStr">
        <is>
          <t xml:space="preserve">As,c</t>
        </is>
      </c>
      <c r="L101" s="227">
        <f>IF($L$94&lt;=$L$78,0,($L$94-$L$78)*100/($L$99/10*($L$76-$L$75)))</f>
      </c>
      <c r="M101" s="231" t="inlineStr">
        <is>
          <t xml:space="preserve">cm²</t>
        </is>
      </c>
      <c r="O101" s="233" t="inlineStr">
        <is>
          <t xml:space="preserve">Armadura comprimida – face externa (0 na armadura simples).</t>
        </is>
      </c>
    </row>
    <row r="103">
      <c r="K103" s="221" t="inlineStr">
        <is>
          <t xml:space="preserve">5 . ARMADURA LONGITUDINAL SIMÉTRICA (mesma nas duas faces)</t>
        </is>
      </c>
      <c r="L103" s="221"/>
      <c r="M103" s="221"/>
      <c r="N103" s="221"/>
      <c r="O103" s="221"/>
      <c r="P103" s="221"/>
      <c r="Q103" s="221"/>
      <c r="R103" s="221"/>
      <c r="S103" s="221"/>
      <c r="T103" s="221"/>
    </row>
    <row r="105" ht="32" customHeight="1">
      <c r="K105" s="220" t="inlineStr">
        <is>
          <t xml:space="preserve">Cada face recebe a maior entre: tração do vão, tração da base, compressão da armadura dupla, mínima de viga (por face) e metade da mínima de pilar (0,4% Ac no total). As mesmas barras seguem por toda a altura, cobrindo as duas seções.</t>
        </is>
      </c>
      <c r="L105" s="220"/>
      <c r="M105" s="220"/>
      <c r="N105" s="220"/>
      <c r="O105" s="220"/>
      <c r="P105" s="220"/>
      <c r="Q105" s="220"/>
      <c r="R105" s="220"/>
      <c r="S105" s="220"/>
      <c r="T105" s="220"/>
    </row>
    <row r="106">
      <c r="K106" s="223" t="inlineStr">
        <is>
          <t xml:space="preserve">ρ,mín</t>
        </is>
      </c>
      <c r="L106" s="228">
        <f>VLOOKUP($L$33,$K$63:$L$69,2,TRUE)</f>
      </c>
      <c r="M106" s="231" t="inlineStr">
        <is>
          <t xml:space="preserve">%</t>
        </is>
      </c>
      <c r="O106" s="233" t="inlineStr">
        <is>
          <t xml:space="preserve">Taxa mínima de flexão (tabela 1.5).</t>
        </is>
      </c>
    </row>
    <row r="107">
      <c r="K107" s="223" t="inlineStr">
        <is>
          <t xml:space="preserve">As,mín,v</t>
        </is>
      </c>
      <c r="L107" s="227">
        <f>$L$106/100*$L$39*$L$38</f>
      </c>
      <c r="M107" s="231" t="inlineStr">
        <is>
          <t xml:space="preserve">cm²</t>
        </is>
      </c>
      <c r="O107" s="233" t="inlineStr">
        <is>
          <t xml:space="preserve">Mínima de viga, por face tracionada: ρ,mín·b·h.</t>
        </is>
      </c>
    </row>
    <row r="108">
      <c r="K108" s="223" t="inlineStr">
        <is>
          <t xml:space="preserve">As,mín,p</t>
        </is>
      </c>
      <c r="L108" s="227">
        <f>MAX(0.15*$L$49*$L$29/($L$74/10),0.004*$L$39*$L$38)</f>
      </c>
      <c r="M108" s="231" t="inlineStr">
        <is>
          <t xml:space="preserve">cm²</t>
        </is>
      </c>
      <c r="O108" s="233" t="inlineStr">
        <is>
          <t xml:space="preserve">Mínima de pilar, total: máx(0,15·Nd/fyd; 0,4%·Ac).</t>
        </is>
      </c>
    </row>
    <row r="109">
      <c r="K109" s="223" t="inlineStr">
        <is>
          <t xml:space="preserve">As,face</t>
        </is>
      </c>
      <c r="L109" s="227">
        <f>MAX($L$89,$L$90,$L$100,$L$101,$L$107,$L$108/2)</f>
      </c>
      <c r="M109" s="231" t="inlineStr">
        <is>
          <t xml:space="preserve">cm²</t>
        </is>
      </c>
      <c r="O109" s="233" t="inlineStr">
        <is>
          <t xml:space="preserve">Armadura necessária em cada face.</t>
        </is>
      </c>
    </row>
    <row r="110">
      <c r="K110" s="223" t="inlineStr">
        <is>
          <t xml:space="preserve">A,barra</t>
        </is>
      </c>
      <c r="L110" s="228">
        <f>PI()*($L$42/10)^2/4</f>
      </c>
      <c r="M110" s="231" t="inlineStr">
        <is>
          <t xml:space="preserve">cm²</t>
        </is>
      </c>
      <c r="O110" s="233" t="inlineStr">
        <is>
          <t xml:space="preserve">Área de uma barra Ø,l.</t>
        </is>
      </c>
    </row>
    <row r="111">
      <c r="K111" s="223" t="inlineStr">
        <is>
          <t xml:space="preserve">n</t>
        </is>
      </c>
      <c r="L111" s="229">
        <f>MAX(2,ROUNDUP($L$109/$L$110,0))</f>
      </c>
      <c r="M111" s="231" t="inlineStr">
        <is>
          <t xml:space="preserve">un</t>
        </is>
      </c>
      <c r="O111" s="233" t="inlineStr">
        <is>
          <t xml:space="preserve">Barras em cada face (mínimo 2).</t>
        </is>
      </c>
    </row>
    <row r="112">
      <c r="K112" s="223" t="inlineStr">
        <is>
          <t xml:space="preserve">As,ef</t>
        </is>
      </c>
      <c r="L112" s="227">
        <f>$L$111*$L$110</f>
      </c>
      <c r="M112" s="231" t="inlineStr">
        <is>
          <t xml:space="preserve">cm²</t>
        </is>
      </c>
      <c r="O112" s="233" t="inlineStr">
        <is>
          <t xml:space="preserve">Armadura efetiva em cada face.</t>
        </is>
      </c>
    </row>
    <row r="113">
      <c r="K113" s="223" t="inlineStr">
        <is>
          <t xml:space="preserve">As,total</t>
        </is>
      </c>
      <c r="L113" s="227">
        <f>2*$L$112</f>
      </c>
      <c r="M113" s="231" t="inlineStr">
        <is>
          <t xml:space="preserve">cm²</t>
        </is>
      </c>
      <c r="O113" s="233" t="inlineStr">
        <is>
          <t xml:space="preserve">Armadura total na seção (duas faces).</t>
        </is>
      </c>
    </row>
    <row r="114">
      <c r="K114" s="223" t="inlineStr">
        <is>
          <t xml:space="preserve">ρ,total</t>
        </is>
      </c>
      <c r="L114" s="227">
        <f>$L$113/($L$39*$L$38)*100</f>
      </c>
      <c r="M114" s="231" t="inlineStr">
        <is>
          <t xml:space="preserve">%</t>
        </is>
      </c>
      <c r="N114" s="232">
        <f>IF($L$114&gt;4,"Rever: taxa &gt; 4% – aumentar seção",IF($L$114&lt;0.4,"Rever: taxa &lt; 0,4%","Ok"))</f>
      </c>
      <c r="O114" s="233" t="inlineStr">
        <is>
          <t xml:space="preserve">Taxa total (pilar: 0,4% a 4%; 8% na emenda).</t>
        </is>
      </c>
    </row>
    <row r="115">
      <c r="K115" s="223" t="inlineStr">
        <is>
          <t xml:space="preserve">a,h,mín</t>
        </is>
      </c>
      <c r="L115" s="227">
        <f>MAX(2,$L$42/10,1.2*$L$36/10)</f>
      </c>
      <c r="M115" s="231" t="inlineStr">
        <is>
          <t xml:space="preserve">cm</t>
        </is>
      </c>
      <c r="O115" s="233" t="inlineStr">
        <is>
          <t xml:space="preserve">NBR 6118, 18.4.2.2: maior entre 2 cm, Ø,l e 1,2·d,máx.</t>
        </is>
      </c>
    </row>
    <row r="116">
      <c r="K116" s="223" t="inlineStr">
        <is>
          <t xml:space="preserve">governa</t>
        </is>
      </c>
      <c r="L116" s="230">
        <f>IF($L$115=$L$42/10,"≥ Ø da barra",IF($L$115=2,"≥ 2 cm","≥ 1,2·d,máx"))</f>
      </c>
      <c r="M116" s="231" t="inlineStr">
        <is>
          <t xml:space="preserve">-</t>
        </is>
      </c>
      <c r="O116" s="233" t="inlineStr">
        <is>
          <t xml:space="preserve">Critério que define o espaço mínimo (brita 0: d,máx = 9,5 mm; brita 1: 19 mm).</t>
        </is>
      </c>
    </row>
    <row r="117">
      <c r="K117" s="223" t="inlineStr">
        <is>
          <t xml:space="preserve">a,h</t>
        </is>
      </c>
      <c r="L117" s="227">
        <f>IF($L$111&lt;=1,0,($L$39-2*$L$40-2*$L$41/10-$L$111*$L$42/10)/($L$111-1))</f>
      </c>
      <c r="M117" s="231" t="inlineStr">
        <is>
          <t xml:space="preserve">cm</t>
        </is>
      </c>
      <c r="N117" s="232">
        <f>IF($L$117&lt;$L$115,"Espaço livre "&amp;FIXED($L$117,2)&amp;" &lt; "&amp;FIXED($L$115,2)&amp;" cm ("&amp;$L$116&amp;")",IF($L$117&gt;40,"Rever: espaço &gt; 40 cm","Ok"))</f>
      </c>
      <c r="O117" s="233" t="inlineStr">
        <is>
          <t xml:space="preserve">Espaço livre entre barras da mesma face.</t>
        </is>
      </c>
    </row>
    <row r="119">
      <c r="K119" s="221" t="inlineStr">
        <is>
          <t xml:space="preserve">6 . ESTRIBOS – FORÇA CORTANTE (Modelo I, NBR 6118)</t>
        </is>
      </c>
      <c r="L119" s="221"/>
      <c r="M119" s="221"/>
      <c r="N119" s="221"/>
      <c r="O119" s="221"/>
      <c r="P119" s="221"/>
      <c r="Q119" s="221"/>
      <c r="R119" s="221"/>
      <c r="S119" s="221"/>
      <c r="T119" s="221"/>
    </row>
    <row r="121" ht="32" customHeight="1">
      <c r="K121" s="220" t="inlineStr">
        <is>
          <t xml:space="preserve">Vsd ≤ VRd2 (biela) e Vsd ≤ Vc0 + Vsw. O espaçamento adotado é o menor entre o calculado, o máximo de viga (0,6·d ≤ 30 cm ou 0,3·d ≤ 20 cm) e o máximo de pilar (20 cm, b, 12·Ø,l).</t>
        </is>
      </c>
      <c r="L121" s="220"/>
      <c r="M121" s="220"/>
      <c r="N121" s="220"/>
      <c r="O121" s="220"/>
      <c r="P121" s="220"/>
      <c r="Q121" s="220"/>
      <c r="R121" s="220"/>
      <c r="S121" s="220"/>
      <c r="T121" s="220"/>
    </row>
    <row r="122">
      <c r="K122" s="222" t="inlineStr">
        <is>
          <t xml:space="preserve">6.1 Biela e parcela do concreto</t>
        </is>
      </c>
    </row>
    <row r="123">
      <c r="K123" s="223" t="inlineStr">
        <is>
          <t xml:space="preserve">Vsd</t>
        </is>
      </c>
      <c r="L123" s="227">
        <f>$L$48*$L$29</f>
      </c>
      <c r="M123" s="231" t="inlineStr">
        <is>
          <t xml:space="preserve">kN</t>
        </is>
      </c>
      <c r="O123" s="233" t="inlineStr">
        <is>
          <t xml:space="preserve">Cortante de cálculo (γf·Vk).</t>
        </is>
      </c>
    </row>
    <row r="124">
      <c r="K124" s="223" t="inlineStr">
        <is>
          <t xml:space="preserve">VRd2</t>
        </is>
      </c>
      <c r="L124" s="227">
        <f>0.27*(1-$L$33/250)*$L$73/10*$L$39*$L$76</f>
      </c>
      <c r="M124" s="231" t="inlineStr">
        <is>
          <t xml:space="preserve">kN</t>
        </is>
      </c>
      <c r="N124" s="232">
        <f>IF($L$123&lt;=$L$124,"Ok","Aumentar seção ou fck")</f>
      </c>
      <c r="O124" s="233" t="inlineStr">
        <is>
          <t xml:space="preserve">Resistência da biela comprimida.</t>
        </is>
      </c>
    </row>
    <row r="125">
      <c r="K125" s="223" t="inlineStr">
        <is>
          <t xml:space="preserve">fctm</t>
        </is>
      </c>
      <c r="L125" s="227">
        <f>0.3*$L$33^(2/3)</f>
      </c>
      <c r="M125" s="231" t="inlineStr">
        <is>
          <t xml:space="preserve">MPa</t>
        </is>
      </c>
      <c r="O125" s="233" t="inlineStr">
        <is>
          <t xml:space="preserve">Resistência média à tração.</t>
        </is>
      </c>
    </row>
    <row r="126">
      <c r="K126" s="223" t="inlineStr">
        <is>
          <t xml:space="preserve">fctd</t>
        </is>
      </c>
      <c r="L126" s="227">
        <f>0.7*$L$125/$L$30</f>
      </c>
      <c r="M126" s="231" t="inlineStr">
        <is>
          <t xml:space="preserve">MPa</t>
        </is>
      </c>
      <c r="O126" s="233" t="inlineStr">
        <is>
          <t xml:space="preserve">Resistência de cálculo à tração (fctk,inf/γc).</t>
        </is>
      </c>
    </row>
    <row r="127">
      <c r="K127" s="223" t="inlineStr">
        <is>
          <t xml:space="preserve">Vc0</t>
        </is>
      </c>
      <c r="L127" s="227">
        <f>0.6*$L$126/10*$L$39*$L$76</f>
      </c>
      <c r="M127" s="231" t="inlineStr">
        <is>
          <t xml:space="preserve">kN</t>
        </is>
      </c>
      <c r="O127" s="233" t="inlineStr">
        <is>
          <t xml:space="preserve">Parcela resistida pelo concreto.</t>
        </is>
      </c>
    </row>
    <row r="128">
      <c r="K128" s="222" t="inlineStr">
        <is>
          <t xml:space="preserve">6.2 Armadura transversal</t>
        </is>
      </c>
    </row>
    <row r="129">
      <c r="K129" s="223" t="inlineStr">
        <is>
          <t xml:space="preserve">fywd</t>
        </is>
      </c>
      <c r="L129" s="227">
        <f>MIN($L$35/$L$31,435)</f>
      </c>
      <c r="M129" s="231" t="inlineStr">
        <is>
          <t xml:space="preserve">MPa</t>
        </is>
      </c>
      <c r="O129" s="233" t="inlineStr">
        <is>
          <t xml:space="preserve">Resistência de cálculo do estribo (≤ 435 MPa).</t>
        </is>
      </c>
    </row>
    <row r="130">
      <c r="K130" s="223" t="inlineStr">
        <is>
          <t xml:space="preserve">Vsw</t>
        </is>
      </c>
      <c r="L130" s="227">
        <f>MAX(0,$L$123-$L$127)</f>
      </c>
      <c r="M130" s="231" t="inlineStr">
        <is>
          <t xml:space="preserve">kN</t>
        </is>
      </c>
      <c r="O130" s="233" t="inlineStr">
        <is>
          <t xml:space="preserve">Parcela a ser resistida pelos estribos.</t>
        </is>
      </c>
    </row>
    <row r="131">
      <c r="K131" s="223" t="inlineStr">
        <is>
          <t xml:space="preserve">Asw,calc</t>
        </is>
      </c>
      <c r="L131" s="227">
        <f>$L$130/(0.9*$L$76*$L$129/10)*100</f>
      </c>
      <c r="M131" s="231" t="inlineStr">
        <is>
          <t xml:space="preserve">cm²/m</t>
        </is>
      </c>
      <c r="O131" s="233" t="inlineStr">
        <is>
          <t xml:space="preserve">Asw/s = Vsw/(0,9·d·fywd).</t>
        </is>
      </c>
    </row>
    <row r="132">
      <c r="K132" s="223" t="inlineStr">
        <is>
          <t xml:space="preserve">Asw,mín</t>
        </is>
      </c>
      <c r="L132" s="227">
        <f>0.2*$L$125/$L$35*$L$39*100</f>
      </c>
      <c r="M132" s="231" t="inlineStr">
        <is>
          <t xml:space="preserve">cm²/m</t>
        </is>
      </c>
      <c r="O132" s="233" t="inlineStr">
        <is>
          <t xml:space="preserve">Mínima: ρsw = 0,2·fctm/fywk.</t>
        </is>
      </c>
    </row>
    <row r="133">
      <c r="K133" s="223" t="inlineStr">
        <is>
          <t xml:space="preserve">Asw</t>
        </is>
      </c>
      <c r="L133" s="227">
        <f>MAX($L$131,$L$132)</f>
      </c>
      <c r="M133" s="231" t="inlineStr">
        <is>
          <t xml:space="preserve">cm²/m</t>
        </is>
      </c>
      <c r="O133" s="233" t="inlineStr">
        <is>
          <t xml:space="preserve">Armadura transversal adotada (todos os ramos).</t>
        </is>
      </c>
    </row>
    <row r="134">
      <c r="K134" s="223" t="inlineStr">
        <is>
          <t xml:space="preserve">s,calc</t>
        </is>
      </c>
      <c r="L134" s="227">
        <f>IF($L$133=0,999,$L$43*PI()*($L$41/10)^2/4/$L$133*100)</f>
      </c>
      <c r="M134" s="231" t="inlineStr">
        <is>
          <t xml:space="preserve">cm</t>
        </is>
      </c>
      <c r="O134" s="233" t="inlineStr">
        <is>
          <t xml:space="preserve">Espaçamento pela armadura calculada.</t>
        </is>
      </c>
    </row>
    <row r="135">
      <c r="K135" s="223" t="inlineStr">
        <is>
          <t xml:space="preserve">s,máx,v</t>
        </is>
      </c>
      <c r="L135" s="227">
        <f>IF($L$123&lt;=0.67*$L$124,MIN(0.6*$L$76,30),MIN(0.3*$L$76,20))</f>
      </c>
      <c r="M135" s="231" t="inlineStr">
        <is>
          <t xml:space="preserve">cm</t>
        </is>
      </c>
      <c r="O135" s="233" t="inlineStr">
        <is>
          <t xml:space="preserve">Máximo de viga (NBR 6118, 18.3.3.2).</t>
        </is>
      </c>
    </row>
    <row r="136">
      <c r="K136" s="223" t="inlineStr">
        <is>
          <t xml:space="preserve">s,máx,p</t>
        </is>
      </c>
      <c r="L136" s="227">
        <f>MIN(20,$L$39,$L$38,IF($L$34&gt;=500,12,25)*$L$42/10)</f>
      </c>
      <c r="M136" s="231" t="inlineStr">
        <is>
          <t xml:space="preserve">cm</t>
        </is>
      </c>
      <c r="O136" s="233" t="inlineStr">
        <is>
          <t xml:space="preserve">Máximo de pilar: 20 cm, menor dimensão, 12·Ø,l (CA-50).</t>
        </is>
      </c>
    </row>
    <row r="137">
      <c r="K137" s="223" t="inlineStr">
        <is>
          <t xml:space="preserve">s,unif</t>
        </is>
      </c>
      <c r="L137" s="229">
        <f>ROUNDDOWN(MIN($L$134,$L$135,$L$136),0)</f>
      </c>
      <c r="M137" s="231" t="inlineStr">
        <is>
          <t xml:space="preserve">cm</t>
        </is>
      </c>
      <c r="N137" s="232">
        <f>IF($L$137&lt;5,"s &lt; 5 cm – aumentar Ø,t ou ramos","Ok")</f>
      </c>
      <c r="O137" s="233" t="inlineStr">
        <is>
          <t xml:space="preserve">Espaçamento se usar o Vsd máximo em toda a altura (sem escalonamento).</t>
        </is>
      </c>
    </row>
    <row r="138">
      <c r="K138" s="223" t="inlineStr">
        <is>
          <t xml:space="preserve">Asw,ef</t>
        </is>
      </c>
      <c r="L138" s="227">
        <f>$L$43*PI()*($L$41/10)^2/4*100/$L$137</f>
      </c>
      <c r="M138" s="231" t="inlineStr">
        <is>
          <t xml:space="preserve">cm²/m</t>
        </is>
      </c>
      <c r="N138" s="232">
        <f>IF($L$138&gt;=$L$133,"Ok","Rever")</f>
      </c>
      <c r="O138" s="233" t="inlineStr">
        <is>
          <t xml:space="preserve">Armadura efetiva com o espaçamento adotado.</t>
        </is>
      </c>
    </row>
    <row r="139">
      <c r="K139" s="223" t="inlineStr">
        <is>
          <t xml:space="preserve">Ø,t,mín</t>
        </is>
      </c>
      <c r="L139" s="227">
        <f>MAX(5,$L$42/4)</f>
      </c>
      <c r="M139" s="231" t="inlineStr">
        <is>
          <t xml:space="preserve">mm</t>
        </is>
      </c>
      <c r="N139" s="232">
        <f>IF($L$41&gt;=$L$139,"Ok","Aumentar Ø,t")</f>
      </c>
      <c r="O139" s="233" t="inlineStr">
        <is>
          <t xml:space="preserve">Pilar: Ø,t ≥ 5 mm e ≥ Ø,l/4.</t>
        </is>
      </c>
    </row>
    <row r="140">
      <c r="K140" s="222" t="inlineStr">
        <is>
          <t xml:space="preserve">6.3 Estribos por zonas (escalonamento ao longo da altura)</t>
        </is>
      </c>
    </row>
    <row r="141" ht="32" customHeight="1">
      <c r="K141" s="220" t="inlineStr">
        <is>
          <t xml:space="preserve">O cortante cai da base para o topo, então cada zona usa o maior |V| do seu trecho (e não o Vsd máximo em toda a altura). V(z) = R,base − p,base·z + Δp·z²/(2H), com z medido da base. Os comprimentos das zonas são cinza: pode editar.</t>
        </is>
      </c>
      <c r="L141" s="220"/>
      <c r="M141" s="220"/>
      <c r="N141" s="220"/>
      <c r="O141" s="220"/>
      <c r="P141" s="220"/>
      <c r="Q141" s="220"/>
      <c r="R141" s="220"/>
      <c r="S141" s="220"/>
      <c r="T141" s="220"/>
    </row>
    <row r="142">
      <c r="K142" s="223" t="inlineStr">
        <is>
          <t xml:space="preserve">H</t>
        </is>
      </c>
      <c r="L142" s="227">
        <f>'CONTENÇÃO RÁPIDA'!$L$33</f>
      </c>
      <c r="M142" s="231" t="inlineStr">
        <is>
          <t xml:space="preserve">m</t>
        </is>
      </c>
      <c r="O142" s="233" t="inlineStr">
        <is>
          <t xml:space="preserve">Altura do pilar carregada (aba CONTENÇÃO RÁPIDA).</t>
        </is>
      </c>
    </row>
    <row r="143">
      <c r="K143" s="223" t="inlineStr">
        <is>
          <t xml:space="preserve">p,base</t>
        </is>
      </c>
      <c r="L143" s="227">
        <f>'CONTENÇÃO RÁPIDA'!$L$60</f>
      </c>
      <c r="M143" s="231" t="inlineStr">
        <is>
          <t xml:space="preserve">kN/m</t>
        </is>
      </c>
      <c r="O143" s="233" t="inlineStr">
        <is>
          <t xml:space="preserve">Carga na base (aba CONTENÇÃO RÁPIDA).</t>
        </is>
      </c>
    </row>
    <row r="144">
      <c r="K144" s="223" t="inlineStr">
        <is>
          <t xml:space="preserve">Δp</t>
        </is>
      </c>
      <c r="L144" s="227">
        <f>'CONTENÇÃO RÁPIDA'!$L$61</f>
      </c>
      <c r="M144" s="231" t="inlineStr">
        <is>
          <t xml:space="preserve">kN/m</t>
        </is>
      </c>
      <c r="O144" s="233" t="inlineStr">
        <is>
          <t xml:space="preserve">Parcela triangular (aba CONTENÇÃO RÁPIDA).</t>
        </is>
      </c>
    </row>
    <row r="145">
      <c r="K145" s="223" t="inlineStr">
        <is>
          <t xml:space="preserve">R,base</t>
        </is>
      </c>
      <c r="L145" s="227">
        <f>IFERROR(INDEX('CONTENÇÃO RÁPIDA'!$M$74:$M$76,MATCH($L$45,'CONTENÇÃO RÁPIDA'!$K$74:$K$76,0)),0)</f>
      </c>
      <c r="M145" s="231" t="inlineStr">
        <is>
          <t xml:space="preserve">kN</t>
        </is>
      </c>
      <c r="O145" s="233" t="inlineStr">
        <is>
          <t xml:space="preserve">Reação na base do modelo escolhido.</t>
        </is>
      </c>
    </row>
    <row r="146">
      <c r="K146" s="223" t="inlineStr">
        <is>
          <t xml:space="preserve">zonas</t>
        </is>
      </c>
      <c r="L146" s="224">
        <v>3</v>
      </c>
      <c r="M146" s="231" t="inlineStr">
        <is>
          <t xml:space="preserve">un</t>
        </is>
      </c>
      <c r="N146" s="232">
        <f>IF(OR($L$146&lt;1,$L$146&gt;6),"Rever: 1 a 6 zonas","Ok")</f>
      </c>
      <c r="O146" s="233" t="inlineStr">
        <is>
          <t xml:space="preserve">Número de zonas de mesmo comprimento (1 a 6).</t>
        </is>
      </c>
    </row>
    <row r="147" ht="30" customHeight="1">
      <c r="K147" s="235" t="inlineStr">
        <is>
          <t xml:space="preserve">Zona</t>
        </is>
      </c>
      <c r="L147" s="235" t="inlineStr">
        <is>
          <t xml:space="preserve">z,início (m)</t>
        </is>
      </c>
      <c r="M147" s="235" t="inlineStr">
        <is>
          <t xml:space="preserve">z,fim (m)</t>
        </is>
      </c>
      <c r="N147" s="235" t="inlineStr">
        <is>
          <t xml:space="preserve">Compr. (m)</t>
        </is>
      </c>
      <c r="O147" s="235" t="inlineStr">
        <is>
          <t xml:space="preserve">Vk,máx (kN)</t>
        </is>
      </c>
      <c r="P147" s="235" t="inlineStr">
        <is>
          <t xml:space="preserve">Vsd (kN)</t>
        </is>
      </c>
      <c r="Q147" s="235" t="inlineStr">
        <is>
          <t xml:space="preserve">Asw (cm²/m)</t>
        </is>
      </c>
      <c r="R147" s="235" t="inlineStr">
        <is>
          <t xml:space="preserve">s,calc (cm)</t>
        </is>
      </c>
      <c r="S147" s="235" t="inlineStr">
        <is>
          <t xml:space="preserve">s (cm)</t>
        </is>
      </c>
      <c r="T147" s="235" t="inlineStr">
        <is>
          <t xml:space="preserve">nº estribos</t>
        </is>
      </c>
    </row>
    <row r="148">
      <c r="K148" s="237">
        <v>1</v>
      </c>
      <c r="L148" s="227">
        <v>0</v>
      </c>
      <c r="M148" s="227">
        <f>L148+N148</f>
      </c>
      <c r="N148" s="225">
        <f>IF(1&lt;=$L$146,$L$142/$L$146,0)</f>
      </c>
      <c r="O148" s="227">
        <f>IF(N148&lt;=0,"",MAX(ABS(($L$145-$L$143*L148+$L$144*L148^2/(2*$L$142))),ABS(($L$145-$L$143*M148+$L$144*M148^2/(2*$L$142)))))</f>
      </c>
      <c r="P148" s="227">
        <f>IF(N148&lt;=0,"",O148*$L$29)</f>
      </c>
      <c r="Q148" s="227">
        <f>IF(N148&lt;=0,"",MAX(MAX(0,P148-$L$127)/(0.9*$L$76*$L$129/10)*100,$L$132))</f>
      </c>
      <c r="R148" s="227">
        <f>IF(N148&lt;=0,"",$L$43*PI()*($L$41/10)^2/4/Q148*100)</f>
      </c>
      <c r="S148" s="229">
        <f>IF(N148&lt;=0,"",ROUNDDOWN(MIN(R148,IF(P148&lt;=0.67*$L$124,MIN(0.6*$L$76,30),MIN(0.3*$L$76,20)),$L$136),0))</f>
      </c>
      <c r="T148" s="229">
        <f>IF(N148&lt;=0,"",ROUNDUP(N148*100/S148,0))</f>
      </c>
    </row>
    <row r="149">
      <c r="K149" s="237">
        <v>2</v>
      </c>
      <c r="L149" s="227">
        <f>M148</f>
      </c>
      <c r="M149" s="227">
        <f>L149+N149</f>
      </c>
      <c r="N149" s="225">
        <f>IF(2&lt;=$L$146,$L$142/$L$146,0)</f>
      </c>
      <c r="O149" s="227">
        <f>IF(N149&lt;=0,"",MAX(ABS(($L$145-$L$143*L149+$L$144*L149^2/(2*$L$142))),ABS(($L$145-$L$143*M149+$L$144*M149^2/(2*$L$142)))))</f>
      </c>
      <c r="P149" s="227">
        <f>IF(N149&lt;=0,"",O149*$L$29)</f>
      </c>
      <c r="Q149" s="227">
        <f>IF(N149&lt;=0,"",MAX(MAX(0,P149-$L$127)/(0.9*$L$76*$L$129/10)*100,$L$132))</f>
      </c>
      <c r="R149" s="227">
        <f>IF(N149&lt;=0,"",$L$43*PI()*($L$41/10)^2/4/Q149*100)</f>
      </c>
      <c r="S149" s="229">
        <f>IF(N149&lt;=0,"",ROUNDDOWN(MIN(R149,IF(P149&lt;=0.67*$L$124,MIN(0.6*$L$76,30),MIN(0.3*$L$76,20)),$L$136),0))</f>
      </c>
      <c r="T149" s="229">
        <f>IF(N149&lt;=0,"",ROUNDUP(N149*100/S149,0))</f>
      </c>
    </row>
    <row r="150">
      <c r="K150" s="237">
        <v>3</v>
      </c>
      <c r="L150" s="227">
        <f>M149</f>
      </c>
      <c r="M150" s="227">
        <f>L150+N150</f>
      </c>
      <c r="N150" s="225">
        <f>IF(3&lt;=$L$146,$L$142/$L$146,0)</f>
      </c>
      <c r="O150" s="227">
        <f>IF(N150&lt;=0,"",MAX(ABS(($L$145-$L$143*L150+$L$144*L150^2/(2*$L$142))),ABS(($L$145-$L$143*M150+$L$144*M150^2/(2*$L$142)))))</f>
      </c>
      <c r="P150" s="227">
        <f>IF(N150&lt;=0,"",O150*$L$29)</f>
      </c>
      <c r="Q150" s="227">
        <f>IF(N150&lt;=0,"",MAX(MAX(0,P150-$L$127)/(0.9*$L$76*$L$129/10)*100,$L$132))</f>
      </c>
      <c r="R150" s="227">
        <f>IF(N150&lt;=0,"",$L$43*PI()*($L$41/10)^2/4/Q150*100)</f>
      </c>
      <c r="S150" s="229">
        <f>IF(N150&lt;=0,"",ROUNDDOWN(MIN(R150,IF(P150&lt;=0.67*$L$124,MIN(0.6*$L$76,30),MIN(0.3*$L$76,20)),$L$136),0))</f>
      </c>
      <c r="T150" s="229">
        <f>IF(N150&lt;=0,"",ROUNDUP(N150*100/S150,0))</f>
      </c>
    </row>
    <row r="151">
      <c r="K151" s="237">
        <v>4</v>
      </c>
      <c r="L151" s="227">
        <f>M150</f>
      </c>
      <c r="M151" s="227">
        <f>L151+N151</f>
      </c>
      <c r="N151" s="225">
        <f>IF(4&lt;=$L$146,$L$142/$L$146,0)</f>
      </c>
      <c r="O151" s="227">
        <f>IF(N151&lt;=0,"",MAX(ABS(($L$145-$L$143*L151+$L$144*L151^2/(2*$L$142))),ABS(($L$145-$L$143*M151+$L$144*M151^2/(2*$L$142)))))</f>
      </c>
      <c r="P151" s="227">
        <f>IF(N151&lt;=0,"",O151*$L$29)</f>
      </c>
      <c r="Q151" s="227">
        <f>IF(N151&lt;=0,"",MAX(MAX(0,P151-$L$127)/(0.9*$L$76*$L$129/10)*100,$L$132))</f>
      </c>
      <c r="R151" s="227">
        <f>IF(N151&lt;=0,"",$L$43*PI()*($L$41/10)^2/4/Q151*100)</f>
      </c>
      <c r="S151" s="229">
        <f>IF(N151&lt;=0,"",ROUNDDOWN(MIN(R151,IF(P151&lt;=0.67*$L$124,MIN(0.6*$L$76,30),MIN(0.3*$L$76,20)),$L$136),0))</f>
      </c>
      <c r="T151" s="229">
        <f>IF(N151&lt;=0,"",ROUNDUP(N151*100/S151,0))</f>
      </c>
    </row>
    <row r="152">
      <c r="K152" s="237">
        <v>5</v>
      </c>
      <c r="L152" s="227">
        <f>M151</f>
      </c>
      <c r="M152" s="227">
        <f>L152+N152</f>
      </c>
      <c r="N152" s="225">
        <f>IF(5&lt;=$L$146,$L$142/$L$146,0)</f>
      </c>
      <c r="O152" s="227">
        <f>IF(N152&lt;=0,"",MAX(ABS(($L$145-$L$143*L152+$L$144*L152^2/(2*$L$142))),ABS(($L$145-$L$143*M152+$L$144*M152^2/(2*$L$142)))))</f>
      </c>
      <c r="P152" s="227">
        <f>IF(N152&lt;=0,"",O152*$L$29)</f>
      </c>
      <c r="Q152" s="227">
        <f>IF(N152&lt;=0,"",MAX(MAX(0,P152-$L$127)/(0.9*$L$76*$L$129/10)*100,$L$132))</f>
      </c>
      <c r="R152" s="227">
        <f>IF(N152&lt;=0,"",$L$43*PI()*($L$41/10)^2/4/Q152*100)</f>
      </c>
      <c r="S152" s="229">
        <f>IF(N152&lt;=0,"",ROUNDDOWN(MIN(R152,IF(P152&lt;=0.67*$L$124,MIN(0.6*$L$76,30),MIN(0.3*$L$76,20)),$L$136),0))</f>
      </c>
      <c r="T152" s="229">
        <f>IF(N152&lt;=0,"",ROUNDUP(N152*100/S152,0))</f>
      </c>
    </row>
    <row r="153">
      <c r="K153" s="237">
        <v>6</v>
      </c>
      <c r="L153" s="227">
        <f>M152</f>
      </c>
      <c r="M153" s="227">
        <f>L153+N153</f>
      </c>
      <c r="N153" s="225">
        <f>IF(6&lt;=$L$146,$L$142/$L$146,0)</f>
      </c>
      <c r="O153" s="227">
        <f>IF(N153&lt;=0,"",MAX(ABS(($L$145-$L$143*L153+$L$144*L153^2/(2*$L$142))),ABS(($L$145-$L$143*M153+$L$144*M153^2/(2*$L$142)))))</f>
      </c>
      <c r="P153" s="227">
        <f>IF(N153&lt;=0,"",O153*$L$29)</f>
      </c>
      <c r="Q153" s="227">
        <f>IF(N153&lt;=0,"",MAX(MAX(0,P153-$L$127)/(0.9*$L$76*$L$129/10)*100,$L$132))</f>
      </c>
      <c r="R153" s="227">
        <f>IF(N153&lt;=0,"",$L$43*PI()*($L$41/10)^2/4/Q153*100)</f>
      </c>
      <c r="S153" s="229">
        <f>IF(N153&lt;=0,"",ROUNDDOWN(MIN(R153,IF(P153&lt;=0.67*$L$124,MIN(0.6*$L$76,30),MIN(0.3*$L$76,20)),$L$136),0))</f>
      </c>
      <c r="T153" s="229">
        <f>IF(N153&lt;=0,"",ROUNDUP(N153*100/S153,0))</f>
      </c>
    </row>
    <row r="154">
      <c r="K154" s="223" t="inlineStr">
        <is>
          <t xml:space="preserve">Total</t>
        </is>
      </c>
      <c r="L154" s="229">
        <f>SUM(T148:T153)</f>
      </c>
      <c r="M154" s="231" t="inlineStr">
        <is>
          <t xml:space="preserve">estr.</t>
        </is>
      </c>
      <c r="O154" s="233" t="inlineStr">
        <is>
          <t xml:space="preserve">Número total de estribos no pilar (escalonados).</t>
        </is>
      </c>
    </row>
    <row r="155">
      <c r="K155" s="223" t="inlineStr">
        <is>
          <t xml:space="preserve">ΣL</t>
        </is>
      </c>
      <c r="L155" s="227">
        <f>SUM(N148:N153)</f>
      </c>
      <c r="M155" s="231" t="inlineStr">
        <is>
          <t xml:space="preserve">m</t>
        </is>
      </c>
      <c r="N155" s="232">
        <f>IF(ABS($L$155-$L$142)&gt;0.01,"Rever: soma ≠ H","Ok")</f>
      </c>
      <c r="O155" s="233" t="inlineStr">
        <is>
          <t xml:space="preserve">Soma dos comprimentos das zonas (deve ser igual a H).</t>
        </is>
      </c>
    </row>
    <row r="156">
      <c r="K156" s="223" t="inlineStr">
        <is>
          <t xml:space="preserve">s,mín</t>
        </is>
      </c>
      <c r="L156" s="229">
        <f>MIN(S148:S153)</f>
      </c>
      <c r="M156" s="231" t="inlineStr">
        <is>
          <t xml:space="preserve">cm</t>
        </is>
      </c>
      <c r="O156" s="233" t="inlineStr">
        <is>
          <t xml:space="preserve">Menor espaçamento entre as zonas.</t>
        </is>
      </c>
    </row>
    <row r="158">
      <c r="K158" s="221" t="inlineStr">
        <is>
          <t xml:space="preserve">7 . TAXA DE AÇO</t>
        </is>
      </c>
      <c r="L158" s="221"/>
      <c r="M158" s="221"/>
      <c r="N158" s="221"/>
      <c r="O158" s="221"/>
      <c r="P158" s="221"/>
      <c r="Q158" s="221"/>
      <c r="R158" s="221"/>
      <c r="S158" s="221"/>
      <c r="T158" s="221"/>
    </row>
    <row r="160">
      <c r="K160" s="223" t="inlineStr">
        <is>
          <t xml:space="preserve">ρ,aço</t>
        </is>
      </c>
      <c r="L160" s="224">
        <v>0.785</v>
      </c>
      <c r="M160" s="231" t="inlineStr">
        <is>
          <t xml:space="preserve">kg/m/cm²</t>
        </is>
      </c>
      <c r="O160" s="233" t="inlineStr">
        <is>
          <t xml:space="preserve">Peso por metro de 1 cm² de barra (7850 kg/m³).</t>
        </is>
      </c>
    </row>
    <row r="161">
      <c r="K161" s="223" t="inlineStr">
        <is>
          <t xml:space="preserve">Longit.</t>
        </is>
      </c>
      <c r="L161" s="227">
        <f>$L$113*$L$160/($L$39*$L$38/10000)</f>
      </c>
      <c r="M161" s="231" t="inlineStr">
        <is>
          <t xml:space="preserve">kg/m³</t>
        </is>
      </c>
      <c r="O161" s="233" t="inlineStr">
        <is>
          <t xml:space="preserve">Armadura longitudinal (duas faces) por m³ de concreto.</t>
        </is>
      </c>
    </row>
    <row r="162">
      <c r="K162" s="223" t="inlineStr">
        <is>
          <t xml:space="preserve">l,est</t>
        </is>
      </c>
      <c r="L162" s="227">
        <f>2*($L$39+$L$38)-8*$L$40+12</f>
      </c>
      <c r="M162" s="231" t="inlineStr">
        <is>
          <t xml:space="preserve">cm</t>
        </is>
      </c>
      <c r="O162" s="233" t="inlineStr">
        <is>
          <t xml:space="preserve">Comprimento de cada estribo (perímetro − cobrimentos + ganchos).</t>
        </is>
      </c>
    </row>
    <row r="163">
      <c r="K163" s="223" t="inlineStr">
        <is>
          <t xml:space="preserve">Estribos</t>
        </is>
      </c>
      <c r="L163" s="227">
        <f>$L$154*$L$162/100*PI()*($L$41/10)^2/4*$L$160*$L$43/2/($L$39*$L$38/10000*$L$142)</f>
      </c>
      <c r="M163" s="231" t="inlineStr">
        <is>
          <t xml:space="preserve">kg/m³</t>
        </is>
      </c>
      <c r="O163" s="233" t="inlineStr">
        <is>
          <t xml:space="preserve">Estribos escalonados (item 6.3) por m³ de concreto do pilar.</t>
        </is>
      </c>
    </row>
    <row r="164">
      <c r="K164" s="223" t="inlineStr">
        <is>
          <t xml:space="preserve">Estr. unif.</t>
        </is>
      </c>
      <c r="L164" s="227">
        <f>100/$L$137*$L$162/100*PI()*($L$41/10)^2/4*$L$160*$L$43/2/($L$39*$L$38/10000)</f>
      </c>
      <c r="M164" s="231" t="inlineStr">
        <is>
          <t xml:space="preserve">kg/m³</t>
        </is>
      </c>
      <c r="O164" s="233" t="inlineStr">
        <is>
          <t xml:space="preserve">Comparação: estribos com s,unif em toda a altura.</t>
        </is>
      </c>
    </row>
    <row r="165">
      <c r="K165" s="223" t="inlineStr">
        <is>
          <t xml:space="preserve">Total</t>
        </is>
      </c>
      <c r="L165" s="227">
        <f>$L$161+$L$163</f>
      </c>
      <c r="M165" s="231" t="inlineStr">
        <is>
          <t xml:space="preserve">kg/m³</t>
        </is>
      </c>
      <c r="O165" s="233" t="inlineStr">
        <is>
          <t xml:space="preserve">Taxa total de aço do pilar.</t>
        </is>
      </c>
    </row>
  </sheetData>
  <mergeCells count="39">
    <mergeCell ref="K1:T1"/>
    <mergeCell ref="K6:T6"/>
    <mergeCell ref="K8:T8"/>
    <mergeCell ref="K26:T26"/>
    <mergeCell ref="K71:T71"/>
    <mergeCell ref="K81:T81"/>
    <mergeCell ref="K92:T92"/>
    <mergeCell ref="K103:T103"/>
    <mergeCell ref="K105:T105"/>
    <mergeCell ref="K119:T119"/>
    <mergeCell ref="K121:T121"/>
    <mergeCell ref="K141:T141"/>
    <mergeCell ref="K158:T158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K2:L2"/>
    <mergeCell ref="M2:N2"/>
    <mergeCell ref="P2:R2"/>
    <mergeCell ref="S2:T2"/>
    <mergeCell ref="K3:L3"/>
    <mergeCell ref="M3:N3"/>
    <mergeCell ref="P3:R3"/>
    <mergeCell ref="S3:T3"/>
    <mergeCell ref="K4:L4"/>
    <mergeCell ref="M4:N4"/>
    <mergeCell ref="O4:R4"/>
    <mergeCell ref="S4:T4"/>
    <mergeCell ref="K5:L5"/>
    <mergeCell ref="M5:N5"/>
    <mergeCell ref="O5:R5"/>
    <mergeCell ref="S5:T5"/>
  </mergeCells>
  <conditionalFormatting sqref="N33 N42 N45 N79 N84 N95 N114 N117 N124 N137 N138 N139 N146 N155 N11 N13 N14 N15 N16 N17 N18 S2 S3 S4 S5">
    <cfRule type="beginsWith" dxfId="6" priority="1" operator="beginsWith" text="Ok">
      <formula>LEFT(N33,2)="Ok"</formula>
    </cfRule>
  </conditionalFormatting>
  <conditionalFormatting sqref="N33 N42 N45 N79 N84 N95 N114 N117 N124 N137 N138 N139 N146 N155 N11 N13 N14 N15 N16 N17 N18 S2 S3 S4 S5">
    <cfRule type="beginsWith" dxfId="5" priority="2" operator="beginsWith" text="Não se aplica">
      <formula>LEFT(N33,13)="Não se aplica"</formula>
    </cfRule>
  </conditionalFormatting>
  <dataValidations count="2">
    <dataValidation type="list" allowBlank="1" showErrorMessage="1" sqref="L45">
      <formula1>'CONTENÇÃO RÁPIDA'!$K$74:$K$76</formula1>
    </dataValidation>
    <dataValidation type="list" allowBlank="1" showErrorMessage="1" sqref="O2:O3">
      <formula1>$K$52:$K$60</formula1>
    </dataValidation>
  </dataValidations>
  <pageMargins left="0.511811024" right="0.511811024" top="0.787401575" bottom="0.787401575" header="0.31496062" footer="0.31496062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CONTENÇÃO RÁPIDA</vt:lpstr>
      <vt:lpstr>DIMENSIONAMENTO PILAR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