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RÁPIDA'!$K$1:$T$255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<sst xmlns="http://schemas.openxmlformats.org/spreadsheetml/2006/main" count="559" uniqueCount="298">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</sst>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%"/>
    <numFmt numFmtId="168" formatCode="0.00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RÁPIDA'!$L$141:$L$142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RÁPIDA'!$M$141:$M$142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RÁPIDA'!$L$143:$L$146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RÁPIDA'!$M$143:$M$146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RÁPIDA'!$L$147:$L$148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RÁPIDA'!$M$147:$M$148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RÁPIDA'!$L$149:$L$150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RÁPIDA'!$M$149:$M$150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RÁPIDA'!$K$165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RÁPIDA'!$L$165:$L$165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RÁPIDA'!$M$165:$M$165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RÁPIDA'!$K$166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RÁPIDA'!$L$166:$L$166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RÁPIDA'!$M$166:$M$166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RÁPIDA'!$K$167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RÁPIDA'!$L$167:$L$167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RÁPIDA'!$M$167:$M$167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RÁPIDA'!$K$168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RÁPIDA'!$L$168:$L$168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RÁPIDA'!$M$168:$M$168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RÁPIDA'!$K$169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RÁPIDA'!$L$170:$L$171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RÁPIDA'!$M$170:$M$171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RÁPIDA'!$L$172:$L$175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RÁPIDA'!$M$172:$M$175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RÁPIDA'!$L$176:$L$177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RÁPIDA'!$M$176:$M$177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RÁPIDA'!$L$178:$L$179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RÁPIDA'!$M$178:$M$179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RÁPIDA'!$L$184:$L$203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RÁPIDA'!$M$184:$M$203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RÁPIDA'!$L$204:$L$205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RÁPIDA'!$M$204:$M$205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RÁPIDA'!$L$206:$L$207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RÁPIDA'!$M$206:$M$207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RÁPIDA'!$K$222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RÁPIDA'!$L$222:$L$222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RÁPIDA'!$M$222:$M$222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RÁPIDA'!$K$223</c:f>
              <c:strCache>
                <c:ptCount val="1"/>
                <c:pt idx="0">
                  <c:v>σ,base = 26,39 kN/m² = solo 23,75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RÁPIDA'!$L$223:$L$223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RÁPIDA'!$M$223:$M$223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RÁPIDA'!$K$224</c:f>
              <c:strCache>
                <c:ptCount val="1"/>
                <c:pt idx="0">
                  <c:v>P1: g = 29,69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RÁPIDA'!$L$224:$L$224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RÁPIDA'!$M$224:$M$224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RÁPIDA'!$K$225</c:f>
              <c:strCache>
                <c:ptCount val="1"/>
                <c:pt idx="0">
                  <c:v>P2: g = 14,85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RÁPIDA'!$L$225:$L$225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RÁPIDA'!$M$225:$M$225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RÁPIDA'!$K$226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RÁPIDA'!$K$227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RÁPIDA'!$K$228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RÁPIDA'!$K$229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108</xdr:row>
      <xdr:rowOff>0</xdr:rowOff>
    </xdr:from>
    <xdr:to>
      <xdr:col>14</xdr:col>
      <xdr:colOff>0</xdr:colOff>
      <xdr:row>138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108</xdr:row>
      <xdr:rowOff>0</xdr:rowOff>
    </xdr:from>
    <xdr:to>
      <xdr:col>20</xdr:col>
      <xdr:colOff>0</xdr:colOff>
      <xdr:row>138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5"/>
  <sheetViews>
    <sheetView showGridLines="0" tabSelected="1" view="pageBreakPreview" topLeftCell="J1" zoomScaleNormal="100" zoomScaleSheetLayoutView="100" workbookViewId="0">
      <selection activeCell="L25" sqref="L25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60" customHeight="1">
      <c r="K2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2" s="220"/>
      <c r="M2" s="220"/>
      <c r="N2" s="220"/>
      <c r="O2" s="220"/>
      <c r="P2" s="220"/>
      <c r="Q2" s="220"/>
      <c r="R2" s="220"/>
      <c r="S2" s="220"/>
      <c r="T2" s="220"/>
    </row>
    <row r="4">
      <c r="K4" s="221" t="inlineStr">
        <is>
          <t xml:space="preserve">RESUMO – VALORES PARA LANÇAR</t>
        </is>
      </c>
      <c r="L4" s="221"/>
      <c r="M4" s="221"/>
      <c r="N4" s="221"/>
      <c r="O4" s="221"/>
      <c r="P4" s="221"/>
      <c r="Q4" s="221"/>
      <c r="R4" s="221"/>
      <c r="S4" s="221"/>
      <c r="T4" s="221"/>
    </row>
    <row r="6">
      <c r="K6" s="235" t="inlineStr">
        <is>
          <t xml:space="preserve">Item</t>
        </is>
      </c>
      <c r="L6" s="235" t="inlineStr">
        <is>
          <t xml:space="preserve">Resultado</t>
        </is>
      </c>
      <c r="M6" s="235"/>
      <c r="N6" s="235" t="inlineStr">
        <is>
          <t xml:space="preserve">Status</t>
        </is>
      </c>
      <c r="O6" s="235" t="inlineStr">
        <is>
          <t xml:space="preserve">O que é</t>
        </is>
      </c>
      <c r="P6" s="235"/>
      <c r="Q6" s="235"/>
      <c r="R6" s="235"/>
      <c r="S6" s="235"/>
      <c r="T6" s="235"/>
    </row>
    <row r="7">
      <c r="K7" s="223" t="inlineStr">
        <is>
          <t xml:space="preserve">Empuxo</t>
        </is>
      </c>
      <c r="L7" s="236">
        <f>$L$34&amp;" – K = "&amp;FIXED($L$44,3)</f>
      </c>
      <c r="M7" s="236"/>
      <c r="N7" s="232">
        <f>"Ok"</f>
      </c>
      <c r="O7" s="233" t="inlineStr">
        <is>
          <t xml:space="preserve">Coeficiente adotado – item 2.1</t>
        </is>
      </c>
    </row>
    <row r="8" ht="32" customHeight="1">
      <c r="K8" s="223" t="inlineStr">
        <is>
          <t xml:space="preserve">Aviso</t>
        </is>
      </c>
      <c r="L8" s="234">
        <f>IF(AND($L$35&lt;&gt;"Balanço",$L$34="Ativo"),"⚠ Topo do pilar travado pela laje com empuxo ATIVO: se a estrutura for rígida (sem deslocamento), use REPOUSO – K0 = "&amp;FIXED($L$43,2)&amp;" contra Ka = "&amp;FIXED($L$42,2)&amp;" (+"&amp;FIXED(($L$43/$L$42-1)*100,0)&amp;"% de carga).",IF(AND($L$35="Balanço",$L$34="Repouso"),"⚠ Balanço com empuxo em REPOUSO: pilar livre no topo se desloca – ATIVO costuma bastar.","Sem avisos."))</f>
      </c>
      <c r="M8" s="234"/>
      <c r="N8" s="234"/>
      <c r="O8" s="234"/>
      <c r="P8" s="234"/>
      <c r="Q8" s="234"/>
      <c r="R8" s="234"/>
      <c r="S8" s="234"/>
      <c r="T8" s="234"/>
    </row>
    <row r="9">
      <c r="K9" s="223" t="inlineStr">
        <is>
          <t xml:space="preserve">Pilar p,topo</t>
        </is>
      </c>
      <c r="L9" s="236">
        <f>FIXED($L$55,2)&amp;" kN/m"</f>
      </c>
      <c r="M9" s="236"/>
      <c r="N9" s="232"/>
      <c r="O9" s="233" t="inlineStr">
        <is>
          <t xml:space="preserve">Carga trapezoidal no pilar: valor no topo – item 3.1</t>
        </is>
      </c>
    </row>
    <row r="10">
      <c r="K10" s="223" t="inlineStr">
        <is>
          <t xml:space="preserve">Pilar p,base</t>
        </is>
      </c>
      <c r="L10" s="236">
        <f>FIXED($L$56,2)&amp;" kN/m"</f>
      </c>
      <c r="M10" s="236"/>
      <c r="N10" s="232"/>
      <c r="O10" s="233" t="inlineStr">
        <is>
          <t xml:space="preserve">Carga trapezoidal no pilar: valor na base – item 3.1</t>
        </is>
      </c>
    </row>
    <row r="11">
      <c r="K11" s="223" t="inlineStr">
        <is>
          <t xml:space="preserve">Resultante</t>
        </is>
      </c>
      <c r="L11" s="236">
        <f>FIXED($L$59,2)&amp;" kN ("&amp;FIXED($L$60,2)&amp;" tf)"</f>
      </c>
      <c r="M11" s="236"/>
      <c r="N11" s="232"/>
      <c r="O11" s="233" t="inlineStr">
        <is>
          <t xml:space="preserve">Solo + Sc, aplicada a y,E da base – item 3.2</t>
        </is>
      </c>
    </row>
    <row r="12">
      <c r="K12" s="223" t="inlineStr">
        <is>
          <t xml:space="preserve">Modelo pilar</t>
        </is>
      </c>
      <c r="L12" s="236">
        <f>$L$35</f>
      </c>
      <c r="M12" s="236"/>
      <c r="N12" s="232">
        <f>IF(ISNA(MATCH($L$35,$K$70:$K$72,0)),"Rever: modelo inválido","Ok")</f>
      </c>
      <c r="O12" s="233" t="inlineStr">
        <is>
          <t xml:space="preserve">Modelo estrutural do pilar – item 4.1</t>
        </is>
      </c>
    </row>
    <row r="13">
      <c r="K13" s="223" t="inlineStr">
        <is>
          <t xml:space="preserve">R,topo</t>
        </is>
      </c>
      <c r="L13" s="236">
        <f>FIXED($L$74,2)&amp;" kN"</f>
      </c>
      <c r="M13" s="236"/>
      <c r="N13" s="232"/>
      <c r="O13" s="233" t="inlineStr">
        <is>
          <t xml:space="preserve">Força que o pilar entrega à laje/viga do topo – item 4.2</t>
        </is>
      </c>
    </row>
    <row r="14">
      <c r="K14" s="223" t="inlineStr">
        <is>
          <t xml:space="preserve">M,base</t>
        </is>
      </c>
      <c r="L14" s="236">
        <f>FIXED($L$76,2)&amp;" kN·m"</f>
      </c>
      <c r="M14" s="236"/>
      <c r="N14" s="232"/>
      <c r="O14" s="233" t="inlineStr">
        <is>
          <t xml:space="preserve">Momento na base do pilar – item 4.2</t>
        </is>
      </c>
    </row>
    <row r="15">
      <c r="K15" s="223" t="inlineStr">
        <is>
          <t xml:space="preserve">M,vão</t>
        </is>
      </c>
      <c r="L15" s="236">
        <f>IF($L$35="Balanço","-",FIXED($L$77,2)&amp;" kN·m a "&amp;FIXED($L$78,2)&amp;" m")</f>
      </c>
      <c r="M15" s="236"/>
      <c r="N15" s="232"/>
      <c r="O15" s="233" t="inlineStr">
        <is>
          <t xml:space="preserve">Maior momento positivo e altura a partir da base – item 4.2</t>
        </is>
      </c>
    </row>
    <row r="16">
      <c r="K16" s="223" t="inlineStr">
        <is>
          <t xml:space="preserve">M(x)</t>
        </is>
      </c>
      <c r="L16" s="236">
        <f>FIXED($L$79,2)&amp;" kN·m"</f>
      </c>
      <c r="M16" s="236"/>
      <c r="N16" s="232">
        <f>IF($L$36&gt;$L$29,"Rever: x maior que H",IF($L$36&lt;0,"Rever: x negativo","Ok"))</f>
      </c>
      <c r="O16" s="233" t="inlineStr">
        <is>
          <t xml:space="preserve">Momento na cota x – item 4.2</t>
        </is>
      </c>
    </row>
    <row r="17">
      <c r="K17" s="223" t="inlineStr">
        <is>
          <t xml:space="preserve">Laje p,total</t>
        </is>
      </c>
      <c r="L17" s="236">
        <f>FIXED($L$88,2)&amp;" kN/m²"</f>
      </c>
      <c r="M17" s="236"/>
      <c r="N17" s="232">
        <f>IF($L$85&gt;10,"Rever: mais de 10 painéis","Ok")</f>
      </c>
      <c r="O17" s="233" t="inlineStr">
        <is>
          <t xml:space="preserve">Painel inferior: comparar com a tabela do fabricante – item 5.1</t>
        </is>
      </c>
    </row>
    <row r="18">
      <c r="K18" s="223" t="inlineStr">
        <is>
          <t xml:space="preserve">Laje g / q</t>
        </is>
      </c>
      <c r="L18" s="236">
        <f>FIXED($L$89,2)&amp;" / "&amp;FIXED($L$90,2)&amp;" kN/m"</f>
      </c>
      <c r="M18" s="236"/>
      <c r="N18" s="232"/>
      <c r="O18" s="233" t="inlineStr">
        <is>
          <t xml:space="preserve">Cargas lineares no painel inferior – item 5.1</t>
        </is>
      </c>
    </row>
    <row r="19">
      <c r="K19" s="223" t="inlineStr">
        <is>
          <t xml:space="preserve">Laje Mk / Vk</t>
        </is>
      </c>
      <c r="L19" s="236">
        <f>FIXED($L$91,2)&amp;" kN·m / "&amp;FIXED($L$92,2)&amp;" kN"</f>
      </c>
      <c r="M19" s="236"/>
      <c r="N19" s="232"/>
      <c r="O19" s="233" t="inlineStr">
        <is>
          <t xml:space="preserve">Esforços no painel inferior, vão L – item 5.1</t>
        </is>
      </c>
    </row>
    <row r="22">
      <c r="K22" s="221" t="inlineStr">
        <is>
          <t xml:space="preserve">1 . DADOS DE ENTRADA</t>
        </is>
      </c>
      <c r="L22" s="221"/>
      <c r="M22" s="221"/>
      <c r="N22" s="221"/>
      <c r="O22" s="221"/>
      <c r="P22" s="221"/>
      <c r="Q22" s="221"/>
      <c r="R22" s="221"/>
      <c r="S22" s="221"/>
      <c r="T22" s="221"/>
    </row>
    <row r="24">
      <c r="K24" s="222" t="inlineStr">
        <is>
          <t xml:space="preserve">1.1 Solo</t>
        </is>
      </c>
    </row>
    <row r="25">
      <c r="K25" s="223" t="inlineStr">
        <is>
          <t xml:space="preserve">γ</t>
        </is>
      </c>
      <c r="L25" s="224">
        <v>18</v>
      </c>
      <c r="M25" s="231" t="inlineStr">
        <is>
          <t xml:space="preserve">kN/m³</t>
        </is>
      </c>
      <c r="O25" s="233" t="inlineStr">
        <is>
          <t xml:space="preserve">Peso específico do solo.</t>
        </is>
      </c>
    </row>
    <row r="26">
      <c r="K26" s="223" t="inlineStr">
        <is>
          <t xml:space="preserve">φ</t>
        </is>
      </c>
      <c r="L26" s="224">
        <v>18</v>
      </c>
      <c r="M26" s="231" t="inlineStr">
        <is>
          <t xml:space="preserve">°</t>
        </is>
      </c>
      <c r="O26" s="233" t="inlineStr">
        <is>
          <t xml:space="preserve">Ângulo de atrito do solo (ver aba DADOS DO SOLO, col. G).</t>
        </is>
      </c>
    </row>
    <row r="27">
      <c r="K27" s="223" t="inlineStr">
        <is>
          <t xml:space="preserve">Sc</t>
        </is>
      </c>
      <c r="L27" s="224">
        <v>5</v>
      </c>
      <c r="M27" s="231" t="inlineStr">
        <is>
          <t xml:space="preserve">kN/m²</t>
        </is>
      </c>
      <c r="O27" s="233" t="inlineStr">
        <is>
          <t xml:space="preserve">Sobrecarga no terreno (veículos leves ≈ 5 a 10; só pedestres ≈ 2,5 a 5).</t>
        </is>
      </c>
    </row>
    <row r="28">
      <c r="K28" s="222" t="inlineStr">
        <is>
          <t xml:space="preserve">1.2 Geometria</t>
        </is>
      </c>
    </row>
    <row r="29">
      <c r="K29" s="223" t="inlineStr">
        <is>
          <t xml:space="preserve">H</t>
        </is>
      </c>
      <c r="L29" s="224">
        <v>2.5</v>
      </c>
      <c r="M29" s="231" t="inlineStr">
        <is>
          <t xml:space="preserve">m</t>
        </is>
      </c>
      <c r="O29" s="233" t="inlineStr">
        <is>
          <t xml:space="preserve">Altura da contenção: da base até o topo do terreno contido.</t>
        </is>
      </c>
    </row>
    <row r="30">
      <c r="K30" s="223" t="inlineStr">
        <is>
          <t xml:space="preserve">D</t>
        </is>
      </c>
      <c r="L30" s="226">
        <f>13.07/2</f>
      </c>
      <c r="M30" s="231" t="inlineStr">
        <is>
          <t xml:space="preserve">m</t>
        </is>
      </c>
      <c r="O30" s="233" t="inlineStr">
        <is>
          <t xml:space="preserve">Largura de influência no pilar: intermediário = (vão esq. + vão dir.)/2; extremidade = vão/2.</t>
        </is>
      </c>
    </row>
    <row r="31">
      <c r="K31" s="223" t="inlineStr">
        <is>
          <t xml:space="preserve">bw</t>
        </is>
      </c>
      <c r="L31" s="224">
        <v>1.25</v>
      </c>
      <c r="M31" s="231" t="inlineStr">
        <is>
          <t xml:space="preserve">m</t>
        </is>
      </c>
      <c r="O31" s="233" t="inlineStr">
        <is>
          <t xml:space="preserve">Largura da placa de laje alveolar = altura de cada painel deitado na contenção.</t>
        </is>
      </c>
    </row>
    <row r="32">
      <c r="K32" s="223" t="inlineStr">
        <is>
          <t xml:space="preserve">L</t>
        </is>
      </c>
      <c r="L32" s="226">
        <f>L30</f>
      </c>
      <c r="M32" s="231" t="inlineStr">
        <is>
          <t xml:space="preserve">m</t>
        </is>
      </c>
      <c r="O32" s="233" t="inlineStr">
        <is>
          <t xml:space="preserve">Vão que a placa vence entre pilares (padrão = D; altere se for diferente).</t>
        </is>
      </c>
    </row>
    <row r="33">
      <c r="K33" s="222" t="inlineStr">
        <is>
          <t xml:space="preserve">1.3 Modelo</t>
        </is>
      </c>
    </row>
    <row r="34">
      <c r="K34" s="223" t="inlineStr">
        <is>
          <t xml:space="preserve">Empuxo</t>
        </is>
      </c>
      <c r="L34" s="224" t="inlineStr">
        <is>
          <t xml:space="preserve">Ativo</t>
        </is>
      </c>
      <c r="M34" s="231" t="inlineStr">
        <is>
          <t xml:space="preserve">-</t>
        </is>
      </c>
      <c r="O34" s="233" t="inlineStr">
        <is>
          <t xml:space="preserve">Ativo (Ka): parede pode se deslocar. Repouso (K0): topo travado, estrutura rígida.</t>
        </is>
      </c>
    </row>
    <row r="35">
      <c r="K35" s="223" t="inlineStr">
        <is>
          <t xml:space="preserve">Pilar</t>
        </is>
      </c>
      <c r="L35" s="224" t="inlineStr">
        <is>
          <t xml:space="preserve">Engaste-apoio</t>
        </is>
      </c>
      <c r="M35" s="231" t="inlineStr">
        <is>
          <t xml:space="preserve">-</t>
        </is>
      </c>
      <c r="O35" s="233" t="inlineStr">
        <is>
          <t xml:space="preserve">Modelo do pilar: escolha na tabela do item 4.1 (define o resumo).</t>
        </is>
      </c>
    </row>
    <row r="36">
      <c r="K36" s="223" t="inlineStr">
        <is>
          <t xml:space="preserve">x</t>
        </is>
      </c>
      <c r="L36" s="224">
        <v>0</v>
      </c>
      <c r="M36" s="231" t="inlineStr">
        <is>
          <t xml:space="preserve">m</t>
        </is>
      </c>
      <c r="O36" s="233" t="inlineStr">
        <is>
          <t xml:space="preserve">Cota de verificação do momento, medida a partir da base (x = 0 → base).</t>
        </is>
      </c>
    </row>
    <row r="38">
      <c r="K38" s="221" t="inlineStr">
        <is>
          <t xml:space="preserve">2 . COEFICIENTE DE EMPUXO E PRESSÕES</t>
        </is>
      </c>
      <c r="L38" s="221"/>
      <c r="M38" s="221"/>
      <c r="N38" s="221"/>
      <c r="O38" s="221"/>
      <c r="P38" s="221"/>
      <c r="Q38" s="221"/>
      <c r="R38" s="221"/>
      <c r="S38" s="221"/>
      <c r="T38" s="221"/>
    </row>
    <row r="40" ht="32" customHeight="1">
      <c r="K40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0" s="220"/>
      <c r="M40" s="220"/>
      <c r="N40" s="220"/>
      <c r="O40" s="220"/>
      <c r="P40" s="220"/>
      <c r="Q40" s="220"/>
      <c r="R40" s="220"/>
      <c r="S40" s="220"/>
      <c r="T40" s="220"/>
    </row>
    <row r="41">
      <c r="K41" s="222" t="inlineStr">
        <is>
          <t xml:space="preserve">2.1 Coeficiente</t>
        </is>
      </c>
    </row>
    <row r="42">
      <c r="K42" s="223" t="inlineStr">
        <is>
          <t xml:space="preserve">Ka</t>
        </is>
      </c>
      <c r="L42" s="228">
        <f>TAN(RADIANS(45-$L$26/2))^2</f>
      </c>
      <c r="M42" s="231" t="inlineStr">
        <is>
          <t xml:space="preserve">-</t>
        </is>
      </c>
      <c r="O42" s="233" t="inlineStr">
        <is>
          <t xml:space="preserve">Empuxo ativo: tan²(45° − φ/2).</t>
        </is>
      </c>
    </row>
    <row r="43">
      <c r="K43" s="223" t="inlineStr">
        <is>
          <t xml:space="preserve">K0</t>
        </is>
      </c>
      <c r="L43" s="228">
        <f>1-SIN(RADIANS($L$26))</f>
      </c>
      <c r="M43" s="231" t="inlineStr">
        <is>
          <t xml:space="preserve">-</t>
        </is>
      </c>
      <c r="O43" s="233" t="inlineStr">
        <is>
          <t xml:space="preserve">Empuxo em repouso: 1 − sen φ.</t>
        </is>
      </c>
    </row>
    <row r="44">
      <c r="K44" s="223" t="inlineStr">
        <is>
          <t xml:space="preserve">K</t>
        </is>
      </c>
      <c r="L44" s="228">
        <f>IF($L$34="Repouso",$L$43,$L$42)</f>
      </c>
      <c r="M44" s="231" t="inlineStr">
        <is>
          <t xml:space="preserve">-</t>
        </is>
      </c>
      <c r="O44" s="233" t="inlineStr">
        <is>
          <t xml:space="preserve">Coeficiente adotado (item 1.3).</t>
        </is>
      </c>
    </row>
    <row r="45">
      <c r="K45" s="222" t="inlineStr">
        <is>
          <t xml:space="preserve">2.2 Pressões</t>
        </is>
      </c>
    </row>
    <row r="46">
      <c r="K46" s="223" t="inlineStr">
        <is>
          <t xml:space="preserve">h,eq</t>
        </is>
      </c>
      <c r="L46" s="228">
        <f>IF($L$25=0,0,$L$27/$L$25)</f>
      </c>
      <c r="M46" s="231" t="inlineStr">
        <is>
          <t xml:space="preserve">m</t>
        </is>
      </c>
      <c r="O46" s="233" t="inlineStr">
        <is>
          <t xml:space="preserve">Altura de solo equivalente à sobrecarga (Sc/γ).</t>
        </is>
      </c>
    </row>
    <row r="47">
      <c r="K47" s="223" t="inlineStr">
        <is>
          <t xml:space="preserve">σ,topo</t>
        </is>
      </c>
      <c r="L47" s="227">
        <f>$L$44*$L$27</f>
      </c>
      <c r="M47" s="231" t="inlineStr">
        <is>
          <t xml:space="preserve">kN/m²</t>
        </is>
      </c>
      <c r="O47" s="233" t="inlineStr">
        <is>
          <t xml:space="preserve">Pressão no topo: K·Sc.</t>
        </is>
      </c>
    </row>
    <row r="48">
      <c r="K48" s="223" t="inlineStr">
        <is>
          <t xml:space="preserve">σ,base</t>
        </is>
      </c>
      <c r="L48" s="227">
        <f>$L$44*($L$27+$L$25*$L$29)</f>
      </c>
      <c r="M48" s="231" t="inlineStr">
        <is>
          <t xml:space="preserve">kN/m²</t>
        </is>
      </c>
      <c r="O48" s="233" t="inlineStr">
        <is>
          <t xml:space="preserve">Pressão na base: K·(Sc + γ·H).</t>
        </is>
      </c>
    </row>
    <row r="49">
      <c r="K49" s="223" t="inlineStr">
        <is>
          <t xml:space="preserve">σ,solo</t>
        </is>
      </c>
      <c r="L49" s="227">
        <f>$L$44*$L$25*$L$29</f>
      </c>
      <c r="M49" s="231" t="inlineStr">
        <is>
          <t xml:space="preserve">kN/m²</t>
        </is>
      </c>
      <c r="O49" s="233" t="inlineStr">
        <is>
          <t xml:space="preserve">Pressão na base só do solo: K·γ·H (sem Sc).</t>
        </is>
      </c>
    </row>
    <row r="51">
      <c r="K51" s="221" t="inlineStr">
        <is>
          <t xml:space="preserve">3 . PILAR – CARGA PARA LANÇAR NO MODELO</t>
        </is>
      </c>
      <c r="L51" s="221"/>
      <c r="M51" s="221"/>
      <c r="N51" s="221"/>
      <c r="O51" s="221"/>
      <c r="P51" s="221"/>
      <c r="Q51" s="221"/>
      <c r="R51" s="221"/>
      <c r="S51" s="221"/>
      <c r="T51" s="221"/>
    </row>
    <row r="53" ht="32" customHeight="1">
      <c r="K53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3" s="220"/>
      <c r="M53" s="220"/>
      <c r="N53" s="220"/>
      <c r="O53" s="220"/>
      <c r="P53" s="220"/>
      <c r="Q53" s="220"/>
      <c r="R53" s="220"/>
      <c r="S53" s="220"/>
      <c r="T53" s="220"/>
    </row>
    <row r="54">
      <c r="K54" s="222" t="inlineStr">
        <is>
          <t xml:space="preserve">3.1 Carga distribuída</t>
        </is>
      </c>
    </row>
    <row r="55">
      <c r="K55" s="223" t="inlineStr">
        <is>
          <t xml:space="preserve">p,topo</t>
        </is>
      </c>
      <c r="L55" s="227">
        <f>$L$47*$L$30</f>
      </c>
      <c r="M55" s="231" t="inlineStr">
        <is>
          <t xml:space="preserve">kN/m</t>
        </is>
      </c>
      <c r="O55" s="233" t="inlineStr">
        <is>
          <t xml:space="preserve">Carga no topo do pilar: σ,topo·D.</t>
        </is>
      </c>
    </row>
    <row r="56">
      <c r="K56" s="223" t="inlineStr">
        <is>
          <t xml:space="preserve">p,base</t>
        </is>
      </c>
      <c r="L56" s="227">
        <f>$L$48*$L$30</f>
      </c>
      <c r="M56" s="231" t="inlineStr">
        <is>
          <t xml:space="preserve">kN/m</t>
        </is>
      </c>
      <c r="O56" s="233" t="inlineStr">
        <is>
          <t xml:space="preserve">Carga na base do pilar: σ,base·D.</t>
        </is>
      </c>
    </row>
    <row r="57">
      <c r="K57" s="223" t="inlineStr">
        <is>
          <t xml:space="preserve">Δp</t>
        </is>
      </c>
      <c r="L57" s="227">
        <f>$L$56-$L$55</f>
      </c>
      <c r="M57" s="231" t="inlineStr">
        <is>
          <t xml:space="preserve">kN/m</t>
        </is>
      </c>
      <c r="O57" s="233" t="inlineStr">
        <is>
          <t xml:space="preserve">Parcela triangular (p,base − p,topo).</t>
        </is>
      </c>
    </row>
    <row r="58">
      <c r="K58" s="222" t="inlineStr">
        <is>
          <t xml:space="preserve">3.2 Resultante</t>
        </is>
      </c>
    </row>
    <row r="59">
      <c r="K59" s="223" t="inlineStr">
        <is>
          <t xml:space="preserve">E</t>
        </is>
      </c>
      <c r="L59" s="227">
        <f>($L$55+$L$56)*$L$29/2</f>
      </c>
      <c r="M59" s="231" t="inlineStr">
        <is>
          <t xml:space="preserve">kN</t>
        </is>
      </c>
      <c r="O59" s="233" t="inlineStr">
        <is>
          <t xml:space="preserve">Resultante total (solo + Sc).</t>
        </is>
      </c>
    </row>
    <row r="60">
      <c r="K60" s="223" t="inlineStr">
        <is>
          <t xml:space="preserve">E</t>
        </is>
      </c>
      <c r="L60" s="227">
        <f>$L$59/10</f>
      </c>
      <c r="M60" s="231" t="inlineStr">
        <is>
          <t xml:space="preserve">tf</t>
        </is>
      </c>
      <c r="O60" s="233" t="inlineStr">
        <is>
          <t xml:space="preserve">Resultante total em tf.</t>
        </is>
      </c>
    </row>
    <row r="61">
      <c r="K61" s="223" t="inlineStr">
        <is>
          <t xml:space="preserve">y,E</t>
        </is>
      </c>
      <c r="L61" s="228">
        <f>IF($L$59=0,0,($L$55*$L$29^2/2+$L$57*$L$29^2/6)/$L$59)</f>
      </c>
      <c r="M61" s="231" t="inlineStr">
        <is>
          <t xml:space="preserve">m</t>
        </is>
      </c>
      <c r="O61" s="233" t="inlineStr">
        <is>
          <t xml:space="preserve">Ponto de aplicação de E, medido a partir da base.</t>
        </is>
      </c>
    </row>
    <row r="62">
      <c r="K62" s="223" t="inlineStr">
        <is>
          <t xml:space="preserve">E,solo</t>
        </is>
      </c>
      <c r="L62" s="227">
        <f>$L$44*$L$25*$L$29^2/2*$L$30</f>
      </c>
      <c r="M62" s="231" t="inlineStr">
        <is>
          <t xml:space="preserve">kN</t>
        </is>
      </c>
      <c r="O62" s="233" t="inlineStr">
        <is>
          <t xml:space="preserve">Resultante só do solo, a H/3 da base (= M23 da aba MURO DE ARRIMO).</t>
        </is>
      </c>
    </row>
    <row r="63">
      <c r="K63" s="223" t="inlineStr">
        <is>
          <t xml:space="preserve">E,solo</t>
        </is>
      </c>
      <c r="L63" s="227">
        <f>$L$62/10</f>
      </c>
      <c r="M63" s="231" t="inlineStr">
        <is>
          <t xml:space="preserve">tf</t>
        </is>
      </c>
      <c r="O63" s="233" t="inlineStr">
        <is>
          <t xml:space="preserve">Idem em tf (= M24 da aba MURO DE ARRIMO).</t>
        </is>
      </c>
    </row>
    <row r="65">
      <c r="K65" s="221" t="inlineStr">
        <is>
          <t xml:space="preserve">4 . PILAR – ESFORÇOS (característicos)</t>
        </is>
      </c>
      <c r="L65" s="221"/>
      <c r="M65" s="221"/>
      <c r="N65" s="221"/>
      <c r="O65" s="221"/>
      <c r="P65" s="221"/>
      <c r="Q65" s="221"/>
      <c r="R65" s="221"/>
      <c r="S65" s="221"/>
      <c r="T65" s="221"/>
    </row>
    <row r="67" ht="45" customHeight="1">
      <c r="K67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67" s="220"/>
      <c r="M67" s="220"/>
      <c r="N67" s="220"/>
      <c r="O67" s="220"/>
      <c r="P67" s="220"/>
      <c r="Q67" s="220"/>
      <c r="R67" s="220"/>
      <c r="S67" s="220"/>
      <c r="T67" s="220"/>
    </row>
    <row r="68">
      <c r="K68" s="222" t="inlineStr">
        <is>
          <t xml:space="preserve">4.1 Comparação dos modelos</t>
        </is>
      </c>
    </row>
    <row r="69" ht="30" customHeight="1">
      <c r="K69" s="235" t="inlineStr">
        <is>
          <t xml:space="preserve">Modelo</t>
        </is>
      </c>
      <c r="L69" s="235" t="inlineStr">
        <is>
          <t xml:space="preserve">R,topo (kN)</t>
        </is>
      </c>
      <c r="M69" s="235" t="inlineStr">
        <is>
          <t xml:space="preserve">R,base (kN)</t>
        </is>
      </c>
      <c r="N69" s="235" t="inlineStr">
        <is>
          <t xml:space="preserve">M,base (kN·m)</t>
        </is>
      </c>
      <c r="O69" s="235" t="inlineStr">
        <is>
          <t xml:space="preserve">M,vão (kN·m)</t>
        </is>
      </c>
      <c r="P69" s="235" t="inlineStr">
        <is>
          <t xml:space="preserve">y,M (m)</t>
        </is>
      </c>
      <c r="Q69" s="235" t="inlineStr">
        <is>
          <t xml:space="preserve">M(x) (kN·m)</t>
        </is>
      </c>
    </row>
    <row r="70">
      <c r="K70" s="237" t="inlineStr">
        <is>
          <t xml:space="preserve">Balanço</t>
        </is>
      </c>
      <c r="L70" s="227">
        <f>0</f>
      </c>
      <c r="M70" s="227">
        <f>$L$59-L70</f>
      </c>
      <c r="N70" s="227">
        <f>-($L$55*$L$29^2/2+$L$57*$L$29^2/6)</f>
      </c>
      <c r="O70" s="227">
        <v>0</v>
      </c>
      <c r="P70" s="237" t="inlineStr">
        <is>
          <t xml:space="preserve">-</t>
        </is>
      </c>
      <c r="Q70" s="227">
        <f>L70*($L$29-$L$36)-$L$55*($L$29-$L$36)^2/2-$L$57*($L$29-$L$36)^3/(6*$L$29)</f>
      </c>
    </row>
    <row r="71">
      <c r="K71" s="237" t="inlineStr">
        <is>
          <t xml:space="preserve">Engaste-apoio</t>
        </is>
      </c>
      <c r="L71" s="227">
        <f>3*$L$55*$L$29/8+$L$57*$L$29/10</f>
      </c>
      <c r="M71" s="227">
        <f>$L$59-L71</f>
      </c>
      <c r="N71" s="227">
        <f>-($L$55*$L$29^2/8+$L$57*$L$29^2/15)</f>
      </c>
      <c r="O71" s="227">
        <f>L71*($L$29-P71)-$L$55*($L$29-P71)^2/2-$L$57*($L$29-P71)^3/(6*$L$29)</f>
      </c>
      <c r="P71" s="227">
        <f>$L$29-IFERROR(IF($L$57=0,L71/$L$55,(-$L$55+SQRT($L$55^2+2*$L$57*L71/$L$29))/($L$57/$L$29)),0)</f>
      </c>
      <c r="Q71" s="227">
        <f>L71*($L$29-$L$36)-$L$55*($L$29-$L$36)^2/2-$L$57*($L$29-$L$36)^3/(6*$L$29)</f>
      </c>
    </row>
    <row r="72">
      <c r="K72" s="237" t="inlineStr">
        <is>
          <t xml:space="preserve">Biapoiado</t>
        </is>
      </c>
      <c r="L72" s="227">
        <f>$L$55*$L$29/2+$L$57*$L$29/6</f>
      </c>
      <c r="M72" s="227">
        <f>$L$59-L72</f>
      </c>
      <c r="N72" s="227">
        <f>0</f>
      </c>
      <c r="O72" s="227">
        <f>L72*($L$29-P72)-$L$55*($L$29-P72)^2/2-$L$57*($L$29-P72)^3/(6*$L$29)</f>
      </c>
      <c r="P72" s="227">
        <f>$L$29-IFERROR(IF($L$57=0,L72/$L$55,(-$L$55+SQRT($L$55^2+2*$L$57*L72/$L$29))/($L$57/$L$29)),0)</f>
      </c>
      <c r="Q72" s="227">
        <f>L72*($L$29-$L$36)-$L$55*($L$29-$L$36)^2/2-$L$57*($L$29-$L$36)^3/(6*$L$29)</f>
      </c>
    </row>
    <row r="73">
      <c r="K73" s="222" t="inlineStr">
        <is>
          <t xml:space="preserve">4.2 Modelo adotado (item 1.3)</t>
        </is>
      </c>
    </row>
    <row r="74">
      <c r="K74" s="223" t="inlineStr">
        <is>
          <t xml:space="preserve">R,topo</t>
        </is>
      </c>
      <c r="L74" s="227">
        <f>IFERROR(INDEX($L$70:$L$72,MATCH($L$35,$K$70:$K$72,0)),0)</f>
      </c>
      <c r="M74" s="231" t="inlineStr">
        <is>
          <t xml:space="preserve">kN</t>
        </is>
      </c>
      <c r="O74" s="233" t="inlineStr">
        <is>
          <t xml:space="preserve">Força horizontal que vai para a laje/viga do topo.</t>
        </is>
      </c>
    </row>
    <row r="75">
      <c r="K75" s="223" t="inlineStr">
        <is>
          <t xml:space="preserve">R,base</t>
        </is>
      </c>
      <c r="L75" s="227">
        <f>IFERROR(INDEX($M$70:$M$72,MATCH($L$35,$K$70:$K$72,0)),0)</f>
      </c>
      <c r="M75" s="231" t="inlineStr">
        <is>
          <t xml:space="preserve">kN</t>
        </is>
      </c>
      <c r="O75" s="233" t="inlineStr">
        <is>
          <t xml:space="preserve">Força horizontal que vai para a fundação.</t>
        </is>
      </c>
    </row>
    <row r="76">
      <c r="K76" s="223" t="inlineStr">
        <is>
          <t xml:space="preserve">M,base</t>
        </is>
      </c>
      <c r="L76" s="227">
        <f>IFERROR(INDEX($N$70:$N$72,MATCH($L$35,$K$70:$K$72,0)),0)</f>
      </c>
      <c r="M76" s="231" t="inlineStr">
        <is>
          <t xml:space="preserve">kN·m</t>
        </is>
      </c>
      <c r="O76" s="233" t="inlineStr">
        <is>
          <t xml:space="preserve">Momento na base do pilar.</t>
        </is>
      </c>
    </row>
    <row r="77">
      <c r="K77" s="223" t="inlineStr">
        <is>
          <t xml:space="preserve">M,vão</t>
        </is>
      </c>
      <c r="L77" s="227">
        <f>IFERROR(INDEX($O$70:$O$72,MATCH($L$35,$K$70:$K$72,0)),0)</f>
      </c>
      <c r="M77" s="231" t="inlineStr">
        <is>
          <t xml:space="preserve">kN·m</t>
        </is>
      </c>
      <c r="O77" s="233" t="inlineStr">
        <is>
          <t xml:space="preserve">Maior momento positivo ao longo do pilar (0 no balanço).</t>
        </is>
      </c>
    </row>
    <row r="78">
      <c r="K78" s="223" t="inlineStr">
        <is>
          <t xml:space="preserve">y,M</t>
        </is>
      </c>
      <c r="L78" s="227">
        <f>IF($L$35="Balanço","-",IFERROR(INDEX($P$70:$P$72,MATCH($L$35,$K$70:$K$72,0)),0))</f>
      </c>
      <c r="M78" s="231" t="inlineStr">
        <is>
          <t xml:space="preserve">m</t>
        </is>
      </c>
      <c r="O78" s="233" t="inlineStr">
        <is>
          <t xml:space="preserve">Altura do M,vão a partir da base.</t>
        </is>
      </c>
    </row>
    <row r="79">
      <c r="K79" s="223" t="inlineStr">
        <is>
          <t xml:space="preserve">M(x)</t>
        </is>
      </c>
      <c r="L79" s="227">
        <f>IFERROR(INDEX($Q$70:$Q$72,MATCH($L$35,$K$70:$K$72,0)),0)</f>
      </c>
      <c r="M79" s="231" t="inlineStr">
        <is>
          <t xml:space="preserve">kN·m</t>
        </is>
      </c>
      <c r="N79" s="232">
        <f>IF($L$36&gt;$L$29,"Rever: x maior que H",IF($L$36&lt;0,"Rever: x negativo","Ok"))</f>
      </c>
      <c r="O79" s="233" t="inlineStr">
        <is>
          <t xml:space="preserve">Momento na cota x (item 1.3).</t>
        </is>
      </c>
    </row>
    <row r="81">
      <c r="K81" s="221" t="inlineStr">
        <is>
          <t xml:space="preserve">5 . LAJE ALVEOLAR – CARGA EM CADA PAINEL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 ht="45" customHeight="1">
      <c r="K83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3" s="220"/>
      <c r="M83" s="220"/>
      <c r="N83" s="220"/>
      <c r="O83" s="220"/>
      <c r="P83" s="220"/>
      <c r="Q83" s="220"/>
      <c r="R83" s="220"/>
      <c r="S83" s="220"/>
      <c r="T83" s="220"/>
    </row>
    <row r="84">
      <c r="K84" s="222" t="inlineStr">
        <is>
          <t xml:space="preserve">5.1 Painel inferior (o mais carregado)</t>
        </is>
      </c>
    </row>
    <row r="85">
      <c r="K85" s="223" t="inlineStr">
        <is>
          <t xml:space="preserve">n</t>
        </is>
      </c>
      <c r="L85" s="229">
        <f>IF($L$31=0,0,ROUNDUP($L$29/$L$31,0))</f>
      </c>
      <c r="M85" s="231" t="inlineStr">
        <is>
          <t xml:space="preserve">un</t>
        </is>
      </c>
      <c r="N85" s="232">
        <f>IF($L$85&gt;10,"Rever: mais de 10 painéis",IF($L$85&lt;1,"Rever: H ou bw","Ok"))</f>
      </c>
      <c r="O85" s="233" t="inlineStr">
        <is>
          <t xml:space="preserve">Número de painéis na altura H.</t>
        </is>
      </c>
    </row>
    <row r="86">
      <c r="K86" s="223" t="inlineStr">
        <is>
          <t xml:space="preserve">σg</t>
        </is>
      </c>
      <c r="L86" s="227">
        <f>$L$44*$L$25*$L$29</f>
      </c>
      <c r="M86" s="231" t="inlineStr">
        <is>
          <t xml:space="preserve">kN/m²</t>
        </is>
      </c>
      <c r="O86" s="233" t="inlineStr">
        <is>
          <t xml:space="preserve">Pressão do solo na borda inferior do painel 1.</t>
        </is>
      </c>
    </row>
    <row r="87">
      <c r="K87" s="223" t="inlineStr">
        <is>
          <t xml:space="preserve">σq</t>
        </is>
      </c>
      <c r="L87" s="227">
        <f>$L$44*$L$27</f>
      </c>
      <c r="M87" s="231" t="inlineStr">
        <is>
          <t xml:space="preserve">kN/m²</t>
        </is>
      </c>
      <c r="O87" s="233" t="inlineStr">
        <is>
          <t xml:space="preserve">Pressão da sobrecarga (constante na altura).</t>
        </is>
      </c>
    </row>
    <row r="88">
      <c r="K88" s="223" t="inlineStr">
        <is>
          <t xml:space="preserve">p,total</t>
        </is>
      </c>
      <c r="L88" s="227">
        <f>$L$86+$L$87</f>
      </c>
      <c r="M88" s="231" t="inlineStr">
        <is>
          <t xml:space="preserve">kN/m²</t>
        </is>
      </c>
      <c r="O88" s="233" t="inlineStr">
        <is>
          <t xml:space="preserve">Pressão total no painel 1 → comparar com a tabela do fabricante.</t>
        </is>
      </c>
    </row>
    <row r="89">
      <c r="K89" s="223" t="inlineStr">
        <is>
          <t xml:space="preserve">g</t>
        </is>
      </c>
      <c r="L89" s="227">
        <f>$L$86*MIN($L$31,$L$29)</f>
      </c>
      <c r="M89" s="231" t="inlineStr">
        <is>
          <t xml:space="preserve">kN/m</t>
        </is>
      </c>
      <c r="O89" s="233" t="inlineStr">
        <is>
          <t xml:space="preserve">Carga permanente linear no painel 1 (σg × largura).</t>
        </is>
      </c>
    </row>
    <row r="90">
      <c r="K90" s="223" t="inlineStr">
        <is>
          <t xml:space="preserve">q</t>
        </is>
      </c>
      <c r="L90" s="227">
        <f>$L$87*MIN($L$31,$L$29)</f>
      </c>
      <c r="M90" s="231" t="inlineStr">
        <is>
          <t xml:space="preserve">kN/m</t>
        </is>
      </c>
      <c r="O90" s="233" t="inlineStr">
        <is>
          <t xml:space="preserve">Carga variável linear no painel 1 (σq × largura).</t>
        </is>
      </c>
    </row>
    <row r="91">
      <c r="K91" s="223" t="inlineStr">
        <is>
          <t xml:space="preserve">Mk</t>
        </is>
      </c>
      <c r="L91" s="227">
        <f>($L$89+$L$90)*$L$32^2/8</f>
      </c>
      <c r="M91" s="231" t="inlineStr">
        <is>
          <t xml:space="preserve">kN·m</t>
        </is>
      </c>
      <c r="O91" s="233" t="inlineStr">
        <is>
          <t xml:space="preserve">Momento no painel 1, biapoiado nos pilares: (g+q)·L²/8.</t>
        </is>
      </c>
    </row>
    <row r="92">
      <c r="K92" s="223" t="inlineStr">
        <is>
          <t xml:space="preserve">Vk</t>
        </is>
      </c>
      <c r="L92" s="227">
        <f>($L$89+$L$90)*$L$32/2</f>
      </c>
      <c r="M92" s="231" t="inlineStr">
        <is>
          <t xml:space="preserve">kN</t>
        </is>
      </c>
      <c r="O92" s="233" t="inlineStr">
        <is>
          <t xml:space="preserve">Cortante / reação de cada lado no pilar: (g+q)·L/2.</t>
        </is>
      </c>
    </row>
    <row r="93">
      <c r="K93" s="222" t="inlineStr">
        <is>
          <t xml:space="preserve">5.2 Todos os painéis</t>
        </is>
      </c>
    </row>
    <row r="94" ht="30" customHeight="1">
      <c r="K94" s="235" t="inlineStr">
        <is>
          <t xml:space="preserve">Painel</t>
        </is>
      </c>
      <c r="L94" s="235" t="inlineStr">
        <is>
          <t xml:space="preserve">z,topo (m)</t>
        </is>
      </c>
      <c r="M94" s="235" t="inlineStr">
        <is>
          <t xml:space="preserve">z,base (m)</t>
        </is>
      </c>
      <c r="N94" s="235" t="inlineStr">
        <is>
          <t xml:space="preserve">σg (kN/m²)</t>
        </is>
      </c>
      <c r="O94" s="235" t="inlineStr">
        <is>
          <t xml:space="preserve">σq (kN/m²)</t>
        </is>
      </c>
      <c r="P94" s="235" t="inlineStr">
        <is>
          <t xml:space="preserve">p,total (kN/m²)</t>
        </is>
      </c>
      <c r="Q94" s="235" t="inlineStr">
        <is>
          <t xml:space="preserve">g (kN/m)</t>
        </is>
      </c>
      <c r="R94" s="235" t="inlineStr">
        <is>
          <t xml:space="preserve">q (kN/m)</t>
        </is>
      </c>
      <c r="S94" s="235" t="inlineStr">
        <is>
          <t xml:space="preserve">Mk (kN·m)</t>
        </is>
      </c>
      <c r="T94" s="235" t="inlineStr">
        <is>
          <t xml:space="preserve">Vk (kN)</t>
        </is>
      </c>
    </row>
    <row r="95">
      <c r="K95" s="237">
        <v>1</v>
      </c>
      <c r="L95" s="227">
        <f>IF((K95-1)*$L$31&gt;=$L$29,"",MAX($L$29-K95*$L$31,0))</f>
      </c>
      <c r="M95" s="227">
        <f>IF(L95="","",$L$29-(K95-1)*$L$31)</f>
      </c>
      <c r="N95" s="227">
        <f>IF(L95="","",$L$44*$L$25*M95)</f>
      </c>
      <c r="O95" s="227">
        <f>IF(L95="","",$L$44*$L$27)</f>
      </c>
      <c r="P95" s="227">
        <f>IF(L95="","",N95+O95)</f>
      </c>
      <c r="Q95" s="227">
        <f>IF(L95="","",N95*(M95-L95))</f>
      </c>
      <c r="R95" s="227">
        <f>IF(L95="","",O95*(M95-L95))</f>
      </c>
      <c r="S95" s="227">
        <f>IF(L95="","",(Q95+R95)*$L$32^2/8)</f>
      </c>
      <c r="T95" s="227">
        <f>IF(L95="","",(Q95+R95)*$L$32/2)</f>
      </c>
    </row>
    <row r="96">
      <c r="K96" s="237">
        <v>2</v>
      </c>
      <c r="L96" s="227">
        <f>IF((K96-1)*$L$31&gt;=$L$29,"",MAX($L$29-K96*$L$31,0))</f>
      </c>
      <c r="M96" s="227">
        <f>IF(L96="","",$L$29-(K96-1)*$L$31)</f>
      </c>
      <c r="N96" s="227">
        <f>IF(L96="","",$L$44*$L$25*M96)</f>
      </c>
      <c r="O96" s="227">
        <f>IF(L96="","",$L$44*$L$27)</f>
      </c>
      <c r="P96" s="227">
        <f>IF(L96="","",N96+O96)</f>
      </c>
      <c r="Q96" s="227">
        <f>IF(L96="","",N96*(M96-L96))</f>
      </c>
      <c r="R96" s="227">
        <f>IF(L96="","",O96*(M96-L96))</f>
      </c>
      <c r="S96" s="227">
        <f>IF(L96="","",(Q96+R96)*$L$32^2/8)</f>
      </c>
      <c r="T96" s="227">
        <f>IF(L96="","",(Q96+R96)*$L$32/2)</f>
      </c>
    </row>
    <row r="97">
      <c r="K97" s="237">
        <v>3</v>
      </c>
      <c r="L97" s="227">
        <f>IF((K97-1)*$L$31&gt;=$L$29,"",MAX($L$29-K97*$L$31,0))</f>
      </c>
      <c r="M97" s="227">
        <f>IF(L97="","",$L$29-(K97-1)*$L$31)</f>
      </c>
      <c r="N97" s="227">
        <f>IF(L97="","",$L$44*$L$25*M97)</f>
      </c>
      <c r="O97" s="227">
        <f>IF(L97="","",$L$44*$L$27)</f>
      </c>
      <c r="P97" s="227">
        <f>IF(L97="","",N97+O97)</f>
      </c>
      <c r="Q97" s="227">
        <f>IF(L97="","",N97*(M97-L97))</f>
      </c>
      <c r="R97" s="227">
        <f>IF(L97="","",O97*(M97-L97))</f>
      </c>
      <c r="S97" s="227">
        <f>IF(L97="","",(Q97+R97)*$L$32^2/8)</f>
      </c>
      <c r="T97" s="227">
        <f>IF(L97="","",(Q97+R97)*$L$32/2)</f>
      </c>
    </row>
    <row r="98">
      <c r="K98" s="237">
        <v>4</v>
      </c>
      <c r="L98" s="227">
        <f>IF((K98-1)*$L$31&gt;=$L$29,"",MAX($L$29-K98*$L$31,0))</f>
      </c>
      <c r="M98" s="227">
        <f>IF(L98="","",$L$29-(K98-1)*$L$31)</f>
      </c>
      <c r="N98" s="227">
        <f>IF(L98="","",$L$44*$L$25*M98)</f>
      </c>
      <c r="O98" s="227">
        <f>IF(L98="","",$L$44*$L$27)</f>
      </c>
      <c r="P98" s="227">
        <f>IF(L98="","",N98+O98)</f>
      </c>
      <c r="Q98" s="227">
        <f>IF(L98="","",N98*(M98-L98))</f>
      </c>
      <c r="R98" s="227">
        <f>IF(L98="","",O98*(M98-L98))</f>
      </c>
      <c r="S98" s="227">
        <f>IF(L98="","",(Q98+R98)*$L$32^2/8)</f>
      </c>
      <c r="T98" s="227">
        <f>IF(L98="","",(Q98+R98)*$L$32/2)</f>
      </c>
    </row>
    <row r="99">
      <c r="K99" s="237">
        <v>5</v>
      </c>
      <c r="L99" s="227">
        <f>IF((K99-1)*$L$31&gt;=$L$29,"",MAX($L$29-K99*$L$31,0))</f>
      </c>
      <c r="M99" s="227">
        <f>IF(L99="","",$L$29-(K99-1)*$L$31)</f>
      </c>
      <c r="N99" s="227">
        <f>IF(L99="","",$L$44*$L$25*M99)</f>
      </c>
      <c r="O99" s="227">
        <f>IF(L99="","",$L$44*$L$27)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IF(L99="","",(Q99+R99)*$L$32^2/8)</f>
      </c>
      <c r="T99" s="227">
        <f>IF(L99="","",(Q99+R99)*$L$32/2)</f>
      </c>
    </row>
    <row r="100">
      <c r="K100" s="237">
        <v>6</v>
      </c>
      <c r="L100" s="227">
        <f>IF((K100-1)*$L$31&gt;=$L$29,"",MAX($L$29-K100*$L$31,0))</f>
      </c>
      <c r="M100" s="227">
        <f>IF(L100="","",$L$29-(K100-1)*$L$31)</f>
      </c>
      <c r="N100" s="227">
        <f>IF(L100="","",$L$44*$L$25*M100)</f>
      </c>
      <c r="O100" s="227">
        <f>IF(L100="","",$L$44*$L$27)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IF(L100="","",(Q100+R100)*$L$32^2/8)</f>
      </c>
      <c r="T100" s="227">
        <f>IF(L100="","",(Q100+R100)*$L$32/2)</f>
      </c>
    </row>
    <row r="101">
      <c r="K101" s="237">
        <v>7</v>
      </c>
      <c r="L101" s="227">
        <f>IF((K101-1)*$L$31&gt;=$L$29,"",MAX($L$29-K101*$L$31,0))</f>
      </c>
      <c r="M101" s="227">
        <f>IF(L101="","",$L$29-(K101-1)*$L$31)</f>
      </c>
      <c r="N101" s="227">
        <f>IF(L101="","",$L$44*$L$25*M101)</f>
      </c>
      <c r="O101" s="227">
        <f>IF(L101="","",$L$44*$L$27)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IF(L101="","",(Q101+R101)*$L$32^2/8)</f>
      </c>
      <c r="T101" s="227">
        <f>IF(L101="","",(Q101+R101)*$L$32/2)</f>
      </c>
    </row>
    <row r="102">
      <c r="K102" s="237">
        <v>8</v>
      </c>
      <c r="L102" s="227">
        <f>IF((K102-1)*$L$31&gt;=$L$29,"",MAX($L$29-K102*$L$31,0))</f>
      </c>
      <c r="M102" s="227">
        <f>IF(L102="","",$L$29-(K102-1)*$L$31)</f>
      </c>
      <c r="N102" s="227">
        <f>IF(L102="","",$L$44*$L$25*M102)</f>
      </c>
      <c r="O102" s="227">
        <f>IF(L102="","",$L$44*$L$27)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IF(L102="","",(Q102+R102)*$L$32^2/8)</f>
      </c>
      <c r="T102" s="227">
        <f>IF(L102="","",(Q102+R102)*$L$32/2)</f>
      </c>
    </row>
    <row r="103">
      <c r="K103" s="237">
        <v>9</v>
      </c>
      <c r="L103" s="227">
        <f>IF((K103-1)*$L$31&gt;=$L$29,"",MAX($L$29-K103*$L$31,0))</f>
      </c>
      <c r="M103" s="227">
        <f>IF(L103="","",$L$29-(K103-1)*$L$31)</f>
      </c>
      <c r="N103" s="227">
        <f>IF(L103="","",$L$44*$L$25*M103)</f>
      </c>
      <c r="O103" s="227">
        <f>IF(L103="","",$L$44*$L$27)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IF(L103="","",(Q103+R103)*$L$32^2/8)</f>
      </c>
      <c r="T103" s="227">
        <f>IF(L103="","",(Q103+R103)*$L$32/2)</f>
      </c>
    </row>
    <row r="104">
      <c r="K104" s="237">
        <v>10</v>
      </c>
      <c r="L104" s="227">
        <f>IF((K104-1)*$L$31&gt;=$L$29,"",MAX($L$29-K104*$L$31,0))</f>
      </c>
      <c r="M104" s="227">
        <f>IF(L104="","",$L$29-(K104-1)*$L$31)</f>
      </c>
      <c r="N104" s="227">
        <f>IF(L104="","",$L$44*$L$25*M104)</f>
      </c>
      <c r="O104" s="227">
        <f>IF(L104="","",$L$44*$L$27)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IF(L104="","",(Q104+R104)*$L$32^2/8)</f>
      </c>
      <c r="T104" s="227">
        <f>IF(L104="","",(Q104+R104)*$L$32/2)</f>
      </c>
    </row>
    <row r="106">
      <c r="K106" s="221" t="inlineStr">
        <is>
          <t xml:space="preserve">6 . DIAGRAMAS DE CARGA (atualizam automaticamente)</t>
        </is>
      </c>
      <c r="L106" s="221"/>
      <c r="M106" s="221"/>
      <c r="N106" s="221"/>
      <c r="O106" s="221"/>
      <c r="P106" s="221"/>
      <c r="Q106" s="221"/>
      <c r="R106" s="221"/>
      <c r="S106" s="221"/>
      <c r="T106" s="221"/>
    </row>
    <row r="108" ht="75" customHeight="1">
      <c r="K108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08" s="220"/>
      <c r="M108" s="220"/>
      <c r="N108" s="220"/>
      <c r="O108" s="220"/>
      <c r="P108" s="220"/>
      <c r="Q108" s="220"/>
      <c r="R108" s="220"/>
      <c r="S108" s="220"/>
      <c r="T108" s="220"/>
    </row>
    <row r="139">
      <c r="K139" s="222" t="inlineStr">
        <is>
          <t xml:space="preserve">6.1 Coordenadas do desenho (não editar)</t>
        </is>
      </c>
    </row>
    <row r="140">
      <c r="K140" s="235" t="inlineStr">
        <is>
          <t xml:space="preserve">Série</t>
        </is>
      </c>
      <c r="L140" s="235" t="inlineStr">
        <is>
          <t xml:space="preserve">x</t>
        </is>
      </c>
      <c r="M140" s="235" t="inlineStr">
        <is>
          <t xml:space="preserve">y (m)</t>
        </is>
      </c>
    </row>
    <row r="141">
      <c r="K141" s="237" t="inlineStr">
        <is>
          <t xml:space="preserve">Pilar</t>
        </is>
      </c>
      <c r="L141" s="227">
        <v>0</v>
      </c>
      <c r="M141" s="227">
        <v>0</v>
      </c>
    </row>
    <row r="142">
      <c r="K142" s="237"/>
      <c r="L142" s="227">
        <v>0</v>
      </c>
      <c r="M142" s="227">
        <f>$L$29</f>
      </c>
    </row>
    <row r="143">
      <c r="K143" s="237" t="inlineStr">
        <is>
          <t xml:space="preserve">Carga (kN/m)</t>
        </is>
      </c>
      <c r="L143" s="227">
        <v>0</v>
      </c>
      <c r="M143" s="227">
        <f>$L$29</f>
      </c>
    </row>
    <row r="144">
      <c r="K144" s="237"/>
      <c r="L144" s="227">
        <f>$L$55</f>
      </c>
      <c r="M144" s="227">
        <f>$L$29</f>
      </c>
    </row>
    <row r="145">
      <c r="K145" s="237"/>
      <c r="L145" s="227">
        <f>$L$56</f>
      </c>
      <c r="M145" s="227">
        <v>0</v>
      </c>
    </row>
    <row r="146">
      <c r="K146" s="237"/>
      <c r="L146" s="227">
        <v>0</v>
      </c>
      <c r="M146" s="227">
        <v>0</v>
      </c>
    </row>
    <row r="147">
      <c r="K147" s="237" t="inlineStr">
        <is>
          <t xml:space="preserve">Sc | solo</t>
        </is>
      </c>
      <c r="L147" s="227">
        <f>$L$55</f>
      </c>
      <c r="M147" s="227">
        <f>$L$29</f>
      </c>
    </row>
    <row r="148">
      <c r="K148" s="237"/>
      <c r="L148" s="227">
        <f>$L$55</f>
      </c>
      <c r="M148" s="227">
        <v>0</v>
      </c>
    </row>
    <row r="149">
      <c r="K149" s="237" t="inlineStr">
        <is>
          <t xml:space="preserve">seta</t>
        </is>
      </c>
      <c r="L149" s="227">
        <f>$L$56-$L$57*1/6</f>
      </c>
      <c r="M149" s="227">
        <f>$L$29*1/6</f>
      </c>
    </row>
    <row r="150">
      <c r="K150" s="237"/>
      <c r="L150" s="227">
        <v>0</v>
      </c>
      <c r="M150" s="227">
        <f>$L$29*1/6</f>
      </c>
    </row>
    <row r="151">
      <c r="K151" s="237" t="inlineStr">
        <is>
          <t xml:space="preserve">seta</t>
        </is>
      </c>
      <c r="L151" s="227">
        <f>$L$56-$L$57*2/6</f>
      </c>
      <c r="M151" s="227">
        <f>$L$29*2/6</f>
      </c>
    </row>
    <row r="152">
      <c r="K152" s="237"/>
      <c r="L152" s="227">
        <v>0</v>
      </c>
      <c r="M152" s="227">
        <f>$L$29*2/6</f>
      </c>
    </row>
    <row r="153">
      <c r="K153" s="237" t="inlineStr">
        <is>
          <t xml:space="preserve">seta</t>
        </is>
      </c>
      <c r="L153" s="227">
        <f>$L$56-$L$57*3/6</f>
      </c>
      <c r="M153" s="227">
        <f>$L$29*3/6</f>
      </c>
    </row>
    <row r="154">
      <c r="K154" s="237"/>
      <c r="L154" s="227">
        <v>0</v>
      </c>
      <c r="M154" s="227">
        <f>$L$29*3/6</f>
      </c>
    </row>
    <row r="155">
      <c r="K155" s="237" t="inlineStr">
        <is>
          <t xml:space="preserve">seta</t>
        </is>
      </c>
      <c r="L155" s="227">
        <f>$L$56-$L$57*4/6</f>
      </c>
      <c r="M155" s="227">
        <f>$L$29*4/6</f>
      </c>
    </row>
    <row r="156">
      <c r="K156" s="237"/>
      <c r="L156" s="227">
        <v>0</v>
      </c>
      <c r="M156" s="227">
        <f>$L$29*4/6</f>
      </c>
    </row>
    <row r="157">
      <c r="K157" s="237" t="inlineStr">
        <is>
          <t xml:space="preserve">seta</t>
        </is>
      </c>
      <c r="L157" s="227">
        <f>$L$56-$L$57*5/6</f>
      </c>
      <c r="M157" s="227">
        <f>$L$29*5/6</f>
      </c>
    </row>
    <row r="158">
      <c r="K158" s="237"/>
      <c r="L158" s="227">
        <v>0</v>
      </c>
      <c r="M158" s="227">
        <f>$L$29*5/6</f>
      </c>
    </row>
    <row r="159">
      <c r="K159" s="237" t="inlineStr">
        <is>
          <t xml:space="preserve">E</t>
        </is>
      </c>
      <c r="L159" s="227">
        <f>MAX($L$55,$L$56)*1.15</f>
      </c>
      <c r="M159" s="227">
        <f>$L$61</f>
      </c>
    </row>
    <row r="160">
      <c r="K160" s="237"/>
      <c r="L160" s="227">
        <v>0</v>
      </c>
      <c r="M160" s="227">
        <f>$L$61</f>
      </c>
    </row>
    <row r="161">
      <c r="K161" s="237" t="inlineStr">
        <is>
          <t xml:space="preserve">R,topo</t>
        </is>
      </c>
      <c r="L161" s="227">
        <f>IF($L$35="Balanço",NA(),0)</f>
      </c>
      <c r="M161" s="227">
        <f>$L$29</f>
      </c>
    </row>
    <row r="162">
      <c r="K162" s="237"/>
      <c r="L162" s="227">
        <f>IF($L$35="Balanço",NA(),-0.35*$L$56)</f>
      </c>
      <c r="M162" s="227">
        <f>$L$29</f>
      </c>
    </row>
    <row r="163">
      <c r="K163" s="237" t="inlineStr">
        <is>
          <t xml:space="preserve">R,base</t>
        </is>
      </c>
      <c r="L163" s="227">
        <v>0</v>
      </c>
      <c r="M163" s="227">
        <v>0</v>
      </c>
    </row>
    <row r="164">
      <c r="K164" s="237"/>
      <c r="L164" s="227">
        <f>-0.35*$L$56</f>
      </c>
      <c r="M164" s="227">
        <v>0</v>
      </c>
    </row>
    <row r="165">
      <c r="K165" s="237">
        <f>"p,topo = "&amp;FIXED($L$55,2)&amp;" kN/m"</f>
      </c>
      <c r="L165" s="227">
        <f>$L$55</f>
      </c>
      <c r="M165" s="227">
        <f>$L$29</f>
      </c>
    </row>
    <row r="166">
      <c r="K166" s="237">
        <f>"p,base = "&amp;FIXED($L$56,2)&amp;" kN/m"</f>
      </c>
      <c r="L166" s="227">
        <f>$L$56</f>
      </c>
      <c r="M166" s="227">
        <v>0</v>
      </c>
    </row>
    <row r="167">
      <c r="K167" s="237">
        <f>"E = "&amp;FIXED($L$59,1)&amp;" kN (y = "&amp;FIXED($L$61,2)&amp;" m)"</f>
      </c>
      <c r="L167" s="227">
        <f>MAX($L$55,$L$56)*1.15</f>
      </c>
      <c r="M167" s="227">
        <f>$L$61</f>
      </c>
    </row>
    <row r="168">
      <c r="K168" s="237">
        <f>"R,topo = "&amp;FIXED($L$74,1)&amp;" kN → laje"</f>
      </c>
      <c r="L168" s="227">
        <f>IF($L$35="Balanço",NA(),-0.35*$L$56)</f>
      </c>
      <c r="M168" s="227">
        <f>$L$29</f>
      </c>
    </row>
    <row r="169">
      <c r="K169" s="237">
        <f>"R,base = "&amp;FIXED($L$75,1)&amp;" kN"</f>
      </c>
      <c r="L169" s="227">
        <f>-0.35*$L$56</f>
      </c>
      <c r="M169" s="227">
        <v>0</v>
      </c>
    </row>
    <row r="170">
      <c r="K170" s="237" t="inlineStr">
        <is>
          <t xml:space="preserve">Placas</t>
        </is>
      </c>
      <c r="L170" s="227">
        <v>0</v>
      </c>
      <c r="M170" s="227">
        <v>0</v>
      </c>
    </row>
    <row r="171">
      <c r="K171" s="237"/>
      <c r="L171" s="227">
        <v>0</v>
      </c>
      <c r="M171" s="227">
        <f>$L$29</f>
      </c>
    </row>
    <row r="172">
      <c r="K172" s="237" t="inlineStr">
        <is>
          <t xml:space="preserve">Pressão real</t>
        </is>
      </c>
      <c r="L172" s="227">
        <v>0</v>
      </c>
      <c r="M172" s="227">
        <f>$L$29</f>
      </c>
    </row>
    <row r="173">
      <c r="K173" s="237"/>
      <c r="L173" s="227">
        <f>$L$47</f>
      </c>
      <c r="M173" s="227">
        <f>$L$29</f>
      </c>
    </row>
    <row r="174">
      <c r="K174" s="237"/>
      <c r="L174" s="227">
        <f>$L$48</f>
      </c>
      <c r="M174" s="227">
        <v>0</v>
      </c>
    </row>
    <row r="175">
      <c r="K175" s="237"/>
      <c r="L175" s="227">
        <v>0</v>
      </c>
      <c r="M175" s="227">
        <v>0</v>
      </c>
    </row>
    <row r="176">
      <c r="K176" s="237" t="inlineStr">
        <is>
          <t xml:space="preserve">Sc | solo</t>
        </is>
      </c>
      <c r="L176" s="227">
        <f>$L$47</f>
      </c>
      <c r="M176" s="227">
        <f>$L$29</f>
      </c>
    </row>
    <row r="177">
      <c r="K177" s="237"/>
      <c r="L177" s="227">
        <f>$L$47</f>
      </c>
      <c r="M177" s="227">
        <v>0</v>
      </c>
    </row>
    <row r="178">
      <c r="K178" s="237" t="inlineStr">
        <is>
          <t xml:space="preserve">seta</t>
        </is>
      </c>
      <c r="L178" s="227">
        <f>$L$48-($L$48-$L$47)*1/4</f>
      </c>
      <c r="M178" s="227">
        <f>$L$29*1/4</f>
      </c>
    </row>
    <row r="179">
      <c r="K179" s="237"/>
      <c r="L179" s="227">
        <v>0</v>
      </c>
      <c r="M179" s="227">
        <f>$L$29*1/4</f>
      </c>
    </row>
    <row r="180">
      <c r="K180" s="237" t="inlineStr">
        <is>
          <t xml:space="preserve">seta</t>
        </is>
      </c>
      <c r="L180" s="227">
        <f>$L$48-($L$48-$L$47)*2/4</f>
      </c>
      <c r="M180" s="227">
        <f>$L$29*2/4</f>
      </c>
    </row>
    <row r="181">
      <c r="K181" s="237"/>
      <c r="L181" s="227">
        <v>0</v>
      </c>
      <c r="M181" s="227">
        <f>$L$29*2/4</f>
      </c>
    </row>
    <row r="182">
      <c r="K182" s="237" t="inlineStr">
        <is>
          <t xml:space="preserve">seta</t>
        </is>
      </c>
      <c r="L182" s="227">
        <f>$L$48-($L$48-$L$47)*3/4</f>
      </c>
      <c r="M182" s="227">
        <f>$L$29*3/4</f>
      </c>
    </row>
    <row r="183">
      <c r="K183" s="237"/>
      <c r="L183" s="227">
        <v>0</v>
      </c>
      <c r="M183" s="227">
        <f>$L$29*3/4</f>
      </c>
    </row>
    <row r="184">
      <c r="K184" s="237" t="inlineStr">
        <is>
          <t xml:space="preserve">Pressão adotada por painel</t>
        </is>
      </c>
      <c r="L184" s="227">
        <f>P95</f>
      </c>
      <c r="M184" s="227">
        <f>$L$29-M95</f>
      </c>
    </row>
    <row r="185">
      <c r="K185" s="237"/>
      <c r="L185" s="227">
        <f>P95</f>
      </c>
      <c r="M185" s="227">
        <f>$L$29-L95</f>
      </c>
    </row>
    <row r="186">
      <c r="K186" s="237"/>
      <c r="L186" s="227">
        <f>IF(L96="",L185,P96)</f>
      </c>
      <c r="M186" s="227">
        <f>IF(L96="",M185,$L$29-M96)</f>
      </c>
    </row>
    <row r="187">
      <c r="K187" s="237"/>
      <c r="L187" s="227">
        <f>IF(L96="",L186,P96)</f>
      </c>
      <c r="M187" s="227">
        <f>IF(L96="",M186,$L$29-L96)</f>
      </c>
    </row>
    <row r="188">
      <c r="K188" s="237"/>
      <c r="L188" s="227">
        <f>IF(L97="",L187,P97)</f>
      </c>
      <c r="M188" s="227">
        <f>IF(L97="",M187,$L$29-M97)</f>
      </c>
    </row>
    <row r="189">
      <c r="K189" s="237"/>
      <c r="L189" s="227">
        <f>IF(L97="",L188,P97)</f>
      </c>
      <c r="M189" s="227">
        <f>IF(L97="",M188,$L$29-L97)</f>
      </c>
    </row>
    <row r="190">
      <c r="K190" s="237"/>
      <c r="L190" s="227">
        <f>IF(L98="",L189,P98)</f>
      </c>
      <c r="M190" s="227">
        <f>IF(L98="",M189,$L$29-M98)</f>
      </c>
    </row>
    <row r="191">
      <c r="K191" s="237"/>
      <c r="L191" s="227">
        <f>IF(L98="",L190,P98)</f>
      </c>
      <c r="M191" s="227">
        <f>IF(L98="",M190,$L$29-L98)</f>
      </c>
    </row>
    <row r="192">
      <c r="K192" s="237"/>
      <c r="L192" s="227">
        <f>IF(L99="",L191,P99)</f>
      </c>
      <c r="M192" s="227">
        <f>IF(L99="",M191,$L$29-M99)</f>
      </c>
    </row>
    <row r="193">
      <c r="K193" s="237"/>
      <c r="L193" s="227">
        <f>IF(L99="",L192,P99)</f>
      </c>
      <c r="M193" s="227">
        <f>IF(L99="",M192,$L$29-L99)</f>
      </c>
    </row>
    <row r="194">
      <c r="K194" s="237"/>
      <c r="L194" s="227">
        <f>IF(L100="",L193,P100)</f>
      </c>
      <c r="M194" s="227">
        <f>IF(L100="",M193,$L$29-M100)</f>
      </c>
    </row>
    <row r="195">
      <c r="K195" s="237"/>
      <c r="L195" s="227">
        <f>IF(L100="",L194,P100)</f>
      </c>
      <c r="M195" s="227">
        <f>IF(L100="",M194,$L$29-L100)</f>
      </c>
    </row>
    <row r="196">
      <c r="K196" s="237"/>
      <c r="L196" s="227">
        <f>IF(L101="",L195,P101)</f>
      </c>
      <c r="M196" s="227">
        <f>IF(L101="",M195,$L$29-M101)</f>
      </c>
    </row>
    <row r="197">
      <c r="K197" s="237"/>
      <c r="L197" s="227">
        <f>IF(L101="",L196,P101)</f>
      </c>
      <c r="M197" s="227">
        <f>IF(L101="",M196,$L$29-L101)</f>
      </c>
    </row>
    <row r="198">
      <c r="K198" s="237"/>
      <c r="L198" s="227">
        <f>IF(L102="",L197,P102)</f>
      </c>
      <c r="M198" s="227">
        <f>IF(L102="",M197,$L$29-M102)</f>
      </c>
    </row>
    <row r="199">
      <c r="K199" s="237"/>
      <c r="L199" s="227">
        <f>IF(L102="",L198,P102)</f>
      </c>
      <c r="M199" s="227">
        <f>IF(L102="",M198,$L$29-L102)</f>
      </c>
    </row>
    <row r="200">
      <c r="K200" s="237"/>
      <c r="L200" s="227">
        <f>IF(L103="",L199,P103)</f>
      </c>
      <c r="M200" s="227">
        <f>IF(L103="",M199,$L$29-M103)</f>
      </c>
    </row>
    <row r="201">
      <c r="K201" s="237"/>
      <c r="L201" s="227">
        <f>IF(L103="",L200,P103)</f>
      </c>
      <c r="M201" s="227">
        <f>IF(L103="",M200,$L$29-L103)</f>
      </c>
    </row>
    <row r="202">
      <c r="K202" s="237"/>
      <c r="L202" s="227">
        <f>IF(L104="",L201,P104)</f>
      </c>
      <c r="M202" s="227">
        <f>IF(L104="",M201,$L$29-M104)</f>
      </c>
    </row>
    <row r="203">
      <c r="K203" s="237"/>
      <c r="L203" s="227">
        <f>IF(L104="",L202,P104)</f>
      </c>
      <c r="M203" s="227">
        <f>IF(L104="",M202,$L$29-L104)</f>
      </c>
    </row>
    <row r="204">
      <c r="K204" s="237" t="inlineStr">
        <is>
          <t xml:space="preserve">junta 1</t>
        </is>
      </c>
      <c r="L204" s="227">
        <f>IF($L$31*1&lt;$L$29,0,NA())</f>
      </c>
      <c r="M204" s="227">
        <f>$L$31*1</f>
      </c>
    </row>
    <row r="205">
      <c r="K205" s="237"/>
      <c r="L205" s="227">
        <f>IF($L$31*1&lt;$L$29,$L$48*1.05,NA())</f>
      </c>
      <c r="M205" s="227">
        <f>$L$31*1</f>
      </c>
    </row>
    <row r="206">
      <c r="K206" s="237" t="inlineStr">
        <is>
          <t xml:space="preserve">junta 2</t>
        </is>
      </c>
      <c r="L206" s="227">
        <f>IF($L$31*2&lt;$L$29,0,NA())</f>
      </c>
      <c r="M206" s="227">
        <f>$L$31*2</f>
      </c>
    </row>
    <row r="207">
      <c r="K207" s="237"/>
      <c r="L207" s="227">
        <f>IF($L$31*2&lt;$L$29,$L$48*1.05,NA())</f>
      </c>
      <c r="M207" s="227">
        <f>$L$31*2</f>
      </c>
    </row>
    <row r="208">
      <c r="K208" s="237" t="inlineStr">
        <is>
          <t xml:space="preserve">junta 3</t>
        </is>
      </c>
      <c r="L208" s="227">
        <f>IF($L$31*3&lt;$L$29,0,NA())</f>
      </c>
      <c r="M208" s="227">
        <f>$L$31*3</f>
      </c>
    </row>
    <row r="209">
      <c r="K209" s="237"/>
      <c r="L209" s="227">
        <f>IF($L$31*3&lt;$L$29,$L$48*1.05,NA())</f>
      </c>
      <c r="M209" s="227">
        <f>$L$31*3</f>
      </c>
    </row>
    <row r="210">
      <c r="K210" s="237" t="inlineStr">
        <is>
          <t xml:space="preserve">junta 4</t>
        </is>
      </c>
      <c r="L210" s="227">
        <f>IF($L$31*4&lt;$L$29,0,NA())</f>
      </c>
      <c r="M210" s="227">
        <f>$L$31*4</f>
      </c>
    </row>
    <row r="211">
      <c r="K211" s="237"/>
      <c r="L211" s="227">
        <f>IF($L$31*4&lt;$L$29,$L$48*1.05,NA())</f>
      </c>
      <c r="M211" s="227">
        <f>$L$31*4</f>
      </c>
    </row>
    <row r="212">
      <c r="K212" s="237" t="inlineStr">
        <is>
          <t xml:space="preserve">junta 5</t>
        </is>
      </c>
      <c r="L212" s="227">
        <f>IF($L$31*5&lt;$L$29,0,NA())</f>
      </c>
      <c r="M212" s="227">
        <f>$L$31*5</f>
      </c>
    </row>
    <row r="213">
      <c r="K213" s="237"/>
      <c r="L213" s="227">
        <f>IF($L$31*5&lt;$L$29,$L$48*1.05,NA())</f>
      </c>
      <c r="M213" s="227">
        <f>$L$31*5</f>
      </c>
    </row>
    <row r="214">
      <c r="K214" s="237" t="inlineStr">
        <is>
          <t xml:space="preserve">junta 6</t>
        </is>
      </c>
      <c r="L214" s="227">
        <f>IF($L$31*6&lt;$L$29,0,NA())</f>
      </c>
      <c r="M214" s="227">
        <f>$L$31*6</f>
      </c>
    </row>
    <row r="215">
      <c r="K215" s="237"/>
      <c r="L215" s="227">
        <f>IF($L$31*6&lt;$L$29,$L$48*1.05,NA())</f>
      </c>
      <c r="M215" s="227">
        <f>$L$31*6</f>
      </c>
    </row>
    <row r="216">
      <c r="K216" s="237" t="inlineStr">
        <is>
          <t xml:space="preserve">junta 7</t>
        </is>
      </c>
      <c r="L216" s="227">
        <f>IF($L$31*7&lt;$L$29,0,NA())</f>
      </c>
      <c r="M216" s="227">
        <f>$L$31*7</f>
      </c>
    </row>
    <row r="217">
      <c r="K217" s="237"/>
      <c r="L217" s="227">
        <f>IF($L$31*7&lt;$L$29,$L$48*1.05,NA())</f>
      </c>
      <c r="M217" s="227">
        <f>$L$31*7</f>
      </c>
    </row>
    <row r="218">
      <c r="K218" s="237" t="inlineStr">
        <is>
          <t xml:space="preserve">junta 8</t>
        </is>
      </c>
      <c r="L218" s="227">
        <f>IF($L$31*8&lt;$L$29,0,NA())</f>
      </c>
      <c r="M218" s="227">
        <f>$L$31*8</f>
      </c>
    </row>
    <row r="219">
      <c r="K219" s="237"/>
      <c r="L219" s="227">
        <f>IF($L$31*8&lt;$L$29,$L$48*1.05,NA())</f>
      </c>
      <c r="M219" s="227">
        <f>$L$31*8</f>
      </c>
    </row>
    <row r="220">
      <c r="K220" s="237" t="inlineStr">
        <is>
          <t xml:space="preserve">junta 9</t>
        </is>
      </c>
      <c r="L220" s="227">
        <f>IF($L$31*9&lt;$L$29,0,NA())</f>
      </c>
      <c r="M220" s="227">
        <f>$L$31*9</f>
      </c>
    </row>
    <row r="221">
      <c r="K221" s="237"/>
      <c r="L221" s="227">
        <f>IF($L$31*9&lt;$L$29,$L$48*1.05,NA())</f>
      </c>
      <c r="M221" s="227">
        <f>$L$31*9</f>
      </c>
    </row>
    <row r="222">
      <c r="K222" s="237">
        <f>"σq = "&amp;FIXED($L$47,2)&amp;" kN/m² (Sc)"</f>
      </c>
      <c r="L222" s="227">
        <f>$L$47</f>
      </c>
      <c r="M222" s="227">
        <f>$L$29</f>
      </c>
    </row>
    <row r="223">
      <c r="K223" s="237">
        <f>"σ,base = "&amp;FIXED($L$48,2)&amp;" kN/m² = solo "&amp;FIXED($L$49,2)&amp;" + Sc "&amp;FIXED($L$47,2)</f>
      </c>
      <c r="L223" s="227">
        <f>$L$48</f>
      </c>
      <c r="M223" s="227">
        <v>0</v>
      </c>
    </row>
    <row r="224">
      <c r="K224" s="237">
        <f>IF(L95="","","P1: g = "&amp;FIXED(Q95,2)&amp;" | q = "&amp;FIXED(R95,2)&amp;" kN/m")</f>
      </c>
      <c r="L224" s="227">
        <f>IF(L95="",NA(),P95)</f>
      </c>
      <c r="M224" s="227">
        <f>IF(L95="",NA(),$L$29-(L95+M95)/2)</f>
      </c>
    </row>
    <row r="225">
      <c r="K225" s="237">
        <f>IF(L96="","","P2: g = "&amp;FIXED(Q96,2)&amp;" | q = "&amp;FIXED(R96,2)&amp;" kN/m")</f>
      </c>
      <c r="L225" s="227">
        <f>IF(L96="",NA(),P96)</f>
      </c>
      <c r="M225" s="227">
        <f>IF(L96="",NA(),$L$29-(L96+M96)/2)</f>
      </c>
    </row>
    <row r="226">
      <c r="K226" s="237">
        <f>IF(L97="","","P3: g = "&amp;FIXED(Q97,2)&amp;" | q = "&amp;FIXED(R97,2)&amp;" kN/m")</f>
      </c>
      <c r="L226" s="227">
        <f>IF(L97="",NA(),P97)</f>
      </c>
      <c r="M226" s="227">
        <f>IF(L97="",NA(),$L$29-(L97+M97)/2)</f>
      </c>
    </row>
    <row r="227">
      <c r="K227" s="237">
        <f>IF(L98="","","P4: g = "&amp;FIXED(Q98,2)&amp;" | q = "&amp;FIXED(R98,2)&amp;" kN/m")</f>
      </c>
      <c r="L227" s="227">
        <f>IF(L98="",NA(),P98)</f>
      </c>
      <c r="M227" s="227">
        <f>IF(L98="",NA(),$L$29-(L98+M98)/2)</f>
      </c>
    </row>
    <row r="228">
      <c r="K228" s="237">
        <f>IF(L99="","","P5: g = "&amp;FIXED(Q99,2)&amp;" | q = "&amp;FIXED(R99,2)&amp;" kN/m")</f>
      </c>
      <c r="L228" s="227">
        <f>IF(L99="",NA(),P99)</f>
      </c>
      <c r="M228" s="227">
        <f>IF(L99="",NA(),$L$29-(L99+M99)/2)</f>
      </c>
    </row>
    <row r="229">
      <c r="K229" s="237">
        <f>IF(L100="","","P6: g = "&amp;FIXED(Q100,2)&amp;" | q = "&amp;FIXED(R100,2)&amp;" kN/m")</f>
      </c>
      <c r="L229" s="227">
        <f>IF(L100="",NA(),P100)</f>
      </c>
      <c r="M229" s="227">
        <f>IF(L100="",NA(),$L$29-(L100+M100)/2)</f>
      </c>
    </row>
    <row r="230">
      <c r="K230" s="237">
        <f>IF(L101="","","P7: g = "&amp;FIXED(Q101,2)&amp;" | q = "&amp;FIXED(R101,2)&amp;" kN/m")</f>
      </c>
      <c r="L230" s="227">
        <f>IF(L101="",NA(),P101)</f>
      </c>
      <c r="M230" s="227">
        <f>IF(L101="",NA(),$L$29-(L101+M101)/2)</f>
      </c>
    </row>
    <row r="231">
      <c r="K231" s="237">
        <f>IF(L102="","","P8: g = "&amp;FIXED(Q102,2)&amp;" | q = "&amp;FIXED(R102,2)&amp;" kN/m")</f>
      </c>
      <c r="L231" s="227">
        <f>IF(L102="",NA(),P102)</f>
      </c>
      <c r="M231" s="227">
        <f>IF(L102="",NA(),$L$29-(L102+M102)/2)</f>
      </c>
    </row>
    <row r="232">
      <c r="K232" s="237">
        <f>IF(L103="","","P9: g = "&amp;FIXED(Q103,2)&amp;" | q = "&amp;FIXED(R103,2)&amp;" kN/m")</f>
      </c>
      <c r="L232" s="227">
        <f>IF(L103="",NA(),P103)</f>
      </c>
      <c r="M232" s="227">
        <f>IF(L103="",NA(),$L$29-(L103+M103)/2)</f>
      </c>
    </row>
    <row r="233">
      <c r="K233" s="237">
        <f>IF(L104="","","P10: g = "&amp;FIXED(Q104,2)&amp;" | q = "&amp;FIXED(R104,2)&amp;" kN/m")</f>
      </c>
      <c r="L233" s="227">
        <f>IF(L104="",NA(),P104)</f>
      </c>
      <c r="M233" s="227">
        <f>IF(L104="",NA(),$L$29-(L104+M104)/2)</f>
      </c>
    </row>
    <row r="235">
      <c r="K235" s="221" t="inlineStr">
        <is>
          <t xml:space="preserve">7 . CONFERÊNCIA DA ABA MURO DE ARRIMO</t>
        </is>
      </c>
      <c r="L235" s="221"/>
      <c r="M235" s="221"/>
      <c r="N235" s="221"/>
      <c r="O235" s="221"/>
      <c r="P235" s="221"/>
      <c r="Q235" s="221"/>
      <c r="R235" s="221"/>
      <c r="S235" s="221"/>
      <c r="T235" s="221"/>
    </row>
    <row r="237" ht="18" customHeight="1">
      <c r="K237" s="220" t="inlineStr">
        <is>
          <t xml:space="preserve">Pontos encontrados na aba original (nada foi alterado nela). Esta aba já calcula tudo corrigido.</t>
        </is>
      </c>
      <c r="L237" s="220"/>
      <c r="M237" s="220"/>
      <c r="N237" s="220"/>
      <c r="O237" s="220"/>
      <c r="P237" s="220"/>
      <c r="Q237" s="220"/>
      <c r="R237" s="220"/>
      <c r="S237" s="220"/>
      <c r="T237" s="220"/>
    </row>
    <row r="238">
      <c r="K238" s="222" t="inlineStr">
        <is>
          <t xml:space="preserve">7.1 Região L2:X40 (a que você usa)</t>
        </is>
      </c>
    </row>
    <row r="239" ht="17" customHeight="1">
      <c r="K239" s="238" t="inlineStr">
        <is>
          <t xml:space="preserve">M11:M12</t>
        </is>
      </c>
      <c r="L239" s="239" t="inlineStr">
        <is>
          <t xml:space="preserve">#REF! – referência apagada. São cópias antigas de M22/M23 (corretas). Podem ser apagadas.</t>
        </is>
      </c>
      <c r="M239" s="239"/>
      <c r="N239" s="239"/>
      <c r="O239" s="239"/>
      <c r="P239" s="239"/>
      <c r="Q239" s="239"/>
      <c r="R239" s="239"/>
      <c r="S239" s="239"/>
      <c r="T239" s="239"/>
    </row>
    <row r="240" ht="32" customHeight="1">
      <c r="K240" s="238" t="inlineStr">
        <is>
          <t xml:space="preserve">M22:M26</t>
        </is>
      </c>
      <c r="L240" s="239" t="inlineStr">
        <is>
          <t xml:space="preserve">Carga no pilar só com o solo, sem a sobrecarga Sc (M30/M31 já incluem). Aqui: E (com Sc) e E,solo (sem Sc) – item 3.2.</t>
        </is>
      </c>
      <c r="M240" s="239"/>
      <c r="N240" s="239"/>
      <c r="O240" s="239"/>
      <c r="P240" s="239"/>
      <c r="Q240" s="239"/>
      <c r="R240" s="239"/>
      <c r="S240" s="239"/>
      <c r="T240" s="239"/>
    </row>
    <row r="241" ht="17" customHeight="1">
      <c r="K241" s="238" t="inlineStr">
        <is>
          <t xml:space="preserve">M26</t>
        </is>
      </c>
      <c r="L241" s="239" t="inlineStr">
        <is>
          <t xml:space="preserve">Momento sem unidade: o resultado é em tf·m (base do pilar em balanço, sem Sc).</t>
        </is>
      </c>
      <c r="M241" s="239"/>
      <c r="N241" s="239"/>
      <c r="O241" s="239"/>
      <c r="P241" s="239"/>
      <c r="Q241" s="239"/>
      <c r="R241" s="239"/>
      <c r="S241" s="239"/>
      <c r="T241" s="239"/>
    </row>
    <row r="242" ht="17" customHeight="1">
      <c r="K242" s="238" t="inlineStr">
        <is>
          <t xml:space="preserve">M28</t>
        </is>
      </c>
      <c r="L242" s="239" t="inlineStr">
        <is>
          <t xml:space="preserve">M25·M24/M27 com M27 = M25 → sempre igual a M24 (redundante, não é erro).</t>
        </is>
      </c>
      <c r="M242" s="239"/>
      <c r="N242" s="239"/>
      <c r="O242" s="239"/>
      <c r="P242" s="239"/>
      <c r="Q242" s="239"/>
      <c r="R242" s="239"/>
      <c r="S242" s="239"/>
      <c r="T242" s="239"/>
    </row>
    <row r="243" ht="17" customHeight="1">
      <c r="K243" s="238" t="inlineStr">
        <is>
          <t xml:space="preserve">M34</t>
        </is>
      </c>
      <c r="L243" s="239" t="inlineStr">
        <is>
          <t xml:space="preserve">Só vale na cota 0 (usa H² na parcela uniforme). M36 é a fórmula certa para qualquer cota.</t>
        </is>
      </c>
      <c r="M243" s="239"/>
      <c r="N243" s="239"/>
      <c r="O243" s="239"/>
      <c r="P243" s="239"/>
      <c r="Q243" s="239"/>
      <c r="R243" s="239"/>
      <c r="S243" s="239"/>
      <c r="T243" s="239"/>
    </row>
    <row r="244" ht="32" customHeight="1">
      <c r="K244" s="238" t="inlineStr">
        <is>
          <t xml:space="preserve">M40</t>
        </is>
      </c>
      <c r="L244" s="239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4" s="239"/>
      <c r="N244" s="239"/>
      <c r="O244" s="239"/>
      <c r="P244" s="239"/>
      <c r="Q244" s="239"/>
      <c r="R244" s="239"/>
      <c r="S244" s="239"/>
      <c r="T244" s="239"/>
    </row>
    <row r="245" ht="17" customHeight="1">
      <c r="K245" s="238" t="inlineStr">
        <is>
          <t xml:space="preserve">P22:R27</t>
        </is>
      </c>
      <c r="L245" s="239" t="inlineStr">
        <is>
          <t xml:space="preserve">Laje alveolar correta para o painel inferior (pressão na base × bw). O item 5 detalha todos os painéis.</t>
        </is>
      </c>
      <c r="M245" s="239"/>
      <c r="N245" s="239"/>
      <c r="O245" s="239"/>
      <c r="P245" s="239"/>
      <c r="Q245" s="239"/>
      <c r="R245" s="239"/>
      <c r="S245" s="239"/>
      <c r="T245" s="239"/>
    </row>
    <row r="246" ht="17" customHeight="1">
      <c r="K246" s="238" t="inlineStr">
        <is>
          <t xml:space="preserve">M24</t>
        </is>
      </c>
      <c r="L246" s="239" t="inlineStr">
        <is>
          <t xml:space="preserve">kN → tf por ×0,1 (1 tf = 9,81 kN) fica ~2% abaixo do exato; mantido por ser a convenção usual.</t>
        </is>
      </c>
      <c r="M246" s="239"/>
      <c r="N246" s="239"/>
      <c r="O246" s="239"/>
      <c r="P246" s="239"/>
      <c r="Q246" s="239"/>
      <c r="R246" s="239"/>
      <c r="S246" s="239"/>
      <c r="T246" s="239"/>
    </row>
    <row r="247" ht="32" customHeight="1">
      <c r="K247" s="238" t="inlineStr">
        <is>
          <t xml:space="preserve">M8</t>
        </is>
      </c>
      <c r="L247" s="239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47" s="239"/>
      <c r="N247" s="239"/>
      <c r="O247" s="239"/>
      <c r="P247" s="239"/>
      <c r="Q247" s="239"/>
      <c r="R247" s="239"/>
      <c r="S247" s="239"/>
      <c r="T247" s="239"/>
    </row>
    <row r="248">
      <c r="K248" s="222" t="inlineStr">
        <is>
          <t xml:space="preserve">7.2 Restante da aba (colunas A–C)</t>
        </is>
      </c>
    </row>
    <row r="249" ht="32" customHeight="1">
      <c r="K249" s="238" t="inlineStr">
        <is>
          <t xml:space="preserve">B20 / B28</t>
        </is>
      </c>
      <c r="L249" s="239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49" s="239"/>
      <c r="N249" s="239"/>
      <c r="O249" s="239"/>
      <c r="P249" s="239"/>
      <c r="Q249" s="239"/>
      <c r="R249" s="239"/>
      <c r="S249" s="239"/>
      <c r="T249" s="239"/>
    </row>
    <row r="250" ht="17" customHeight="1">
      <c r="K250" s="238" t="inlineStr">
        <is>
          <t xml:space="preserve">B8 / B9</t>
        </is>
      </c>
      <c r="L250" s="239" t="inlineStr">
        <is>
          <t xml:space="preserve">Coesão e φ dão 0: NSPT (B4) = 0 não existe na tabela DADOS DO SOLO. Sem efeito, pois o Ka de B33 é digitado.</t>
        </is>
      </c>
      <c r="M250" s="239"/>
      <c r="N250" s="239"/>
      <c r="O250" s="239"/>
      <c r="P250" s="239"/>
      <c r="Q250" s="239"/>
      <c r="R250" s="239"/>
      <c r="S250" s="239"/>
      <c r="T250" s="239"/>
    </row>
    <row r="251" ht="32" customHeight="1">
      <c r="K251" s="238" t="inlineStr">
        <is>
          <t xml:space="preserve">B33</t>
        </is>
      </c>
      <c r="L251" s="239" t="inlineStr">
        <is>
          <t xml:space="preserve">Ka = 0,36 digitado, sem ligação com φ. A aba usa 3 valores diferentes: 0,36 (B33), 0,528 (M8) e 0,75 (CÁLCULO FECHAMENTO).</t>
        </is>
      </c>
      <c r="M251" s="239"/>
      <c r="N251" s="239"/>
      <c r="O251" s="239"/>
      <c r="P251" s="239"/>
      <c r="Q251" s="239"/>
      <c r="R251" s="239"/>
      <c r="S251" s="239"/>
      <c r="T251" s="239"/>
    </row>
    <row r="252" ht="32" customHeight="1">
      <c r="K252" s="238" t="inlineStr">
        <is>
          <t xml:space="preserve">B24</t>
        </is>
      </c>
      <c r="L252" s="239" t="inlineStr">
        <is>
          <t xml:space="preserve">Esbeltez do pilar usa a altura da alvenaria (1,75 m) em vez da do pilar (3,85 m). Com 3,85 m dá ≈ 25,7 &lt; 30 → segue 'Sim', por acaso.</t>
        </is>
      </c>
      <c r="M252" s="239"/>
      <c r="N252" s="239"/>
      <c r="O252" s="239"/>
      <c r="P252" s="239"/>
      <c r="Q252" s="239"/>
      <c r="R252" s="239"/>
      <c r="S252" s="239"/>
      <c r="T252" s="239"/>
    </row>
    <row r="253" ht="32" customHeight="1">
      <c r="K253" s="238" t="inlineStr">
        <is>
          <t xml:space="preserve">B52:B66</t>
        </is>
      </c>
      <c r="L253" s="239" t="inlineStr">
        <is>
          <t xml:space="preserve">Pilar 20×30 não passa: Kc = 0,25 fora de tabela, Ks = 0,028 digitado não corresponde, As = 58 cm² (48 barras). Momento com (H/3 + 0,6) sem origem clara e sem Sc.</t>
        </is>
      </c>
      <c r="M253" s="239"/>
      <c r="N253" s="239"/>
      <c r="O253" s="239"/>
      <c r="P253" s="239"/>
      <c r="Q253" s="239"/>
      <c r="R253" s="239"/>
      <c r="S253" s="239"/>
      <c r="T253" s="239"/>
    </row>
    <row r="254" ht="17" customHeight="1">
      <c r="K254" s="238" t="inlineStr">
        <is>
          <t xml:space="preserve">B15</t>
        </is>
      </c>
      <c r="L254" s="239" t="inlineStr">
        <is>
          <t xml:space="preserve">TABELAS LÍBANO com μ digitados para La/Lb = 0,91: se mudar H ou D, os coeficientes não se atualizam.</t>
        </is>
      </c>
      <c r="M254" s="239"/>
      <c r="N254" s="239"/>
      <c r="O254" s="239"/>
      <c r="P254" s="239"/>
      <c r="Q254" s="239"/>
      <c r="R254" s="239"/>
      <c r="S254" s="239"/>
      <c r="T254" s="239"/>
    </row>
    <row r="255" ht="17" customHeight="1">
      <c r="K255" s="238" t="inlineStr">
        <is>
          <t xml:space="preserve">B90</t>
        </is>
      </c>
      <c r="L255" s="239" t="inlineStr">
        <is>
          <t xml:space="preserve">Peso da sapata fixo (1,2 × 1,0 × 0,5 m).</t>
        </is>
      </c>
      <c r="M255" s="239"/>
      <c r="N255" s="239"/>
      <c r="O255" s="239"/>
      <c r="P255" s="239"/>
      <c r="Q255" s="239"/>
      <c r="R255" s="239"/>
      <c r="S255" s="239"/>
      <c r="T255" s="239"/>
    </row>
  </sheetData>
  <mergeCells count="47">
    <mergeCell ref="K1:T1"/>
    <mergeCell ref="K2:T2"/>
    <mergeCell ref="K4:T4"/>
    <mergeCell ref="K22:T22"/>
    <mergeCell ref="K38:T38"/>
    <mergeCell ref="K40:T40"/>
    <mergeCell ref="K51:T51"/>
    <mergeCell ref="K53:T53"/>
    <mergeCell ref="K65:T65"/>
    <mergeCell ref="K67:T67"/>
    <mergeCell ref="K81:T81"/>
    <mergeCell ref="K83:T83"/>
    <mergeCell ref="K106:T106"/>
    <mergeCell ref="K108:T108"/>
    <mergeCell ref="K235:T235"/>
    <mergeCell ref="K237:T237"/>
    <mergeCell ref="L239:T239"/>
    <mergeCell ref="L240:T240"/>
    <mergeCell ref="L241:T241"/>
    <mergeCell ref="L242:T242"/>
    <mergeCell ref="L243:T243"/>
    <mergeCell ref="L244:T244"/>
    <mergeCell ref="L245:T245"/>
    <mergeCell ref="L246:T246"/>
    <mergeCell ref="L247:T247"/>
    <mergeCell ref="L249:T249"/>
    <mergeCell ref="L250:T250"/>
    <mergeCell ref="L251:T251"/>
    <mergeCell ref="L252:T252"/>
    <mergeCell ref="L253:T253"/>
    <mergeCell ref="L254:T254"/>
    <mergeCell ref="L255:T255"/>
    <mergeCell ref="L6:M6"/>
    <mergeCell ref="O6:T6"/>
    <mergeCell ref="L7:M7"/>
    <mergeCell ref="L8:T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</mergeCells>
  <conditionalFormatting sqref="N79 N85 N7 N9 N10 N11 N12 N13 N14 N15 N16 N17 N18 N19">
    <cfRule type="beginsWith" dxfId="6" priority="1" operator="beginsWith" text="Ok">
      <formula>LEFT(N79,2)="Ok"</formula>
    </cfRule>
  </conditionalFormatting>
  <conditionalFormatting sqref="N79 N85 N7 N9 N10 N11 N12 N13 N14 N15 N16 N17 N18 N19">
    <cfRule type="beginsWith" dxfId="5" priority="2" operator="beginsWith" text="Não se aplica">
      <formula>LEFT(N79,13)="Não se aplica"</formula>
    </cfRule>
  </conditionalFormatting>
  <dataValidations count="2">
    <dataValidation type="list" allowBlank="1" showErrorMessage="1" sqref="L34">
      <formula1>"Ativo,Repouso"</formula1>
    </dataValidation>
    <dataValidation type="list" allowBlank="1" showErrorMessage="1" sqref="L35">
      <formula1>$K$70:$K$72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CONTENÇÃO RÁPIDA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