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PILAR'!$K$1:$T$147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<sst xmlns="http://schemas.openxmlformats.org/spreadsheetml/2006/main" count="559" uniqueCount="298">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</sst>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"/>
    <numFmt numFmtId="167" formatCode="0.000%"/>
    <numFmt numFmtId="168" formatCode="0.00"/>
    <numFmt numFmtId="169" formatCode="&quot;Ø &quot;0.0&quot; mm&quot;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169" fontId="35" fillId="13" borderId="41" xfId="0" applyNumberFormat="1" applyFont="1" applyFill="1" applyBorder="1" applyAlignment="1">
      <alignment horizontal="center" vertical="center"/>
    </xf>
    <xf numFmtId="0" fontId="38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17.247957670388743</c:v>
                </c:pt>
                <c:pt idx="2">
                  <c:v>172.47957670388743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17.247957670388743</c:v>
                </c:pt>
                <c:pt idx="1">
                  <c:v>17.247957670388743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146.60764019830432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0.4166666666666667</c:v>
                </c:pt>
                <c:pt idx="1">
                  <c:v>0.4166666666666667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120.73570369272119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0.8333333333333334</c:v>
                </c:pt>
                <c:pt idx="1">
                  <c:v>0.8333333333333334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94.86376718713808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68.99183068155496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1.6666666666666667</c:v>
                </c:pt>
                <c:pt idx="1">
                  <c:v>1.6666666666666667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43.119894175971865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2.0833333333333335</c:v>
                </c:pt>
                <c:pt idx="1">
                  <c:v>2.0833333333333335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198.35151320947054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0.9090909090909092</c:v>
                </c:pt>
                <c:pt idx="1">
                  <c:v>0.9090909090909092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17,25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17.247957670388743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172,48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172.47957670388743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237,2 kN (y = 0,91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198.35151320947054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0.9090909090909092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55,0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182,2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26.39320225002103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20.4547317437663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0.625</c:v>
                </c:pt>
                <c:pt idx="1">
                  <c:v>0.625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14.516261237511566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8.577790731256833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1.875</c:v>
                </c:pt>
                <c:pt idx="1">
                  <c:v>1.875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26.393202250021027</c:v>
                </c:pt>
                <c:pt idx="1">
                  <c:v>26.393202250021027</c:v>
                </c:pt>
                <c:pt idx="2">
                  <c:v>14.516261237511564</c:v>
                </c:pt>
                <c:pt idx="3">
                  <c:v>14.516261237511564</c:v>
                </c:pt>
                <c:pt idx="4">
                  <c:v>14.516261237511564</c:v>
                </c:pt>
                <c:pt idx="5">
                  <c:v>14.516261237511564</c:v>
                </c:pt>
                <c:pt idx="6">
                  <c:v>14.516261237511564</c:v>
                </c:pt>
                <c:pt idx="7">
                  <c:v>14.516261237511564</c:v>
                </c:pt>
                <c:pt idx="8">
                  <c:v>14.516261237511564</c:v>
                </c:pt>
                <c:pt idx="9">
                  <c:v>14.516261237511564</c:v>
                </c:pt>
                <c:pt idx="10">
                  <c:v>14.516261237511564</c:v>
                </c:pt>
                <c:pt idx="11">
                  <c:v>14.516261237511564</c:v>
                </c:pt>
                <c:pt idx="12">
                  <c:v>14.516261237511564</c:v>
                </c:pt>
                <c:pt idx="13">
                  <c:v>14.516261237511564</c:v>
                </c:pt>
                <c:pt idx="14">
                  <c:v>14.516261237511564</c:v>
                </c:pt>
                <c:pt idx="15">
                  <c:v>14.516261237511564</c:v>
                </c:pt>
                <c:pt idx="16">
                  <c:v>14.516261237511564</c:v>
                </c:pt>
                <c:pt idx="17">
                  <c:v>14.516261237511564</c:v>
                </c:pt>
                <c:pt idx="18">
                  <c:v>14.516261237511564</c:v>
                </c:pt>
                <c:pt idx="19">
                  <c:v>14.516261237511564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27.71286236252208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26,39 kN/m² = solo 23,75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26.39320225002103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29,69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26.393202250021027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14,85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14.516261237511564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2.5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13.07/2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3" t="inlineStr">
        <is>
          <t xml:space="preserve">#REF! – referência apagada. São cópias antigas de M22/M23 (corretas). Podem ser apagadas.</t>
        </is>
      </c>
      <c r="M243" s="243"/>
      <c r="N243" s="243"/>
      <c r="O243" s="243"/>
      <c r="P243" s="243"/>
      <c r="Q243" s="243"/>
      <c r="R243" s="243"/>
      <c r="S243" s="243"/>
      <c r="T243" s="243"/>
    </row>
    <row r="244" ht="32" customHeight="1">
      <c r="K244" s="238" t="inlineStr">
        <is>
          <t xml:space="preserve">M22:M26</t>
        </is>
      </c>
      <c r="L244" s="243" t="inlineStr">
        <is>
          <t xml:space="preserve">Carga no pilar só com o solo, sem a sobrecarga Sc (M30/M31 já incluem). Aqui: E (com Sc) e E,solo (sem Sc) – item 3.2.</t>
        </is>
      </c>
      <c r="M244" s="243"/>
      <c r="N244" s="243"/>
      <c r="O244" s="243"/>
      <c r="P244" s="243"/>
      <c r="Q244" s="243"/>
      <c r="R244" s="243"/>
      <c r="S244" s="243"/>
      <c r="T244" s="243"/>
    </row>
    <row r="245" ht="17" customHeight="1">
      <c r="K245" s="238" t="inlineStr">
        <is>
          <t xml:space="preserve">M26</t>
        </is>
      </c>
      <c r="L245" s="243" t="inlineStr">
        <is>
          <t xml:space="preserve">Momento sem unidade: o resultado é em tf·m (base do pilar em balanço, sem Sc).</t>
        </is>
      </c>
      <c r="M245" s="243"/>
      <c r="N245" s="243"/>
      <c r="O245" s="243"/>
      <c r="P245" s="243"/>
      <c r="Q245" s="243"/>
      <c r="R245" s="243"/>
      <c r="S245" s="243"/>
      <c r="T245" s="243"/>
    </row>
    <row r="246" ht="17" customHeight="1">
      <c r="K246" s="238" t="inlineStr">
        <is>
          <t xml:space="preserve">M28</t>
        </is>
      </c>
      <c r="L246" s="243" t="inlineStr">
        <is>
          <t xml:space="preserve">M25·M24/M27 com M27 = M25 → sempre igual a M24 (redundante, não é erro).</t>
        </is>
      </c>
      <c r="M246" s="243"/>
      <c r="N246" s="243"/>
      <c r="O246" s="243"/>
      <c r="P246" s="243"/>
      <c r="Q246" s="243"/>
      <c r="R246" s="243"/>
      <c r="S246" s="243"/>
      <c r="T246" s="243"/>
    </row>
    <row r="247" ht="17" customHeight="1">
      <c r="K247" s="238" t="inlineStr">
        <is>
          <t xml:space="preserve">M34</t>
        </is>
      </c>
      <c r="L247" s="243" t="inlineStr">
        <is>
          <t xml:space="preserve">Só vale na cota 0 (usa H² na parcela uniforme). M36 é a fórmula certa para qualquer cota.</t>
        </is>
      </c>
      <c r="M247" s="243"/>
      <c r="N247" s="243"/>
      <c r="O247" s="243"/>
      <c r="P247" s="243"/>
      <c r="Q247" s="243"/>
      <c r="R247" s="243"/>
      <c r="S247" s="243"/>
      <c r="T247" s="243"/>
    </row>
    <row r="248" ht="32" customHeight="1">
      <c r="K248" s="238" t="inlineStr">
        <is>
          <t xml:space="preserve">M40</t>
        </is>
      </c>
      <c r="L248" s="243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3"/>
      <c r="N248" s="243"/>
      <c r="O248" s="243"/>
      <c r="P248" s="243"/>
      <c r="Q248" s="243"/>
      <c r="R248" s="243"/>
      <c r="S248" s="243"/>
      <c r="T248" s="243"/>
    </row>
    <row r="249" ht="17" customHeight="1">
      <c r="K249" s="238" t="inlineStr">
        <is>
          <t xml:space="preserve">P22:R27</t>
        </is>
      </c>
      <c r="L249" s="243" t="inlineStr">
        <is>
          <t xml:space="preserve">Laje alveolar correta para o painel inferior (pressão na base × bw). O item 5 detalha todos os painéis.</t>
        </is>
      </c>
      <c r="M249" s="243"/>
      <c r="N249" s="243"/>
      <c r="O249" s="243"/>
      <c r="P249" s="243"/>
      <c r="Q249" s="243"/>
      <c r="R249" s="243"/>
      <c r="S249" s="243"/>
      <c r="T249" s="243"/>
    </row>
    <row r="250" ht="17" customHeight="1">
      <c r="K250" s="238" t="inlineStr">
        <is>
          <t xml:space="preserve">M24</t>
        </is>
      </c>
      <c r="L250" s="243" t="inlineStr">
        <is>
          <t xml:space="preserve">kN → tf por ×0,1 (1 tf = 9,81 kN) fica ~2% abaixo do exato; mantido por ser a convenção usual.</t>
        </is>
      </c>
      <c r="M250" s="243"/>
      <c r="N250" s="243"/>
      <c r="O250" s="243"/>
      <c r="P250" s="243"/>
      <c r="Q250" s="243"/>
      <c r="R250" s="243"/>
      <c r="S250" s="243"/>
      <c r="T250" s="243"/>
    </row>
    <row r="251" ht="32" customHeight="1">
      <c r="K251" s="238" t="inlineStr">
        <is>
          <t xml:space="preserve">M8</t>
        </is>
      </c>
      <c r="L251" s="243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3"/>
      <c r="N251" s="243"/>
      <c r="O251" s="243"/>
      <c r="P251" s="243"/>
      <c r="Q251" s="243"/>
      <c r="R251" s="243"/>
      <c r="S251" s="243"/>
      <c r="T251" s="243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3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3"/>
      <c r="N253" s="243"/>
      <c r="O253" s="243"/>
      <c r="P253" s="243"/>
      <c r="Q253" s="243"/>
      <c r="R253" s="243"/>
      <c r="S253" s="243"/>
      <c r="T253" s="243"/>
    </row>
    <row r="254" ht="17" customHeight="1">
      <c r="K254" s="238" t="inlineStr">
        <is>
          <t xml:space="preserve">B8 / B9</t>
        </is>
      </c>
      <c r="L254" s="243" t="inlineStr">
        <is>
          <t xml:space="preserve">Coesão e φ dão 0: NSPT (B4) = 0 não existe na tabela DADOS DO SOLO. Sem efeito, pois o Ka de B33 é digitado.</t>
        </is>
      </c>
      <c r="M254" s="243"/>
      <c r="N254" s="243"/>
      <c r="O254" s="243"/>
      <c r="P254" s="243"/>
      <c r="Q254" s="243"/>
      <c r="R254" s="243"/>
      <c r="S254" s="243"/>
      <c r="T254" s="243"/>
    </row>
    <row r="255" ht="32" customHeight="1">
      <c r="K255" s="238" t="inlineStr">
        <is>
          <t xml:space="preserve">B33</t>
        </is>
      </c>
      <c r="L255" s="243" t="inlineStr">
        <is>
          <t xml:space="preserve">Ka = 0,36 digitado, sem ligação com φ. A aba usa 3 valores diferentes: 0,36 (B33), 0,528 (M8) e 0,75 (CÁLCULO FECHAMENTO).</t>
        </is>
      </c>
      <c r="M255" s="243"/>
      <c r="N255" s="243"/>
      <c r="O255" s="243"/>
      <c r="P255" s="243"/>
      <c r="Q255" s="243"/>
      <c r="R255" s="243"/>
      <c r="S255" s="243"/>
      <c r="T255" s="243"/>
    </row>
    <row r="256" ht="32" customHeight="1">
      <c r="K256" s="238" t="inlineStr">
        <is>
          <t xml:space="preserve">B24</t>
        </is>
      </c>
      <c r="L256" s="243" t="inlineStr">
        <is>
          <t xml:space="preserve">Esbeltez do pilar usa a altura da alvenaria (1,75 m) em vez da do pilar (3,85 m). Com 3,85 m dá ≈ 25,7 &lt; 30 → segue 'Sim', por acaso.</t>
        </is>
      </c>
      <c r="M256" s="243"/>
      <c r="N256" s="243"/>
      <c r="O256" s="243"/>
      <c r="P256" s="243"/>
      <c r="Q256" s="243"/>
      <c r="R256" s="243"/>
      <c r="S256" s="243"/>
      <c r="T256" s="243"/>
    </row>
    <row r="257" ht="32" customHeight="1">
      <c r="K257" s="238" t="inlineStr">
        <is>
          <t xml:space="preserve">B52:B66</t>
        </is>
      </c>
      <c r="L257" s="243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3"/>
      <c r="N257" s="243"/>
      <c r="O257" s="243"/>
      <c r="P257" s="243"/>
      <c r="Q257" s="243"/>
      <c r="R257" s="243"/>
      <c r="S257" s="243"/>
      <c r="T257" s="243"/>
    </row>
    <row r="258" ht="17" customHeight="1">
      <c r="K258" s="238" t="inlineStr">
        <is>
          <t xml:space="preserve">B15</t>
        </is>
      </c>
      <c r="L258" s="243" t="inlineStr">
        <is>
          <t xml:space="preserve">TABELAS LÍBANO com μ digitados para La/Lb = 0,91: se mudar H ou D, os coeficientes não se atualizam.</t>
        </is>
      </c>
      <c r="M258" s="243"/>
      <c r="N258" s="243"/>
      <c r="O258" s="243"/>
      <c r="P258" s="243"/>
      <c r="Q258" s="243"/>
      <c r="R258" s="243"/>
      <c r="S258" s="243"/>
      <c r="T258" s="243"/>
    </row>
    <row r="259" ht="17" customHeight="1">
      <c r="K259" s="238" t="inlineStr">
        <is>
          <t xml:space="preserve">B90</t>
        </is>
      </c>
      <c r="L259" s="243" t="inlineStr">
        <is>
          <t xml:space="preserve">Peso da sapata fixo (1,2 × 1,0 × 0,5 m).</t>
        </is>
      </c>
      <c r="M259" s="243"/>
      <c r="N259" s="243"/>
      <c r="O259" s="243"/>
      <c r="P259" s="243"/>
      <c r="Q259" s="243"/>
      <c r="R259" s="243"/>
      <c r="S259" s="243"/>
      <c r="T259" s="243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147"/>
  <sheetViews>
    <sheetView showGridLines="0" view="pageBreakPreview" topLeftCell="J1" zoomScaleNormal="100" zoomScaleSheetLayoutView="100" workbookViewId="0">
      <pane ySplit="5" topLeftCell="J6" activePane="bottomLeft" state="frozen"/>
      <selection pane="bottomLeft" activeCell="O2" sqref="O2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"As,nec = "&amp;FIXED($L$109,2)&amp;" cm²/face"</f>
      </c>
      <c r="N2" s="240"/>
      <c r="O2" s="241">
        <v>12.5</v>
      </c>
      <c r="P2" s="240">
        <f>$L$111&amp;" barras em cada face ("&amp;FIXED($L$112,2)&amp;" cm²) | espaço livre "&amp;FIXED($L$117,2)&amp;" cm"</f>
      </c>
      <c r="Q2" s="240"/>
      <c r="R2" s="240"/>
      <c r="S2" s="242">
        <f>IF($L$117&lt;$L$115,"NÃO OK – "&amp;"Espaço livre "&amp;FIXED($L$117,2)&amp;" &lt; "&amp;FIXED($L$115,2)&amp;" cm ("&amp;$L$116&amp;")",IF($L$114&gt;4,"NÃO OK – taxa &gt; 4%",IF($L$42&lt;10,"NÃO OK – Ø &lt; 10 mm",IF($L$42&gt;$L$39*10/8,"NÃO OK – Ø &gt; b/8","OK"))))</f>
      </c>
      <c r="T2" s="242"/>
    </row>
    <row r="3" ht="32" customHeight="1">
      <c r="K3" s="239" t="inlineStr">
        <is>
          <t xml:space="preserve">ARMADURA TRANSVERSAL</t>
        </is>
      </c>
      <c r="L3" s="239"/>
      <c r="M3" s="240">
        <f>"Asw,nec = "&amp;FIXED($L$133,2)&amp;" cm²/m"</f>
      </c>
      <c r="N3" s="240"/>
      <c r="O3" s="241">
        <v>6.3</v>
      </c>
      <c r="P3" s="240">
        <f>"c/ "&amp;$L$137&amp;" cm ("&amp;$L$43&amp;" ramos) = "&amp;FIXED($L$138,2)&amp;" cm²/m"</f>
      </c>
      <c r="Q3" s="240"/>
      <c r="R3" s="240"/>
      <c r="S3" s="242">
        <f>IF($L$123&gt;$L$124,"NÃO OK – biela: aumentar seção",IF($L$137&lt;5,"NÃO OK – s &lt; 5 cm: aumentar Ø",IF($L$41&lt;$L$139,"NÃO OK – Ø,t &lt; Ø,l/4","OK")))</f>
      </c>
      <c r="T3" s="242"/>
    </row>
    <row r="4" ht="32" customHeight="1">
      <c r="K4" s="239" t="inlineStr">
        <is>
          <t xml:space="preserve">FLEXÃO / ESFORÇOS</t>
        </is>
      </c>
      <c r="L4" s="239"/>
      <c r="M4" s="240">
        <f>"Md+ = "&amp;FIXED($L$83,1)&amp;" | Md− = "&amp;FIXED($L$94,1)&amp;" kN·m"</f>
      </c>
      <c r="N4" s="240"/>
      <c r="O4" s="240">
        <f>"Md,lim = "&amp;FIXED($L$78,1)&amp;" kN·m | Vsd = "&amp;FIXED($L$123,1)&amp;" kN ("&amp;$L$45&amp;")"</f>
      </c>
      <c r="P4" s="240"/>
      <c r="Q4" s="240"/>
      <c r="R4" s="240"/>
      <c r="S4" s="242">
        <f>IF(MAX($L$83,$L$94)&gt;$L$78,"NÃO OK – arm. dupla: h ≥ "&amp;ROUNDUP($L$79+$L$75,0)&amp;" cm","OK – arm. simples")</f>
      </c>
      <c r="T4" s="242"/>
    </row>
    <row r="5" ht="32" customHeight="1">
      <c r="K5" s="239" t="inlineStr">
        <is>
          <t xml:space="preserve">TAXA DE AÇO</t>
        </is>
      </c>
      <c r="L5" s="239"/>
      <c r="M5" s="240">
        <f>"ρ,long = "&amp;FIXED($L$114,2)&amp;" % (0,4% a 4%)"</f>
      </c>
      <c r="N5" s="240"/>
      <c r="O5" s="240">
        <f>"Longit. "&amp;FIXED($L$144,1)&amp;" + estribos "&amp;FIXED($L$146,1)&amp;" = "&amp;FIXED($L$147,1)&amp;" kg/m³"</f>
      </c>
      <c r="P5" s="240"/>
      <c r="Q5" s="240"/>
      <c r="R5" s="240"/>
      <c r="S5" s="242">
        <f>IF($L$114&gt;4,"NÃO OK – ρ &gt; 4%",IF($L$114&lt;0.4,"NÃO OK – ρ &lt; 0,4%","OK"))</f>
      </c>
      <c r="T5" s="242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"&amp;FIXED($L$83,1)&amp;" | Md− = "&amp;FIXED($L$94,1)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IF(MAX($L$83,$L$94)&gt;$L$78,"⚠ Armadura dupla: a seção "&amp;$L$39&amp;"×"&amp;$L$38&amp;" é pequena para Md = "&amp;FIXED(MAX($L$83,$L$94),1)&amp;" kN·m. Para armadura simples use h ≥ "&amp;ROUNDUP($L$79+$L$75,0)&amp;"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$L$84</f>
      </c>
      <c r="M13" s="236"/>
      <c r="N13" s="232">
        <f>IF($L$83=0,"Não se aplica (M = 0)",IF($L$83&lt;=$L$78,"Ok","Arm.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$L$95</f>
      </c>
      <c r="M14" s="236"/>
      <c r="N14" s="232">
        <f>IF($L$94=0,"Não se aplica (M = 0)",IF($L$94&lt;=$L$78,"Ok","Arm.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$L$111&amp;" Ø"&amp;$L$42&amp;" ("&amp;FIXED($L$112,2)&amp;" cm²)"</f>
      </c>
      <c r="M15" s="236"/>
      <c r="N15" s="232">
        <f>IF($L$117&lt;$L$115,"Espaço livre "&amp;FIXED($L$117,2)&amp;" &lt; "&amp;FIXED($L$115,2)&amp;" cm ("&amp;$L$116&amp;")","Ok")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FIXED($L$114,2)&amp;" %"</f>
      </c>
      <c r="M16" s="236"/>
      <c r="N16" s="232">
        <f>IF($L$114&gt;4,"Rever: taxa &gt; 4%",IF($L$114&lt;0.4,"Rever: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FIXED($L$123,1)&amp;" ≤ "&amp;FIXED($L$124,1)&amp;" kN"</f>
      </c>
      <c r="M17" s="236"/>
      <c r="N17" s="232">
        <f>IF($L$123&lt;=$L$124,"Ok","Aumentar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c/"&amp;$L$137&amp;" ("&amp;$L$43&amp;" ramos)"</f>
      </c>
      <c r="M18" s="236"/>
      <c r="N18" s="232">
        <f>IF($L$137&lt;5,"s &lt; 5 cm – aumentar Ø,t",IF($L$138&gt;=$L$133,"Ok","Rever"))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1.4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1.15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30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30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20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7">
        <f>$O$3</f>
      </c>
      <c r="M41" s="231" t="inlineStr">
        <is>
          <t xml:space="preserve">mm</t>
        </is>
      </c>
      <c r="O41" s="233" t="inlineStr">
        <is>
          <t xml:space="preserve">Bitola do estribo – escolha no painel do topo (linha 3).</t>
        </is>
      </c>
    </row>
    <row r="42">
      <c r="K42" s="223" t="inlineStr">
        <is>
          <t xml:space="preserve">Ø,l</t>
        </is>
      </c>
      <c r="L42" s="227">
        <f>$O$2</f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longitudinal – escolha no painel do topo (linha 2).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1.6 Bitolas disponíveis (lista do painel do topo)</t>
        </is>
      </c>
    </row>
    <row r="51">
      <c r="K51" s="235" t="inlineStr">
        <is>
          <t xml:space="preserve">Ø (mm)</t>
        </is>
      </c>
      <c r="L51" s="235" t="inlineStr">
        <is>
          <t xml:space="preserve">Área (cm²)</t>
        </is>
      </c>
    </row>
    <row r="52">
      <c r="K52" s="224">
        <v>5</v>
      </c>
      <c r="L52" s="228">
        <f>PI()*(K52/10)^2/4</f>
      </c>
    </row>
    <row r="53">
      <c r="K53" s="224">
        <v>6.3</v>
      </c>
      <c r="L53" s="228">
        <f>PI()*(K53/10)^2/4</f>
      </c>
    </row>
    <row r="54">
      <c r="K54" s="224">
        <v>8</v>
      </c>
      <c r="L54" s="228">
        <f>PI()*(K54/10)^2/4</f>
      </c>
    </row>
    <row r="55">
      <c r="K55" s="224">
        <v>10</v>
      </c>
      <c r="L55" s="228">
        <f>PI()*(K55/10)^2/4</f>
      </c>
    </row>
    <row r="56">
      <c r="K56" s="224">
        <v>12.5</v>
      </c>
      <c r="L56" s="228">
        <f>PI()*(K56/10)^2/4</f>
      </c>
    </row>
    <row r="57">
      <c r="K57" s="224">
        <v>16</v>
      </c>
      <c r="L57" s="228">
        <f>PI()*(K57/10)^2/4</f>
      </c>
    </row>
    <row r="58">
      <c r="K58" s="224">
        <v>20</v>
      </c>
      <c r="L58" s="228">
        <f>PI()*(K58/10)^2/4</f>
      </c>
    </row>
    <row r="59">
      <c r="K59" s="224">
        <v>25</v>
      </c>
      <c r="L59" s="228">
        <f>PI()*(K59/10)^2/4</f>
      </c>
    </row>
    <row r="60">
      <c r="K60" s="224">
        <v>32</v>
      </c>
      <c r="L60" s="228">
        <f>PI()*(K60/10)^2/4</f>
      </c>
    </row>
    <row r="61">
      <c r="K61" s="222" t="inlineStr">
        <is>
          <t xml:space="preserve">1.5 Tabela ρ,mín (NBR 6118, tab. 17.3)</t>
        </is>
      </c>
    </row>
    <row r="62">
      <c r="K62" s="235" t="inlineStr">
        <is>
          <t xml:space="preserve">fck (MPa)</t>
        </is>
      </c>
      <c r="L62" s="235" t="inlineStr">
        <is>
          <t xml:space="preserve">ρ,mín (%)</t>
        </is>
      </c>
    </row>
    <row r="63">
      <c r="K63" s="237">
        <v>20</v>
      </c>
      <c r="L63" s="226">
        <v>0.15</v>
      </c>
    </row>
    <row r="64">
      <c r="K64" s="237">
        <v>25</v>
      </c>
      <c r="L64" s="226">
        <v>0.15</v>
      </c>
    </row>
    <row r="65">
      <c r="K65" s="237">
        <v>30</v>
      </c>
      <c r="L65" s="226">
        <v>0.15</v>
      </c>
    </row>
    <row r="66">
      <c r="K66" s="237">
        <v>35</v>
      </c>
      <c r="L66" s="226">
        <v>0.164</v>
      </c>
    </row>
    <row r="67">
      <c r="K67" s="237">
        <v>40</v>
      </c>
      <c r="L67" s="226">
        <v>0.179</v>
      </c>
    </row>
    <row r="68">
      <c r="K68" s="237">
        <v>45</v>
      </c>
      <c r="L68" s="226">
        <v>0.194</v>
      </c>
    </row>
    <row r="69">
      <c r="K69" s="237">
        <v>50</v>
      </c>
      <c r="L69" s="226">
        <v>0.208</v>
      </c>
    </row>
    <row r="71">
      <c r="K71" s="221" t="inlineStr">
        <is>
          <t xml:space="preserve">2 . PARÂMETROS DE CÁLCULO</t>
        </is>
      </c>
      <c r="L71" s="221"/>
      <c r="M71" s="221"/>
      <c r="N71" s="221"/>
      <c r="O71" s="221"/>
      <c r="P71" s="221"/>
      <c r="Q71" s="221"/>
      <c r="R71" s="221"/>
      <c r="S71" s="221"/>
      <c r="T71" s="221"/>
    </row>
    <row r="73">
      <c r="K73" s="223" t="inlineStr">
        <is>
          <t xml:space="preserve">fcd</t>
        </is>
      </c>
      <c r="L73" s="227">
        <f>$L$33/$L$30</f>
      </c>
      <c r="M73" s="231" t="inlineStr">
        <is>
          <t xml:space="preserve">MPa</t>
        </is>
      </c>
      <c r="O73" s="233" t="inlineStr">
        <is>
          <t xml:space="preserve">Resistência de cálculo do concreto.</t>
        </is>
      </c>
    </row>
    <row r="74">
      <c r="K74" s="223" t="inlineStr">
        <is>
          <t xml:space="preserve">fyd</t>
        </is>
      </c>
      <c r="L74" s="227">
        <f>$L$34/$L$31</f>
      </c>
      <c r="M74" s="231" t="inlineStr">
        <is>
          <t xml:space="preserve">MPa</t>
        </is>
      </c>
      <c r="O74" s="233" t="inlineStr">
        <is>
          <t xml:space="preserve">Resistência de cálculo do aço.</t>
        </is>
      </c>
    </row>
    <row r="75">
      <c r="K75" s="223" t="inlineStr">
        <is>
          <t xml:space="preserve">d'</t>
        </is>
      </c>
      <c r="L75" s="227">
        <f>$L$40+$L$41/10+$L$42/20</f>
      </c>
      <c r="M75" s="231" t="inlineStr">
        <is>
          <t xml:space="preserve">cm</t>
        </is>
      </c>
      <c r="O75" s="233" t="inlineStr">
        <is>
          <t xml:space="preserve">Distância da face ao eixo das barras (c + Ø,t + Ø,l/2).</t>
        </is>
      </c>
    </row>
    <row r="76">
      <c r="K76" s="223" t="inlineStr">
        <is>
          <t xml:space="preserve">d</t>
        </is>
      </c>
      <c r="L76" s="227">
        <f>$L$38-$L$75</f>
      </c>
      <c r="M76" s="231" t="inlineStr">
        <is>
          <t xml:space="preserve">cm</t>
        </is>
      </c>
      <c r="O76" s="233" t="inlineStr">
        <is>
          <t xml:space="preserve">Altura útil (h − d').</t>
        </is>
      </c>
    </row>
    <row r="77">
      <c r="K77" s="223" t="inlineStr">
        <is>
          <t xml:space="preserve">(x/d)lim</t>
        </is>
      </c>
      <c r="L77" s="227">
        <v>0.45</v>
      </c>
      <c r="M77" s="231" t="inlineStr">
        <is>
          <t xml:space="preserve">-</t>
        </is>
      </c>
      <c r="O77" s="233" t="inlineStr">
        <is>
          <t xml:space="preserve">Limite da linha neutra para fck ≤ 50 MPa (ductilidade).</t>
        </is>
      </c>
    </row>
    <row r="78">
      <c r="K78" s="223" t="inlineStr">
        <is>
          <t xml:space="preserve">Md,lim</t>
        </is>
      </c>
      <c r="L78" s="227">
        <f>0.68*$L$39*$L$76^2*$L$73/10*$L$77*(1-0.4*$L$77)/100</f>
      </c>
      <c r="M78" s="231" t="inlineStr">
        <is>
          <t xml:space="preserve">kN·m</t>
        </is>
      </c>
      <c r="O78" s="233" t="inlineStr">
        <is>
          <t xml:space="preserve">Maior momento de cálculo só com armadura simples.</t>
        </is>
      </c>
    </row>
    <row r="79">
      <c r="K79" s="223" t="inlineStr">
        <is>
          <t xml:space="preserve">d,mín</t>
        </is>
      </c>
      <c r="L79" s="227">
        <f>SQRT(MAX($L$46,$L$47)*$L$29*100/(0.68*$L$39*$L$73/10*$L$77*(1-0.4*$L$77)))</f>
      </c>
      <c r="M79" s="231" t="inlineStr">
        <is>
          <t xml:space="preserve">cm</t>
        </is>
      </c>
      <c r="N79" s="232">
        <f>IF($L$76&gt;=$L$79,"Ok","Aumentar h para "&amp;ROUNDUP($L$79+$L$75,0)&amp;" cm (arm. simples)")</f>
      </c>
      <c r="O79" s="233" t="inlineStr">
        <is>
          <t xml:space="preserve">Altura útil mínima para armadura simples com o maior momento.</t>
        </is>
      </c>
    </row>
    <row r="81">
      <c r="K81" s="221" t="inlineStr">
        <is>
          <t xml:space="preserve">3 . FLEXÃO – SEÇÃO DO VÃO (M+)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$L$46*$L$29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0)",IF($L$83&lt;=$L$78,"Armadura simples","Armadura dupla"))</f>
      </c>
      <c r="M84" s="231" t="inlineStr">
        <is>
          <t xml:space="preserve">-</t>
        </is>
      </c>
      <c r="N84" s="232">
        <f>IF($L$83=0,"Não se aplica (M = 0)",IF($L$83&lt;=$L$78,"Ok","Arm.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IF($L$83&lt;=$L$78,1.25*$L$76*(1-SQRT(MAX(0,1-$L$83*100/(0.425*$L$39*$L$76^2*$L$73/10)))),$L$77*$L$76)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IF($L$76=0,0,$L$85/$L$76)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MIN($L$74,210000*0.0035*MAX(0,$L$85-$L$75)/MAX($L$85,0.001))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IF($L$83&lt;=$L$78,$L$83*100/($L$74/10*($L$76-0.4*$L$85)),$L$78*100/($L$74/10*($L$76-0.4*$L$85))+($L$83-$L$78)*100/($L$74/10*($L$76-$L$75)))</f>
      </c>
      <c r="M89" s="231" t="inlineStr">
        <is>
          <t xml:space="preserve">cm²</t>
        </is>
      </c>
      <c r="O89" s="233" t="inlineStr">
        <is>
          <t xml:space="preserve">Armadura tracionada – face externa.</t>
        </is>
      </c>
    </row>
    <row r="90">
      <c r="K90" s="223" t="inlineStr">
        <is>
          <t xml:space="preserve">As,c</t>
        </is>
      </c>
      <c r="L90" s="227">
        <f>IF($L$83&lt;=$L$78,0,($L$83-$L$78)*100/($L$88/10*($L$76-$L$75)))</f>
      </c>
      <c r="M90" s="231" t="inlineStr">
        <is>
          <t xml:space="preserve">cm²</t>
        </is>
      </c>
      <c r="O90" s="233" t="inlineStr">
        <is>
          <t xml:space="preserve">Armadura comprimida – face do solo (0 na armadura simples).</t>
        </is>
      </c>
    </row>
    <row r="92">
      <c r="K92" s="221" t="inlineStr">
        <is>
          <t xml:space="preserve">4 . FLEXÃO – SEÇÃO DA BASE (M−)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>
      <c r="K94" s="223" t="inlineStr">
        <is>
          <t xml:space="preserve">Md</t>
        </is>
      </c>
      <c r="L94" s="227">
        <f>$L$47*$L$29</f>
      </c>
      <c r="M94" s="231" t="inlineStr">
        <is>
          <t xml:space="preserve">kN·m</t>
        </is>
      </c>
      <c r="O94" s="233" t="inlineStr">
        <is>
          <t xml:space="preserve">Momento de cálculo (γf·Mk).</t>
        </is>
      </c>
    </row>
    <row r="95">
      <c r="K95" s="223" t="inlineStr">
        <is>
          <t xml:space="preserve">Tipo</t>
        </is>
      </c>
      <c r="L95" s="230">
        <f>IF($L$94=0,"Não se aplica (M = 0)",IF($L$94&lt;=$L$78,"Armadura simples","Armadura dupla"))</f>
      </c>
      <c r="M95" s="231" t="inlineStr">
        <is>
          <t xml:space="preserve">-</t>
        </is>
      </c>
      <c r="N95" s="232">
        <f>IF($L$94=0,"Não se aplica (M = 0)",IF($L$94&lt;=$L$78,"Ok","Arm. dupla – ver d,mín (item 2)"))</f>
      </c>
      <c r="O95" s="233" t="inlineStr">
        <is>
          <t xml:space="preserve">Simples se Md ≤ Md,lim; dupla se maior.</t>
        </is>
      </c>
    </row>
    <row r="96">
      <c r="K96" s="223" t="inlineStr">
        <is>
          <t xml:space="preserve">x</t>
        </is>
      </c>
      <c r="L96" s="227">
        <f>IF($L$94&lt;=$L$78,1.25*$L$76*(1-SQRT(MAX(0,1-$L$94*100/(0.425*$L$39*$L$76^2*$L$73/10)))),$L$77*$L$76)</f>
      </c>
      <c r="M96" s="231" t="inlineStr">
        <is>
          <t xml:space="preserve">cm</t>
        </is>
      </c>
      <c r="O96" s="233" t="inlineStr">
        <is>
          <t xml:space="preserve">Profundidade da linha neutra.</t>
        </is>
      </c>
    </row>
    <row r="97">
      <c r="K97" s="223" t="inlineStr">
        <is>
          <t xml:space="preserve">x/d</t>
        </is>
      </c>
      <c r="L97" s="228">
        <f>IF($L$76=0,0,$L$96/$L$76)</f>
      </c>
      <c r="M97" s="231" t="inlineStr">
        <is>
          <t xml:space="preserve">-</t>
        </is>
      </c>
      <c r="O97" s="233" t="inlineStr">
        <is>
          <t xml:space="preserve">Posição relativa da linha neutra.</t>
        </is>
      </c>
    </row>
    <row r="98">
      <c r="K98" s="223" t="inlineStr">
        <is>
          <t xml:space="preserve">Domínio</t>
        </is>
      </c>
      <c r="L98" s="230">
        <f>IF($L$94=0,"-",IF($L$97&lt;=0.259,"2","3"))</f>
      </c>
      <c r="M98" s="231" t="inlineStr">
        <is>
          <t xml:space="preserve">-</t>
        </is>
      </c>
      <c r="O98" s="233" t="inlineStr">
        <is>
          <t xml:space="preserve">Domínio de deformação.</t>
        </is>
      </c>
    </row>
    <row r="99">
      <c r="K99" s="223" t="inlineStr">
        <is>
          <t xml:space="preserve">σsc</t>
        </is>
      </c>
      <c r="L99" s="227">
        <f>MIN($L$74,210000*0.0035*MAX(0,$L$96-$L$75)/MAX($L$96,0.001))</f>
      </c>
      <c r="M99" s="231" t="inlineStr">
        <is>
          <t xml:space="preserve">MPa</t>
        </is>
      </c>
      <c r="O99" s="233" t="inlineStr">
        <is>
          <t xml:space="preserve">Tensão na armadura comprimida (Es = 210 GPa, εc = 3,5‰), só na armadura dupla.</t>
        </is>
      </c>
    </row>
    <row r="100">
      <c r="K100" s="223" t="inlineStr">
        <is>
          <t xml:space="preserve">As,t</t>
        </is>
      </c>
      <c r="L100" s="227">
        <f>IF($L$94&lt;=$L$78,$L$94*100/($L$74/10*($L$76-0.4*$L$96)),$L$78*100/($L$74/10*($L$76-0.4*$L$96))+($L$94-$L$78)*100/($L$74/10*($L$76-$L$75)))</f>
      </c>
      <c r="M100" s="231" t="inlineStr">
        <is>
          <t xml:space="preserve">cm²</t>
        </is>
      </c>
      <c r="O100" s="233" t="inlineStr">
        <is>
          <t xml:space="preserve">Armadura tracionada – face do solo.</t>
        </is>
      </c>
    </row>
    <row r="101">
      <c r="K101" s="223" t="inlineStr">
        <is>
          <t xml:space="preserve">As,c</t>
        </is>
      </c>
      <c r="L101" s="227">
        <f>IF($L$94&lt;=$L$78,0,($L$94-$L$78)*100/($L$99/10*($L$76-$L$75)))</f>
      </c>
      <c r="M101" s="231" t="inlineStr">
        <is>
          <t xml:space="preserve">cm²</t>
        </is>
      </c>
      <c r="O101" s="233" t="inlineStr">
        <is>
          <t xml:space="preserve">Armadura comprimida – face externa (0 na armadura simples).</t>
        </is>
      </c>
    </row>
    <row r="103">
      <c r="K103" s="221" t="inlineStr">
        <is>
          <t xml:space="preserve">5 . ARMADURA LONGITUDINAL SIMÉTRICA (mesma nas duas faces)</t>
        </is>
      </c>
      <c r="L103" s="221"/>
      <c r="M103" s="221"/>
      <c r="N103" s="221"/>
      <c r="O103" s="221"/>
      <c r="P103" s="221"/>
      <c r="Q103" s="221"/>
      <c r="R103" s="221"/>
      <c r="S103" s="221"/>
      <c r="T103" s="221"/>
    </row>
    <row r="105" ht="32" customHeight="1">
      <c r="K105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105" s="220"/>
      <c r="M105" s="220"/>
      <c r="N105" s="220"/>
      <c r="O105" s="220"/>
      <c r="P105" s="220"/>
      <c r="Q105" s="220"/>
      <c r="R105" s="220"/>
      <c r="S105" s="220"/>
      <c r="T105" s="220"/>
    </row>
    <row r="106">
      <c r="K106" s="223" t="inlineStr">
        <is>
          <t xml:space="preserve">ρ,mín</t>
        </is>
      </c>
      <c r="L106" s="228">
        <f>VLOOKUP($L$33,$K$63:$L$69,2,TRUE)</f>
      </c>
      <c r="M106" s="231" t="inlineStr">
        <is>
          <t xml:space="preserve">%</t>
        </is>
      </c>
      <c r="O106" s="233" t="inlineStr">
        <is>
          <t xml:space="preserve">Taxa mínima de flexão (tabela 1.5).</t>
        </is>
      </c>
    </row>
    <row r="107">
      <c r="K107" s="223" t="inlineStr">
        <is>
          <t xml:space="preserve">As,mín,v</t>
        </is>
      </c>
      <c r="L107" s="227">
        <f>$L$106/100*$L$39*$L$38</f>
      </c>
      <c r="M107" s="231" t="inlineStr">
        <is>
          <t xml:space="preserve">cm²</t>
        </is>
      </c>
      <c r="O107" s="233" t="inlineStr">
        <is>
          <t xml:space="preserve">Mínima de viga, por face tracionada: ρ,mín·b·h.</t>
        </is>
      </c>
    </row>
    <row r="108">
      <c r="K108" s="223" t="inlineStr">
        <is>
          <t xml:space="preserve">As,mín,p</t>
        </is>
      </c>
      <c r="L108" s="227">
        <f>MAX(0.15*$L$49*$L$29/($L$74/10),0.004*$L$39*$L$38)</f>
      </c>
      <c r="M108" s="231" t="inlineStr">
        <is>
          <t xml:space="preserve">cm²</t>
        </is>
      </c>
      <c r="O108" s="233" t="inlineStr">
        <is>
          <t xml:space="preserve">Mínima de pilar, total: máx(0,15·Nd/fyd; 0,4%·Ac).</t>
        </is>
      </c>
    </row>
    <row r="109">
      <c r="K109" s="223" t="inlineStr">
        <is>
          <t xml:space="preserve">As,face</t>
        </is>
      </c>
      <c r="L109" s="227">
        <f>MAX($L$89,$L$90,$L$100,$L$101,$L$107,$L$108/2)</f>
      </c>
      <c r="M109" s="231" t="inlineStr">
        <is>
          <t xml:space="preserve">cm²</t>
        </is>
      </c>
      <c r="O109" s="233" t="inlineStr">
        <is>
          <t xml:space="preserve">Armadura necessária em cada face.</t>
        </is>
      </c>
    </row>
    <row r="110">
      <c r="K110" s="223" t="inlineStr">
        <is>
          <t xml:space="preserve">A,barra</t>
        </is>
      </c>
      <c r="L110" s="228">
        <f>PI()*($L$42/10)^2/4</f>
      </c>
      <c r="M110" s="231" t="inlineStr">
        <is>
          <t xml:space="preserve">cm²</t>
        </is>
      </c>
      <c r="O110" s="233" t="inlineStr">
        <is>
          <t xml:space="preserve">Área de uma barra Ø,l.</t>
        </is>
      </c>
    </row>
    <row r="111">
      <c r="K111" s="223" t="inlineStr">
        <is>
          <t xml:space="preserve">n</t>
        </is>
      </c>
      <c r="L111" s="229">
        <f>MAX(2,ROUNDUP($L$109/$L$110,0))</f>
      </c>
      <c r="M111" s="231" t="inlineStr">
        <is>
          <t xml:space="preserve">un</t>
        </is>
      </c>
      <c r="O111" s="233" t="inlineStr">
        <is>
          <t xml:space="preserve">Barras em cada face (mínimo 2).</t>
        </is>
      </c>
    </row>
    <row r="112">
      <c r="K112" s="223" t="inlineStr">
        <is>
          <t xml:space="preserve">As,ef</t>
        </is>
      </c>
      <c r="L112" s="227">
        <f>$L$111*$L$110</f>
      </c>
      <c r="M112" s="231" t="inlineStr">
        <is>
          <t xml:space="preserve">cm²</t>
        </is>
      </c>
      <c r="O112" s="233" t="inlineStr">
        <is>
          <t xml:space="preserve">Armadura efetiva em cada face.</t>
        </is>
      </c>
    </row>
    <row r="113">
      <c r="K113" s="223" t="inlineStr">
        <is>
          <t xml:space="preserve">As,total</t>
        </is>
      </c>
      <c r="L113" s="227">
        <f>2*$L$112</f>
      </c>
      <c r="M113" s="231" t="inlineStr">
        <is>
          <t xml:space="preserve">cm²</t>
        </is>
      </c>
      <c r="O113" s="233" t="inlineStr">
        <is>
          <t xml:space="preserve">Armadura total na seção (duas faces).</t>
        </is>
      </c>
    </row>
    <row r="114">
      <c r="K114" s="223" t="inlineStr">
        <is>
          <t xml:space="preserve">ρ,total</t>
        </is>
      </c>
      <c r="L114" s="227">
        <f>$L$113/($L$39*$L$38)*100</f>
      </c>
      <c r="M114" s="231" t="inlineStr">
        <is>
          <t xml:space="preserve">%</t>
        </is>
      </c>
      <c r="N114" s="232">
        <f>IF($L$114&gt;4,"Rever: taxa &gt; 4% – aumentar seção",IF($L$114&lt;0.4,"Rever: taxa &lt; 0,4%","Ok"))</f>
      </c>
      <c r="O114" s="233" t="inlineStr">
        <is>
          <t xml:space="preserve">Taxa total (pilar: 0,4% a 4%; 8% na emenda).</t>
        </is>
      </c>
    </row>
    <row r="115">
      <c r="K115" s="223" t="inlineStr">
        <is>
          <t xml:space="preserve">a,h,mín</t>
        </is>
      </c>
      <c r="L115" s="227">
        <f>MAX(2,$L$42/10,1.2*$L$36/10)</f>
      </c>
      <c r="M115" s="231" t="inlineStr">
        <is>
          <t xml:space="preserve">cm</t>
        </is>
      </c>
      <c r="O115" s="233" t="inlineStr">
        <is>
          <t xml:space="preserve">NBR 6118, 18.4.2.2: maior entre 2 cm, Ø,l e 1,2·d,máx.</t>
        </is>
      </c>
    </row>
    <row r="116">
      <c r="K116" s="223" t="inlineStr">
        <is>
          <t xml:space="preserve">governa</t>
        </is>
      </c>
      <c r="L116" s="230">
        <f>IF($L$115=$L$42/10,"≥ Ø da barra",IF($L$115=2,"≥ 2 cm","≥ 1,2·d,máx"))</f>
      </c>
      <c r="M116" s="231" t="inlineStr">
        <is>
          <t xml:space="preserve">-</t>
        </is>
      </c>
      <c r="O116" s="233" t="inlineStr">
        <is>
          <t xml:space="preserve">Critério que define o espaço mínimo (brita 0: d,máx = 9,5 mm; brita 1: 19 mm).</t>
        </is>
      </c>
    </row>
    <row r="117">
      <c r="K117" s="223" t="inlineStr">
        <is>
          <t xml:space="preserve">a,h</t>
        </is>
      </c>
      <c r="L117" s="227">
        <f>IF($L$111&lt;=1,0,($L$39-2*$L$40-2*$L$41/10-$L$111*$L$42/10)/($L$111-1))</f>
      </c>
      <c r="M117" s="231" t="inlineStr">
        <is>
          <t xml:space="preserve">cm</t>
        </is>
      </c>
      <c r="N117" s="232">
        <f>IF($L$117&lt;$L$115,"Espaço livre "&amp;FIXED($L$117,2)&amp;" &lt; "&amp;FIXED($L$115,2)&amp;" cm ("&amp;$L$116&amp;")",IF($L$117&gt;40,"Rever: espaço &gt; 40 cm","Ok"))</f>
      </c>
      <c r="O117" s="233" t="inlineStr">
        <is>
          <t xml:space="preserve">Espaço livre entre barras da mesma face.</t>
        </is>
      </c>
    </row>
    <row r="119">
      <c r="K119" s="221" t="inlineStr">
        <is>
          <t xml:space="preserve">6 . ESTRIBOS – FORÇA CORTANTE (Modelo I, NBR 6118)</t>
        </is>
      </c>
      <c r="L119" s="221"/>
      <c r="M119" s="221"/>
      <c r="N119" s="221"/>
      <c r="O119" s="221"/>
      <c r="P119" s="221"/>
      <c r="Q119" s="221"/>
      <c r="R119" s="221"/>
      <c r="S119" s="221"/>
      <c r="T119" s="221"/>
    </row>
    <row r="121" ht="32" customHeight="1">
      <c r="K121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21" s="220"/>
      <c r="M121" s="220"/>
      <c r="N121" s="220"/>
      <c r="O121" s="220"/>
      <c r="P121" s="220"/>
      <c r="Q121" s="220"/>
      <c r="R121" s="220"/>
      <c r="S121" s="220"/>
      <c r="T121" s="220"/>
    </row>
    <row r="122">
      <c r="K122" s="222" t="inlineStr">
        <is>
          <t xml:space="preserve">6.1 Biela e parcela do concreto</t>
        </is>
      </c>
    </row>
    <row r="123">
      <c r="K123" s="223" t="inlineStr">
        <is>
          <t xml:space="preserve">Vsd</t>
        </is>
      </c>
      <c r="L123" s="227">
        <f>$L$48*$L$29</f>
      </c>
      <c r="M123" s="231" t="inlineStr">
        <is>
          <t xml:space="preserve">kN</t>
        </is>
      </c>
      <c r="O123" s="233" t="inlineStr">
        <is>
          <t xml:space="preserve">Cortante de cálculo (γf·Vk).</t>
        </is>
      </c>
    </row>
    <row r="124">
      <c r="K124" s="223" t="inlineStr">
        <is>
          <t xml:space="preserve">VRd2</t>
        </is>
      </c>
      <c r="L124" s="227">
        <f>0.27*(1-$L$33/250)*$L$73/10*$L$39*$L$76</f>
      </c>
      <c r="M124" s="231" t="inlineStr">
        <is>
          <t xml:space="preserve">kN</t>
        </is>
      </c>
      <c r="N124" s="232">
        <f>IF($L$123&lt;=$L$124,"Ok","Aumentar seção ou fck")</f>
      </c>
      <c r="O124" s="233" t="inlineStr">
        <is>
          <t xml:space="preserve">Resistência da biela comprimida.</t>
        </is>
      </c>
    </row>
    <row r="125">
      <c r="K125" s="223" t="inlineStr">
        <is>
          <t xml:space="preserve">fctm</t>
        </is>
      </c>
      <c r="L125" s="227">
        <f>0.3*$L$33^(2/3)</f>
      </c>
      <c r="M125" s="231" t="inlineStr">
        <is>
          <t xml:space="preserve">MPa</t>
        </is>
      </c>
      <c r="O125" s="233" t="inlineStr">
        <is>
          <t xml:space="preserve">Resistência média à tração.</t>
        </is>
      </c>
    </row>
    <row r="126">
      <c r="K126" s="223" t="inlineStr">
        <is>
          <t xml:space="preserve">fctd</t>
        </is>
      </c>
      <c r="L126" s="227">
        <f>0.7*$L$125/$L$30</f>
      </c>
      <c r="M126" s="231" t="inlineStr">
        <is>
          <t xml:space="preserve">MPa</t>
        </is>
      </c>
      <c r="O126" s="233" t="inlineStr">
        <is>
          <t xml:space="preserve">Resistência de cálculo à tração (fctk,inf/γc).</t>
        </is>
      </c>
    </row>
    <row r="127">
      <c r="K127" s="223" t="inlineStr">
        <is>
          <t xml:space="preserve">Vc0</t>
        </is>
      </c>
      <c r="L127" s="227">
        <f>0.6*$L$126/10*$L$39*$L$76</f>
      </c>
      <c r="M127" s="231" t="inlineStr">
        <is>
          <t xml:space="preserve">kN</t>
        </is>
      </c>
      <c r="O127" s="233" t="inlineStr">
        <is>
          <t xml:space="preserve">Parcela resistida pelo concreto.</t>
        </is>
      </c>
    </row>
    <row r="128">
      <c r="K128" s="222" t="inlineStr">
        <is>
          <t xml:space="preserve">6.2 Armadura transversal</t>
        </is>
      </c>
    </row>
    <row r="129">
      <c r="K129" s="223" t="inlineStr">
        <is>
          <t xml:space="preserve">fywd</t>
        </is>
      </c>
      <c r="L129" s="227">
        <f>MIN($L$35/$L$31,435)</f>
      </c>
      <c r="M129" s="231" t="inlineStr">
        <is>
          <t xml:space="preserve">MPa</t>
        </is>
      </c>
      <c r="O129" s="233" t="inlineStr">
        <is>
          <t xml:space="preserve">Resistência de cálculo do estribo (≤ 435 MPa).</t>
        </is>
      </c>
    </row>
    <row r="130">
      <c r="K130" s="223" t="inlineStr">
        <is>
          <t xml:space="preserve">Vsw</t>
        </is>
      </c>
      <c r="L130" s="227">
        <f>MAX(0,$L$123-$L$127)</f>
      </c>
      <c r="M130" s="231" t="inlineStr">
        <is>
          <t xml:space="preserve">kN</t>
        </is>
      </c>
      <c r="O130" s="233" t="inlineStr">
        <is>
          <t xml:space="preserve">Parcela a ser resistida pelos estribos.</t>
        </is>
      </c>
    </row>
    <row r="131">
      <c r="K131" s="223" t="inlineStr">
        <is>
          <t xml:space="preserve">Asw,calc</t>
        </is>
      </c>
      <c r="L131" s="227">
        <f>$L$130/(0.9*$L$76*$L$129/10)*100</f>
      </c>
      <c r="M131" s="231" t="inlineStr">
        <is>
          <t xml:space="preserve">cm²/m</t>
        </is>
      </c>
      <c r="O131" s="233" t="inlineStr">
        <is>
          <t xml:space="preserve">Asw/s = Vsw/(0,9·d·fywd).</t>
        </is>
      </c>
    </row>
    <row r="132">
      <c r="K132" s="223" t="inlineStr">
        <is>
          <t xml:space="preserve">Asw,mín</t>
        </is>
      </c>
      <c r="L132" s="227">
        <f>0.2*$L$125/$L$35*$L$39*100</f>
      </c>
      <c r="M132" s="231" t="inlineStr">
        <is>
          <t xml:space="preserve">cm²/m</t>
        </is>
      </c>
      <c r="O132" s="233" t="inlineStr">
        <is>
          <t xml:space="preserve">Mínima: ρsw = 0,2·fctm/fywk.</t>
        </is>
      </c>
    </row>
    <row r="133">
      <c r="K133" s="223" t="inlineStr">
        <is>
          <t xml:space="preserve">Asw</t>
        </is>
      </c>
      <c r="L133" s="227">
        <f>MAX($L$131,$L$132)</f>
      </c>
      <c r="M133" s="231" t="inlineStr">
        <is>
          <t xml:space="preserve">cm²/m</t>
        </is>
      </c>
      <c r="O133" s="233" t="inlineStr">
        <is>
          <t xml:space="preserve">Armadura transversal adotada (todos os ramos).</t>
        </is>
      </c>
    </row>
    <row r="134">
      <c r="K134" s="223" t="inlineStr">
        <is>
          <t xml:space="preserve">s,calc</t>
        </is>
      </c>
      <c r="L134" s="227">
        <f>IF($L$133=0,999,$L$43*PI()*($L$41/10)^2/4/$L$133*100)</f>
      </c>
      <c r="M134" s="231" t="inlineStr">
        <is>
          <t xml:space="preserve">cm</t>
        </is>
      </c>
      <c r="O134" s="233" t="inlineStr">
        <is>
          <t xml:space="preserve">Espaçamento pela armadura calculada.</t>
        </is>
      </c>
    </row>
    <row r="135">
      <c r="K135" s="223" t="inlineStr">
        <is>
          <t xml:space="preserve">s,máx,v</t>
        </is>
      </c>
      <c r="L135" s="227">
        <f>IF($L$123&lt;=0.67*$L$124,MIN(0.6*$L$76,30),MIN(0.3*$L$76,20))</f>
      </c>
      <c r="M135" s="231" t="inlineStr">
        <is>
          <t xml:space="preserve">cm</t>
        </is>
      </c>
      <c r="O135" s="233" t="inlineStr">
        <is>
          <t xml:space="preserve">Máximo de viga (NBR 6118, 18.3.3.2).</t>
        </is>
      </c>
    </row>
    <row r="136">
      <c r="K136" s="223" t="inlineStr">
        <is>
          <t xml:space="preserve">s,máx,p</t>
        </is>
      </c>
      <c r="L136" s="227">
        <f>MIN(20,$L$39,$L$38,IF($L$34&gt;=500,12,25)*$L$42/10)</f>
      </c>
      <c r="M136" s="231" t="inlineStr">
        <is>
          <t xml:space="preserve">cm</t>
        </is>
      </c>
      <c r="O136" s="233" t="inlineStr">
        <is>
          <t xml:space="preserve">Máximo de pilar: 20 cm, menor dimensão, 12·Ø,l (CA-50).</t>
        </is>
      </c>
    </row>
    <row r="137">
      <c r="K137" s="223" t="inlineStr">
        <is>
          <t xml:space="preserve">s</t>
        </is>
      </c>
      <c r="L137" s="229">
        <f>ROUNDDOWN(MIN($L$134,$L$135,$L$136),0)</f>
      </c>
      <c r="M137" s="231" t="inlineStr">
        <is>
          <t xml:space="preserve">cm</t>
        </is>
      </c>
      <c r="N137" s="232">
        <f>IF($L$137&lt;5,"s &lt; 5 cm – aumentar Ø,t ou ramos","Ok")</f>
      </c>
      <c r="O137" s="233" t="inlineStr">
        <is>
          <t xml:space="preserve">Espaçamento adotado (arredondado para baixo).</t>
        </is>
      </c>
    </row>
    <row r="138">
      <c r="K138" s="223" t="inlineStr">
        <is>
          <t xml:space="preserve">Asw,ef</t>
        </is>
      </c>
      <c r="L138" s="227">
        <f>$L$43*PI()*($L$41/10)^2/4*100/$L$137</f>
      </c>
      <c r="M138" s="231" t="inlineStr">
        <is>
          <t xml:space="preserve">cm²/m</t>
        </is>
      </c>
      <c r="N138" s="232">
        <f>IF($L$138&gt;=$L$133,"Ok","Rever")</f>
      </c>
      <c r="O138" s="233" t="inlineStr">
        <is>
          <t xml:space="preserve">Armadura efetiva com o espaçamento adotado.</t>
        </is>
      </c>
    </row>
    <row r="139">
      <c r="K139" s="223" t="inlineStr">
        <is>
          <t xml:space="preserve">Ø,t,mín</t>
        </is>
      </c>
      <c r="L139" s="227">
        <f>MAX(5,$L$42/4)</f>
      </c>
      <c r="M139" s="231" t="inlineStr">
        <is>
          <t xml:space="preserve">mm</t>
        </is>
      </c>
      <c r="N139" s="232">
        <f>IF($L$41&gt;=$L$139,"Ok","Aumentar Ø,t")</f>
      </c>
      <c r="O139" s="233" t="inlineStr">
        <is>
          <t xml:space="preserve">Pilar: Ø,t ≥ 5 mm e ≥ Ø,l/4.</t>
        </is>
      </c>
    </row>
    <row r="141">
      <c r="K141" s="221" t="inlineStr">
        <is>
          <t xml:space="preserve">7 . TAXA DE AÇO</t>
        </is>
      </c>
      <c r="L141" s="221"/>
      <c r="M141" s="221"/>
      <c r="N141" s="221"/>
      <c r="O141" s="221"/>
      <c r="P141" s="221"/>
      <c r="Q141" s="221"/>
      <c r="R141" s="221"/>
      <c r="S141" s="221"/>
      <c r="T141" s="221"/>
    </row>
    <row r="143">
      <c r="K143" s="223" t="inlineStr">
        <is>
          <t xml:space="preserve">ρ,aço</t>
        </is>
      </c>
      <c r="L143" s="224">
        <v>0.785</v>
      </c>
      <c r="M143" s="231" t="inlineStr">
        <is>
          <t xml:space="preserve">kg/m/cm²</t>
        </is>
      </c>
      <c r="O143" s="233" t="inlineStr">
        <is>
          <t xml:space="preserve">Peso por metro de 1 cm² de barra (7850 kg/m³).</t>
        </is>
      </c>
    </row>
    <row r="144">
      <c r="K144" s="223" t="inlineStr">
        <is>
          <t xml:space="preserve">Longit.</t>
        </is>
      </c>
      <c r="L144" s="227">
        <f>$L$113*$L$143/($L$39*$L$38/10000)</f>
      </c>
      <c r="M144" s="231" t="inlineStr">
        <is>
          <t xml:space="preserve">kg/m³</t>
        </is>
      </c>
      <c r="O144" s="233" t="inlineStr">
        <is>
          <t xml:space="preserve">Armadura longitudinal (duas faces) por m³ de concreto.</t>
        </is>
      </c>
    </row>
    <row r="145">
      <c r="K145" s="223" t="inlineStr">
        <is>
          <t xml:space="preserve">l,est</t>
        </is>
      </c>
      <c r="L145" s="227">
        <f>2*($L$39+$L$38)-8*$L$40+12</f>
      </c>
      <c r="M145" s="231" t="inlineStr">
        <is>
          <t xml:space="preserve">cm</t>
        </is>
      </c>
      <c r="O145" s="233" t="inlineStr">
        <is>
          <t xml:space="preserve">Comprimento de cada estribo (perímetro − cobrimentos + ganchos).</t>
        </is>
      </c>
    </row>
    <row r="146">
      <c r="K146" s="223" t="inlineStr">
        <is>
          <t xml:space="preserve">Estribos</t>
        </is>
      </c>
      <c r="L146" s="227">
        <f>100/$L$137*$L$145/100*PI()*($L$41/10)^2/4*$L$143*$L$43/2/($L$39*$L$38/10000)</f>
      </c>
      <c r="M146" s="231" t="inlineStr">
        <is>
          <t xml:space="preserve">kg/m³</t>
        </is>
      </c>
      <c r="O146" s="233" t="inlineStr">
        <is>
          <t xml:space="preserve">Estribos por m³ de concreto (100/s estribos por metro).</t>
        </is>
      </c>
    </row>
    <row r="147">
      <c r="K147" s="223" t="inlineStr">
        <is>
          <t xml:space="preserve">Total</t>
        </is>
      </c>
      <c r="L147" s="227">
        <f>$L$144+$L$146</f>
      </c>
      <c r="M147" s="231" t="inlineStr">
        <is>
          <t xml:space="preserve">kg/m³</t>
        </is>
      </c>
      <c r="O147" s="233" t="inlineStr">
        <is>
          <t xml:space="preserve">Taxa total de aço do pilar.</t>
        </is>
      </c>
    </row>
  </sheetData>
  <mergeCells count="38">
    <mergeCell ref="K1:T1"/>
    <mergeCell ref="K6:T6"/>
    <mergeCell ref="K8:T8"/>
    <mergeCell ref="K26:T26"/>
    <mergeCell ref="K71:T71"/>
    <mergeCell ref="K81:T81"/>
    <mergeCell ref="K92:T92"/>
    <mergeCell ref="K103:T103"/>
    <mergeCell ref="K105:T105"/>
    <mergeCell ref="K119:T119"/>
    <mergeCell ref="K121:T121"/>
    <mergeCell ref="K141:T141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P2:R2"/>
    <mergeCell ref="S2:T2"/>
    <mergeCell ref="K3:L3"/>
    <mergeCell ref="M3:N3"/>
    <mergeCell ref="P3:R3"/>
    <mergeCell ref="S3:T3"/>
    <mergeCell ref="K4:L4"/>
    <mergeCell ref="M4:N4"/>
    <mergeCell ref="O4:R4"/>
    <mergeCell ref="S4:T4"/>
    <mergeCell ref="K5:L5"/>
    <mergeCell ref="M5:N5"/>
    <mergeCell ref="O5:R5"/>
    <mergeCell ref="S5:T5"/>
  </mergeCells>
  <conditionalFormatting sqref="N33 N42 N45 N79 N84 N95 N114 N117 N124 N137 N138 N139 N11 N13 N14 N15 N16 N17 N18 S2 S3 S4 S5">
    <cfRule type="beginsWith" dxfId="6" priority="1" operator="beginsWith" text="Ok">
      <formula>LEFT(N33,2)="Ok"</formula>
    </cfRule>
  </conditionalFormatting>
  <conditionalFormatting sqref="N33 N42 N45 N79 N84 N95 N114 N117 N124 N137 N138 N139 N11 N13 N14 N15 N16 N17 N18 S2 S3 S4 S5">
    <cfRule type="beginsWith" dxfId="5" priority="2" operator="beginsWith" text="Não se aplica">
      <formula>LEFT(N33,13)="Não se aplica"</formula>
    </cfRule>
  </conditionalFormatting>
  <dataValidations count="2">
    <dataValidation type="list" allowBlank="1" showErrorMessage="1" sqref="L45">
      <formula1>'CONTENÇÃO RÁPIDA'!$K$74:$K$76</formula1>
    </dataValidation>
    <dataValidation type="list" allowBlank="1" showErrorMessage="1" sqref="O2:O3">
      <formula1>$K$52:$K$60</formula1>
    </dataValidation>
  </dataValidations>
  <pageMargins left="0.511811024" right="0.511811024" top="0.787401575" bottom="0.787401575" header="0.31496062" footer="0.31496062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